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71c94e946cc3d6/Documents/Personal Programming Projects/Data-Analyst/Netflix-Customer-Churn-Analysis/Excel/"/>
    </mc:Choice>
  </mc:AlternateContent>
  <xr:revisionPtr revIDLastSave="17" documentId="8_{5AAB7699-8685-489E-9AFF-DB50C43C50F6}" xr6:coauthVersionLast="47" xr6:coauthVersionMax="47" xr10:uidLastSave="{9FB5D4FA-8C9B-4A7D-AFB7-0FDA21A670A6}"/>
  <bookViews>
    <workbookView xWindow="19875" yWindow="-16320" windowWidth="29040" windowHeight="15720" activeTab="4" xr2:uid="{19CBE426-6BD9-4063-9B64-70B2B63D39AB}"/>
  </bookViews>
  <sheets>
    <sheet name="device_churn_rate" sheetId="3" r:id="rId1"/>
    <sheet name="payment_method_churn_rate" sheetId="4" r:id="rId2"/>
    <sheet name="last_login_churn_rate" sheetId="5" r:id="rId3"/>
    <sheet name="monthly_lost_revenue" sheetId="8" r:id="rId4"/>
    <sheet name="modified_netflix_customer_churn" sheetId="1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2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1656" i="1"/>
  <c r="K1657" i="1"/>
  <c r="K1658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5" i="1"/>
  <c r="K6" i="1"/>
  <c r="K7" i="1"/>
  <c r="K8" i="1"/>
  <c r="K9" i="1"/>
  <c r="K10" i="1"/>
  <c r="K11" i="1"/>
  <c r="K12" i="1"/>
  <c r="K3" i="1"/>
  <c r="K4" i="1"/>
  <c r="K2" i="1"/>
  <c r="D4" i="5"/>
  <c r="D8" i="4"/>
  <c r="D8" i="3"/>
  <c r="D7" i="4"/>
  <c r="D6" i="4"/>
  <c r="D9" i="5"/>
  <c r="D5" i="4"/>
  <c r="D4" i="4"/>
  <c r="D7" i="5"/>
  <c r="D6" i="5"/>
  <c r="D5" i="3"/>
  <c r="D6" i="3"/>
  <c r="D8" i="5"/>
  <c r="D12" i="5"/>
  <c r="D7" i="3"/>
  <c r="D11" i="5"/>
  <c r="D5" i="5"/>
  <c r="D10" i="5"/>
  <c r="D4" i="3"/>
</calcChain>
</file>

<file path=xl/sharedStrings.xml><?xml version="1.0" encoding="utf-8"?>
<sst xmlns="http://schemas.openxmlformats.org/spreadsheetml/2006/main" count="35059" uniqueCount="5064">
  <si>
    <t>customer_id</t>
  </si>
  <si>
    <t>age</t>
  </si>
  <si>
    <t>gender</t>
  </si>
  <si>
    <t>subscription_type</t>
  </si>
  <si>
    <t>watch_hours</t>
  </si>
  <si>
    <t>last_login_days</t>
  </si>
  <si>
    <t>region</t>
  </si>
  <si>
    <t>device</t>
  </si>
  <si>
    <t>monthly_fee</t>
  </si>
  <si>
    <t>churned</t>
  </si>
  <si>
    <t>payment_method</t>
  </si>
  <si>
    <t>number_of_profiles</t>
  </si>
  <si>
    <t>avg_watch_time_per_day</t>
  </si>
  <si>
    <t>favorite_genre</t>
  </si>
  <si>
    <t>a9b75100-82a8-427a-a208-72f24052884a</t>
  </si>
  <si>
    <t>Other</t>
  </si>
  <si>
    <t>Basic</t>
  </si>
  <si>
    <t>Africa</t>
  </si>
  <si>
    <t>TV</t>
  </si>
  <si>
    <t>Gift Card</t>
  </si>
  <si>
    <t>Action</t>
  </si>
  <si>
    <t>49a5dfd9-7e69-4022-a6ad-0a1b9767fb5b</t>
  </si>
  <si>
    <t>Standard</t>
  </si>
  <si>
    <t>Europe</t>
  </si>
  <si>
    <t>Mobile</t>
  </si>
  <si>
    <t>Sci-Fi</t>
  </si>
  <si>
    <t>4d71f6ce-fca9-4ff7-8afa-197ac24de14b</t>
  </si>
  <si>
    <t>Female</t>
  </si>
  <si>
    <t>Asia</t>
  </si>
  <si>
    <t>Crypto</t>
  </si>
  <si>
    <t>Drama</t>
  </si>
  <si>
    <t>d3c72c38-631b-4f9e-8a0e-de103cad1a7d</t>
  </si>
  <si>
    <t>Premium</t>
  </si>
  <si>
    <t>Oceania</t>
  </si>
  <si>
    <t>Horror</t>
  </si>
  <si>
    <t>4e265c34-103a-4dbb-9553-76c9aa47e946</t>
  </si>
  <si>
    <t>d8079475-5be7-47e9-8782-ceb7ff61395e</t>
  </si>
  <si>
    <t>Debit Card</t>
  </si>
  <si>
    <t>8e63450a-13d6-4e83-bbb5-6aebde9152cb</t>
  </si>
  <si>
    <t>Romance</t>
  </si>
  <si>
    <t>02387681-8c42-462a-807a-de0168c73b38</t>
  </si>
  <si>
    <t>Male</t>
  </si>
  <si>
    <t>0bcaad0c-545c-4ee1-85a6-75e165f39361</t>
  </si>
  <si>
    <t>PayPal</t>
  </si>
  <si>
    <t>eae6439e-8cdf-4258-ab49-c493925b927a</t>
  </si>
  <si>
    <t>45a03ce3-26d0-4cd5-a9bd-22d42490b612</t>
  </si>
  <si>
    <t>Laptop</t>
  </si>
  <si>
    <t>Comedy</t>
  </si>
  <si>
    <t>9df43ad1-d6ee-44d0-a79b-c8ab444f10bf</t>
  </si>
  <si>
    <t>South America</t>
  </si>
  <si>
    <t>4690bf9c-b828-44d3-bdb6-f91b10668288</t>
  </si>
  <si>
    <t>0aac0e54-7d40-4cf2-abe4-45f3ff73f5ff</t>
  </si>
  <si>
    <t>Documentary</t>
  </si>
  <si>
    <t>e2a75072-5f48-47ed-a533-eb1b0301aad9</t>
  </si>
  <si>
    <t>25db8257-f409-4acd-81f8-99629fbf15a0</t>
  </si>
  <si>
    <t>Desktop</t>
  </si>
  <si>
    <t>bf48551e-a8e6-4fd9-bb32-3f798ed84680</t>
  </si>
  <si>
    <t>Tablet</t>
  </si>
  <si>
    <t>3819aaed-bed6-49c8-ab53-0fd9d917e4e1</t>
  </si>
  <si>
    <t>e2f28860-44e4-4fc2-a445-014332e7fb11</t>
  </si>
  <si>
    <t>a088d61d-be5a-409e-b943-73b145b358d1</t>
  </si>
  <si>
    <t>Credit Card</t>
  </si>
  <si>
    <t>109cc416-0a22-4c41-93e9-2c7dd24ddd3f</t>
  </si>
  <si>
    <t>a8c8dcff-92d3-4a79-849d-42c6e6bbc7bc</t>
  </si>
  <si>
    <t>8071c1be-1197-49a1-aa75-5fb6a6b3087a</t>
  </si>
  <si>
    <t>98b7c57d-1094-45dd-bb45-d9bb8dff9b83</t>
  </si>
  <si>
    <t>18be905c-203f-4de2-8e78-ef10061fc57f</t>
  </si>
  <si>
    <t>b7c1bdad-cafb-4586-a15d-fc9ff30a8115</t>
  </si>
  <si>
    <t>6e061f35-b1b5-4efe-9e37-f40a14d929b1</t>
  </si>
  <si>
    <t>8c2d377b-f6ec-44b5-ae08-3660c4358a93</t>
  </si>
  <si>
    <t>North America</t>
  </si>
  <si>
    <t>afcc5c55-a3d8-4e2f-ab95-3d34f5e0390d</t>
  </si>
  <si>
    <t>2211b077-0300-4e0c-834c-e7751a45eb96</t>
  </si>
  <si>
    <t>8d755725-4f16-4006-bdae-fa3dc9fa2579</t>
  </si>
  <si>
    <t>c39a5943-fe7c-46ec-8d3c-2a24ab46733b</t>
  </si>
  <si>
    <t>e62d9bc8-dab9-42e0-b6b2-e8d076fe843b</t>
  </si>
  <si>
    <t>7a89d8b6-28ec-4b0c-9d3b-88e0a5119e3b</t>
  </si>
  <si>
    <t>c8648f0f-0b92-4445-a3a7-5c48711cbc07</t>
  </si>
  <si>
    <t>ebe928a7-de65-4567-b349-06056b35e6a6</t>
  </si>
  <si>
    <t>8b3597af-7da9-405d-9815-60d1e4dbe2e5</t>
  </si>
  <si>
    <t>839ec473-5f41-4a8b-955a-ec14b3a9cad4</t>
  </si>
  <si>
    <t>cdf4012d-14b0-41d5-ab40-cc6627fe1e3b</t>
  </si>
  <si>
    <t>aa97d1a3-c4ad-4c76-bd2a-56f1b46a753c</t>
  </si>
  <si>
    <t>6ead42f9-86d8-4c66-b2fc-3d791323186d</t>
  </si>
  <si>
    <t>9235d289-6d46-46ba-a48a-1cf4ea18b599</t>
  </si>
  <si>
    <t>20529e32-d3e7-4cfc-8210-b6468cdbe2a4</t>
  </si>
  <si>
    <t>bfe7729e-7d5d-4850-b496-51e891158836</t>
  </si>
  <si>
    <t>783c7652-37b8-4be0-b8bc-fb51bd4b5578</t>
  </si>
  <si>
    <t>2117b36a-9e3e-4077-ac5b-03540bb38461</t>
  </si>
  <si>
    <t>ceec2c10-9770-48d1-8366-344fa66195b1</t>
  </si>
  <si>
    <t>854b2bfd-6773-413f-b385-02338fa3a316</t>
  </si>
  <si>
    <t>ee53be31-fb36-41d9-8eb2-1a4c1d976552</t>
  </si>
  <si>
    <t>c9c8202c-992c-4e6c-b04f-0e2961ea87cc</t>
  </si>
  <si>
    <t>022f9c7a-8276-494a-8629-086ad5e81df1</t>
  </si>
  <si>
    <t>1a0f21b6-454a-4a22-88a8-5045b9d00fa4</t>
  </si>
  <si>
    <t>616199ed-33c4-4ff5-9450-251fc608d3a1</t>
  </si>
  <si>
    <t>d1593b1d-ef59-4d4a-a169-5ff338b8baef</t>
  </si>
  <si>
    <t>749b69f5-8a24-428a-880c-86057af2a485</t>
  </si>
  <si>
    <t>a2eab47c-dc4c-427f-88f8-755051b303fb</t>
  </si>
  <si>
    <t>b313f39d-0675-4bef-9b10-573146872adf</t>
  </si>
  <si>
    <t>09a76bc9-4048-4403-8087-a31cdb16556e</t>
  </si>
  <si>
    <t>af9b0f0d-9532-48f2-ad24-bf41faa164a6</t>
  </si>
  <si>
    <t>ec202012-e4bf-4b14-b5fe-4447d8cfb730</t>
  </si>
  <si>
    <t>8c78b61b-0d41-4470-ade0-3ed2e2b36c28</t>
  </si>
  <si>
    <t>da57899f-77b4-4b23-bcab-700db438f6d1</t>
  </si>
  <si>
    <t>361aff57-8a5f-4229-b4f5-f52544178dc7</t>
  </si>
  <si>
    <t>900034d1-e7de-4e99-914e-4ad863061834</t>
  </si>
  <si>
    <t>6082e011-4f6d-4acb-93f2-3bfefd532880</t>
  </si>
  <si>
    <t>4c7d404a-ebd5-4881-9fb5-302ad47f2fb8</t>
  </si>
  <si>
    <t>33146637-8d6b-4a63-b0be-65c67a894825</t>
  </si>
  <si>
    <t>746cea20-f12a-4b78-900d-fe19b5eaf91d</t>
  </si>
  <si>
    <t>44361538-0ea0-4b91-bef5-4c5af2dc15bd</t>
  </si>
  <si>
    <t>05e8a643-0a5c-4413-ae75-a4dcdccf9c62</t>
  </si>
  <si>
    <t>85b74247-a98b-47b1-91ba-8b7db3c3662c</t>
  </si>
  <si>
    <t>aaf3513b-97c7-46fa-b889-0d78c2ca0be7</t>
  </si>
  <si>
    <t>62d2ca00-38a2-4f3b-a517-e212fb24e26e</t>
  </si>
  <si>
    <t>005b6afc-cff9-432f-ae0e-265d9acb5a59</t>
  </si>
  <si>
    <t>4dbbc3f7-6ede-48ad-bf36-84c7e9188e3c</t>
  </si>
  <si>
    <t>60559c1a-4093-4379-9e24-d2f033256395</t>
  </si>
  <si>
    <t>842cacde-7763-4505-bef1-538dedd13be7</t>
  </si>
  <si>
    <t>73772dd0-a793-479a-a5fa-51423747291a</t>
  </si>
  <si>
    <t>52aa9ac1-8625-4421-8d2c-3ed00cf83389</t>
  </si>
  <si>
    <t>72452f35-f1ef-4881-a0f6-df6de0351844</t>
  </si>
  <si>
    <t>fdf130c6-cd3c-434b-abbf-4645c8ca928d</t>
  </si>
  <si>
    <t>f3dd9f07-99ca-4425-8eaa-62f1a949e8b1</t>
  </si>
  <si>
    <t>f67b2663-cc48-4d48-a855-fc3e1e323a0f</t>
  </si>
  <si>
    <t>da8c00ec-40b0-400a-90b6-ed24b0b37c89</t>
  </si>
  <si>
    <t>6be0b14c-eaea-4580-b845-457df93bb828</t>
  </si>
  <si>
    <t>134e6a09-9723-4652-9213-fbfecaa84377</t>
  </si>
  <si>
    <t>31563b13-7c8d-41c6-bdf2-6a1a554574cd</t>
  </si>
  <si>
    <t>ce40f5f8-42ee-44e2-b754-bd3a626cf48d</t>
  </si>
  <si>
    <t>2682c90e-8e16-4cb6-88ae-1348cd5a62fb</t>
  </si>
  <si>
    <t>84cbf173-d71c-49cf-b015-0ea96838663a</t>
  </si>
  <si>
    <t>55587cf4-5322-467e-8066-2ac35e023421</t>
  </si>
  <si>
    <t>72c5f29b-8e0a-4b81-99c2-6db14fd602a6</t>
  </si>
  <si>
    <t>f1e8f248-727d-47f5-92da-d6f7610cfc5b</t>
  </si>
  <si>
    <t>1cb5c1a8-8724-4edc-8255-06b1152f5dea</t>
  </si>
  <si>
    <t>72e27837-1995-4843-8284-fadf89a8cfe8</t>
  </si>
  <si>
    <t>40e78b9f-b88b-4eb9-b6dd-f288901b072d</t>
  </si>
  <si>
    <t>c82cb034-7c20-47af-901e-91379d90a183</t>
  </si>
  <si>
    <t>6d9e258d-3110-475f-ac1c-1eba0f56b7e8</t>
  </si>
  <si>
    <t>a9661b26-d812-406e-a1e2-58f640879a0a</t>
  </si>
  <si>
    <t>747d7b40-97b1-4207-923c-72d5c3e65343</t>
  </si>
  <si>
    <t>8ba94dad-4f0e-4aaf-b8d5-c8b4deb2195b</t>
  </si>
  <si>
    <t>cd2fbe59-0226-47ac-83f9-3aad8fdd9fd1</t>
  </si>
  <si>
    <t>e443c6b3-1d47-4274-b231-23f2ffe08dc9</t>
  </si>
  <si>
    <t>7fdace55-3767-41d2-85d3-e43a5eddede6</t>
  </si>
  <si>
    <t>85d2824e-34b3-4e81-8e27-d1426f49ae4b</t>
  </si>
  <si>
    <t>4b1e6601-b97e-479b-b01c-5228f3c6681e</t>
  </si>
  <si>
    <t>fa19687b-872c-4163-a900-59f1b4098ed9</t>
  </si>
  <si>
    <t>90b17b2a-6b37-4913-acb5-70b9a7fb7400</t>
  </si>
  <si>
    <t>f2d0a49a-a99d-440c-8495-66a3e2e4d7f9</t>
  </si>
  <si>
    <t>79f6a459-5e71-40e9-831a-8657ed6f160b</t>
  </si>
  <si>
    <t>fd3c898e-3bfd-453b-b00e-839eaf2dd443</t>
  </si>
  <si>
    <t>d88332b4-4d6a-49a9-a74c-55a5d43f3785</t>
  </si>
  <si>
    <t>ad1d5a11-4a28-49fe-ab0d-9d9708af9ae4</t>
  </si>
  <si>
    <t>f5a0302a-6df7-4cad-b563-199ad2af75da</t>
  </si>
  <si>
    <t>2dab7db6-0652-42aa-9bbd-c685fadca648</t>
  </si>
  <si>
    <t>123f622f-26f1-431d-bc19-2219c6e7fc86</t>
  </si>
  <si>
    <t>4b9d865e-50f1-447e-8e49-89d2c6acd3b3</t>
  </si>
  <si>
    <t>4891e3c6-f53b-45af-ad62-12572f687302</t>
  </si>
  <si>
    <t>2e3a45b3-b511-42dd-b3e3-e9ce9d182b7a</t>
  </si>
  <si>
    <t>5519a119-ca14-4ca1-9518-40ab23d4ea93</t>
  </si>
  <si>
    <t>ccaded82-6e9b-4863-b165-cb90cb39fd26</t>
  </si>
  <si>
    <t>52c7f909-500a-4c6d-851d-e504c27ec859</t>
  </si>
  <si>
    <t>d019bb17-c284-4b18-b15e-a8625a16d93f</t>
  </si>
  <si>
    <t>efe01bcd-e159-4494-a1d3-6e8432a0c269</t>
  </si>
  <si>
    <t>552fb14c-c171-4f05-895a-61d49233686b</t>
  </si>
  <si>
    <t>99e08a07-d0de-46c9-997d-1fb9452bea46</t>
  </si>
  <si>
    <t>45291e8c-5116-4068-9168-545eecfaf691</t>
  </si>
  <si>
    <t>00477256-578d-4abd-8ed8-3a5e75539e7a</t>
  </si>
  <si>
    <t>a8f0268f-cb07-4c40-9fde-dbe0f1c737fc</t>
  </si>
  <si>
    <t>3b237337-1044-4e5d-a612-e1a9e5f6eb36</t>
  </si>
  <si>
    <t>80e4a598-68b9-48e1-8bc0-4dbfa54d769e</t>
  </si>
  <si>
    <t>33563d42-7f51-405c-8328-8cd881128656</t>
  </si>
  <si>
    <t>4949efaa-be29-41cc-a0ee-683eaa53f442</t>
  </si>
  <si>
    <t>4cea2a42-ffdf-49e0-a1c0-5a13b3bdffe3</t>
  </si>
  <si>
    <t>e301bbbc-80e3-4e8a-9016-545ab980b0cf</t>
  </si>
  <si>
    <t>5945dc09-1b5b-4511-ac0d-20135699628e</t>
  </si>
  <si>
    <t>69281385-44f2-48fb-abf2-dc483ee5be8b</t>
  </si>
  <si>
    <t>844f2522-32e3-4f44-a960-cd0c13881618</t>
  </si>
  <si>
    <t>8bc108d0-ddb9-4aa9-8c28-081008f38cb6</t>
  </si>
  <si>
    <t>7bb33e01-e208-48b0-9c0b-cd38833b1124</t>
  </si>
  <si>
    <t>21f1a30f-ff82-424c-b085-7770795446c1</t>
  </si>
  <si>
    <t>5fa579a5-f777-4206-98c3-de5d03627c6c</t>
  </si>
  <si>
    <t>ffdade4e-d794-42ce-a50d-25f0a5729e88</t>
  </si>
  <si>
    <t>e8fda88a-2847-4cb4-b5a0-b7f0c3454405</t>
  </si>
  <si>
    <t>e19a5270-f0e0-4586-8893-ca3fabdc2fc8</t>
  </si>
  <si>
    <t>46fe1eb8-c6f9-4bd4-8a9a-d91919ed031a</t>
  </si>
  <si>
    <t>6735d050-2af6-4030-b34f-9687ab1a8914</t>
  </si>
  <si>
    <t>629a11d7-4bd9-4698-b40f-8638ffd900c7</t>
  </si>
  <si>
    <t>39287652-cd55-45d3-99bc-5b4917558f5e</t>
  </si>
  <si>
    <t>071f4ab9-b7c8-42b9-9571-dac40f75fe29</t>
  </si>
  <si>
    <t>ebfb8aef-3cb5-40e2-9eed-15a73a544d43</t>
  </si>
  <si>
    <t>1ce9139b-2013-4a00-b77f-fbab1b020a00</t>
  </si>
  <si>
    <t>9fbdd1e9-64e2-41a4-8753-fb3412bea228</t>
  </si>
  <si>
    <t>76d56597-dfb2-4223-845f-b8ff46b00ccd</t>
  </si>
  <si>
    <t>7da43629-4c0f-49ff-8bf2-047e7d6ff102</t>
  </si>
  <si>
    <t>fb2804df-cb81-4735-a73b-15241d47b179</t>
  </si>
  <si>
    <t>fd5c0b28-152d-47e2-bc46-c8db8eb99985</t>
  </si>
  <si>
    <t>54ff35f5-4b7d-4740-a2b3-4755a628e79a</t>
  </si>
  <si>
    <t>8af34fa6-55d3-4e2f-bb67-94d27ba89512</t>
  </si>
  <si>
    <t>4ab4899e-8602-4207-8d66-b1d0037f9061</t>
  </si>
  <si>
    <t>d0882378-87e1-4f8c-ae52-9b4c6650ed1d</t>
  </si>
  <si>
    <t>95506f85-ac7c-441f-9653-2ff87e09cf22</t>
  </si>
  <si>
    <t>78f24d23-96c3-46bf-a87a-fb61569fc00b</t>
  </si>
  <si>
    <t>3d2a67b3-9cdb-4e45-9066-27e51d45cb66</t>
  </si>
  <si>
    <t>a8582720-4d1c-4377-8be1-a414bc51938d</t>
  </si>
  <si>
    <t>6ad7f0b7-91f7-4c49-9d03-085ce4845c8e</t>
  </si>
  <si>
    <t>a9bb3c30-19d3-4f1c-ab31-2749363de6ca</t>
  </si>
  <si>
    <t>6517898e-2c6a-4f44-a25a-33272efdc08d</t>
  </si>
  <si>
    <t>ce63b3cf-0d7a-499f-a1d7-5ee3a26a0257</t>
  </si>
  <si>
    <t>5911a679-cdb3-4ccc-8ce8-491fb5a5f538</t>
  </si>
  <si>
    <t>8f45c680-7d92-47c2-910e-2e4c69803700</t>
  </si>
  <si>
    <t>9141433d-3463-435d-9b27-87d08766f03d</t>
  </si>
  <si>
    <t>5131e34f-e327-4746-9132-241d79255ecc</t>
  </si>
  <si>
    <t>8a93c9a8-86d1-4fb8-9f0f-89ff6671601a</t>
  </si>
  <si>
    <t>61e92891-b875-4291-8e37-00d10b069367</t>
  </si>
  <si>
    <t>c96e98a2-6211-4466-9096-6c389ef0143a</t>
  </si>
  <si>
    <t>dd0dd66b-b4e4-4077-b128-50039b87c68f</t>
  </si>
  <si>
    <t>9945eeb5-7747-4c17-a171-35bfde1b29ff</t>
  </si>
  <si>
    <t>e3e9c377-2cb7-4ec4-a85a-f59b9e6f298d</t>
  </si>
  <si>
    <t>01bcc59b-2ffe-4146-9c55-05195c1bfd4f</t>
  </si>
  <si>
    <t>66ee8b3e-54d4-47b0-9bdf-a9830a3be6f0</t>
  </si>
  <si>
    <t>042c6d84-17fa-4c97-a537-dcc1ebfc9b19</t>
  </si>
  <si>
    <t>37bf780f-45c1-471c-8158-9f211fbf9e0a</t>
  </si>
  <si>
    <t>57bea9bb-8e3b-4a70-831b-89ec71163a30</t>
  </si>
  <si>
    <t>ea197301-ecc0-4b24-b3f2-f9c7aa3efccf</t>
  </si>
  <si>
    <t>31dab47e-d021-4d4b-8284-98460539ef0a</t>
  </si>
  <si>
    <t>339bd217-4512-4fce-8e0f-a8ee2938f548</t>
  </si>
  <si>
    <t>e4696783-b60d-40f9-8556-b6aaca0439bb</t>
  </si>
  <si>
    <t>6131b5ac-7daf-4a54-9f44-63fe0fcca85f</t>
  </si>
  <si>
    <t>c81ba12a-e438-42fc-9d0a-045fb8a0e87a</t>
  </si>
  <si>
    <t>d9706e06-14bf-475c-aeb6-1eaaf5a3dd1b</t>
  </si>
  <si>
    <t>db2af8cb-89e8-4d68-b1b4-6620a2d5d041</t>
  </si>
  <si>
    <t>b84c61be-3dbf-4706-9ac0-bf2c77b54dde</t>
  </si>
  <si>
    <t>29c66269-9ffd-4c33-a193-ce878aadd03e</t>
  </si>
  <si>
    <t>5515be5c-4926-4e19-abbf-6f2f6c8da2ac</t>
  </si>
  <si>
    <t>65967ad4-dae6-45d3-9af8-3897eed4bdfb</t>
  </si>
  <si>
    <t>ac2f51d0-0824-4f84-b2cd-ab20ec04b858</t>
  </si>
  <si>
    <t>f1c3c48d-f3d2-4d85-a8c3-f1a96eaacad9</t>
  </si>
  <si>
    <t>2986574c-65fa-40e8-ae90-3c745b045804</t>
  </si>
  <si>
    <t>533ad58f-7675-4e1f-8a7b-27f64e6ac546</t>
  </si>
  <si>
    <t>bf84e8d8-05ec-42a0-acea-ef18118399c7</t>
  </si>
  <si>
    <t>ec781d62-dcea-497b-a9e4-c17263747c67</t>
  </si>
  <si>
    <t>8b81a984-02e2-48aa-9ff5-5f1868dcf643</t>
  </si>
  <si>
    <t>56406333-657b-4c54-8abd-6493fcfb3683</t>
  </si>
  <si>
    <t>7ce062a1-89ad-45c1-a25a-0b3b4ee4ec72</t>
  </si>
  <si>
    <t>2febe28b-3c16-4efb-9188-1f37a1c01d82</t>
  </si>
  <si>
    <t>0480261e-6011-440b-862c-17eb4d5f183f</t>
  </si>
  <si>
    <t>5af996e6-33fe-477d-a99e-1c10776fda79</t>
  </si>
  <si>
    <t>dae2da1f-76cb-41c0-b04f-33dc860fcf32</t>
  </si>
  <si>
    <t>9be09f8c-f7dc-49dd-8c6b-25c8f448d92f</t>
  </si>
  <si>
    <t>a15b0804-4a6c-4410-b37f-a4986930e827</t>
  </si>
  <si>
    <t>6354bb8b-9f9d-440d-bcaf-fb281e48866e</t>
  </si>
  <si>
    <t>c9c2f14e-1e0f-467a-90f5-e8512a867bf1</t>
  </si>
  <si>
    <t>73b4ab33-132d-4c64-b52d-c9aa2e2f85d6</t>
  </si>
  <si>
    <t>a03703b4-96da-4fc9-ab23-dc087a013b7d</t>
  </si>
  <si>
    <t>8e10ed31-6232-49d2-9def-3cb40206c216</t>
  </si>
  <si>
    <t>2c8412ce-38b1-4edd-9a05-23df72e6ec65</t>
  </si>
  <si>
    <t>06d02ff5-4241-48cf-88cd-83e965c477fa</t>
  </si>
  <si>
    <t>feb1f73a-8cc1-44c9-a58e-83bc8d1fd127</t>
  </si>
  <si>
    <t>8f511109-28d6-4502-bb4a-02a31d2fd9b1</t>
  </si>
  <si>
    <t>908d1c29-96cd-4d12-9b7b-6f25c85d46ea</t>
  </si>
  <si>
    <t>59b1d940-2563-4884-9944-87129d5a5399</t>
  </si>
  <si>
    <t>a229903c-f733-4e37-8f53-26759271a27d</t>
  </si>
  <si>
    <t>ecd9a401-3be9-4ff9-8b82-7491e8de3376</t>
  </si>
  <si>
    <t>82247ee5-3c0e-45db-b734-31cf92c63a7a</t>
  </si>
  <si>
    <t>8874bf6b-73ab-4361-9955-e6d678400a2f</t>
  </si>
  <si>
    <t>41e580ba-a11a-416e-863f-d94f0fcb729e</t>
  </si>
  <si>
    <t>80304332-21c7-4123-9691-ec47680ef521</t>
  </si>
  <si>
    <t>e2bade9e-76ad-4e9c-b851-f15137431ca2</t>
  </si>
  <si>
    <t>93991bdd-3b61-4167-ba40-807e3fc24cce</t>
  </si>
  <si>
    <t>5b14b084-6bd2-4df4-b9c5-8839f9e9680a</t>
  </si>
  <si>
    <t>10e3667e-01b2-4340-8f1e-f6eca396f00c</t>
  </si>
  <si>
    <t>ba539916-0de8-4f60-9b2f-fb07ba7f1193</t>
  </si>
  <si>
    <t>ae95f50e-1e2f-4f65-874d-0b6bc9427707</t>
  </si>
  <si>
    <t>10fa7f05-3ce2-4829-bafa-78e5001ebaa0</t>
  </si>
  <si>
    <t>c92450d6-b3fa-47a1-82ac-ebbf6f022eac</t>
  </si>
  <si>
    <t>bc58e790-61ad-438b-9059-67adee68af43</t>
  </si>
  <si>
    <t>a59003ca-fc14-4078-9ed4-d9dbf9d91826</t>
  </si>
  <si>
    <t>075f3920-d7be-49de-b9a8-04ae797d2806</t>
  </si>
  <si>
    <t>c562cd9e-2437-4343-afd8-740938a1b59b</t>
  </si>
  <si>
    <t>e85f81f9-f1c6-4db6-91b8-a68d9a225b14</t>
  </si>
  <si>
    <t>95b61ee7-ccc7-4c12-b422-3518fa9a9de9</t>
  </si>
  <si>
    <t>9479a993-2027-4f6b-90c3-76082a333411</t>
  </si>
  <si>
    <t>258fb686-a114-48c9-b4d9-45d0e773064f</t>
  </si>
  <si>
    <t>dc507aeb-ca76-409a-9ff8-09dd364e0754</t>
  </si>
  <si>
    <t>ed01a482-affc-4e7f-a7b4-ff9fcde8024a</t>
  </si>
  <si>
    <t>af94b7ff-2542-4364-b5fb-a71e0250ef2d</t>
  </si>
  <si>
    <t>0e678d61-af68-4c15-8870-34aeb9e546de</t>
  </si>
  <si>
    <t>0507202b-60a0-4db0-9d84-d54696712eb1</t>
  </si>
  <si>
    <t>613bfc9a-f30f-416c-802a-2aa9327cfa58</t>
  </si>
  <si>
    <t>77cf8860-f7d9-4320-a1eb-c06c6b3941db</t>
  </si>
  <si>
    <t>fe5de36a-ab2a-40c9-9697-4578c5212b9e</t>
  </si>
  <si>
    <t>b512d943-7962-447f-9112-8ff4bf5b2767</t>
  </si>
  <si>
    <t>c91b0ee0-8912-4f6a-bad2-32747ee6e7b4</t>
  </si>
  <si>
    <t>461b021e-97a5-486b-921b-6642c9d3e82a</t>
  </si>
  <si>
    <t>ce433abe-57fd-4e3d-9342-2e73dfda078b</t>
  </si>
  <si>
    <t>8c0e6937-e5a5-4e4b-80e6-734497960ec4</t>
  </si>
  <si>
    <t>c6b0204e-436a-40a3-8de9-2f3a84d799b7</t>
  </si>
  <si>
    <t>7b0bee97-a383-498d-a1d0-2de7c824ce74</t>
  </si>
  <si>
    <t>5ec455c9-3823-4034-b614-261b8e723d17</t>
  </si>
  <si>
    <t>95613c6d-17d2-4b03-8c8b-9ebe03768f44</t>
  </si>
  <si>
    <t>8a88927d-a219-4bb5-8f16-acc4c3171dbf</t>
  </si>
  <si>
    <t>d8da3b68-dfd2-48bb-8717-352605346780</t>
  </si>
  <si>
    <t>6627f98b-c514-4d31-9be0-73d1f859e0bc</t>
  </si>
  <si>
    <t>c0361c14-77f2-4833-ae4a-4fe578223f75</t>
  </si>
  <si>
    <t>8ad4594c-beba-471b-abe6-8071694e4294</t>
  </si>
  <si>
    <t>2b408c37-307e-4e4b-aa9e-df26fd74e648</t>
  </si>
  <si>
    <t>b943a742-e530-4b1d-a717-b6f72c8eb0df</t>
  </si>
  <si>
    <t>86ca5953-8687-4fd4-ad11-0d5d680458a8</t>
  </si>
  <si>
    <t>1e06d863-a4c7-4967-8340-46c14cb445a0</t>
  </si>
  <si>
    <t>860a5a69-185b-4aef-8746-502864830574</t>
  </si>
  <si>
    <t>fd6488c2-9e1f-4227-9498-0a49f3702153</t>
  </si>
  <si>
    <t>0de32e81-bbd2-465d-a0bd-dc9981e9de95</t>
  </si>
  <si>
    <t>d3d8842a-961b-4951-ad19-f2ce40f0bd6c</t>
  </si>
  <si>
    <t>251b46dc-0342-44cf-8868-ac80695ec9df</t>
  </si>
  <si>
    <t>10b94520-29d7-4845-917f-98fd0a3bf3e7</t>
  </si>
  <si>
    <t>c73edd98-948a-45a2-bf02-d8556d7771c1</t>
  </si>
  <si>
    <t>15977af7-baf7-4922-ac0b-06541e0271d3</t>
  </si>
  <si>
    <t>3ca42ba1-9483-49c4-9da0-3261165ecb8e</t>
  </si>
  <si>
    <t>14ab6691-c9c4-479d-b472-b54fad1ea99e</t>
  </si>
  <si>
    <t>32777b99-f320-4575-93f0-635af1cf0b43</t>
  </si>
  <si>
    <t>baee1593-6034-48d7-8a84-7486c56e1563</t>
  </si>
  <si>
    <t>b81c0235-959b-4e73-af06-1a55896f1693</t>
  </si>
  <si>
    <t>314e27f7-020f-48a3-8914-5c0b51f67d00</t>
  </si>
  <si>
    <t>cb507a43-512e-4dec-be49-2489ad065c20</t>
  </si>
  <si>
    <t>505fa98f-6743-4996-abac-4dfadbf39cef</t>
  </si>
  <si>
    <t>b7842c18-8a7c-427d-985c-190fa574149d</t>
  </si>
  <si>
    <t>51efc330-55c5-4b72-98ef-7bb6c3a82162</t>
  </si>
  <si>
    <t>d798a26c-3ede-4a44-b16a-a49c50e8f053</t>
  </si>
  <si>
    <t>7b5ec85e-2ca0-4c16-a1d2-daa5e187fc5c</t>
  </si>
  <si>
    <t>10424d23-f638-4f9b-b107-3a3fc714ebdb</t>
  </si>
  <si>
    <t>318b785e-376e-47cc-bf21-95b314654f83</t>
  </si>
  <si>
    <t>844f557e-b944-4ca0-aa50-1ce827d8bcb8</t>
  </si>
  <si>
    <t>03e51425-ede3-4da6-9769-2ac43a43a6c8</t>
  </si>
  <si>
    <t>f18f3f06-7f7a-4860-8d04-5656e811782e</t>
  </si>
  <si>
    <t>6abb7d1e-a927-4b88-a4f6-a995b5c42361</t>
  </si>
  <si>
    <t>3aabb525-5a7b-4668-af65-a641a594a772</t>
  </si>
  <si>
    <t>4cb69e88-ac09-4383-b583-af8ac1ed8aa7</t>
  </si>
  <si>
    <t>9eb4965a-d5d7-4223-abf2-4bc3205567d5</t>
  </si>
  <si>
    <t>40c040fc-9b95-4b3b-871a-21ff700d0f77</t>
  </si>
  <si>
    <t>83a0d0df-f602-47a7-8f84-ff7b087eb234</t>
  </si>
  <si>
    <t>5226d599-736b-422f-bf60-186a26fdeaca</t>
  </si>
  <si>
    <t>fa3df7a7-031b-4bc3-ad1c-12c10ebc05f7</t>
  </si>
  <si>
    <t>330da1e1-f14f-48b1-a950-169e4c02303d</t>
  </si>
  <si>
    <t>d9536bca-b67a-4e23-88b3-27208462b5f0</t>
  </si>
  <si>
    <t>503bb6a2-47c8-4dee-b381-3b5415ad89c9</t>
  </si>
  <si>
    <t>ff0a52b7-4a72-4a00-b2b9-926f67c65a15</t>
  </si>
  <si>
    <t>97b76db8-4504-438b-b561-4b8c8976c938</t>
  </si>
  <si>
    <t>f5194307-2cf2-4d42-a353-6ed0142b7dee</t>
  </si>
  <si>
    <t>bb60c0f0-462a-411c-bd4a-be52a830f801</t>
  </si>
  <si>
    <t>2147d452-2d5c-4618-aaba-e7feb7d322f5</t>
  </si>
  <si>
    <t>12f4c115-7090-47f6-9450-7f3c5b7ce2ee</t>
  </si>
  <si>
    <t>2f2b96aa-a4b0-47fd-8163-128e7da936ac</t>
  </si>
  <si>
    <t>071580bb-2081-42f1-82d9-55d269964fed</t>
  </si>
  <si>
    <t>49460bf3-2d1f-48a8-abca-b6af133f2803</t>
  </si>
  <si>
    <t>1cddb6f1-fc2f-4e07-887b-e3703974af83</t>
  </si>
  <si>
    <t>00ed9abb-99cc-4b26-bac4-eab742a14f5a</t>
  </si>
  <si>
    <t>304e77f6-80f7-4820-affe-f288fb212762</t>
  </si>
  <si>
    <t>f1664406-d734-495d-8499-225258ceb44d</t>
  </si>
  <si>
    <t>2e7f0f39-fa6e-4eb0-92de-1ec80999427b</t>
  </si>
  <si>
    <t>6419436c-0144-4b48-a8be-7a43d909a91d</t>
  </si>
  <si>
    <t>407bcc3b-fda7-46f1-ad86-4fb4b4d34e84</t>
  </si>
  <si>
    <t>0c7c7313-11c4-4127-86d9-7db7dbc296b3</t>
  </si>
  <si>
    <t>fb18811c-c703-4f82-8119-20f4341d811e</t>
  </si>
  <si>
    <t>2ef8917f-008f-4cda-ac07-1c700c111afd</t>
  </si>
  <si>
    <t>61e9d50e-dbe8-4e0c-99cc-cfd614f9da3c</t>
  </si>
  <si>
    <t>9eb92a08-3a88-47a8-93ed-717e041463d3</t>
  </si>
  <si>
    <t>4ed3af39-edab-4a77-a166-978bd2fe04c3</t>
  </si>
  <si>
    <t>7325ea2c-d50b-4cd1-aad0-245a0602f7ce</t>
  </si>
  <si>
    <t>4e354ac7-0a8e-4e95-bea1-a9075202ef61</t>
  </si>
  <si>
    <t>4857b9de-1edb-4296-b3ad-7a33e68f0c85</t>
  </si>
  <si>
    <t>d5092d9c-c22a-462c-ab30-88227da4a8bd</t>
  </si>
  <si>
    <t>cae4eb59-460f-4819-82ee-b5ac5de9a5bc</t>
  </si>
  <si>
    <t>45fae5a6-eb08-4eae-9ec0-d6530ad02310</t>
  </si>
  <si>
    <t>aaf921c3-5870-4508-8814-a72e0cbd10ff</t>
  </si>
  <si>
    <t>fbf6539b-a9e0-4443-8cd2-46cc1f1c7f81</t>
  </si>
  <si>
    <t>a1683619-5cc2-49c0-9830-26abcf323125</t>
  </si>
  <si>
    <t>8ead4768-c185-45ab-acc0-233037753cf4</t>
  </si>
  <si>
    <t>8ee6ec42-bc06-4390-b152-bbf1c1c0b165</t>
  </si>
  <si>
    <t>9d59350b-6bf3-48ad-aa59-d0fc92f66475</t>
  </si>
  <si>
    <t>463e5585-9dae-4c85-94fd-dd5c15096551</t>
  </si>
  <si>
    <t>0c8b427b-4b17-4656-9664-805fd9d79d94</t>
  </si>
  <si>
    <t>dba7977d-3e9b-444f-9130-e3cf2f18c821</t>
  </si>
  <si>
    <t>57c2ede7-538e-4e16-88a3-fdbea0addc45</t>
  </si>
  <si>
    <t>d6cca673-966d-4c20-b758-19c3510c4219</t>
  </si>
  <si>
    <t>b525f0c4-903c-4313-b1b4-48e7c2ed21fa</t>
  </si>
  <si>
    <t>7aeed096-1bb8-48ca-9bbc-8961abcf5628</t>
  </si>
  <si>
    <t>066c1a91-ea7d-44ec-8d8a-0a7e16d61fad</t>
  </si>
  <si>
    <t>2d9b4222-589e-4c8d-b433-3b6f82c14e4c</t>
  </si>
  <si>
    <t>0bd9e2e0-5f3a-43af-a33e-9b91f849e3df</t>
  </si>
  <si>
    <t>f98dfba7-4659-4486-af51-c26bb5812dd7</t>
  </si>
  <si>
    <t>136dea6e-2ef8-4543-8646-3a53ecf58c37</t>
  </si>
  <si>
    <t>54ba5a09-05cd-4a27-a689-3aacea4bc87a</t>
  </si>
  <si>
    <t>dacb6f05-14d5-4f84-891e-c6498f9a27f2</t>
  </si>
  <si>
    <t>5ce52697-adf6-410e-9fa4-136a826020d3</t>
  </si>
  <si>
    <t>73985dc8-731e-4899-93ad-a2fc6dd855b4</t>
  </si>
  <si>
    <t>65a8b79c-91b9-4e37-8db0-46d6eb08a523</t>
  </si>
  <si>
    <t>54ac9d64-1c06-4c41-af42-cbde0c8b1fb4</t>
  </si>
  <si>
    <t>126ecb5d-8652-497f-b5c4-c30d60a9baaa</t>
  </si>
  <si>
    <t>182a0a12-73f2-430c-ace1-e771d0579b8d</t>
  </si>
  <si>
    <t>32fefe2e-b543-4afe-ad6e-c9a54d4b9a47</t>
  </si>
  <si>
    <t>8a8873b4-5397-44ca-a433-9a870d6876bc</t>
  </si>
  <si>
    <t>a9b1e2d9-7f36-437e-a38b-9339999f2ae3</t>
  </si>
  <si>
    <t>fe70faa8-b5c5-4161-8dc8-d3e67b347bbe</t>
  </si>
  <si>
    <t>652a3ef0-a115-4f83-b5bf-451c62ada858</t>
  </si>
  <si>
    <t>335f4a66-cbce-4d08-affb-aa5c6d92ca89</t>
  </si>
  <si>
    <t>93ea1605-c19e-4faf-8ddb-cd2c4499908c</t>
  </si>
  <si>
    <t>3fa39771-d81f-4b62-a45d-d864399ac4be</t>
  </si>
  <si>
    <t>6701c268-e97f-46a1-891b-a5283d199258</t>
  </si>
  <si>
    <t>e5b3a35a-183b-4048-9eea-11b59ae5ce5f</t>
  </si>
  <si>
    <t>95e16d3f-1437-48a6-878c-5684ef5f409a</t>
  </si>
  <si>
    <t>d482d990-31c6-4a80-a9f3-f4bc26d671cf</t>
  </si>
  <si>
    <t>ad31433b-096b-43e2-b67b-28aac9340c0c</t>
  </si>
  <si>
    <t>6a16e21f-e800-42a9-9c0c-3ef09efe57d4</t>
  </si>
  <si>
    <t>5f976666-0c51-493a-9924-14a17c615b89</t>
  </si>
  <si>
    <t>c71d03ad-0974-4365-9d07-44c31a3dd2ca</t>
  </si>
  <si>
    <t>b8ca4f83-91e4-4913-bb2a-7af18b9df8a5</t>
  </si>
  <si>
    <t>09746f94-c065-41ac-aa70-2c6bd5645554</t>
  </si>
  <si>
    <t>efa03a02-4c30-4ef2-a7ea-5d5f76104688</t>
  </si>
  <si>
    <t>b294bf19-b1f0-4b62-ba68-2b8d4d0bb572</t>
  </si>
  <si>
    <t>676427ff-9d86-4bc4-98aa-4904e25ed3ed</t>
  </si>
  <si>
    <t>0a12e979-14a5-4cd3-bb0f-28768f6a1163</t>
  </si>
  <si>
    <t>f27eb411-b0c4-4cad-8568-c071b05101d1</t>
  </si>
  <si>
    <t>090c334f-63fc-4946-92ad-a588a7600d25</t>
  </si>
  <si>
    <t>06a94eb2-a132-4bd9-8737-99c282f2fcc5</t>
  </si>
  <si>
    <t>5c758e8d-16b7-4015-a0fc-7bb34b34879d</t>
  </si>
  <si>
    <t>00499449-d818-4965-b170-d6a300fca0fd</t>
  </si>
  <si>
    <t>1d186e14-fe68-41bb-abb3-cf5a3055bdd1</t>
  </si>
  <si>
    <t>d38dd14e-66f0-4a23-8c80-370b4f241ec1</t>
  </si>
  <si>
    <t>aa838ade-266b-42a6-96eb-79d73ce1c63a</t>
  </si>
  <si>
    <t>1abd56c9-1fde-473b-89cd-f9d78879fc10</t>
  </si>
  <si>
    <t>d9b3c54f-401e-4ff5-83c5-66c369e26290</t>
  </si>
  <si>
    <t>dd4567d9-cc06-4eed-bf3c-44042f1d4e6b</t>
  </si>
  <si>
    <t>dddfa932-69d3-48e0-81df-8c797829701a</t>
  </si>
  <si>
    <t>5c49d257-0de5-4601-a2ec-ff29a72735ab</t>
  </si>
  <si>
    <t>b34037d6-c10b-4513-9969-2b2578c9e3a8</t>
  </si>
  <si>
    <t>31229975-3432-4e6f-9676-3ba672c58f6a</t>
  </si>
  <si>
    <t>6af6fe1b-f71f-4488-b5a0-749e5ffd0add</t>
  </si>
  <si>
    <t>b54f35bd-04b4-4772-bccc-c0914906efd2</t>
  </si>
  <si>
    <t>7169fc97-817c-4230-9aaf-514d20a0a711</t>
  </si>
  <si>
    <t>b563fad3-459d-424f-b754-d7e38a922faa</t>
  </si>
  <si>
    <t>fbd31429-1b1e-4a66-bcb3-1c571dfe6cd3</t>
  </si>
  <si>
    <t>6946db19-5d1e-450e-9112-2342b6ebb400</t>
  </si>
  <si>
    <t>d16217df-4ad4-42ad-95da-3c3c95f09d2b</t>
  </si>
  <si>
    <t>b039fd18-e62f-4ab4-9bae-db1d0eb6872b</t>
  </si>
  <si>
    <t>bed23ab3-6714-42a2-a245-7865f95bf8ed</t>
  </si>
  <si>
    <t>0e66bbc5-6d6d-400d-971e-7604323c6e5a</t>
  </si>
  <si>
    <t>f0f6032f-1fbc-4115-822e-f85a80af44ba</t>
  </si>
  <si>
    <t>a00452e6-6d9a-4b59-a93d-d52833512ece</t>
  </si>
  <si>
    <t>a78cd558-abc4-4205-8f08-aac802c5d896</t>
  </si>
  <si>
    <t>7c183a33-34e5-4c0b-ad55-ffa5702d8d2e</t>
  </si>
  <si>
    <t>48892130-c90f-4efa-80dd-b26c5de70e6b</t>
  </si>
  <si>
    <t>d9268020-9d9f-4b1a-a284-87ee535bee3f</t>
  </si>
  <si>
    <t>7bbe4107-001f-4bc9-a9b0-c449d046f78b</t>
  </si>
  <si>
    <t>e17a955b-011b-402a-9ee1-58470d595818</t>
  </si>
  <si>
    <t>326aa08e-4b87-4552-ba4b-c12e33b9aadd</t>
  </si>
  <si>
    <t>77998b87-1b1a-4e4d-bbdc-63bc7a33610b</t>
  </si>
  <si>
    <t>0bc35530-60ff-4701-b4a4-82974657d4ab</t>
  </si>
  <si>
    <t>cd662d41-5e22-45b1-a82a-b10b90503d2e</t>
  </si>
  <si>
    <t>9c2ffacf-8752-49e0-ad2c-018b0373d9d3</t>
  </si>
  <si>
    <t>4af19fec-91fd-4307-897a-8820d828d965</t>
  </si>
  <si>
    <t>09900f0a-9376-42db-9958-85c35349ccac</t>
  </si>
  <si>
    <t>2741a884-1629-4cc1-aedb-dd2e1b24bdeb</t>
  </si>
  <si>
    <t>0fa0e024-38a5-4cdf-9595-628ca4218902</t>
  </si>
  <si>
    <t>1972b144-6f74-4774-87db-a6e90f56b0a3</t>
  </si>
  <si>
    <t>9bbc806a-c4c0-4de9-8e5e-4f8b28bfa209</t>
  </si>
  <si>
    <t>3484396b-3ad3-44fe-8288-9cd8fb629122</t>
  </si>
  <si>
    <t>307992d3-bd88-4d61-8c0f-8131659b3076</t>
  </si>
  <si>
    <t>1e6a3b73-f6dd-4bbb-aa8d-b0462877ce4f</t>
  </si>
  <si>
    <t>5ad16f1b-83c8-45eb-b506-7a1baafdab4f</t>
  </si>
  <si>
    <t>f0432d3c-5c75-4cca-b27c-73f92ef194cb</t>
  </si>
  <si>
    <t>8db6b22f-a49a-49a2-a991-901b21d61905</t>
  </si>
  <si>
    <t>eac73a53-f46d-4c9a-ab1e-def6c81b670e</t>
  </si>
  <si>
    <t>a17ade56-9ee7-4d41-8efd-659350776e44</t>
  </si>
  <si>
    <t>f81b3026-7189-46a6-8987-bca6172794b3</t>
  </si>
  <si>
    <t>b6f7895c-4a09-4e75-82cb-06baf8b2ef29</t>
  </si>
  <si>
    <t>24fa2911-7aa9-42dd-88f8-c1f76ff94cba</t>
  </si>
  <si>
    <t>8f6dbb06-4191-4bd6-9147-d9507a3e863b</t>
  </si>
  <si>
    <t>03b2b19e-62cd-4c9e-a3ef-51cb27a687df</t>
  </si>
  <si>
    <t>7afcacfb-38f5-4f28-89d6-93b00a26104c</t>
  </si>
  <si>
    <t>4a62ea61-7fd3-4f73-9d0f-fea08b4087f7</t>
  </si>
  <si>
    <t>05232fb1-bb8f-4e7e-a2fd-d7c0957a3fd0</t>
  </si>
  <si>
    <t>6e8f06ec-bf9b-4aca-82c9-6dfbf5dc0d77</t>
  </si>
  <si>
    <t>9d09dcf2-0456-4e2b-903f-b9e4ccb40654</t>
  </si>
  <si>
    <t>15d5126a-b913-491a-ba7c-73ceca42478c</t>
  </si>
  <si>
    <t>b48359e4-842d-4aeb-8bd5-9775186a9250</t>
  </si>
  <si>
    <t>6bb29066-b9f3-4312-b7ed-07c422adda79</t>
  </si>
  <si>
    <t>35f0abfa-dfe5-4081-ae01-cece7e233dd1</t>
  </si>
  <si>
    <t>60929da4-5915-4610-b737-ba4e7b7fab9a</t>
  </si>
  <si>
    <t>5b71d159-108a-4bc4-ad12-604740c7b9f5</t>
  </si>
  <si>
    <t>2bcb1598-761e-4e79-bbb3-0a27ee8735ad</t>
  </si>
  <si>
    <t>2c7c944e-7d27-409d-aef6-46659c0fb0c5</t>
  </si>
  <si>
    <t>6bb3b410-ec41-4958-a6eb-a1109b526c2e</t>
  </si>
  <si>
    <t>416a1fd1-5f6d-483d-9fb3-75c6e1f01afb</t>
  </si>
  <si>
    <t>980d0f2a-52e1-4525-94a6-0f04c19414cc</t>
  </si>
  <si>
    <t>fa67e175-0a06-4309-b029-013aca420427</t>
  </si>
  <si>
    <t>bec1ae44-944b-454d-afbe-fd5358230b23</t>
  </si>
  <si>
    <t>52a46829-efc4-48f2-adbf-6a7da898af49</t>
  </si>
  <si>
    <t>47e821d7-8960-4158-a530-812f1e4649a9</t>
  </si>
  <si>
    <t>9a51ecb7-e23d-429f-b479-95a6d35fc07d</t>
  </si>
  <si>
    <t>943a4f59-f7b3-406d-90c3-4dfff002c6cc</t>
  </si>
  <si>
    <t>7519830f-3b2a-42c3-91c4-d440cec4edd4</t>
  </si>
  <si>
    <t>eab381c2-b6d8-434b-bc0d-a8631c8c5dbe</t>
  </si>
  <si>
    <t>8d11c2a7-db32-4ffa-bd30-00b65f83f249</t>
  </si>
  <si>
    <t>4ef7aca8-5f78-47ac-a29f-e5aba589a6f8</t>
  </si>
  <si>
    <t>5629ff24-b786-4812-b0fd-bc82d7af1f45</t>
  </si>
  <si>
    <t>10bfc352-0f52-44e7-b086-16fb3b7c4834</t>
  </si>
  <si>
    <t>9440d961-076a-4e3b-bfd3-1faf6b67db3d</t>
  </si>
  <si>
    <t>ffaf5a8f-4a21-4263-b2e6-1661ea990c16</t>
  </si>
  <si>
    <t>ce6a5766-b2c1-47e6-b45e-950bdd6eb6ef</t>
  </si>
  <si>
    <t>b3be52ce-4170-4eac-b249-af6b1475451f</t>
  </si>
  <si>
    <t>7d8f6a29-0e4d-47f5-8bb5-3b07c5ba02ef</t>
  </si>
  <si>
    <t>b7d9b624-c891-4639-87e9-a8eafacf6fc5</t>
  </si>
  <si>
    <t>c24a6c5a-5d0d-4590-be69-7316185ba76f</t>
  </si>
  <si>
    <t>bf0666fc-cc28-486c-8763-e4ae72e567bd</t>
  </si>
  <si>
    <t>05806200-9ba0-4323-adfd-4993ce054d36</t>
  </si>
  <si>
    <t>3eed3d0c-0ee6-4e81-8651-dd2585e2228e</t>
  </si>
  <si>
    <t>2e50b30b-57f0-4ab7-8aa0-7d1c90049955</t>
  </si>
  <si>
    <t>801c7969-7d28-4e6b-8276-b4f92da9f3f6</t>
  </si>
  <si>
    <t>6298bd59-6893-401d-94e5-a69aa8b48d25</t>
  </si>
  <si>
    <t>a0503463-95d6-4b99-87c3-f473b095717d</t>
  </si>
  <si>
    <t>13477d55-06b1-4d0e-a170-4047512eb6c6</t>
  </si>
  <si>
    <t>f807418c-659b-40b0-9741-5045480e70d4</t>
  </si>
  <si>
    <t>35634eef-1966-4d15-992c-7486e67a53c4</t>
  </si>
  <si>
    <t>da7b0235-ccf2-4fc3-8244-cfd2258370ec</t>
  </si>
  <si>
    <t>b27b7e7d-38bd-4baa-9fd2-cf2aae9c5bd5</t>
  </si>
  <si>
    <t>9fa9433e-9b38-4a44-9a82-5c6014630867</t>
  </si>
  <si>
    <t>cf7bca4d-00b0-48ef-930e-f08e2422f3d0</t>
  </si>
  <si>
    <t>a34a0408-ee59-4b6d-ac53-33dd131ba1f2</t>
  </si>
  <si>
    <t>d38a661a-9fbe-4961-90d8-0e8100b13965</t>
  </si>
  <si>
    <t>f6655409-3486-469e-aa75-61a674188c36</t>
  </si>
  <si>
    <t>c08bf813-a733-48df-9388-00b25842fe2b</t>
  </si>
  <si>
    <t>cc539484-c58e-4f2a-8d71-499afab22937</t>
  </si>
  <si>
    <t>ece38646-24dc-4bb9-9aa4-c5f22592d6ad</t>
  </si>
  <si>
    <t>727582cf-31c0-4f90-bfa3-931b71f80ea4</t>
  </si>
  <si>
    <t>e2716bd9-d203-499c-8788-c8a7f8b192a9</t>
  </si>
  <si>
    <t>012128df-8b33-420d-89d1-4716b755bda8</t>
  </si>
  <si>
    <t>aaaf0816-0f3c-4a93-8bbc-ace15d6cf5db</t>
  </si>
  <si>
    <t>f3f3ef4b-6dfa-4504-a0df-68572435dd73</t>
  </si>
  <si>
    <t>3a6e044f-361e-4c4a-be44-67ce2b5fddd5</t>
  </si>
  <si>
    <t>12248975-1f7f-458f-b21e-c3a45986b4c0</t>
  </si>
  <si>
    <t>de73097b-d6cb-4862-9308-ed129859bccb</t>
  </si>
  <si>
    <t>7c48c4cc-32c0-436b-aa5d-da2cb1509f93</t>
  </si>
  <si>
    <t>11f37912-99c6-41fe-ac0c-48dd0930a4b4</t>
  </si>
  <si>
    <t>3b400433-a639-4fe3-a458-dbbb865f8261</t>
  </si>
  <si>
    <t>ca6a16c5-d79c-40a5-949f-ba4b2a45993d</t>
  </si>
  <si>
    <t>d80a7642-b629-4ca4-b51d-91600ae5d0a5</t>
  </si>
  <si>
    <t>fea2691a-fc62-4a68-b155-bd95ecf587de</t>
  </si>
  <si>
    <t>d8127bf4-b7ea-4cf8-81ce-270df2f38163</t>
  </si>
  <si>
    <t>7d980d04-b321-432f-b415-ce55969de68a</t>
  </si>
  <si>
    <t>928dc2a2-8361-4e04-bfef-dcade10168eb</t>
  </si>
  <si>
    <t>3a5bfad8-d098-4418-bdbb-d15c889a2389</t>
  </si>
  <si>
    <t>cd918584-dbe4-43ee-8ee4-f35dcf029de4</t>
  </si>
  <si>
    <t>784bbf74-1bec-42e8-805d-d0a12579432c</t>
  </si>
  <si>
    <t>e76c1166-9bcf-4959-a627-863f1c621434</t>
  </si>
  <si>
    <t>3ed28f9d-f5ec-4a13-afb8-d65fe7f58ab3</t>
  </si>
  <si>
    <t>c0df8988-6625-4beb-8955-1a12520bd8c5</t>
  </si>
  <si>
    <t>14b07c0b-a32b-4f96-a236-6992f512fd8e</t>
  </si>
  <si>
    <t>eec5fa1c-5a41-448a-b4f8-46e7e258acc3</t>
  </si>
  <si>
    <t>bf910ef4-cb21-4375-a624-e57cc2e4c293</t>
  </si>
  <si>
    <t>fed18198-3eef-444c-825e-068b5729aac9</t>
  </si>
  <si>
    <t>7a2c4939-7e7b-4ada-8f61-e09737ba40b3</t>
  </si>
  <si>
    <t>ef372c4a-20ae-4373-a2db-12a114ee5e2b</t>
  </si>
  <si>
    <t>a91bb5e4-a577-4365-8bc6-3a306dcc8dd0</t>
  </si>
  <si>
    <t>0f372dc7-03c2-4955-88bd-4b78deb7bdc1</t>
  </si>
  <si>
    <t>f5dda56c-7406-4db7-90ed-e6738e422b8f</t>
  </si>
  <si>
    <t>04c8618d-f34e-4885-b587-6d6b324603b7</t>
  </si>
  <si>
    <t>6732052d-d079-4067-a288-4c23e1a599b9</t>
  </si>
  <si>
    <t>f3786d5d-fa50-4225-a34c-c869fe92149d</t>
  </si>
  <si>
    <t>4ac8c08a-cb1c-41d8-8834-7f4d43160ca5</t>
  </si>
  <si>
    <t>1c45723e-c679-4557-874e-17971854aea4</t>
  </si>
  <si>
    <t>ed2e6d14-1ec8-4f3a-8a09-10311a97e7db</t>
  </si>
  <si>
    <t>23511a64-59ce-4cc2-bc00-c4fe31339534</t>
  </si>
  <si>
    <t>23800c7b-cb6d-46c8-b966-bbb20f9b0ca5</t>
  </si>
  <si>
    <t>458036e4-1c6f-42b8-819f-e453f97ba7b1</t>
  </si>
  <si>
    <t>fe65b1ac-55dc-4d8e-a802-5867af17f8ea</t>
  </si>
  <si>
    <t>00139d09-c969-4136-987c-6e7d30f41cc0</t>
  </si>
  <si>
    <t>682d7f24-bf51-4e54-a2d2-2e25a3e17b61</t>
  </si>
  <si>
    <t>6004a0a1-5334-4dc7-8cd6-6ad98aa442e7</t>
  </si>
  <si>
    <t>9732c8a3-1080-422b-92c6-ecb2c1f838f3</t>
  </si>
  <si>
    <t>2d356c69-fcbe-4a5d-af62-c41e1944a95b</t>
  </si>
  <si>
    <t>e9b22aff-6ec8-4298-8d8a-74084c1bac83</t>
  </si>
  <si>
    <t>ab588e4b-6d23-4746-a5d3-2380dd359f2c</t>
  </si>
  <si>
    <t>9c254e1c-5ae4-470d-9db9-79fd55092590</t>
  </si>
  <si>
    <t>68111b31-0aa4-40ac-a612-5001e2891b73</t>
  </si>
  <si>
    <t>44fec6f1-73e6-4d9c-93d3-ec91313a4eb8</t>
  </si>
  <si>
    <t>2ad44ab8-c58d-4228-80f8-57d658a25d04</t>
  </si>
  <si>
    <t>157af3fa-dccb-4aba-a47f-a1d91c5426fe</t>
  </si>
  <si>
    <t>a5275893-fc09-4f77-a4bb-7fcb11fbb042</t>
  </si>
  <si>
    <t>04549d24-8090-4c9f-bfd2-d5f77c7dba5e</t>
  </si>
  <si>
    <t>4d4d4e8d-a8e6-44a5-bc8d-e6585696d1b7</t>
  </si>
  <si>
    <t>d700d121-5896-4474-915e-9c163bdf9c32</t>
  </si>
  <si>
    <t>aae17cd4-a7ca-4820-844d-a03761fa27af</t>
  </si>
  <si>
    <t>afa62629-6f9b-48a2-956f-68fdd66e2982</t>
  </si>
  <si>
    <t>d85bd9b4-0564-435a-bd8c-7599b9076257</t>
  </si>
  <si>
    <t>b042695c-e2c1-4f68-ab2d-3446f8f65967</t>
  </si>
  <si>
    <t>d04d1f2d-ed98-4ffe-b4f8-05678d9903a2</t>
  </si>
  <si>
    <t>1d65e890-ed62-468a-b0cd-153ad70cf2d4</t>
  </si>
  <si>
    <t>d0483b77-f8ff-4535-9c53-9ee919409583</t>
  </si>
  <si>
    <t>a525393b-868f-4f37-a301-565e5472a982</t>
  </si>
  <si>
    <t>53b18dce-bb9a-4e83-a4ab-bfb367144160</t>
  </si>
  <si>
    <t>766eaa1d-56f8-441e-a9f0-e8626a5f4d40</t>
  </si>
  <si>
    <t>470675d5-5cf6-4a4c-974d-38ba18e0d875</t>
  </si>
  <si>
    <t>9086d806-dcb7-4c64-9714-765f6a0303c6</t>
  </si>
  <si>
    <t>0d6dae1e-d44c-425b-abf5-371bb1a033db</t>
  </si>
  <si>
    <t>b72d9a7d-7c15-4521-8a90-479596bff39d</t>
  </si>
  <si>
    <t>7f34876f-d31e-4c36-be90-691335b33844</t>
  </si>
  <si>
    <t>f7add970-dc85-4c29-90e7-cdb047f52746</t>
  </si>
  <si>
    <t>51edbf12-a8ef-4848-9be8-b5baeb8adab7</t>
  </si>
  <si>
    <t>8f8e95b6-5be4-47ed-a018-6976631fbe71</t>
  </si>
  <si>
    <t>b15d15eb-0dda-409b-90c8-211757521f5d</t>
  </si>
  <si>
    <t>4f808be4-e7f6-424a-87e8-61497b1afee7</t>
  </si>
  <si>
    <t>ab429cc1-b1b1-4a7c-9a14-38212b83747d</t>
  </si>
  <si>
    <t>cf74b30a-3f9e-4db8-afbd-cb920c58390e</t>
  </si>
  <si>
    <t>ff95f3be-2385-4aca-b331-f385759179bb</t>
  </si>
  <si>
    <t>de93cbf9-0851-4c5b-826f-939b565c632e</t>
  </si>
  <si>
    <t>72fa5202-e5c7-4ac9-9974-05157876aa57</t>
  </si>
  <si>
    <t>68d59730-6ec5-4fe3-8c1a-8f3b7e60c047</t>
  </si>
  <si>
    <t>0b9e8972-a536-4e1c-8f0d-62e22d801f63</t>
  </si>
  <si>
    <t>67155e14-7779-4ff6-9536-1fa72821c3ab</t>
  </si>
  <si>
    <t>38948c93-2299-4dc1-9bcf-aadfdbde8079</t>
  </si>
  <si>
    <t>e9bacc45-dde8-4b72-bfbc-2466280d785a</t>
  </si>
  <si>
    <t>139a0e01-29df-48c9-bdad-fa7801585dea</t>
  </si>
  <si>
    <t>04f5830d-14f7-4ba4-916d-8485f464808a</t>
  </si>
  <si>
    <t>40f087fd-eaa5-407c-8b81-41d6795a73ac</t>
  </si>
  <si>
    <t>51866f33-a26b-4c0e-8aa0-a8d5c11bbfd1</t>
  </si>
  <si>
    <t>49ac3b2b-bdf7-499a-8549-1a66ff5934a5</t>
  </si>
  <si>
    <t>0f0a0838-f17e-4151-be3a-174c1df1d1c7</t>
  </si>
  <si>
    <t>6611dcd9-93b5-4a43-a351-cd9570bd8d8d</t>
  </si>
  <si>
    <t>6ee480c7-c4c3-4dcd-abbc-d46b49f0b6dd</t>
  </si>
  <si>
    <t>0d1c4623-a498-47e4-acb2-bb5d73f9baff</t>
  </si>
  <si>
    <t>ca65ce5d-63ec-4006-86ab-32fb0feda982</t>
  </si>
  <si>
    <t>997c57f8-f1c1-4b92-a9ff-717d6df18df6</t>
  </si>
  <si>
    <t>4a42dedb-08aa-4609-84cf-5b06eae21153</t>
  </si>
  <si>
    <t>101e7c6b-4f18-42d0-9626-5f5fd3bbd2e7</t>
  </si>
  <si>
    <t>7e292c54-b2c4-497a-b05b-00d61d2b824d</t>
  </si>
  <si>
    <t>ad9d7de3-a095-4576-931f-7e06480c9b78</t>
  </si>
  <si>
    <t>916a5696-c195-4934-bddc-ef0b43ec800b</t>
  </si>
  <si>
    <t>e3e4232d-f726-423d-80bc-e293587b52d9</t>
  </si>
  <si>
    <t>a32ab2df-8cda-4673-9acf-c0a20e99522e</t>
  </si>
  <si>
    <t>0dc3af4d-e69a-4efc-ab80-757bf616d4b7</t>
  </si>
  <si>
    <t>15bf4f39-0a66-4d87-a298-8f53c4e0f27d</t>
  </si>
  <si>
    <t>9ab81da7-21f5-4a76-9bd4-10a78fe5ae0a</t>
  </si>
  <si>
    <t>145a8f1f-3c7d-4dd1-b0d4-858bea81ce6f</t>
  </si>
  <si>
    <t>ef94ff72-ab34-4be0-9fdb-525daa2c114c</t>
  </si>
  <si>
    <t>f022ca06-c211-4695-9187-4a67a9f811da</t>
  </si>
  <si>
    <t>5bdfbdcf-ab7b-41da-b1d5-51f819eb66dc</t>
  </si>
  <si>
    <t>900f7a72-5fd2-448b-b8fa-a24862c7766f</t>
  </si>
  <si>
    <t>63f4e2e6-f646-430e-9f39-89f270669dc4</t>
  </si>
  <si>
    <t>2c840d2c-acbe-4a46-8e80-99489a4c1622</t>
  </si>
  <si>
    <t>6c5c94d3-ceba-42ba-8361-235b50a755d9</t>
  </si>
  <si>
    <t>f43dbc00-267c-4582-8a48-c51c960178ab</t>
  </si>
  <si>
    <t>0e3bcd74-c73f-4979-a929-487d0ee88e20</t>
  </si>
  <si>
    <t>5db9fb65-b73d-48b1-b112-619d9ff3cbac</t>
  </si>
  <si>
    <t>ee277a8f-6580-47ff-b15d-bd4c472f7c33</t>
  </si>
  <si>
    <t>2af0fa44-a495-4ed8-b750-e29f5ae68251</t>
  </si>
  <si>
    <t>36cad62c-bef7-4f24-bc63-6a45179bbe5f</t>
  </si>
  <si>
    <t>5db1bdfc-a507-4f07-baad-908aeb6de81a</t>
  </si>
  <si>
    <t>98b942f7-194b-40aa-95ab-66f412de5d19</t>
  </si>
  <si>
    <t>cc99892d-23de-44d2-a63f-f8ac9fab69fe</t>
  </si>
  <si>
    <t>478cb287-75dd-4ed3-99f0-bcc5877f308a</t>
  </si>
  <si>
    <t>2dee33b5-2a32-4b1e-b663-e4e941113df5</t>
  </si>
  <si>
    <t>ff81933a-fb48-42d3-9358-c1aba9255e95</t>
  </si>
  <si>
    <t>901270ae-4cad-4cb8-b501-fa015ea5c5f3</t>
  </si>
  <si>
    <t>a6a0e427-fde3-4051-bced-8486d4bd1883</t>
  </si>
  <si>
    <t>96e2f6c6-657d-4d48-82c0-b2e87060fe56</t>
  </si>
  <si>
    <t>cd276040-08db-4333-90c5-7b14e4af20ae</t>
  </si>
  <si>
    <t>1137c41e-fb4a-4d4b-a92a-075de068f94a</t>
  </si>
  <si>
    <t>d012e665-05a5-454d-bc1c-4eb7f132dc77</t>
  </si>
  <si>
    <t>5b39d054-a85a-472a-9c6b-6ca36f9c6f4c</t>
  </si>
  <si>
    <t>627b1b93-2178-4157-8e76-b8b8326e8694</t>
  </si>
  <si>
    <t>7c5015d6-cb4d-4738-9d1d-7f49dbee59c4</t>
  </si>
  <si>
    <t>eac45018-321f-4108-b08c-70f09651748c</t>
  </si>
  <si>
    <t>e2bb3e3f-6995-4d56-8ada-5b22730b7d50</t>
  </si>
  <si>
    <t>91f223fb-6d17-463e-96e6-dc72621732c3</t>
  </si>
  <si>
    <t>73e2fabe-cd9f-47cd-91c1-fa7d54a00851</t>
  </si>
  <si>
    <t>e9c0dcf8-d2f5-45de-8296-71b278906386</t>
  </si>
  <si>
    <t>09ff548d-7103-467d-b2bb-e7185dae56c3</t>
  </si>
  <si>
    <t>72bb60bf-c49d-4cc3-86c2-8cd3f6be1ce5</t>
  </si>
  <si>
    <t>c8065254-8741-4265-84d7-b72ddf02f2f5</t>
  </si>
  <si>
    <t>bb486791-58b7-43c1-a079-b5388eb2615a</t>
  </si>
  <si>
    <t>cd6292f9-f9aa-4d53-83d2-e1a38238cf1e</t>
  </si>
  <si>
    <t>6dc6596e-60e8-414b-a3b5-c2bca64bb68f</t>
  </si>
  <si>
    <t>7ad15795-15cf-443a-9272-439388f8af25</t>
  </si>
  <si>
    <t>52ff69f9-64ce-456d-a1b9-2494c4b9bdc8</t>
  </si>
  <si>
    <t>57d8b5cf-f8ef-4b53-9b81-ce894a52f74e</t>
  </si>
  <si>
    <t>29a921ff-1567-4ba6-87c0-585ba15fcac7</t>
  </si>
  <si>
    <t>c350d5a0-fef7-4281-b752-42162d72bd05</t>
  </si>
  <si>
    <t>af3557aa-86d0-4ab8-9ea1-28312fef7900</t>
  </si>
  <si>
    <t>d96a205c-59e2-44e0-a5f6-de58c25eb3b1</t>
  </si>
  <si>
    <t>4c77f75f-2b1e-4d25-b652-6047d04741d4</t>
  </si>
  <si>
    <t>58b46654-4b27-4247-ba09-49536ac95586</t>
  </si>
  <si>
    <t>39bad655-5f49-40ce-addd-c69cc6742a25</t>
  </si>
  <si>
    <t>4b8b75ad-626f-4201-aaa3-6b1c4935f342</t>
  </si>
  <si>
    <t>52b32e23-e4d9-4aa8-bdb6-3d8116bc98aa</t>
  </si>
  <si>
    <t>fdd237ec-8cfb-4dc9-94a8-e378c84e1c09</t>
  </si>
  <si>
    <t>74352c11-1327-4522-b04e-09375d2ae60a</t>
  </si>
  <si>
    <t>c49e2f08-2711-434a-86ce-a14869024d33</t>
  </si>
  <si>
    <t>e0f60ffb-2b43-4da0-a550-7567557da37e</t>
  </si>
  <si>
    <t>0a7b5a2a-3292-409a-a758-5c93b920813c</t>
  </si>
  <si>
    <t>df17acd4-8698-461e-9cc7-1ac06d763fbc</t>
  </si>
  <si>
    <t>52281669-df74-44a5-a392-2be8c8a0147c</t>
  </si>
  <si>
    <t>ebdb9ce1-02bf-4681-b86c-a11d237ab90b</t>
  </si>
  <si>
    <t>7f79fa2f-18f5-4f95-8b69-b22fc667f4f4</t>
  </si>
  <si>
    <t>f19ee025-d5a8-41e3-9a40-78a71e473891</t>
  </si>
  <si>
    <t>ebb4aac9-1770-4e76-be32-0a6990073795</t>
  </si>
  <si>
    <t>210b00a5-c07d-401b-8396-3eaba615e20f</t>
  </si>
  <si>
    <t>00bcd65f-ca17-43af-b1a3-c0e310d52966</t>
  </si>
  <si>
    <t>570a21e1-bc72-482a-b2f3-afea983390f0</t>
  </si>
  <si>
    <t>1ad47f3a-f860-4c98-81a5-8616344abafe</t>
  </si>
  <si>
    <t>b82b1e9c-2120-4d5d-ab97-6d871eded035</t>
  </si>
  <si>
    <t>6800590b-a6fe-40ed-81d1-201693007a0a</t>
  </si>
  <si>
    <t>5e4d2986-6750-4833-84d7-bf79f53e92ae</t>
  </si>
  <si>
    <t>047cacb4-85d1-4fb9-82ef-e68ce12afd11</t>
  </si>
  <si>
    <t>054bfc20-e65d-4fd8-a9d4-5cf77eefe836</t>
  </si>
  <si>
    <t>9d45d604-6975-4a0c-9de6-0c1fb839c3e3</t>
  </si>
  <si>
    <t>a02d6ab0-2fda-47eb-8656-158beb0200a4</t>
  </si>
  <si>
    <t>adf86f47-e169-492e-9ec6-d2fed5212796</t>
  </si>
  <si>
    <t>e614db81-6994-48a8-a374-e5aa644e85e0</t>
  </si>
  <si>
    <t>00cadb17-dcde-4cbc-ae45-068cd811df59</t>
  </si>
  <si>
    <t>bbd4f7df-e4dc-4f51-b4ff-473eaf1005ee</t>
  </si>
  <si>
    <t>1f80abbd-35a7-4d62-b292-d31fa23c9f5f</t>
  </si>
  <si>
    <t>19f66e59-f164-47f1-b788-4b1762db226b</t>
  </si>
  <si>
    <t>f7b78561-9d8b-4712-b3f3-238569b95f4b</t>
  </si>
  <si>
    <t>a2ac0be9-2264-4582-9d74-96dcc0c869f8</t>
  </si>
  <si>
    <t>2bb0265f-8add-4083-aed9-1e94748be77b</t>
  </si>
  <si>
    <t>cfd014c4-3952-4b99-b2f1-76ed56da8964</t>
  </si>
  <si>
    <t>93460e1b-34b6-4586-8289-48a6f91e18fb</t>
  </si>
  <si>
    <t>3e46a9e8-ebcc-4569-b534-d1beeb525aa5</t>
  </si>
  <si>
    <t>6175ecf8-a860-463c-90e5-277f36609637</t>
  </si>
  <si>
    <t>3be271a0-02dd-41ad-bed5-3fdeb3a08266</t>
  </si>
  <si>
    <t>3860d316-c068-488e-84ff-747868b9365f</t>
  </si>
  <si>
    <t>22cb4dd5-d158-4dd6-a49d-e8723fadc557</t>
  </si>
  <si>
    <t>48a57226-1b00-4e56-b555-2cf66bc4b9a7</t>
  </si>
  <si>
    <t>50693056-61ef-4ad9-977c-6eaeb1ec5f72</t>
  </si>
  <si>
    <t>6acac882-0bc1-4196-bb12-05ac39dc229c</t>
  </si>
  <si>
    <t>afa322d5-a185-42a6-8cc2-76bcd432403e</t>
  </si>
  <si>
    <t>aa982946-1b7d-4315-8b81-9b19bb6cc8c8</t>
  </si>
  <si>
    <t>642cffb6-ab5c-4931-b947-cfa60413b560</t>
  </si>
  <si>
    <t>09904ad7-d9db-45a3-ba9f-220cfe88a333</t>
  </si>
  <si>
    <t>2c564e41-545b-44a4-bb03-6a827657ea51</t>
  </si>
  <si>
    <t>ee076784-8841-4531-be9c-ca0b916c309a</t>
  </si>
  <si>
    <t>3382730c-46bb-40d1-92de-55f346dda22a</t>
  </si>
  <si>
    <t>06b5b5a3-f995-47a2-af2f-86b9cfbb42ef</t>
  </si>
  <si>
    <t>e6e1e9a3-8bb0-4ebc-a469-fc1581b6d59d</t>
  </si>
  <si>
    <t>7ee9fa15-81b6-4b1b-a841-eec8b03d8b1e</t>
  </si>
  <si>
    <t>babe5601-7e34-47ad-bcb1-0ab32ede5cef</t>
  </si>
  <si>
    <t>7d921bf8-61ef-4609-a46e-96d832d0d04e</t>
  </si>
  <si>
    <t>8042c4ad-3a4a-4994-b81e-8ae09199076c</t>
  </si>
  <si>
    <t>39f699b0-d6db-4b6d-9c15-b8bbc716ce34</t>
  </si>
  <si>
    <t>f28413c0-e4fb-4469-a595-c23e39036e09</t>
  </si>
  <si>
    <t>a62473b8-5d94-4b05-a6b5-bddfa59478c6</t>
  </si>
  <si>
    <t>395e2c15-2abb-4a29-8f8c-06118a5539e2</t>
  </si>
  <si>
    <t>f779a2cd-cb9d-445f-b0f7-2af6c1a514c0</t>
  </si>
  <si>
    <t>4d040be6-2b36-4f59-ba9c-b92c8c683a5f</t>
  </si>
  <si>
    <t>3406522e-fd20-4c37-aeab-1690d6b7cb51</t>
  </si>
  <si>
    <t>dd3b38cd-3856-47f9-8f69-4bdf268983eb</t>
  </si>
  <si>
    <t>746cb060-c9f1-432e-91cc-cb1b57ddb1c0</t>
  </si>
  <si>
    <t>432fa974-2a36-4f64-af1e-770e03b9385f</t>
  </si>
  <si>
    <t>d74666ec-7b7b-4f1a-8776-0a17a1152f47</t>
  </si>
  <si>
    <t>84e4f9a0-f16b-4b00-ba64-a1dc667f9350</t>
  </si>
  <si>
    <t>a756e8d5-a9c2-4520-8f06-1e13159bd0c0</t>
  </si>
  <si>
    <t>7514941b-007c-44ea-90ee-4ae0690f013d</t>
  </si>
  <si>
    <t>0f22beb8-1281-4aca-bfaa-17235c7fb5d5</t>
  </si>
  <si>
    <t>48f68f53-a7ef-4736-91a4-28ba10e80c58</t>
  </si>
  <si>
    <t>5f41a538-a9ef-457b-8022-57fd9cebc8d4</t>
  </si>
  <si>
    <t>c16c6ac0-11d2-496c-b9a3-2117f5d8e0db</t>
  </si>
  <si>
    <t>34e13cb5-2657-4148-ac24-be078c809d92</t>
  </si>
  <si>
    <t>ed148da8-e51d-4504-b40a-e358f6e8238a</t>
  </si>
  <si>
    <t>d89f54d3-882d-4cfc-96c5-b5f0ddbb9915</t>
  </si>
  <si>
    <t>f76a2802-20d0-4772-b6cc-f7e2a95d6384</t>
  </si>
  <si>
    <t>6c75691c-3ea5-49b5-92a9-894b2bd420be</t>
  </si>
  <si>
    <t>286d0a50-0c08-4d40-b50a-38cfbdc3b8fb</t>
  </si>
  <si>
    <t>bb2ec39d-5eeb-478a-b763-0a2528ec4d7b</t>
  </si>
  <si>
    <t>ed93decf-e627-4873-a2f9-8b6bf0d7dce3</t>
  </si>
  <si>
    <t>bd27bcd3-feaa-4a06-a98f-c4f3d61de505</t>
  </si>
  <si>
    <t>178d73ec-7742-4f67-894c-2fe27601cf8b</t>
  </si>
  <si>
    <t>68203b4f-6e76-442b-863a-29eca29cc26b</t>
  </si>
  <si>
    <t>f4af1dff-3131-49eb-a195-0cb169bf9ed4</t>
  </si>
  <si>
    <t>9d6dfd4a-f437-4d78-b291-dc00556b9e40</t>
  </si>
  <si>
    <t>ab1d244f-8750-47b1-8a61-cf8bce66c0fb</t>
  </si>
  <si>
    <t>0eeed5d2-c02e-4f29-bfc4-85a0f21bed79</t>
  </si>
  <si>
    <t>31e1a27e-d7f3-48a6-b560-60963b7ae366</t>
  </si>
  <si>
    <t>08875185-f2ab-42e7-ae3e-5945341e5bb7</t>
  </si>
  <si>
    <t>bb3dc1e7-e1f4-4010-b227-3af57309c626</t>
  </si>
  <si>
    <t>51ac7c84-3653-4bd2-8f22-6f6cace9b98b</t>
  </si>
  <si>
    <t>99f7b4c6-5aea-49ad-b746-6e145c979d52</t>
  </si>
  <si>
    <t>dd11f0f0-3644-48e2-b20c-bca7038b3028</t>
  </si>
  <si>
    <t>6c369c84-7138-451a-98d8-8dd3d2d2b4f2</t>
  </si>
  <si>
    <t>2726ac92-319f-4aac-bf5a-89ce36e291fe</t>
  </si>
  <si>
    <t>a31f2dc4-a9a6-4a19-80d9-8dabb6a104e0</t>
  </si>
  <si>
    <t>76a4093f-a297-45cf-a672-8c52d4743545</t>
  </si>
  <si>
    <t>38d00f7e-c7ba-4cd5-b1fd-fd704cb0502d</t>
  </si>
  <si>
    <t>f337bc34-f6bf-4cf4-a559-4b79ae8ec658</t>
  </si>
  <si>
    <t>18e0afd1-09c2-4c33-8069-4f2aff4d1f3d</t>
  </si>
  <si>
    <t>43e26139-b60e-4374-99a0-4e6c798438de</t>
  </si>
  <si>
    <t>f80ed925-6951-4cf0-8372-8424d7b6af02</t>
  </si>
  <si>
    <t>bad8a04e-c0c9-4084-b4b7-069072424e68</t>
  </si>
  <si>
    <t>b4cc7509-0f49-4213-82c3-be547ead38e7</t>
  </si>
  <si>
    <t>1059ec7d-1182-4b81-98fc-3fa73374a98f</t>
  </si>
  <si>
    <t>80ee7450-f22a-4f0f-b081-c978a5a5b347</t>
  </si>
  <si>
    <t>e02106ca-0101-4adc-963b-9bdfc6e6877c</t>
  </si>
  <si>
    <t>b2c52c4f-2ca8-4719-b798-32128b9009ba</t>
  </si>
  <si>
    <t>def12ba1-ee3f-4059-a620-05d7d523636c</t>
  </si>
  <si>
    <t>eb0cd898-3b91-46fc-9d23-8bb53d4297c4</t>
  </si>
  <si>
    <t>fc76c95d-6886-4993-bc12-adbfcd4cdac0</t>
  </si>
  <si>
    <t>4641b78c-9f54-43b3-8f33-809da152aba2</t>
  </si>
  <si>
    <t>3829a8ad-947c-4e70-906d-bf4bbdf0fe60</t>
  </si>
  <si>
    <t>021af9d9-2fff-4a33-b2c4-710ad6f3f85c</t>
  </si>
  <si>
    <t>0194ee30-cde8-47fd-9568-22e20b2c80dc</t>
  </si>
  <si>
    <t>29836151-75b3-437c-8395-299b962d9f0d</t>
  </si>
  <si>
    <t>5f63adf1-cf70-4f07-8351-63fe77c15857</t>
  </si>
  <si>
    <t>70b0ba0c-2333-4ae5-9860-ec22b91ffc93</t>
  </si>
  <si>
    <t>53ce20da-acf5-45f6-bb0c-958c360dbad6</t>
  </si>
  <si>
    <t>a36c6729-b90c-4514-92d8-4a98a66bfff4</t>
  </si>
  <si>
    <t>193ffca7-6d19-4f3c-85e5-9e8b9f7e160e</t>
  </si>
  <si>
    <t>0146854f-d5a1-4ee7-a28c-69b5af885934</t>
  </si>
  <si>
    <t>fbbbb16f-2d7f-4b68-b601-13da986cdcef</t>
  </si>
  <si>
    <t>da21d05b-cec0-405d-a7d3-3dad478f3bcf</t>
  </si>
  <si>
    <t>0f125ed8-866a-4f58-acd3-f981c2d910c4</t>
  </si>
  <si>
    <t>5736a841-06be-4e91-a475-fdeae4dbb161</t>
  </si>
  <si>
    <t>2088ff07-56ed-49a3-8824-6b0f5577b9eb</t>
  </si>
  <si>
    <t>534f289f-35c5-4314-973b-1b0c9ed473db</t>
  </si>
  <si>
    <t>976212fe-e88c-4118-a57c-8c828ce17f0c</t>
  </si>
  <si>
    <t>8f5e0f72-3edf-4a03-bdb4-44a26f91077b</t>
  </si>
  <si>
    <t>e9e8258f-3f5b-4bbf-99a7-59b4c88125e6</t>
  </si>
  <si>
    <t>51fad2bb-5e3b-45bc-8424-6e7331d255ae</t>
  </si>
  <si>
    <t>7b770d53-7ea7-4ad9-9fa9-17d09f8e857c</t>
  </si>
  <si>
    <t>16359306-8225-4f9c-a0f6-446f18067c00</t>
  </si>
  <si>
    <t>27bb1f44-8d9c-4424-a509-1510f95fa759</t>
  </si>
  <si>
    <t>30999e0c-ada1-4174-89b6-d820cfca282a</t>
  </si>
  <si>
    <t>473f971c-2a0c-48c2-aaaf-b4cdfca5aff3</t>
  </si>
  <si>
    <t>46e95e2c-14c7-45ef-a0a8-b5f76f9e5d75</t>
  </si>
  <si>
    <t>bb0b842b-0a9e-4351-8f7c-89365dde8a9d</t>
  </si>
  <si>
    <t>8c0c7d2b-cefb-48b1-a633-c1c84c36c057</t>
  </si>
  <si>
    <t>64485bba-7db6-4f9a-a22b-5cfec1cd2ee2</t>
  </si>
  <si>
    <t>e674d937-9114-4f7c-887a-1cd491c643c6</t>
  </si>
  <si>
    <t>2d1ea53f-d9bb-453f-b8be-88dfc36df0a3</t>
  </si>
  <si>
    <t>75ef07c7-3ac8-4c14-b9d3-2ce79a3865b7</t>
  </si>
  <si>
    <t>0b11ab87-551c-42d8-a5a4-1cd7ff98386f</t>
  </si>
  <si>
    <t>a5ecf5f2-452b-4dcd-873b-342c6094c012</t>
  </si>
  <si>
    <t>25ca4e8b-4fed-408f-9f94-607529cdd07b</t>
  </si>
  <si>
    <t>5f9af2fd-06c8-4c9e-b327-4830dab0361d</t>
  </si>
  <si>
    <t>fa1f7eb9-e6fd-41f7-943e-1186499aeb8b</t>
  </si>
  <si>
    <t>b88b733e-5ac8-46f5-9137-05b8f9e59898</t>
  </si>
  <si>
    <t>57e7b754-6ed5-43f6-804d-140bef82a2d7</t>
  </si>
  <si>
    <t>60dadbe4-fa7a-4c2d-a577-69aed385c0d0</t>
  </si>
  <si>
    <t>aeef9f76-67de-4dc1-ae73-8f625fe165cd</t>
  </si>
  <si>
    <t>6adc1db8-fe9f-4bec-9cb1-018123ce1b08</t>
  </si>
  <si>
    <t>45e3d341-d04b-4276-99dc-9fc89496e4b9</t>
  </si>
  <si>
    <t>c6ac02c8-fe12-46b3-a1ae-fd7f7ba481f9</t>
  </si>
  <si>
    <t>a3a126f7-1a28-4a66-9a60-6a60f8411e89</t>
  </si>
  <si>
    <t>276c1104-d5fd-4930-8d5d-35956891c4fb</t>
  </si>
  <si>
    <t>83cc815b-5d92-4695-a2a2-dacb964e209f</t>
  </si>
  <si>
    <t>b985d6de-295a-4ecd-9353-4e9357c6c9dc</t>
  </si>
  <si>
    <t>b8f85415-9ec9-4b9b-be60-a88f1b6ecbdd</t>
  </si>
  <si>
    <t>c3f8acfa-5b6c-4778-994d-0b27b839f52e</t>
  </si>
  <si>
    <t>cb415cf6-759a-40bc-873b-1abec0c9b5ec</t>
  </si>
  <si>
    <t>c6028128-8d31-4b45-90a7-4422386e8649</t>
  </si>
  <si>
    <t>24828084-41fa-4b71-a36f-4575ccbe0ca8</t>
  </si>
  <si>
    <t>fa639f8f-0453-46e1-93c3-ed22f0d0dff9</t>
  </si>
  <si>
    <t>7f047317-dfff-44b6-b4fc-4d3b7493da6b</t>
  </si>
  <si>
    <t>a1f99ca8-0b8f-4c59-a52e-4eb2ea8d4bf6</t>
  </si>
  <si>
    <t>d8e3d413-9b2b-47ee-96b7-c1de8ba78a74</t>
  </si>
  <si>
    <t>6f47f4c7-63e3-49c7-8e37-bbb0af66e9eb</t>
  </si>
  <si>
    <t>f18bb534-3003-4858-95d7-fdf908fc7432</t>
  </si>
  <si>
    <t>91c78112-b9eb-48ad-9fca-29f6197be2d7</t>
  </si>
  <si>
    <t>c34baf8c-d65c-4aaa-9602-2bb9efaa4f6c</t>
  </si>
  <si>
    <t>0ef9124e-50c5-411b-b436-edacd29199a8</t>
  </si>
  <si>
    <t>8f74fb47-9bcc-4ec6-a9d8-5e795ef2235d</t>
  </si>
  <si>
    <t>60fbb4af-309d-4a37-93b2-20c05286ac2f</t>
  </si>
  <si>
    <t>d5ebd5d0-4ce3-4120-9c8a-d01de6e00ba5</t>
  </si>
  <si>
    <t>e2fa23ce-0f5d-44a2-8cec-b14660947d11</t>
  </si>
  <si>
    <t>a28580ec-90be-4f6d-ab87-619d8f0679b0</t>
  </si>
  <si>
    <t>d9a89da8-9188-4be1-9fa4-6ff8394bce3a</t>
  </si>
  <si>
    <t>658cf3cd-4370-4794-8745-77395b791c00</t>
  </si>
  <si>
    <t>384e7ce5-f382-45e9-91da-8d4e24b9a392</t>
  </si>
  <si>
    <t>a6b50d35-9ec1-4952-bc1a-4db4877d1b7c</t>
  </si>
  <si>
    <t>609e52d2-62e8-428d-b9fa-f2fb77dd62cb</t>
  </si>
  <si>
    <t>2a70df84-b707-4ccb-b3ac-56b6ccc32347</t>
  </si>
  <si>
    <t>8372f52f-257c-4f58-ae67-dfa618516600</t>
  </si>
  <si>
    <t>d6ad8dcd-7d77-4c28-8a3b-fe698c0f7794</t>
  </si>
  <si>
    <t>2d77b990-4c9b-4602-b2cc-3635194e1daf</t>
  </si>
  <si>
    <t>aaa3844f-e33c-4ea6-b92d-35a5ceec248a</t>
  </si>
  <si>
    <t>277577cb-b4e0-41ca-9c88-2456d7f2ba36</t>
  </si>
  <si>
    <t>3cdce0fe-8109-4092-9d06-4746c152516c</t>
  </si>
  <si>
    <t>7c88ae82-dad4-4bb3-8e01-e587c43395ab</t>
  </si>
  <si>
    <t>e07c609b-0ad2-4f99-bc35-b91288003b2e</t>
  </si>
  <si>
    <t>d786a211-3e93-4204-8b1d-e10f595bf093</t>
  </si>
  <si>
    <t>6928de64-4465-4a01-9208-9597cdf58bf8</t>
  </si>
  <si>
    <t>d1bae981-3ea1-432e-b791-65c33a5310cc</t>
  </si>
  <si>
    <t>d5085dca-434a-4eab-91d5-9a0085af79d2</t>
  </si>
  <si>
    <t>c51c0139-d70e-4eb5-89a0-fb7553e33b4a</t>
  </si>
  <si>
    <t>01c5033b-b19f-4074-a2c2-a1ece7235af7</t>
  </si>
  <si>
    <t>4ce5cf41-1115-4423-ad64-807b0d57c5d7</t>
  </si>
  <si>
    <t>f332b1a7-8ece-44df-8237-bbc843e979b5</t>
  </si>
  <si>
    <t>1f9510bb-4838-49ae-83dd-4331a0f59f22</t>
  </si>
  <si>
    <t>9a31b543-8464-42d2-ab0b-4d9568ebe947</t>
  </si>
  <si>
    <t>7b7213e4-5ca8-4625-b1d2-f73605f5ca06</t>
  </si>
  <si>
    <t>94520f48-96a9-4b36-a6ee-5cfd9ec9143b</t>
  </si>
  <si>
    <t>f258f8f6-080b-4ef1-8884-c508456b9694</t>
  </si>
  <si>
    <t>acee18e9-c039-434c-9c7b-8a2bb81bf19f</t>
  </si>
  <si>
    <t>6e346808-c15b-472c-ab5a-83cc8f70c8cb</t>
  </si>
  <si>
    <t>786dbd2b-3739-4c1b-946b-6c101f827832</t>
  </si>
  <si>
    <t>1c44e21b-8dc4-4deb-b0a5-67556fbdf4a2</t>
  </si>
  <si>
    <t>a300bc71-2231-406c-953c-92a9a5ecbd89</t>
  </si>
  <si>
    <t>4c1eec06-5abb-4b67-a976-0a1b307004ce</t>
  </si>
  <si>
    <t>7dab1ac1-07b0-43d7-a665-63d71f903c49</t>
  </si>
  <si>
    <t>d66b7151-9251-4e63-8bac-8784764de25b</t>
  </si>
  <si>
    <t>d7fe9858-9131-4293-9ab0-88f6275949f8</t>
  </si>
  <si>
    <t>3f1a1195-8bb2-439e-8b0b-09b02dacda0d</t>
  </si>
  <si>
    <t>861019e6-124d-4a7b-8c20-0ea5f85f4b04</t>
  </si>
  <si>
    <t>0caa27d1-1f18-4fa5-97ce-a1656248d78e</t>
  </si>
  <si>
    <t>e2acf824-f42f-4e3b-b767-2d1a38910ce4</t>
  </si>
  <si>
    <t>c9a4793a-ad86-4111-9021-3b66af99fbfb</t>
  </si>
  <si>
    <t>704af732-4f2c-47bd-8005-51eaee71c3bb</t>
  </si>
  <si>
    <t>a6439c47-77e6-4c51-b834-0f66b0f1a239</t>
  </si>
  <si>
    <t>9344e6e8-32e7-4867-a514-a51882b6ab16</t>
  </si>
  <si>
    <t>02629028-5476-4dad-b44b-0c284f757874</t>
  </si>
  <si>
    <t>9e919388-ff51-4cf3-a822-a64ebac6a825</t>
  </si>
  <si>
    <t>af47b2dd-417b-4542-8f5f-34d5f6940e36</t>
  </si>
  <si>
    <t>4403409b-c5ff-4f1d-85b6-d7d26093f6a3</t>
  </si>
  <si>
    <t>c46da64b-c643-414b-9c74-f9c9cfd93905</t>
  </si>
  <si>
    <t>c1d847e8-da01-4f2c-ad47-5ca849b92f6d</t>
  </si>
  <si>
    <t>beba695f-a5c0-4418-a080-59fc806ea0c6</t>
  </si>
  <si>
    <t>722ad842-9f84-4f22-ba03-ec58ac6c23da</t>
  </si>
  <si>
    <t>6ca95308-1b7d-40a9-a8ff-fc292007d82f</t>
  </si>
  <si>
    <t>615e7406-59c1-43a1-a7c2-21eebf7b480b</t>
  </si>
  <si>
    <t>6165db84-db8d-46ac-b332-1c3c11a6a0d0</t>
  </si>
  <si>
    <t>e4a0a6b2-3105-4153-8233-36a82a6f9b11</t>
  </si>
  <si>
    <t>2d92d684-bf9c-4dbf-a3ee-f28d0a610007</t>
  </si>
  <si>
    <t>09861433-8978-4198-a3f3-51e0cbe5b9a0</t>
  </si>
  <si>
    <t>32f4e267-4894-4705-9abb-d834e5c51501</t>
  </si>
  <si>
    <t>a566dd67-1290-4278-8cc9-fd29e99a7aa6</t>
  </si>
  <si>
    <t>ad8ed552-77c0-494b-a820-0ff9eb72124d</t>
  </si>
  <si>
    <t>3497e92a-d299-4252-b5e1-b77c3424dd97</t>
  </si>
  <si>
    <t>cc89e609-6ccc-496f-b4ae-de53496d3706</t>
  </si>
  <si>
    <t>d1abaf68-4ead-452c-9916-921a55246557</t>
  </si>
  <si>
    <t>f872f7f1-9736-4b28-a268-51c252774a54</t>
  </si>
  <si>
    <t>b86bed59-f60a-4ad4-ad4d-1011bda4d143</t>
  </si>
  <si>
    <t>7f1d805c-7098-481c-aa5a-d4c06ab3b77c</t>
  </si>
  <si>
    <t>a3eeb138-744f-4bfb-87bf-72f794b2290a</t>
  </si>
  <si>
    <t>2a99d3ad-4874-4d00-a714-5e17ab8be70e</t>
  </si>
  <si>
    <t>871fbc03-cc9a-4915-a0b2-1b53fa2ea19e</t>
  </si>
  <si>
    <t>59c9af14-e6e7-42b9-bfc6-1e3f7b529c79</t>
  </si>
  <si>
    <t>c8389b66-987e-42cb-a884-a424dd8b6eef</t>
  </si>
  <si>
    <t>f0f2e301-21e8-4b5c-9b1a-69e650630e83</t>
  </si>
  <si>
    <t>2d60c768-c50a-462f-bcbf-e0d5a7715a9c</t>
  </si>
  <si>
    <t>1dedd7bd-4abf-4f4b-8269-f4becf423ce2</t>
  </si>
  <si>
    <t>9cfcedf7-e40b-4540-ba12-84d6f04d55d9</t>
  </si>
  <si>
    <t>29f0d261-6fb7-4413-9e1b-e93d45e073bc</t>
  </si>
  <si>
    <t>0f6eeb6a-a13b-49df-aa42-65048a3879e7</t>
  </si>
  <si>
    <t>867083ff-72cc-4bcb-a44f-442d4a12f7bd</t>
  </si>
  <si>
    <t>b1bc1db4-b670-44f7-a229-9ef130b67a3c</t>
  </si>
  <si>
    <t>91b43c76-8109-4310-9b77-70ff596e5237</t>
  </si>
  <si>
    <t>f7ef1fac-89a3-46ec-856c-daadc20d6e44</t>
  </si>
  <si>
    <t>9b063e64-9ae5-4e10-8b25-04d7859ac28c</t>
  </si>
  <si>
    <t>250343bf-153a-4ecf-969c-591aae270fc8</t>
  </si>
  <si>
    <t>3578445b-fdf1-4151-8f2b-22511480c2ef</t>
  </si>
  <si>
    <t>be23ec59-2fcc-4671-9283-33b1981584f0</t>
  </si>
  <si>
    <t>354dd217-2718-4a52-9640-2100fce27845</t>
  </si>
  <si>
    <t>d9909eed-db58-4db5-b0e4-92b311601ab9</t>
  </si>
  <si>
    <t>312afc5f-e59a-4e90-925d-2a8de08ec764</t>
  </si>
  <si>
    <t>75fc6d6b-4c43-4682-8151-3ca3b9669fb7</t>
  </si>
  <si>
    <t>88316c46-ce49-4f56-bed6-ac68ea711acf</t>
  </si>
  <si>
    <t>301cb0ea-848e-4782-926b-70a7042cd3b8</t>
  </si>
  <si>
    <t>1aa2e994-3eb1-4bd3-88e9-1aa4c4aab306</t>
  </si>
  <si>
    <t>51c26840-b286-42ef-b074-77c2db6c31f5</t>
  </si>
  <si>
    <t>24e4bd86-3468-4e68-befb-bd4b6a6676a9</t>
  </si>
  <si>
    <t>9eca028c-ffdd-4958-9e30-b04a4d3b93bf</t>
  </si>
  <si>
    <t>3d1d46bb-37e3-4347-84f6-1266325022c0</t>
  </si>
  <si>
    <t>054f20d6-02b1-4e8b-845e-85daac125a5a</t>
  </si>
  <si>
    <t>965f3ea1-7c9b-4640-bd10-d27c42163c65</t>
  </si>
  <si>
    <t>d26df67f-9283-43be-be84-53d211ed7bf4</t>
  </si>
  <si>
    <t>02ca32eb-bc08-4a92-8c39-ea2fe7612be9</t>
  </si>
  <si>
    <t>6bc3b8c6-8beb-4c8d-b43e-6f17e0280063</t>
  </si>
  <si>
    <t>aa6f379a-ce91-484e-b54e-c1223dd2a9c0</t>
  </si>
  <si>
    <t>1d3f0f36-3bb5-407a-a51b-4656e78996aa</t>
  </si>
  <si>
    <t>8ab68b44-3c2f-41b6-b3b9-39b79bd94fa8</t>
  </si>
  <si>
    <t>108167e5-098a-4268-834b-c154d0500827</t>
  </si>
  <si>
    <t>20c8a7c5-8ed4-4b39-a8f3-244a4679ff09</t>
  </si>
  <si>
    <t>f2f4b958-e361-4c93-afd5-3ce91d7b7165</t>
  </si>
  <si>
    <t>b305a860-7ad9-4d15-b67d-a8c5f7d04158</t>
  </si>
  <si>
    <t>6dfa61eb-b7eb-4d9f-979a-252808674892</t>
  </si>
  <si>
    <t>58e23f86-3804-49d5-aad4-ddae9767076e</t>
  </si>
  <si>
    <t>d9ab0b45-1fd7-42b4-8cac-954c506f4b0b</t>
  </si>
  <si>
    <t>92f00f87-ff84-41ee-8555-81009d4b6d10</t>
  </si>
  <si>
    <t>8751780d-93c1-4eb9-8905-ec30ecc5cabd</t>
  </si>
  <si>
    <t>5e67d8d5-6502-4810-99de-205eff3fa834</t>
  </si>
  <si>
    <t>337d7132-8164-46fe-9481-78329007a7af</t>
  </si>
  <si>
    <t>09b2a1f5-8eed-45d8-b381-b3327cfcd14f</t>
  </si>
  <si>
    <t>3fad7427-ca8a-45c7-8ace-23b3cfa8b921</t>
  </si>
  <si>
    <t>18780a36-d9e5-4aa3-ad15-3c6d0fb16344</t>
  </si>
  <si>
    <t>55a3fde3-633f-4391-8622-3375e3fa49b7</t>
  </si>
  <si>
    <t>1e9b1aeb-5474-4b08-8588-d736f184d8fe</t>
  </si>
  <si>
    <t>1f81b811-5888-4bae-83fd-50155e50c4da</t>
  </si>
  <si>
    <t>3b6f4e0f-3b8f-43a4-b7cb-806e26bf35d5</t>
  </si>
  <si>
    <t>6dce1b4d-a8d3-4f5a-94dc-b0fe742371df</t>
  </si>
  <si>
    <t>534229c3-8f50-4913-9f38-ceb0de98fa82</t>
  </si>
  <si>
    <t>ff43bebc-c143-44c4-bc18-643f1fab423c</t>
  </si>
  <si>
    <t>eb64992f-d352-47d7-afb7-c03dd58cdba6</t>
  </si>
  <si>
    <t>15f25fe0-0224-44b0-a150-2afc797b5cd5</t>
  </si>
  <si>
    <t>319e82a6-0499-4d27-9f10-f3c05154c3a0</t>
  </si>
  <si>
    <t>60edeb0f-1d93-4636-ad6d-7aafabfe9220</t>
  </si>
  <si>
    <t>1d13d8f1-ee57-45e2-981a-5ec74bc67f1d</t>
  </si>
  <si>
    <t>132eb3c0-beb0-4236-8684-bb3e2fc8cec9</t>
  </si>
  <si>
    <t>cc7b109f-a26d-466b-aee5-eea0b7709004</t>
  </si>
  <si>
    <t>48b066a3-ba77-444f-ac80-33a8b5921cea</t>
  </si>
  <si>
    <t>892b51bc-17bf-44f1-a629-5ab54394fc90</t>
  </si>
  <si>
    <t>e469dd14-2b8e-4054-b091-b7e45361ed5e</t>
  </si>
  <si>
    <t>72227fe7-9cb6-4220-8596-0bcad0d4d3e4</t>
  </si>
  <si>
    <t>53bc3af1-7d15-47c2-a0e0-d07714326d65</t>
  </si>
  <si>
    <t>8cab77af-0730-4c99-abfa-9322d9cd1e3f</t>
  </si>
  <si>
    <t>6af66e55-75f5-4b4b-8cc6-59f5b1a12687</t>
  </si>
  <si>
    <t>74a351ad-a105-47a3-8788-be27f4901415</t>
  </si>
  <si>
    <t>ebfb6de4-10aa-40fd-8f58-14f5bbe80d7f</t>
  </si>
  <si>
    <t>c1dd3024-79ef-48e1-b1f7-420cd63b57bf</t>
  </si>
  <si>
    <t>adb42d2f-cca8-4f85-ba5f-9ce775b0cdb7</t>
  </si>
  <si>
    <t>c44dca13-8b31-45ae-8749-b96c8cc7f207</t>
  </si>
  <si>
    <t>55b61c53-96bb-4c6e-9ebe-21cb327d2935</t>
  </si>
  <si>
    <t>a20e1296-2ca8-4935-9877-ced081fdedd6</t>
  </si>
  <si>
    <t>ed9ece99-238c-42cb-9dec-fd9333218f1a</t>
  </si>
  <si>
    <t>05014de6-4f07-455d-ae29-2ec9600d723c</t>
  </si>
  <si>
    <t>e0907dc5-05e8-4469-822f-a363ed76009f</t>
  </si>
  <si>
    <t>7f20a481-fa8a-466a-8003-791225f73ab2</t>
  </si>
  <si>
    <t>ffa3c2de-0887-4b1a-9f2e-f0aaaf5ea2e5</t>
  </si>
  <si>
    <t>1c351517-e739-4ef8-a0bf-c188dc68abca</t>
  </si>
  <si>
    <t>a54d2797-8e28-42a3-a8b9-74d42fc1d3bd</t>
  </si>
  <si>
    <t>1f1b3a5e-0dbc-4352-ac12-73d9bc1dc7b4</t>
  </si>
  <si>
    <t>7e6f4d69-8626-4fd9-a4b9-f0206bd3fa3b</t>
  </si>
  <si>
    <t>3835799a-8de3-44fd-8982-3f36e75865ed</t>
  </si>
  <si>
    <t>6c6bdb2d-b94f-40dd-9427-be74fdbb7d3b</t>
  </si>
  <si>
    <t>b40e1e26-2209-4e4f-8ca8-5199ec7d599b</t>
  </si>
  <si>
    <t>31785188-5996-4861-a62c-90d91330002d</t>
  </si>
  <si>
    <t>a765f57c-d958-435c-b331-ffc9a8750a0f</t>
  </si>
  <si>
    <t>e8f2664c-402d-4227-975c-6b6f3960336f</t>
  </si>
  <si>
    <t>c78370fc-117b-44eb-927d-1e56d69513fc</t>
  </si>
  <si>
    <t>86f4f231-f362-43d5-91ca-d0045caa2ba6</t>
  </si>
  <si>
    <t>a1ba331a-1851-4e9e-a785-9e38e25fee01</t>
  </si>
  <si>
    <t>31d3a4d3-4f08-4c99-b7c0-b86e5d907649</t>
  </si>
  <si>
    <t>e0cdb351-f217-4c9b-8462-56cd11d35000</t>
  </si>
  <si>
    <t>e8b7beae-b596-437f-9003-baf5250132d1</t>
  </si>
  <si>
    <t>c39feafb-2760-416e-98e6-ec7ba55a88bb</t>
  </si>
  <si>
    <t>e86efcfc-cc7a-402e-b8c1-b2a0a5ad92b8</t>
  </si>
  <si>
    <t>13ce4e0a-ed91-400c-a92a-d6d39c14bdd9</t>
  </si>
  <si>
    <t>51a00cea-7f82-4b3b-b03e-dcd34870ecb6</t>
  </si>
  <si>
    <t>450aaa67-4be4-4d6a-957f-3c3b3e02f741</t>
  </si>
  <si>
    <t>f5309997-6d14-4c98-9379-ac88f9cbbe93</t>
  </si>
  <si>
    <t>7b727762-d96e-4828-bd7d-0548f6311542</t>
  </si>
  <si>
    <t>f0998eae-9a45-4ed5-95e4-0b6a02db0630</t>
  </si>
  <si>
    <t>0cacf79a-fce7-458e-b6c4-875c2af22550</t>
  </si>
  <si>
    <t>725f7196-8df8-4046-8d35-22a7ee20413e</t>
  </si>
  <si>
    <t>7767a55d-bc06-4edf-89a6-0235f5728dd5</t>
  </si>
  <si>
    <t>e12018ab-4d36-4bbe-bd5a-3e7d2c14b5bb</t>
  </si>
  <si>
    <t>c24bf17b-a0f9-429c-9b41-a7b00dcfa39b</t>
  </si>
  <si>
    <t>d2c7c300-4be4-4fc4-9e3b-f7075f0140d4</t>
  </si>
  <si>
    <t>11889462-30c0-4225-a01f-7363d2edb91f</t>
  </si>
  <si>
    <t>ef33bc45-1eef-4924-970e-4fe1e0a2ad6b</t>
  </si>
  <si>
    <t>fb73a240-4dd9-4168-adfa-cd33c41b23a3</t>
  </si>
  <si>
    <t>6f0b25fb-c81b-4416-ad28-7ae1b7f73dfc</t>
  </si>
  <si>
    <t>d4642e0c-7c28-4b72-a098-27f0f6bf51ac</t>
  </si>
  <si>
    <t>c211101f-5e9f-4e0a-b04d-6e14174a8a29</t>
  </si>
  <si>
    <t>7e0c2384-0d8b-4ba9-9ff0-698bbd61512d</t>
  </si>
  <si>
    <t>45217a6b-8346-4945-907e-aa7b308c5d9d</t>
  </si>
  <si>
    <t>abfeba54-42ea-43d9-a800-a069d5b0dbda</t>
  </si>
  <si>
    <t>fac6f604-ca17-4e60-9c5a-50a7bd80f2bb</t>
  </si>
  <si>
    <t>c7370855-3032-43eb-988b-e8ac68458da1</t>
  </si>
  <si>
    <t>c1297aad-0eff-4128-a815-3d35e932b23c</t>
  </si>
  <si>
    <t>272a45af-0205-4022-a7d3-fd8266d2a630</t>
  </si>
  <si>
    <t>0bdf101f-bfac-4ae9-82bb-a063653efd7b</t>
  </si>
  <si>
    <t>305425be-706a-499b-992f-7c0c74027cba</t>
  </si>
  <si>
    <t>0c341383-e13c-495a-97e6-9da049fa458e</t>
  </si>
  <si>
    <t>1839b86b-6680-44d8-91d9-6875ad85997e</t>
  </si>
  <si>
    <t>ed301603-0c5b-4e19-bc71-e669064a348d</t>
  </si>
  <si>
    <t>d63982f2-ea11-489e-9092-559a4f2190ec</t>
  </si>
  <si>
    <t>f45345b7-462c-499d-9ad0-b9852024225d</t>
  </si>
  <si>
    <t>c2f0dedf-b5be-49d7-a724-7ace524e3cbf</t>
  </si>
  <si>
    <t>dbab2c81-25f3-4f64-969d-48093e7989cc</t>
  </si>
  <si>
    <t>e983ae1e-8a1b-4d99-b9fe-35b35f4e5a18</t>
  </si>
  <si>
    <t>1f5bbc73-5a88-444b-9814-ad4f1aa9291c</t>
  </si>
  <si>
    <t>79e33997-7571-4785-bf32-7c6b45dd2a38</t>
  </si>
  <si>
    <t>abac424e-372a-41ae-83ad-49cb2c194231</t>
  </si>
  <si>
    <t>09f7ad4e-663a-4d60-a8cb-28fbb633d12f</t>
  </si>
  <si>
    <t>3b9e88b6-d283-419b-9562-d98fe199e04e</t>
  </si>
  <si>
    <t>c9fa7288-917d-4b7c-8538-dcc9d103ab8b</t>
  </si>
  <si>
    <t>d71984cf-9d1d-4192-95df-020aed82e1af</t>
  </si>
  <si>
    <t>c70b095c-012c-4449-97e4-e685d7b9a45b</t>
  </si>
  <si>
    <t>5b57deb8-313a-4470-b11e-f3a11aecea63</t>
  </si>
  <si>
    <t>ec879c8c-9cc0-41a3-b625-69979bbc565f</t>
  </si>
  <si>
    <t>292f1ea2-d6d7-4446-9ed3-325ed83d4238</t>
  </si>
  <si>
    <t>c8bd8abb-7f19-4148-8b95-bf358610e66e</t>
  </si>
  <si>
    <t>2dcbd1ab-9f58-4dfd-86ae-87927ae211bf</t>
  </si>
  <si>
    <t>645a02c0-c741-4abc-8ac1-a9fb97b766e9</t>
  </si>
  <si>
    <t>ee23b820-b023-455c-a164-7a6f029cb8c8</t>
  </si>
  <si>
    <t>df604392-c45e-4f2d-80d5-544300e084e2</t>
  </si>
  <si>
    <t>9b57e510-576f-4fce-87b1-8f4d2b614820</t>
  </si>
  <si>
    <t>22de8619-8784-4702-a030-c9ca8312d7f1</t>
  </si>
  <si>
    <t>1c47a376-99f8-413d-80a8-1b409b29a493</t>
  </si>
  <si>
    <t>fef2b49b-0991-4aa2-8614-d01832721049</t>
  </si>
  <si>
    <t>a51a0fca-f883-4bde-9acb-a7dd51f56f09</t>
  </si>
  <si>
    <t>6cf5b92e-37e9-4e2e-9993-28d4abdbe701</t>
  </si>
  <si>
    <t>e0a74f0e-ad6f-485f-b40b-a100315bb68d</t>
  </si>
  <si>
    <t>3135c865-75e1-426d-bb90-4f6550be662a</t>
  </si>
  <si>
    <t>2fa4c011-968c-449e-b26f-3cb70ae6a8a0</t>
  </si>
  <si>
    <t>07e2381a-6287-4599-acc0-231fcce39535</t>
  </si>
  <si>
    <t>b40a2be6-d491-4cb7-820e-5d185505bbb6</t>
  </si>
  <si>
    <t>91ec5e63-ded9-4939-9069-d62188a03aef</t>
  </si>
  <si>
    <t>8c1a9225-1585-49c8-84c6-ef0e0cd5265b</t>
  </si>
  <si>
    <t>0a327804-a317-4c35-ba2d-ef4656c5f744</t>
  </si>
  <si>
    <t>76ad4d6a-19dd-42de-add3-bb96a7511b3c</t>
  </si>
  <si>
    <t>1a2dcd89-e8ac-4205-abd6-4f2fa9a6559a</t>
  </si>
  <si>
    <t>06938a8c-6c69-4e18-8c06-17a8f12f6019</t>
  </si>
  <si>
    <t>fef9c533-b570-4ab6-8bbc-8bc6bbec40fd</t>
  </si>
  <si>
    <t>87bb868a-f169-41ac-ab78-94021cf19a0f</t>
  </si>
  <si>
    <t>1d1cd9d8-ec13-4c06-88b3-c7aced7f8570</t>
  </si>
  <si>
    <t>240347ff-cafe-4b8b-86da-a0a0b6b8e162</t>
  </si>
  <si>
    <t>732d67f8-5996-46fe-9b35-695e2c344cee</t>
  </si>
  <si>
    <t>97e6a461-5a39-4cd6-8459-95562f279693</t>
  </si>
  <si>
    <t>c1036f42-7ebe-4737-aa18-7019022de901</t>
  </si>
  <si>
    <t>d7e8c0ad-3178-481a-855e-5fd5fe3ffa43</t>
  </si>
  <si>
    <t>92f2af93-27fc-4030-95ce-aecc9b077942</t>
  </si>
  <si>
    <t>de7ca252-1a6c-444f-950d-1d30acb83619</t>
  </si>
  <si>
    <t>4b2d1a25-31b7-4b0f-bc95-017606ce2284</t>
  </si>
  <si>
    <t>5497a74d-e048-4392-9025-2000dfceb952</t>
  </si>
  <si>
    <t>decb540e-6381-40d1-8c00-29e7277a279d</t>
  </si>
  <si>
    <t>ab11ccda-a915-4c76-851d-663a8e0d10df</t>
  </si>
  <si>
    <t>13d60860-ba76-458b-b4a2-a2b57814f3a5</t>
  </si>
  <si>
    <t>fa434710-e3c5-4591-b249-e7c0091ef66f</t>
  </si>
  <si>
    <t>98006a18-b3dc-4c62-862d-60e463cf6f7f</t>
  </si>
  <si>
    <t>e3eea8bc-2806-4c16-9034-bf7a50dd7acd</t>
  </si>
  <si>
    <t>7d27b819-bbc1-4ed3-90fc-fab14f4f7676</t>
  </si>
  <si>
    <t>f6586998-c5aa-4fc4-86ac-0c0356195134</t>
  </si>
  <si>
    <t>b93f548e-af61-48f2-9b3e-b3ac52460c91</t>
  </si>
  <si>
    <t>17c2628d-07f1-47e3-9684-dedb7aa86b6c</t>
  </si>
  <si>
    <t>12a7aef2-17ed-466d-80e4-e176d2ca52b9</t>
  </si>
  <si>
    <t>a0caf50f-05f2-45a0-8b16-a55f02928a2b</t>
  </si>
  <si>
    <t>06acad39-2870-4b82-be56-ed73b3aa151b</t>
  </si>
  <si>
    <t>71459779-5507-4c55-9b99-c6daee4273f0</t>
  </si>
  <si>
    <t>23f251da-e126-4afc-88a9-12165a683cde</t>
  </si>
  <si>
    <t>d950a7ae-60bd-4f16-ad7e-46c34268c6fd</t>
  </si>
  <si>
    <t>9faa53a9-c587-4b26-830b-365ae864c983</t>
  </si>
  <si>
    <t>68f57553-4bf4-455c-ad2e-ce88ba80449d</t>
  </si>
  <si>
    <t>1fda0f85-9ca8-4a37-b594-0577cc40d107</t>
  </si>
  <si>
    <t>99b75d88-389d-4e15-ae49-2fbda9481a56</t>
  </si>
  <si>
    <t>1ff10a52-1dd7-49be-a93f-16d96d69cfe8</t>
  </si>
  <si>
    <t>28750512-060a-4199-bbb4-ffa43bac55b5</t>
  </si>
  <si>
    <t>85116642-d67a-44fb-8cf1-193e544d9390</t>
  </si>
  <si>
    <t>4c85513b-b640-49e2-966a-ecaf69ed1a62</t>
  </si>
  <si>
    <t>83ca2b12-f1fd-48b2-886b-c795742478a4</t>
  </si>
  <si>
    <t>7003d3e0-38c6-442b-b19e-026dde7d98ea</t>
  </si>
  <si>
    <t>be26463d-8df5-4f33-aaa9-94fd9b9512f9</t>
  </si>
  <si>
    <t>476f04d7-1939-44f5-8231-9970934be051</t>
  </si>
  <si>
    <t>8063a1cf-5f45-417e-ac5b-3660ce54cbb3</t>
  </si>
  <si>
    <t>bbc95670-f863-4860-9cbb-d7b3dec90199</t>
  </si>
  <si>
    <t>abd53402-72af-47cc-812b-9baa61d4d769</t>
  </si>
  <si>
    <t>c3b7f8f2-8065-47c1-b595-aae94c1e9346</t>
  </si>
  <si>
    <t>ba0197bb-b5f5-478a-adda-7fc9c9963ae2</t>
  </si>
  <si>
    <t>dc7b6e36-883c-4d1b-8258-c057e80305e4</t>
  </si>
  <si>
    <t>82861b0b-5c7d-4251-a211-75c0a5b2ee6c</t>
  </si>
  <si>
    <t>a6391928-52e9-4141-85d4-5a49f203a0fb</t>
  </si>
  <si>
    <t>bc638748-782d-4220-8fc7-ed7e6747c894</t>
  </si>
  <si>
    <t>d43c645d-181a-41e8-89a1-051dee52867d</t>
  </si>
  <si>
    <t>5707a108-c200-42ad-af1e-b4653b58d581</t>
  </si>
  <si>
    <t>fd38515a-bac5-4f2e-a993-784b9013fa7b</t>
  </si>
  <si>
    <t>fea19557-12f5-44ac-a0af-198d9808d92b</t>
  </si>
  <si>
    <t>86b8e1a7-89e0-4e3e-9888-b7007b775af0</t>
  </si>
  <si>
    <t>75356eca-46e2-4c47-8f88-59c4646c5827</t>
  </si>
  <si>
    <t>4acacbc6-042b-4dce-aae2-1a5c6d52ce20</t>
  </si>
  <si>
    <t>87c00608-c077-4037-9cfe-11d7e7f3f9f2</t>
  </si>
  <si>
    <t>4ba7f702-5b22-4e31-ac70-272407eb79f8</t>
  </si>
  <si>
    <t>603d23eb-86c6-449e-83a9-626d45204c7f</t>
  </si>
  <si>
    <t>79b69ab0-31aa-48b1-a4bb-2987db4fa802</t>
  </si>
  <si>
    <t>5fb82ca0-59b1-4c7a-ace5-9dc04e30c4ab</t>
  </si>
  <si>
    <t>f42ed003-e8bf-42bd-830e-0286e52956a8</t>
  </si>
  <si>
    <t>376b1e05-d9f2-4a64-a5f9-7817933d9c19</t>
  </si>
  <si>
    <t>4bd379ac-7088-4f76-8659-5dee42ce681e</t>
  </si>
  <si>
    <t>825c1f34-4c70-4e01-88de-57f51cf6bc99</t>
  </si>
  <si>
    <t>47f99416-fe67-4680-89a7-d3fb3aad0529</t>
  </si>
  <si>
    <t>2810911b-db9f-4cf9-97c5-5c22d2d60bee</t>
  </si>
  <si>
    <t>114b979d-9555-470b-990f-4f6851855e8f</t>
  </si>
  <si>
    <t>023b26d4-c93d-4dc3-8397-5f01fd650e10</t>
  </si>
  <si>
    <t>95b8b913-647a-4cf0-8a1c-12eba4a8ed74</t>
  </si>
  <si>
    <t>df48d25d-a147-43c2-a6f4-7995ad062c66</t>
  </si>
  <si>
    <t>e3d1e10c-f5d4-42cb-a0cd-06b860980446</t>
  </si>
  <si>
    <t>3d604c3a-0b78-4192-8389-dd95566832af</t>
  </si>
  <si>
    <t>dda88e04-bad3-4755-9aee-584f129d0d86</t>
  </si>
  <si>
    <t>93880064-9281-4aec-a8f9-0be261a5257c</t>
  </si>
  <si>
    <t>ff06eb31-09ff-48f4-821a-632b3d504124</t>
  </si>
  <si>
    <t>41f6124d-7959-4fc3-83af-7c634c843b10</t>
  </si>
  <si>
    <t>cb4906d4-6473-4dff-a7a6-9188bad17eb7</t>
  </si>
  <si>
    <t>0fb2c3f5-d063-4477-baba-bffd25a2a799</t>
  </si>
  <si>
    <t>915bdcfc-6d40-4333-a5e2-5af8c8f31566</t>
  </si>
  <si>
    <t>414c16e4-7496-4596-b55d-41d8ed0219fe</t>
  </si>
  <si>
    <t>cca8b581-77d7-49a1-91e5-6e68aed943a2</t>
  </si>
  <si>
    <t>7136ba96-f288-4279-a5ea-f9e2305f5387</t>
  </si>
  <si>
    <t>7a83aab4-74d0-4981-a8dc-b3efb61412f6</t>
  </si>
  <si>
    <t>3d5df00c-915c-489c-8b43-5066e165ee26</t>
  </si>
  <si>
    <t>373bbb0c-fe39-494c-a615-e5066a1a2b6d</t>
  </si>
  <si>
    <t>524faae4-641a-4b2f-b59c-1e54ada79b0b</t>
  </si>
  <si>
    <t>3a5d46fd-0ca3-44a1-a8be-d7e35a75218e</t>
  </si>
  <si>
    <t>6b8c4ccd-8bee-4022-94e8-b5f5a0d5bb5f</t>
  </si>
  <si>
    <t>99a0c45f-205b-4979-b1da-1410233ab47f</t>
  </si>
  <si>
    <t>5abf9d55-254b-428f-83be-4bfd21883499</t>
  </si>
  <si>
    <t>0686a45f-68cd-4b98-94f5-3af6be2adc23</t>
  </si>
  <si>
    <t>73b0db82-374c-43df-a4a6-abebae1c9730</t>
  </si>
  <si>
    <t>53280000-5c09-40ef-a4dc-78d8c0583b19</t>
  </si>
  <si>
    <t>a7e20d3f-bf41-4628-8052-ba95cff759c1</t>
  </si>
  <si>
    <t>d8e57ff7-d71c-4ffa-8a92-f63fced488de</t>
  </si>
  <si>
    <t>c701bb39-0cd8-4e31-9b40-944dcc679fcb</t>
  </si>
  <si>
    <t>18bed870-a69b-40c0-8d97-e03ae32e7de8</t>
  </si>
  <si>
    <t>fa491f04-59eb-4305-83ea-0e1a91ac890f</t>
  </si>
  <si>
    <t>7be4e423-83bd-4cc9-96d5-a845a5ae728f</t>
  </si>
  <si>
    <t>69a8fdc5-cf5b-43c9-bd8d-3fb8299eac10</t>
  </si>
  <si>
    <t>dcaf88dd-7810-44bb-ab55-d2ad4410ad63</t>
  </si>
  <si>
    <t>a9d14534-5bca-41dd-8d02-0d92570cb764</t>
  </si>
  <si>
    <t>179e0f5d-799d-4691-accc-09755ff50aac</t>
  </si>
  <si>
    <t>8224eaf1-c683-4c85-a1f9-8bb9c2ef21ec</t>
  </si>
  <si>
    <t>4d72f986-020f-4c5e-9e76-eb69bea859e6</t>
  </si>
  <si>
    <t>39ec453a-2361-4649-b68a-cba07181c4a7</t>
  </si>
  <si>
    <t>f38cb847-0ed5-4a2d-87bb-e740dd8adef2</t>
  </si>
  <si>
    <t>9401354d-1498-4eee-a560-19b633a103b3</t>
  </si>
  <si>
    <t>ec49d8e7-535d-4732-8fd2-f99e64a19a5f</t>
  </si>
  <si>
    <t>27ccc5be-9895-4ee0-86b5-8e917c0650e4</t>
  </si>
  <si>
    <t>cb370c32-624d-42ee-b4c7-d90cd286a11f</t>
  </si>
  <si>
    <t>0ad1bda0-04dc-4731-9a41-b2c54969004c</t>
  </si>
  <si>
    <t>6a99ebb0-cc9f-45ab-b6e9-4791602ae7c4</t>
  </si>
  <si>
    <t>59711c93-38ef-47c5-b728-42fa302cacd0</t>
  </si>
  <si>
    <t>bb67998e-4ac1-45da-b7ca-605ec973e5fe</t>
  </si>
  <si>
    <t>32c0a4d8-3699-4f09-907b-5f303f8274c1</t>
  </si>
  <si>
    <t>e090df54-097b-4e77-87c0-f9e8a965c013</t>
  </si>
  <si>
    <t>ffb75258-7e17-4433-86eb-cca51e35b5de</t>
  </si>
  <si>
    <t>b26a4921-90b8-4360-8834-fad7a130bfb4</t>
  </si>
  <si>
    <t>a539900a-d75e-4437-865c-59d6ba1df7f5</t>
  </si>
  <si>
    <t>eaf0471b-e553-4302-a1aa-cf3284f3a3a9</t>
  </si>
  <si>
    <t>60fddd3f-fcdd-4d60-9195-d733c67449a0</t>
  </si>
  <si>
    <t>38af7deb-8836-4d80-a9fb-01540432a8b3</t>
  </si>
  <si>
    <t>5826ee1b-74c4-4180-bfd3-f486446f0023</t>
  </si>
  <si>
    <t>ccfcd4b9-a541-4751-abb4-571a84c4770c</t>
  </si>
  <si>
    <t>31673a23-132a-46a7-b029-975ac1465c50</t>
  </si>
  <si>
    <t>8c4c751f-f5a4-4ac7-877d-1158db922567</t>
  </si>
  <si>
    <t>90e5aae2-d9c9-4271-afb7-5e4b799ddaa6</t>
  </si>
  <si>
    <t>094c8ee8-4143-4ebf-9ed3-1ad255f30ef5</t>
  </si>
  <si>
    <t>c7429be0-64d2-4995-a915-e1250fbe94ec</t>
  </si>
  <si>
    <t>43359fac-cb1f-4e7e-ae5c-990d96bd2200</t>
  </si>
  <si>
    <t>83404a73-33c4-4297-a97c-8a146155e477</t>
  </si>
  <si>
    <t>2c06953e-4bc1-42f4-8769-813f8f36b530</t>
  </si>
  <si>
    <t>9797381e-3100-410c-8d84-6145bc723595</t>
  </si>
  <si>
    <t>32b9cb76-87c9-48c7-a73a-293d09c61937</t>
  </si>
  <si>
    <t>ab376d84-3616-480d-b4eb-49efee6f2837</t>
  </si>
  <si>
    <t>25fd1786-ff5a-45fc-bb97-0ab5ba25bbd4</t>
  </si>
  <si>
    <t>fcc3fddc-5adf-4ff0-9e0e-c84a424d2070</t>
  </si>
  <si>
    <t>73afe00b-3f93-4cd4-b71f-161f6da7d9a8</t>
  </si>
  <si>
    <t>9f5ad18c-d0a8-4ba0-b642-fa94801265f6</t>
  </si>
  <si>
    <t>3e8c2562-a487-4d89-a1d8-3fdc53caf638</t>
  </si>
  <si>
    <t>63424808-052e-4e93-a382-1bc16302c1cd</t>
  </si>
  <si>
    <t>704f903b-21e4-4101-8321-58d705089b06</t>
  </si>
  <si>
    <t>7ab6446a-575b-4875-ab7a-79bd93c17a64</t>
  </si>
  <si>
    <t>ac7b5aa4-5c89-4616-926f-1b8919909d63</t>
  </si>
  <si>
    <t>c1d2a88a-570a-4de1-8313-46284c224bee</t>
  </si>
  <si>
    <t>45ea1095-e06b-4a1c-a0b7-c3671c9f006a</t>
  </si>
  <si>
    <t>2e46a8d4-de1a-4340-9c8f-215dc059df43</t>
  </si>
  <si>
    <t>a1fceb9a-0b93-4ab1-8cc5-987d5ec80234</t>
  </si>
  <si>
    <t>054b7510-54c8-48f4-bd06-8e2ba58cbd51</t>
  </si>
  <si>
    <t>4a349095-f180-4dbf-981e-94a275412847</t>
  </si>
  <si>
    <t>1af70b1b-d756-415f-a5b4-3861139559d8</t>
  </si>
  <si>
    <t>6b9ce9b4-316f-4e82-a0b9-127441795232</t>
  </si>
  <si>
    <t>0d7ac1da-194d-4844-a919-6bfec0989d14</t>
  </si>
  <si>
    <t>760b70e5-2135-4106-bf18-2df119411aa4</t>
  </si>
  <si>
    <t>2a0fdbe4-588b-40fe-ba75-19cebe31bea8</t>
  </si>
  <si>
    <t>53c38b09-0edc-4eaa-b83f-d8227eb19850</t>
  </si>
  <si>
    <t>825bd557-2be9-4aca-a8d1-eb8a5f1bb037</t>
  </si>
  <si>
    <t>e2975ec5-cdb8-43d8-803a-1ebba615cf15</t>
  </si>
  <si>
    <t>820d7eb0-d64e-4e70-839a-ec9db5bf1969</t>
  </si>
  <si>
    <t>14f4e734-af4b-4566-9b26-a78985629df6</t>
  </si>
  <si>
    <t>9e80b9c8-a0b6-48bf-a0c6-44a0bb9a2fd4</t>
  </si>
  <si>
    <t>8c6cf0c3-b47d-4935-8973-e2a6de582b1c</t>
  </si>
  <si>
    <t>00aa6c2a-b291-411e-b240-202fea9bf417</t>
  </si>
  <si>
    <t>dc13c828-eda9-45c8-909b-cb84e3b0b8fb</t>
  </si>
  <si>
    <t>936b242f-90a4-4a2b-a846-12c531c67df2</t>
  </si>
  <si>
    <t>ec765c0b-cd27-4e30-b514-9509f020f439</t>
  </si>
  <si>
    <t>686ac4a2-1ff7-45dc-82a3-e28d5333190b</t>
  </si>
  <si>
    <t>b622cc96-c02c-4990-bba5-d27f32558b77</t>
  </si>
  <si>
    <t>6e13c94b-65dd-4b6b-b353-aa5382a88546</t>
  </si>
  <si>
    <t>c03d3d6b-a16d-4b1d-bf07-788f0372cec5</t>
  </si>
  <si>
    <t>7a1d3b12-9be6-46eb-baa5-51803a0a4f10</t>
  </si>
  <si>
    <t>0decc7ea-dece-4638-83c8-b1df7e1e54d2</t>
  </si>
  <si>
    <t>89c2cbb3-f9a7-4eb1-86c3-c5488a62490e</t>
  </si>
  <si>
    <t>9e99bc5e-ff55-4cae-8611-2ce51687be6a</t>
  </si>
  <si>
    <t>99b76135-94d0-48e6-9ac7-ada314cc1ad1</t>
  </si>
  <si>
    <t>225699c5-8b55-456f-95e3-7a5780ffac0a</t>
  </si>
  <si>
    <t>e969d3a9-a455-455f-9be8-38e701b1f653</t>
  </si>
  <si>
    <t>96de19f9-6aa8-493d-af89-56dbf25535c7</t>
  </si>
  <si>
    <t>7cdc323f-67af-48e2-b15b-3e94cf19681f</t>
  </si>
  <si>
    <t>fef36da3-13ae-416d-9e67-cfebe1220e24</t>
  </si>
  <si>
    <t>2a1b3474-38d6-4ca0-8c57-b10eaae5e250</t>
  </si>
  <si>
    <t>d7ec3b35-329b-4ea1-b9d7-8e8da1ae05bc</t>
  </si>
  <si>
    <t>38d2d2ab-e9ce-43d7-97bc-c6a2a3d37276</t>
  </si>
  <si>
    <t>b9be612d-c7cc-411f-afac-093196f87239</t>
  </si>
  <si>
    <t>798c452b-e7e0-48f3-a908-4f639ac8e614</t>
  </si>
  <si>
    <t>744ddc65-15bd-4ea4-abe0-e6c0e760796f</t>
  </si>
  <si>
    <t>f9436f14-5021-4177-9206-b79da434105c</t>
  </si>
  <si>
    <t>dccfb706-58be-4f82-9f92-b806781953e0</t>
  </si>
  <si>
    <t>9c9899e3-1edf-4b8b-9c6d-ceedbc530a70</t>
  </si>
  <si>
    <t>19e566a9-a789-4194-92eb-1a06b989a8d5</t>
  </si>
  <si>
    <t>c9f95e61-e079-477f-99b1-1136a2495e2f</t>
  </si>
  <si>
    <t>3bea04a9-f8bc-4696-b3bb-60ebd979b047</t>
  </si>
  <si>
    <t>23a70fc2-9249-43b1-bef3-ea3121bcc6d4</t>
  </si>
  <si>
    <t>46f6a6ef-156a-4979-892f-f6912d017577</t>
  </si>
  <si>
    <t>f426cb2e-e7cc-4571-bedf-ab5972f5ec5e</t>
  </si>
  <si>
    <t>0017c041-a14b-4780-9d9a-7a99558a0768</t>
  </si>
  <si>
    <t>702a602e-e109-4038-b50b-e599b4d7b76f</t>
  </si>
  <si>
    <t>8bbf6861-d17e-4548-bf18-f7f295ce59dd</t>
  </si>
  <si>
    <t>5673adfa-c739-4dbb-b371-fd1f3eaeb562</t>
  </si>
  <si>
    <t>7ff1a77b-f219-42d5-97cd-279306d9c7bc</t>
  </si>
  <si>
    <t>fbd594ee-94ca-41dd-ac59-144c2ceb26c3</t>
  </si>
  <si>
    <t>8095be8a-3220-40ec-a3ad-6bbc2aee0cc9</t>
  </si>
  <si>
    <t>17f2ec1d-c875-43da-9307-7012fa87236c</t>
  </si>
  <si>
    <t>d694ed01-7f0c-40af-8749-f22aa8dd2ffa</t>
  </si>
  <si>
    <t>33624a15-18f7-4ffc-9315-f18f25909579</t>
  </si>
  <si>
    <t>c76f1318-9857-4514-8548-3cd20a91f650</t>
  </si>
  <si>
    <t>68afcc40-9bb4-4903-a7ce-3c64492794f6</t>
  </si>
  <si>
    <t>6bcde048-341c-45ac-98f5-4d14cb9833fb</t>
  </si>
  <si>
    <t>a21b6747-ba7f-45cf-aac1-1356acb9c8ae</t>
  </si>
  <si>
    <t>11d62c4f-c1a0-4356-80eb-394f38d17efe</t>
  </si>
  <si>
    <t>b41e00a2-10d7-46ae-a151-2cc315df1c34</t>
  </si>
  <si>
    <t>2f6ecf7c-ed0c-4011-8d13-90edf44b305d</t>
  </si>
  <si>
    <t>f83a42d7-d5e6-4e72-ad56-651f51927aca</t>
  </si>
  <si>
    <t>8ff31276-200d-4aec-b2e0-6a25c12c51e1</t>
  </si>
  <si>
    <t>2649f2e5-179f-4ae9-8280-0dd4aadb0676</t>
  </si>
  <si>
    <t>dea362ed-393f-43b1-aaff-5195d91b0716</t>
  </si>
  <si>
    <t>414e2477-5a33-4de3-9f34-d375ccd27a80</t>
  </si>
  <si>
    <t>0627fc98-d9f7-49b9-a4cf-fd0b49f4e4d0</t>
  </si>
  <si>
    <t>05bf2a9f-e720-4d01-8ef5-9110d6fca724</t>
  </si>
  <si>
    <t>819a1e55-0a4e-4467-92b3-74936dc87ecd</t>
  </si>
  <si>
    <t>d667d8ed-686c-4d78-b93e-ad2bab070d4a</t>
  </si>
  <si>
    <t>fc8a1ff7-4c98-4ebd-a0cc-0fd7bb0bf243</t>
  </si>
  <si>
    <t>1c1a7d6e-6ca7-4b92-9ca2-8497547c5ba1</t>
  </si>
  <si>
    <t>3d90379c-6a89-4764-803b-b958c1a4e37a</t>
  </si>
  <si>
    <t>8779474b-9c48-4042-ae79-b30c1e583e5d</t>
  </si>
  <si>
    <t>d2538457-5b62-41a2-98c7-4b3b8e570a97</t>
  </si>
  <si>
    <t>d35e9995-4a42-438c-a56f-dff2e9acc65e</t>
  </si>
  <si>
    <t>66d3a92b-4c35-46e6-bf15-cb673be2aee2</t>
  </si>
  <si>
    <t>5dd447db-64ce-4b28-b902-9ca4fa896a61</t>
  </si>
  <si>
    <t>78d39da7-c35a-4a24-a6a2-dcf5627f84f1</t>
  </si>
  <si>
    <t>8fecb4d8-9571-46f5-8773-da640a6481bc</t>
  </si>
  <si>
    <t>7d3f0d0b-9acd-4f21-88ae-3801eba6cd8b</t>
  </si>
  <si>
    <t>a893ce7f-c8bc-427a-b89d-206a94d5a33a</t>
  </si>
  <si>
    <t>23b6e829-8591-490b-b518-20b451b14bb1</t>
  </si>
  <si>
    <t>d16ade89-0f8a-447e-b492-db632a54e02b</t>
  </si>
  <si>
    <t>713434a0-cfc8-456f-b17e-2f35e330560f</t>
  </si>
  <si>
    <t>d3b99f7e-d0ac-4199-8813-91665f16b3fb</t>
  </si>
  <si>
    <t>9f79dcf6-1ff7-4605-b82c-36cd49b06dd2</t>
  </si>
  <si>
    <t>e13622fa-d0b3-44c6-b157-38f7a6933d87</t>
  </si>
  <si>
    <t>45c38646-4908-4075-b81d-b90b507bdc9b</t>
  </si>
  <si>
    <t>ceae0c44-3af1-464c-98de-82c6c0a19ae2</t>
  </si>
  <si>
    <t>35fd09b4-e9f0-4d81-9839-c48198d46cf2</t>
  </si>
  <si>
    <t>92b89aae-d3d2-4715-b669-4634124a6444</t>
  </si>
  <si>
    <t>062c9b99-d361-4c0e-b1dd-507fdd20b1e7</t>
  </si>
  <si>
    <t>ccde27c7-ce46-4ad9-a8b4-8b2e100c2fa1</t>
  </si>
  <si>
    <t>cc5f3372-1199-4095-b04e-5d731f75390e</t>
  </si>
  <si>
    <t>8ea1e41b-df4c-4d34-bb14-d0b5eff7b1e9</t>
  </si>
  <si>
    <t>771523c2-478a-4251-bf5c-8a002d31b068</t>
  </si>
  <si>
    <t>4d3b2dc9-926d-4822-bb9d-93eb38181f03</t>
  </si>
  <si>
    <t>f77b7449-0c29-440f-a2c0-67cd766eb69b</t>
  </si>
  <si>
    <t>0c3d6cf4-03ef-4bdc-90c2-4219f71d505a</t>
  </si>
  <si>
    <t>c7e0f909-6796-452d-a3fd-dc07966ec853</t>
  </si>
  <si>
    <t>c8a3fc80-5146-415e-b463-45b56f4a9c14</t>
  </si>
  <si>
    <t>f86bf906-2201-4800-8413-fba4e4e8ae50</t>
  </si>
  <si>
    <t>59ddcb4d-d232-4415-a32e-7c13d1b268f5</t>
  </si>
  <si>
    <t>7016829c-88f3-4821-9fc1-ce5343e53906</t>
  </si>
  <si>
    <t>8590233c-8a03-4da7-b235-d889a4ba10a7</t>
  </si>
  <si>
    <t>b444d608-a7ec-4a3d-b25b-e182bde9cdca</t>
  </si>
  <si>
    <t>70c22bdb-e226-4a53-b2da-5f00c9873c5c</t>
  </si>
  <si>
    <t>e5d91451-1d12-4a01-a042-87b0f22cc66b</t>
  </si>
  <si>
    <t>a6d3a561-5aff-4eb2-b18a-60064af4a2c4</t>
  </si>
  <si>
    <t>391709dc-2122-409e-9e2c-0bcf6f96d131</t>
  </si>
  <si>
    <t>2995e5e8-b8e9-40d6-b211-a261528128d7</t>
  </si>
  <si>
    <t>a1b7828b-5601-4a18-b19c-fe7268dd5a15</t>
  </si>
  <si>
    <t>49b003fa-4997-4af1-90e2-c4f8ee1f1779</t>
  </si>
  <si>
    <t>30b72525-6af0-428b-a8d9-7451d407f3b9</t>
  </si>
  <si>
    <t>c5012664-e999-48d6-ba20-5a7c51f6f262</t>
  </si>
  <si>
    <t>fc1176e6-bf27-4f67-989e-2bb32af87eb5</t>
  </si>
  <si>
    <t>05e3ec87-8fbd-43ef-aa33-05e871060939</t>
  </si>
  <si>
    <t>e76f0da1-9474-47af-a161-0d2f9a8fda76</t>
  </si>
  <si>
    <t>ff13f6a1-44b1-4c92-b638-17f63606970b</t>
  </si>
  <si>
    <t>e9ea338a-e635-4d42-ab37-96de2f5656ad</t>
  </si>
  <si>
    <t>ddc99c73-7758-4640-aed3-4e11d1f22150</t>
  </si>
  <si>
    <t>561b865b-5d18-4836-b50e-f40bde688bcf</t>
  </si>
  <si>
    <t>6c9f98ff-4f0f-4639-85d0-5e401d743a4c</t>
  </si>
  <si>
    <t>bf6a8e72-8dbc-4f8c-8e6e-77f94994af64</t>
  </si>
  <si>
    <t>2f4ee00e-a84b-43e8-bb6d-64c48d0ce757</t>
  </si>
  <si>
    <t>d727f89d-d107-459c-a343-4c7c59015831</t>
  </si>
  <si>
    <t>101b4ce6-b2f8-41ab-b6f4-2a3ed4dba3eb</t>
  </si>
  <si>
    <t>571a05dc-0525-4962-81b2-e2debf902229</t>
  </si>
  <si>
    <t>01717096-8d78-4952-8e2a-2b736796d452</t>
  </si>
  <si>
    <t>3d81d442-7bd1-472e-be6c-87d59a39d2d6</t>
  </si>
  <si>
    <t>65ff28ce-5167-4737-b5e6-68c27a6a6d8a</t>
  </si>
  <si>
    <t>235a56c4-10be-43f0-ac08-14a913cd1569</t>
  </si>
  <si>
    <t>05b69fb9-1cd4-4eb2-866b-392801328417</t>
  </si>
  <si>
    <t>daa75c56-1674-4ac3-a470-64524a70d5b5</t>
  </si>
  <si>
    <t>537ac1c5-a609-4780-94eb-517b0e64ae21</t>
  </si>
  <si>
    <t>373df7a9-5e18-427a-982f-59e95851f9d7</t>
  </si>
  <si>
    <t>aaf5f091-7785-48d1-84e9-fa47bf7525e5</t>
  </si>
  <si>
    <t>843f9e04-265c-4f69-8cd8-27f093ec3e0f</t>
  </si>
  <si>
    <t>61e49860-703a-4a67-82ad-5749094f5dc2</t>
  </si>
  <si>
    <t>bbe915c1-0aba-4b41-befd-ddb68cdd7b58</t>
  </si>
  <si>
    <t>e45d6c09-50d4-44ae-b8f3-408bcd74cada</t>
  </si>
  <si>
    <t>dfc2c37e-28ec-47db-bfd9-87dce42a6384</t>
  </si>
  <si>
    <t>98b673eb-edbf-4aa3-81d9-b6cb512beb47</t>
  </si>
  <si>
    <t>9359e195-d2cd-4e6d-acdf-3cc04acb7545</t>
  </si>
  <si>
    <t>b1990fc7-29ce-4129-a239-b95591db2fe3</t>
  </si>
  <si>
    <t>ba8c3b67-e723-4833-8515-1909eb090ffc</t>
  </si>
  <si>
    <t>fdf173e9-3cc2-4211-ad97-6a89ab4c992d</t>
  </si>
  <si>
    <t>b2dabfea-7d61-4505-8d8b-15194d98a3c1</t>
  </si>
  <si>
    <t>0a450e9c-d685-4b05-bd36-cb4aab6a21ed</t>
  </si>
  <si>
    <t>e4e9504a-7d5d-47d9-940d-31817782fc8f</t>
  </si>
  <si>
    <t>20e2e96f-2ac5-4a36-9cfa-9d6738c4e1ee</t>
  </si>
  <si>
    <t>ba93d319-ddd9-4d3e-991a-fdcba85570c3</t>
  </si>
  <si>
    <t>3ae5e0f7-8bff-4310-b002-0d99213fadad</t>
  </si>
  <si>
    <t>c8a35af6-aa05-410a-85f0-e8ea8e13d69a</t>
  </si>
  <si>
    <t>a02f28e9-2264-4b14-b562-3098301b12fd</t>
  </si>
  <si>
    <t>e3d31a6c-7408-4ad9-a763-ea9a744f27de</t>
  </si>
  <si>
    <t>d642d465-d3dc-4c44-89d0-a93e4cc2f65d</t>
  </si>
  <si>
    <t>dfd1210c-8265-4142-b69e-e4cdb9258776</t>
  </si>
  <si>
    <t>ad681c74-e812-4922-a966-89fea4750cd4</t>
  </si>
  <si>
    <t>9ae480fe-dab2-482a-86cc-d7ad530f7704</t>
  </si>
  <si>
    <t>422b2b02-7b3c-4fbf-b594-6e2914e469c5</t>
  </si>
  <si>
    <t>6af7638e-274b-40ba-8035-97b8d5181611</t>
  </si>
  <si>
    <t>fd7293ff-a104-4081-b219-8a71ad708cb5</t>
  </si>
  <si>
    <t>892594b0-7698-4b09-9093-39ed12e147ae</t>
  </si>
  <si>
    <t>9f356c38-182c-4951-b612-e9412297b50d</t>
  </si>
  <si>
    <t>63daec73-9ae1-4781-ba06-3950acff9ba6</t>
  </si>
  <si>
    <t>dfbbbb1b-d847-42c1-920c-2e08ad6b3481</t>
  </si>
  <si>
    <t>7159f13c-01b8-4c3c-8d77-8a60df9e2653</t>
  </si>
  <si>
    <t>8329446c-9c38-459b-b296-59f5f19f2a51</t>
  </si>
  <si>
    <t>7aeada68-2ac1-4864-8292-82cc19d446da</t>
  </si>
  <si>
    <t>278c548d-ee93-44b9-aeab-dacd67b66291</t>
  </si>
  <si>
    <t>242a83be-25ed-4b50-966e-126fa3bda7d0</t>
  </si>
  <si>
    <t>0886815c-00c9-4177-bd6b-86b3d1610606</t>
  </si>
  <si>
    <t>19f96bab-f769-4ade-9add-63dd0769e499</t>
  </si>
  <si>
    <t>b586e701-6744-4a21-a4c4-2a434139d2ed</t>
  </si>
  <si>
    <t>2b17d2bf-926e-4ebf-a591-a9966eed3815</t>
  </si>
  <si>
    <t>17ec48bb-58d9-4be7-a2d5-ad5f1bd26c9b</t>
  </si>
  <si>
    <t>c4eb2f57-2a9b-405b-b686-e34aa4c1ba65</t>
  </si>
  <si>
    <t>71231f4a-6054-4c64-8499-31766c837b61</t>
  </si>
  <si>
    <t>acbe95b8-be8f-459a-b0e1-2e9f99755a77</t>
  </si>
  <si>
    <t>0a6816a7-f888-47b3-84f4-937bcd1a9023</t>
  </si>
  <si>
    <t>2e24691d-31e2-4802-af7a-2e2fd8afbee8</t>
  </si>
  <si>
    <t>65cb8d99-164b-4e42-badf-dae7fb16d388</t>
  </si>
  <si>
    <t>31f8fd87-aea7-4f86-ac51-080bbd39c074</t>
  </si>
  <si>
    <t>7d314499-d7e9-4619-a054-c17d976d3aa4</t>
  </si>
  <si>
    <t>22ada47b-5f63-44bc-ac7b-24989a5de212</t>
  </si>
  <si>
    <t>3bf8c2a4-b13f-4ce2-9532-440dfd0472a0</t>
  </si>
  <si>
    <t>0ae85af3-f96d-4d82-a2a0-72b0c0db8529</t>
  </si>
  <si>
    <t>dc684b93-d819-40f9-8e0e-8419b6139db6</t>
  </si>
  <si>
    <t>7c7cb0de-6a7a-4c38-91df-959c1fa55547</t>
  </si>
  <si>
    <t>1b03740b-7608-4b96-a78e-b48bebde5337</t>
  </si>
  <si>
    <t>4e66e2a1-2aa8-42eb-9372-1a01a6f04a8c</t>
  </si>
  <si>
    <t>b5f4e9de-96ed-44b6-9ce8-51d81ac90562</t>
  </si>
  <si>
    <t>a16251fb-f52b-430e-9bb1-272ebfb4a387</t>
  </si>
  <si>
    <t>f4c785ec-5213-4d09-8dfd-af38ed4cc0b8</t>
  </si>
  <si>
    <t>a1cacec9-db50-426d-b7e5-6ec5ccfbc39e</t>
  </si>
  <si>
    <t>84bb4a72-f675-48ba-a3d6-aa4b8c828fe6</t>
  </si>
  <si>
    <t>f29753d3-885d-4d69-a71c-5ac46637749e</t>
  </si>
  <si>
    <t>fe26c901-86af-42bf-a9cf-ec1bc66f6a46</t>
  </si>
  <si>
    <t>cd4e8d09-810c-44a7-a053-37f8f77c0514</t>
  </si>
  <si>
    <t>fa40f79b-8e48-448a-98b0-d9064c1b0115</t>
  </si>
  <si>
    <t>1b43ab83-77a5-4a8f-b68c-bbb2d21d310f</t>
  </si>
  <si>
    <t>51cf9141-4056-4062-85a8-43eb7e6272bc</t>
  </si>
  <si>
    <t>794b6449-c942-4346-82b8-166667e62c6c</t>
  </si>
  <si>
    <t>df4ef614-eed1-4c6c-8472-b5bf8fe1e6ae</t>
  </si>
  <si>
    <t>cff5d87d-e5d3-46a7-a439-b5d14d3aee6b</t>
  </si>
  <si>
    <t>bc14c635-9c82-42e0-9ea1-fb4cba7aacb5</t>
  </si>
  <si>
    <t>baaa1f32-4ba3-46ed-90ef-d74366522631</t>
  </si>
  <si>
    <t>1cedb0ea-4404-4bd3-bd08-e1aa6ee85a12</t>
  </si>
  <si>
    <t>3e453410-a025-42af-b464-f536ad03a150</t>
  </si>
  <si>
    <t>8a558ce9-588b-4840-9e84-5a5d836d430f</t>
  </si>
  <si>
    <t>b68c53e7-4c9f-4258-95b7-c73c28850f7c</t>
  </si>
  <si>
    <t>07ca6c7a-e7fb-498f-91b1-621fc7effa83</t>
  </si>
  <si>
    <t>b187ac76-4367-49b1-8c71-afb04eadbc52</t>
  </si>
  <si>
    <t>de1c3060-c7e2-4ddb-b67d-6c80b0cc9f9b</t>
  </si>
  <si>
    <t>b1255159-1199-4d92-925d-2bd1d66f27a8</t>
  </si>
  <si>
    <t>e68dd843-5ad0-4f96-a114-fecf95b5f4d6</t>
  </si>
  <si>
    <t>f9506e2a-6a22-4945-bb7b-0719c94e9258</t>
  </si>
  <si>
    <t>2779629f-a22b-448b-afe0-e9dedee50eff</t>
  </si>
  <si>
    <t>fbb0e169-5635-4785-8c4c-d8aca6bc724d</t>
  </si>
  <si>
    <t>a4e333cf-cc94-4387-ad6a-c182ab9a943a</t>
  </si>
  <si>
    <t>fb521689-6488-481f-b8eb-bacbf056f385</t>
  </si>
  <si>
    <t>5a65a314-97bb-4893-b479-fe03c3e20276</t>
  </si>
  <si>
    <t>36fdcf0e-96a0-4a84-80e5-92931c07651c</t>
  </si>
  <si>
    <t>d31f19b8-7add-4867-9aee-a9987c498e9d</t>
  </si>
  <si>
    <t>9e12b8bd-a9c9-4bfe-a09d-7df603c13f52</t>
  </si>
  <si>
    <t>8c9f805b-1cea-4395-904e-7a5a310e9234</t>
  </si>
  <si>
    <t>48f3d126-2b72-47ce-a88c-125dbfcea2f6</t>
  </si>
  <si>
    <t>ee80ddff-0534-48ba-a952-aa9e70933650</t>
  </si>
  <si>
    <t>6f90adfd-ddf0-49e9-ac0b-7833fad27958</t>
  </si>
  <si>
    <t>fdbb7c09-86b4-4a59-9772-021f06656aae</t>
  </si>
  <si>
    <t>5fd18efb-f1b5-4ecb-a506-7884ac990fcc</t>
  </si>
  <si>
    <t>7106a199-919c-4dca-bcdd-50de7516208c</t>
  </si>
  <si>
    <t>d2ca8f35-33de-41f7-900d-d56232be43e2</t>
  </si>
  <si>
    <t>a8a06958-f065-4125-ad8c-1d43312e8635</t>
  </si>
  <si>
    <t>8766bf34-0235-4bad-b3d3-4d855393ec68</t>
  </si>
  <si>
    <t>376a8158-1184-4952-ad53-914e27bc8d2e</t>
  </si>
  <si>
    <t>6a551fc0-60a5-483f-a823-de6ecf0ed3fc</t>
  </si>
  <si>
    <t>316b13ff-974f-46ee-a535-0eb0d54dbf08</t>
  </si>
  <si>
    <t>9a579630-34ed-41af-9605-6d16463f51a3</t>
  </si>
  <si>
    <t>99d26b54-a532-497d-891a-457988b8a000</t>
  </si>
  <si>
    <t>b75b9ecb-d8bf-486e-a896-153a2039cc85</t>
  </si>
  <si>
    <t>c6aa9949-ba46-4793-8045-c6c9f528801d</t>
  </si>
  <si>
    <t>f0d16cce-516b-4b52-b541-146fa115d382</t>
  </si>
  <si>
    <t>26028d11-a0cb-4305-89a4-f481f1dcc51e</t>
  </si>
  <si>
    <t>866d76de-f261-47fd-a76b-04d26f4354cd</t>
  </si>
  <si>
    <t>d20f17d4-829d-452f-8b9c-28b86a17ba70</t>
  </si>
  <si>
    <t>d28c2ac2-60ec-4630-b868-74ac7e722cf0</t>
  </si>
  <si>
    <t>51159c3c-65bd-4e2f-be01-7b65fec7cc64</t>
  </si>
  <si>
    <t>5ae85ada-ce4a-4e43-9055-cba17bc8e5e9</t>
  </si>
  <si>
    <t>ac609128-c66e-4721-84fe-5bc8669abe15</t>
  </si>
  <si>
    <t>8a796eb5-411e-4659-8712-f55009816c45</t>
  </si>
  <si>
    <t>c9178b03-a423-4479-8770-a7799b9f3714</t>
  </si>
  <si>
    <t>0e194852-0ef1-49eb-ace7-3995062e3482</t>
  </si>
  <si>
    <t>8045a861-a968-4b58-89c6-dc15c6fd41e8</t>
  </si>
  <si>
    <t>ea08302a-40c0-4e80-a0f6-0d4de8353a19</t>
  </si>
  <si>
    <t>3f98db89-eb95-4beb-9376-cb7e68d988cc</t>
  </si>
  <si>
    <t>44e5ebf4-9957-4c99-addf-0966df3b2db4</t>
  </si>
  <si>
    <t>3ef7aba6-d2db-4bf8-9700-8eaa5f286afe</t>
  </si>
  <si>
    <t>3386b0b9-c2dd-4bc0-aa2f-87fbd712d354</t>
  </si>
  <si>
    <t>8b113aca-3087-4316-b980-6925a693dc6e</t>
  </si>
  <si>
    <t>ac6e7c60-12d5-49f7-927e-a32412e81b93</t>
  </si>
  <si>
    <t>0566c602-68e3-47c4-baab-f9dd4db9dbea</t>
  </si>
  <si>
    <t>d5146e9c-493c-4165-a588-0340f585331c</t>
  </si>
  <si>
    <t>d3a4252b-a64c-4b21-99c8-fa78272e30c8</t>
  </si>
  <si>
    <t>431c392c-36ca-4def-955a-566f02823c23</t>
  </si>
  <si>
    <t>08cc1c3f-bd03-470e-9ee5-f6206ef8f0ea</t>
  </si>
  <si>
    <t>4875bcbf-cc55-419a-8d9d-cec963f0dc03</t>
  </si>
  <si>
    <t>57ffc492-dcb6-416b-a4f3-7109014eb262</t>
  </si>
  <si>
    <t>ecbbc218-4c84-4f64-bb43-ea339a091b4b</t>
  </si>
  <si>
    <t>e8f09351-f30e-4e46-9128-fd3307db7769</t>
  </si>
  <si>
    <t>c0687495-cb7e-4949-b63f-9532608d32f6</t>
  </si>
  <si>
    <t>24fae6e6-0303-46ef-835f-1123d6500129</t>
  </si>
  <si>
    <t>c19ffda9-ff61-4dcc-83a6-1c12abf91b0f</t>
  </si>
  <si>
    <t>22d0434e-3d72-42d0-a21d-0815d6fed80d</t>
  </si>
  <si>
    <t>815bed6b-02ad-465b-9f68-c07c508524ce</t>
  </si>
  <si>
    <t>e9063abe-14f1-4a30-ac69-04109b0bd3a6</t>
  </si>
  <si>
    <t>bc6d4f0a-746b-4b43-b1a9-9a39dac02d85</t>
  </si>
  <si>
    <t>0d120f0a-8b1e-4a3f-8f4c-b9da5114d22e</t>
  </si>
  <si>
    <t>4bb417fa-6c40-4649-a180-c6e5c6011565</t>
  </si>
  <si>
    <t>89c72886-d4cd-472c-82f4-82a56283ff8c</t>
  </si>
  <si>
    <t>5cbe23ea-3cac-44b7-b6cb-e6ccd8e6224c</t>
  </si>
  <si>
    <t>6c7a0786-5bbd-45a6-bf15-a8ca2018cb9f</t>
  </si>
  <si>
    <t>524d67c4-a4d6-46c4-853a-a934c0ccfeea</t>
  </si>
  <si>
    <t>2eb3cff4-1b23-4d37-a3dd-71e3a5a0e463</t>
  </si>
  <si>
    <t>57e4fad4-7fad-49ec-aa15-9e560b0fffae</t>
  </si>
  <si>
    <t>a9ffad05-0e54-445d-ad0d-a8a8da93f6c1</t>
  </si>
  <si>
    <t>1d6b8014-2fc0-431e-aa3e-4754e38b957d</t>
  </si>
  <si>
    <t>73062adc-8195-4300-838c-e746775a3183</t>
  </si>
  <si>
    <t>a20d885b-6335-48e3-bdd1-e4f60ebe2b61</t>
  </si>
  <si>
    <t>ec5c1648-1c9b-42ec-932f-3303d2f85fbf</t>
  </si>
  <si>
    <t>992f57db-5fda-457c-84f3-deb78b71d38d</t>
  </si>
  <si>
    <t>dcea56c8-d72f-4f30-9afb-5b064d171f83</t>
  </si>
  <si>
    <t>b91f25f0-5c8f-44e4-80ff-f3f3ed4eb2aa</t>
  </si>
  <si>
    <t>a2f7e258-4c9b-423f-b78f-23c8f482ef7e</t>
  </si>
  <si>
    <t>ded64a9a-2e56-4024-8a7e-81dc3e63e121</t>
  </si>
  <si>
    <t>fe46b178-30b3-46cf-be44-cac1f583f76c</t>
  </si>
  <si>
    <t>f40f674e-adfa-4d99-bff1-f4742c94a88f</t>
  </si>
  <si>
    <t>1c2f812e-ae76-46aa-ba56-e47b71e83832</t>
  </si>
  <si>
    <t>8c571858-a16e-42d9-b4f0-71986f50d67e</t>
  </si>
  <si>
    <t>29152433-d03d-4d65-bc6a-a13f5319a1d4</t>
  </si>
  <si>
    <t>5eb87ccc-7ce2-4502-b08e-4329d8b2b0ab</t>
  </si>
  <si>
    <t>d292c5c2-afaa-4fa5-b935-feb18b9e3b50</t>
  </si>
  <si>
    <t>268f87dd-8e50-4924-80b5-50821c1a67ed</t>
  </si>
  <si>
    <t>88700df7-f82a-4264-9795-7dbce785fddd</t>
  </si>
  <si>
    <t>54f5cc09-4077-40dc-a4d7-f6fb71e80f17</t>
  </si>
  <si>
    <t>5440ff01-6874-4316-a8de-332c14096e93</t>
  </si>
  <si>
    <t>9659348b-2121-44af-ba88-7d3c1e7f84a7</t>
  </si>
  <si>
    <t>a16386a4-1670-4f10-828f-3ac3c2b798b5</t>
  </si>
  <si>
    <t>b85a5deb-eba1-4241-a0c4-ad0cc05072b3</t>
  </si>
  <si>
    <t>f979c22f-3961-4834-9f65-00418173b159</t>
  </si>
  <si>
    <t>2df5009f-ba10-43b8-a428-572544188b0a</t>
  </si>
  <si>
    <t>dd3c1cea-8f2b-4191-ab60-ecf158741648</t>
  </si>
  <si>
    <t>d3be3978-5f44-44c2-ba5c-5efda55c0788</t>
  </si>
  <si>
    <t>915eb940-938f-4970-8bbf-9030603ae745</t>
  </si>
  <si>
    <t>76d82511-a6f4-4f45-ba69-2717608c288f</t>
  </si>
  <si>
    <t>96dd615f-2a29-4b16-8c77-24d24cfccee9</t>
  </si>
  <si>
    <t>59c7d7a5-6a3b-4790-9380-f763a497e0fa</t>
  </si>
  <si>
    <t>980bdfc4-9915-4faf-807d-013d3b374fcd</t>
  </si>
  <si>
    <t>1954befc-d7f8-4599-9ed6-70debad7d22f</t>
  </si>
  <si>
    <t>454a2114-082e-4421-9edb-12f83e186686</t>
  </si>
  <si>
    <t>3ed1e81a-004f-4f9a-9c08-516cd36f8f79</t>
  </si>
  <si>
    <t>4e1d4840-8dd1-44ec-8965-b46c39a19d9d</t>
  </si>
  <si>
    <t>9efa65da-9012-443d-8e26-ec27937ea9d1</t>
  </si>
  <si>
    <t>654257bf-3f17-4ffd-8a54-3410e94a9954</t>
  </si>
  <si>
    <t>a4d2a10a-b24e-4b17-8dc3-095c6a1a2b87</t>
  </si>
  <si>
    <t>f57ae19e-fab1-45e4-9372-c2574a68aa43</t>
  </si>
  <si>
    <t>27e77aca-ad72-4a6b-bda0-c438d5aa92e9</t>
  </si>
  <si>
    <t>f3848a3d-1201-49b8-bb23-7cbc6a08368b</t>
  </si>
  <si>
    <t>8f35fbad-1939-4a3c-a811-bbe07ef61935</t>
  </si>
  <si>
    <t>89f9379b-bb79-4b69-bdc7-b09d9a1fa20c</t>
  </si>
  <si>
    <t>6138f11f-9232-4a82-bed6-c62b92161da7</t>
  </si>
  <si>
    <t>355644db-e0bf-43b2-8be7-36a1205265c7</t>
  </si>
  <si>
    <t>86966fb9-ef7f-481f-a784-e39ac267b56f</t>
  </si>
  <si>
    <t>94fc55c1-643c-481f-8545-a970f5e10703</t>
  </si>
  <si>
    <t>3eaad6f4-7f15-4c49-87d7-e05105c2eea3</t>
  </si>
  <si>
    <t>2a81ec64-9b95-44ac-9bbd-3e77e004436e</t>
  </si>
  <si>
    <t>d4c626a2-6b6f-412f-b35f-453cc57a08b7</t>
  </si>
  <si>
    <t>7a65b354-9f0c-44fa-a680-0e9d3c87c73e</t>
  </si>
  <si>
    <t>88bacbc1-bb05-43ac-a090-35f31e6074d8</t>
  </si>
  <si>
    <t>8100db00-7b75-4069-93f5-cf74502a98c4</t>
  </si>
  <si>
    <t>21205edc-2ffb-4dce-b6a4-13ad8a8450bf</t>
  </si>
  <si>
    <t>450b6e68-026e-4d1b-b9bb-597f2a9b1bdc</t>
  </si>
  <si>
    <t>b266559f-da1e-48d0-a279-c7b37cdc5899</t>
  </si>
  <si>
    <t>86765856-af6d-4291-8299-8ef70972a583</t>
  </si>
  <si>
    <t>b76c94bc-af32-4a71-ae69-9a2c713cb696</t>
  </si>
  <si>
    <t>930be712-ec74-4260-8c2c-c52f7f2327b7</t>
  </si>
  <si>
    <t>2a290e33-1f4c-4b59-88d5-bb9fb03129ea</t>
  </si>
  <si>
    <t>a338aff4-ae1a-45ce-bea5-bce572efe8c1</t>
  </si>
  <si>
    <t>acb287e0-75a9-4889-8eb6-323d15cc7de3</t>
  </si>
  <si>
    <t>087f0011-86fb-4327-a18a-536a08edfb5d</t>
  </si>
  <si>
    <t>adf1a226-5359-44e7-8690-bbe814ff2ac3</t>
  </si>
  <si>
    <t>785e0652-1283-4c68-a635-e96f3140cbcc</t>
  </si>
  <si>
    <t>b4147601-494d-43c8-8ff2-1320cc1d525f</t>
  </si>
  <si>
    <t>8f340b20-ff03-4b80-9530-ef215931e3b9</t>
  </si>
  <si>
    <t>7116a96f-6d6e-46d3-8176-93513053d545</t>
  </si>
  <si>
    <t>b2b8ae31-eb8a-40a3-a5d9-b131324d826b</t>
  </si>
  <si>
    <t>8c10da11-2dd5-4223-888e-117a748f3107</t>
  </si>
  <si>
    <t>2f5798a1-fb24-4efb-932c-6b0a926a6290</t>
  </si>
  <si>
    <t>0f08014b-da6e-4b79-8171-2c51bdce39a2</t>
  </si>
  <si>
    <t>7abbcd40-0866-480d-9824-635556dbeac1</t>
  </si>
  <si>
    <t>7d2d65f3-ed1f-4425-a325-8f8e43594e69</t>
  </si>
  <si>
    <t>4a8b2fa1-8c5e-47f2-9801-c168aa84121d</t>
  </si>
  <si>
    <t>9c2bece6-8c3e-409b-bf83-40e0508a45cc</t>
  </si>
  <si>
    <t>ed0f871a-c1bc-4b93-9f5d-e2d90206146b</t>
  </si>
  <si>
    <t>b4c3ab7d-546b-4666-9e31-79d34941b0ae</t>
  </si>
  <si>
    <t>01b3b3ce-2c57-42d6-aca9-497b62a1c66b</t>
  </si>
  <si>
    <t>485931a6-ccb3-4436-9554-430fbc8d189a</t>
  </si>
  <si>
    <t>f6bb630e-6a2d-42e4-9371-a598462b1515</t>
  </si>
  <si>
    <t>d72a2ac1-389d-4500-8f2a-65253fd4ebc3</t>
  </si>
  <si>
    <t>5ad14c26-01d1-47d0-97d0-c57fe72f84ee</t>
  </si>
  <si>
    <t>4c0287b1-cf45-4107-a454-cd7c56d26948</t>
  </si>
  <si>
    <t>f6ab90b9-5e01-429e-aac6-b858b434b20c</t>
  </si>
  <si>
    <t>b9ae2a97-9bb7-42f3-b6a9-4c90f221ce64</t>
  </si>
  <si>
    <t>c20324f1-17e6-4484-b4bc-8671f89e607e</t>
  </si>
  <si>
    <t>b98db897-f857-4c18-ba27-c667b30c0dfe</t>
  </si>
  <si>
    <t>8a229d09-04c2-4922-8645-c46ee272ebd2</t>
  </si>
  <si>
    <t>7d6f9c3e-50e3-4059-b5d0-bbc9fcbd3910</t>
  </si>
  <si>
    <t>93b8f61c-4375-49bc-a30d-54b4c319f266</t>
  </si>
  <si>
    <t>b28cfde3-38e8-4dac-943d-c148414757b1</t>
  </si>
  <si>
    <t>3b478fcf-d4a2-4c33-b050-0b45af3c0679</t>
  </si>
  <si>
    <t>ba626d62-c8f5-4f0e-90da-05c8b526e564</t>
  </si>
  <si>
    <t>dda37d3a-c038-448e-894d-630954f9fd3f</t>
  </si>
  <si>
    <t>12f3fe4c-c868-4e9e-82de-21f630ec1e46</t>
  </si>
  <si>
    <t>2cc87dcd-7955-4ec0-b520-000d68d18181</t>
  </si>
  <si>
    <t>eb14315f-33e7-4020-b9f6-f94f2b357828</t>
  </si>
  <si>
    <t>a7bcd2d8-77b6-48b7-ba44-4a1939df29fb</t>
  </si>
  <si>
    <t>21a8aaa5-6af5-4756-be7d-57b226f5c7f3</t>
  </si>
  <si>
    <t>06863a94-2c2d-48b6-8770-af0d3d8a0948</t>
  </si>
  <si>
    <t>2b8002e0-b5f8-48f3-89d2-e7690e565274</t>
  </si>
  <si>
    <t>16a3e295-eada-4912-a842-8a4ed842d77b</t>
  </si>
  <si>
    <t>4d1caeb4-9ec4-4179-bb9b-ff2fd6206951</t>
  </si>
  <si>
    <t>a7f9da07-1c52-4dc2-9ba9-9f3f2b901acd</t>
  </si>
  <si>
    <t>483d0f42-e4be-4801-acaa-ece87555fe7e</t>
  </si>
  <si>
    <t>8b0943cb-2fd8-4ef7-9255-13bf11e0932d</t>
  </si>
  <si>
    <t>9b551d02-4450-4882-abca-6fc87f625427</t>
  </si>
  <si>
    <t>c3665e92-e3c1-4f8f-838f-149f8747bf10</t>
  </si>
  <si>
    <t>97677cac-6110-4fca-8580-98b42a698b5c</t>
  </si>
  <si>
    <t>22d560a5-e928-4526-9802-5c31ca8ae3ca</t>
  </si>
  <si>
    <t>9d8fb170-2207-4356-9a79-049a27db6af1</t>
  </si>
  <si>
    <t>e2c388e8-73e3-43f6-930b-1787b2345d9d</t>
  </si>
  <si>
    <t>95b2428f-6c41-4839-99d9-9e87a3ae603e</t>
  </si>
  <si>
    <t>4b04bf41-8529-490f-aad3-1c84e6f8b8e7</t>
  </si>
  <si>
    <t>84505d11-f057-48b5-a9ff-b18e99e81dcc</t>
  </si>
  <si>
    <t>1bf23e82-0b9d-4e22-92aa-4b8017e43f61</t>
  </si>
  <si>
    <t>984d419a-835e-49dd-be89-bb42da17c25a</t>
  </si>
  <si>
    <t>532673fd-e1a4-45bd-8652-63aaba3617a6</t>
  </si>
  <si>
    <t>64d4e2f0-b796-4477-a2b9-dcb8d011e50f</t>
  </si>
  <si>
    <t>24586107-5506-4471-a0fe-c2f6bdbe3a78</t>
  </si>
  <si>
    <t>ec2ed7b8-5675-4d32-b413-406ef8f75e89</t>
  </si>
  <si>
    <t>aa265a76-e810-4938-8736-3d1eedaa4584</t>
  </si>
  <si>
    <t>496b3ef6-6a0a-4f3b-a4e2-5369a458408a</t>
  </si>
  <si>
    <t>ab89e0ee-0f2c-405f-a6f5-2d32d8179218</t>
  </si>
  <si>
    <t>5c9b9dd1-47d9-4f4f-9e25-d4e7aaaa27a5</t>
  </si>
  <si>
    <t>cdf8f775-0d9f-4cbf-ba73-91ed31fbcf5b</t>
  </si>
  <si>
    <t>b7d06409-49ad-4e7a-9c82-12205a0a36b2</t>
  </si>
  <si>
    <t>93226922-b654-47d2-bee2-6801bd2f8ced</t>
  </si>
  <si>
    <t>e686a25c-0048-4481-b94e-b2668948bd5a</t>
  </si>
  <si>
    <t>9d51a596-157a-488b-955e-4c821202e8f5</t>
  </si>
  <si>
    <t>2fcf265c-b3a8-4d0c-9cb0-3adc351832f6</t>
  </si>
  <si>
    <t>6232c7ae-f01e-4ac3-845c-0f5a3f151e40</t>
  </si>
  <si>
    <t>1b0a8496-8374-45f8-9d5c-41c5f0749ccf</t>
  </si>
  <si>
    <t>309b7813-e5ae-4120-aeae-303993c0136a</t>
  </si>
  <si>
    <t>259e4b86-1544-4c6b-a093-d429692cdf4d</t>
  </si>
  <si>
    <t>c5922e16-8d07-4107-bf11-7a7d14353f44</t>
  </si>
  <si>
    <t>9d5ba8a6-0786-4b13-9c64-881480979699</t>
  </si>
  <si>
    <t>fdd9d730-eff6-4c49-86a3-1a8dbf9069f7</t>
  </si>
  <si>
    <t>0c40bdbb-d30b-489e-ac36-91ab09dfdeab</t>
  </si>
  <si>
    <t>bf7ba12e-d46e-470f-a5b2-ac24e64e1000</t>
  </si>
  <si>
    <t>dd0f0abf-7da7-451d-8303-5c9d4e6c7686</t>
  </si>
  <si>
    <t>40bdcfc1-aa37-4245-8b1a-5457ee4c3329</t>
  </si>
  <si>
    <t>8830a083-de96-4d43-a32b-e3862941a35d</t>
  </si>
  <si>
    <t>029a667b-d5e3-4e33-8804-ae8ad6593a7d</t>
  </si>
  <si>
    <t>b4c0a5b3-9910-4d8d-a34b-c7ac6672e6c3</t>
  </si>
  <si>
    <t>7630541e-4db2-42e7-9ec2-cbad37db0b46</t>
  </si>
  <si>
    <t>0fbffe99-eba0-4a18-b1f4-42b9e249dfae</t>
  </si>
  <si>
    <t>18d21cf8-fa88-4759-9ae3-81e1d3fc58fd</t>
  </si>
  <si>
    <t>8036cdac-84b1-4b10-abd3-f32109c28d1e</t>
  </si>
  <si>
    <t>a981b14d-307e-40e0-b1ac-65f5b3b6621d</t>
  </si>
  <si>
    <t>d65621ad-d7c8-43cb-b2d5-338df3a9e044</t>
  </si>
  <si>
    <t>1afd1afc-9a16-4a59-9391-b5165327d402</t>
  </si>
  <si>
    <t>6242664e-528e-49c3-bd6d-d0449f66cc35</t>
  </si>
  <si>
    <t>ce42525a-3f98-4e08-96d5-22881f3069cb</t>
  </si>
  <si>
    <t>b25014f9-a877-4644-8ca2-3ecc383aede2</t>
  </si>
  <si>
    <t>a92e0986-aa29-4342-a381-38b070a25697</t>
  </si>
  <si>
    <t>72b7cdc5-7d03-4550-8bc6-28db784dc8ca</t>
  </si>
  <si>
    <t>39de63f4-d266-4abf-b0f2-369d426acb2a</t>
  </si>
  <si>
    <t>2858e12c-4b07-4c7d-98d7-1c54f6e93ae1</t>
  </si>
  <si>
    <t>b6b9253b-918d-45e9-8a32-50b03cd7e969</t>
  </si>
  <si>
    <t>56e18a3c-3306-426a-87f4-a30881570966</t>
  </si>
  <si>
    <t>924f48da-83dd-4188-81e0-30d3d4b7753a</t>
  </si>
  <si>
    <t>af8f5153-7336-4fda-9255-900c86922fef</t>
  </si>
  <si>
    <t>11c276ad-6bf4-4e1e-bd5c-ae39ed4bad89</t>
  </si>
  <si>
    <t>3f02596b-e0e2-4a15-8142-60d5d4ea59cb</t>
  </si>
  <si>
    <t>31ff060b-e65e-4ff9-b663-dc0431f70c17</t>
  </si>
  <si>
    <t>2033f502-adfa-4ac1-8bfa-151aa1c6b05b</t>
  </si>
  <si>
    <t>0eac3038-33dd-4516-99ec-84d02f68a2c5</t>
  </si>
  <si>
    <t>a819f681-825a-48b6-9554-03c6ca09838b</t>
  </si>
  <si>
    <t>2d0da2af-0c0a-45d2-90e2-09bf79d186b2</t>
  </si>
  <si>
    <t>7e1fcb2f-e933-483a-a590-2d30a6f08e1b</t>
  </si>
  <si>
    <t>94096f6c-620a-4bb2-a60e-37dd3f3b1c53</t>
  </si>
  <si>
    <t>47bac1f0-d7bf-4c0b-8489-888e89950661</t>
  </si>
  <si>
    <t>7d3a7eb0-43dc-437f-acb9-23282ba7030d</t>
  </si>
  <si>
    <t>0473d552-6b1f-403d-82f0-df9246e4da81</t>
  </si>
  <si>
    <t>f178d493-4e6d-4769-8e2a-fb17b9e3b217</t>
  </si>
  <si>
    <t>8ef7eacb-b757-4433-8663-81f540a1f53f</t>
  </si>
  <si>
    <t>f51adae7-ef23-404a-a35b-af069595bfc3</t>
  </si>
  <si>
    <t>5377482b-2831-42cb-a580-2c8bc3613adc</t>
  </si>
  <si>
    <t>cbd69447-6141-4d27-80e4-3d24b6720c99</t>
  </si>
  <si>
    <t>aa5d28fd-4c26-4f47-8fca-552f071cc0b4</t>
  </si>
  <si>
    <t>651b3e7c-1854-42e0-9a77-5764c9372d8c</t>
  </si>
  <si>
    <t>f8a4d03b-fdf7-4ee5-86e9-411e45645bae</t>
  </si>
  <si>
    <t>3a24c949-e09e-4bae-830b-2c5462cf12dd</t>
  </si>
  <si>
    <t>e14b47da-804c-4813-9b11-42c5bf7a7966</t>
  </si>
  <si>
    <t>2c38e8ff-cf40-454e-b3b0-740af2a79dc4</t>
  </si>
  <si>
    <t>2b91949d-dcf1-41ea-a2d7-4c9314f5279d</t>
  </si>
  <si>
    <t>c6ef4026-e73c-488a-ad6f-9928108317be</t>
  </si>
  <si>
    <t>56a921c2-c213-45f1-9dbb-de2e3301283a</t>
  </si>
  <si>
    <t>ed940bf8-aee8-4084-aea0-c94146d3a17c</t>
  </si>
  <si>
    <t>9dff2733-4de0-4a36-9c8c-0e7dac7e36da</t>
  </si>
  <si>
    <t>f33fab0f-cdc4-4f27-927b-71b8540f1645</t>
  </si>
  <si>
    <t>63a5e679-c714-4728-b7b1-bd682373e173</t>
  </si>
  <si>
    <t>eb856ff3-00f3-44e5-be5b-0d895c9226e5</t>
  </si>
  <si>
    <t>36c1e728-81e6-4d66-99a2-cc8773d2db30</t>
  </si>
  <si>
    <t>59851cb6-1f00-424c-88b2-e1a5a3320650</t>
  </si>
  <si>
    <t>d1a393f0-9e4c-481a-a923-37ac3b34df3e</t>
  </si>
  <si>
    <t>351a84a4-4945-4956-a4f9-191886ec3e59</t>
  </si>
  <si>
    <t>4a96d981-4507-4e47-816a-6b5cf721875f</t>
  </si>
  <si>
    <t>deb7873d-1def-45fa-afd9-1cd7a6c3b199</t>
  </si>
  <si>
    <t>f44bb6f9-a8d9-4bac-95fc-6fd46ca8c65c</t>
  </si>
  <si>
    <t>02ec2522-2ad3-47c8-862a-0ecbcd44d536</t>
  </si>
  <si>
    <t>6308bb89-2d05-4eb5-b8b6-1a29eaa86f65</t>
  </si>
  <si>
    <t>17eb2d4c-2069-4247-9ced-33e6af1ccd4f</t>
  </si>
  <si>
    <t>04664fb8-2dc2-49fc-8f2f-2783dcbe7443</t>
  </si>
  <si>
    <t>e401cb19-1807-4c06-99bc-0cc66b195884</t>
  </si>
  <si>
    <t>0567aa10-7398-4fb5-9ad7-05bc221ccf7b</t>
  </si>
  <si>
    <t>0e38ffca-1f73-4b0d-82c2-e19a2035bab1</t>
  </si>
  <si>
    <t>a3e71728-f0d7-4b75-adf0-6df1d25f662e</t>
  </si>
  <si>
    <t>153f211f-8482-4da2-89b4-44848fa3ee76</t>
  </si>
  <si>
    <t>25d139fe-79a2-42a1-8a50-519177556977</t>
  </si>
  <si>
    <t>a7a5f733-c699-45ee-8aa3-22d484d8dfba</t>
  </si>
  <si>
    <t>c50b4664-7e7c-4c68-8615-0dd35ce09233</t>
  </si>
  <si>
    <t>9a94d32f-e929-4b83-8cb1-b58b14e15500</t>
  </si>
  <si>
    <t>b1fd18d0-3bee-4d64-b41d-20adab557168</t>
  </si>
  <si>
    <t>92880fff-5ea0-438f-b82f-52da83a48a2e</t>
  </si>
  <si>
    <t>275285d4-3473-42ef-9539-36f58642ca2d</t>
  </si>
  <si>
    <t>c7e04e58-fe88-45e8-9b70-e8325d3c0d77</t>
  </si>
  <si>
    <t>ed3733c8-fad9-42d2-a075-753a501485c1</t>
  </si>
  <si>
    <t>bb595ca1-75a4-4ff2-b2d5-7bc616908485</t>
  </si>
  <si>
    <t>de6ffcd0-4344-4bc7-9f81-0a47b718b1c6</t>
  </si>
  <si>
    <t>7ae75372-d52c-4b9f-81db-187b5df11b8f</t>
  </si>
  <si>
    <t>0961b447-259c-4106-9dfc-b29c18ee3268</t>
  </si>
  <si>
    <t>6733fa88-2c22-4289-8f9d-2738f2f223f2</t>
  </si>
  <si>
    <t>ba736959-f583-4739-8968-0290afa029e6</t>
  </si>
  <si>
    <t>d60d6724-ba88-43d6-b084-1098266795e3</t>
  </si>
  <si>
    <t>16e5f52c-b9a9-4682-bd78-bab672de433f</t>
  </si>
  <si>
    <t>cae083ba-161c-4411-a397-aa999397571f</t>
  </si>
  <si>
    <t>c7e024a2-a7b1-42de-9ec8-2eface7a42ea</t>
  </si>
  <si>
    <t>d294b97f-cf2d-4d94-a8ae-75b4fbb91cf6</t>
  </si>
  <si>
    <t>658035e4-1ba4-4be1-9ef9-45b5307d06d0</t>
  </si>
  <si>
    <t>581e6697-714a-4270-a0ee-fa3f59b0af0c</t>
  </si>
  <si>
    <t>803ceff0-36a0-4703-bf52-cad1d975542f</t>
  </si>
  <si>
    <t>73f751c7-8c61-4e76-83b6-452af6a4ede5</t>
  </si>
  <si>
    <t>b599a0ed-bf0a-45bb-aeb6-0722f73a50fa</t>
  </si>
  <si>
    <t>da72bd4b-af88-4044-9054-b1256e865aa1</t>
  </si>
  <si>
    <t>5e38612f-0499-48d1-9b5c-77f3ac880488</t>
  </si>
  <si>
    <t>0a66cb6f-a8c4-44db-bce7-81a5c9e5e968</t>
  </si>
  <si>
    <t>b9444b66-159e-4445-baa3-86b6c67d2a12</t>
  </si>
  <si>
    <t>a4493643-2e07-47da-a9aa-2cfd8b95ee3c</t>
  </si>
  <si>
    <t>9cbb6afa-02d9-4d41-a3a0-2cee0503e9cb</t>
  </si>
  <si>
    <t>7bab1710-b049-40ab-a51a-d4b81eb796ca</t>
  </si>
  <si>
    <t>34a2c2e6-d37c-441d-a3fa-8e2683608dc9</t>
  </si>
  <si>
    <t>d2175c8d-2b9d-4e57-8156-d60a6337269d</t>
  </si>
  <si>
    <t>6c1223e7-81e1-4917-85e5-1a4c20152121</t>
  </si>
  <si>
    <t>5dd87c4e-29ae-4eb3-af0c-170f76727f27</t>
  </si>
  <si>
    <t>459f77f9-49ea-4a47-8ef9-eccbcd48f711</t>
  </si>
  <si>
    <t>593f585f-8c2e-4301-8d4f-9a5072b0521a</t>
  </si>
  <si>
    <t>fcb2d78a-d7e2-4f45-bf6f-5c9d5be316a1</t>
  </si>
  <si>
    <t>9cf92281-2835-407d-8baf-930f65d4a895</t>
  </si>
  <si>
    <t>e0bd7f71-4fed-42d8-9543-838248a460d6</t>
  </si>
  <si>
    <t>f391b24a-8f47-4abf-98c6-2b6dc029b507</t>
  </si>
  <si>
    <t>8d62006d-9f79-4c44-8f55-bc75e32a3113</t>
  </si>
  <si>
    <t>58edff7e-fe12-4847-9d63-96fca02927aa</t>
  </si>
  <si>
    <t>ac249a0b-f687-44e4-8b45-c7e3ca5b62af</t>
  </si>
  <si>
    <t>22cf3563-a74a-422c-b504-4ed96bd42adb</t>
  </si>
  <si>
    <t>a369fdd9-f4e2-4ce1-88b5-8e63a29d3048</t>
  </si>
  <si>
    <t>14fd0c3d-7c20-4f74-b705-fc894aafc0e6</t>
  </si>
  <si>
    <t>c4e791eb-6ab3-4845-a181-b678fa7fa97a</t>
  </si>
  <si>
    <t>ffd64028-3f77-4c63-8a5c-42c17cf277db</t>
  </si>
  <si>
    <t>e873479a-1eee-40eb-b0ff-a77512efc64e</t>
  </si>
  <si>
    <t>ac571168-447d-4a33-9a0e-9ecf66da13a2</t>
  </si>
  <si>
    <t>ab3d3213-c9c4-4843-abef-94fedd12b6b9</t>
  </si>
  <si>
    <t>5f50140b-1f81-4e05-bf0d-e2efdf9d83d0</t>
  </si>
  <si>
    <t>8ca24125-559b-4d91-b405-46de7915f685</t>
  </si>
  <si>
    <t>3687107c-7c9b-40ff-86e7-2d0636774a48</t>
  </si>
  <si>
    <t>97532dfe-a293-4674-8dc1-1a90ca1e2925</t>
  </si>
  <si>
    <t>a7273326-fb8b-470d-ba98-dc6855d36bda</t>
  </si>
  <si>
    <t>d2a0854f-8b84-470a-8f81-ce7c2949e216</t>
  </si>
  <si>
    <t>0ff5f6d7-dc9b-46c0-b3d3-1a613b6f40dc</t>
  </si>
  <si>
    <t>d70e827b-2928-45cb-8c8a-70bb92c01baf</t>
  </si>
  <si>
    <t>aa7a6ff6-6acb-4fa2-80ac-c9df590d99b5</t>
  </si>
  <si>
    <t>f28ba34a-da01-4b10-a6e5-f19be9ec4993</t>
  </si>
  <si>
    <t>f8c37904-7754-4f4f-a0a6-6c300f52d1b9</t>
  </si>
  <si>
    <t>13892f24-0399-43e4-81ad-b2683a5937f3</t>
  </si>
  <si>
    <t>774601aa-0882-4fa4-a7ee-c107ab9822e5</t>
  </si>
  <si>
    <t>032e9a3c-7d07-42e6-8dc5-6c7da4996529</t>
  </si>
  <si>
    <t>4d6d9b2f-0d81-4d94-9269-e312986bcc5d</t>
  </si>
  <si>
    <t>00cf1667-2876-4dc9-978d-c5ab0abbde82</t>
  </si>
  <si>
    <t>85745954-f001-4b50-a3a8-89081a78fdb3</t>
  </si>
  <si>
    <t>d7f4bf21-ac26-45bf-91f0-06e1fcfe9bd7</t>
  </si>
  <si>
    <t>01e6801b-1fef-42fb-8ef2-ea09b77073a7</t>
  </si>
  <si>
    <t>ab0f1851-f5da-466f-9a40-39ac5c454128</t>
  </si>
  <si>
    <t>671165ba-f196-4285-925f-75d561220775</t>
  </si>
  <si>
    <t>d2d40ebb-b8b3-4ad9-ace3-096edd180329</t>
  </si>
  <si>
    <t>5c0b46c2-c510-45ff-98bb-beb686d84154</t>
  </si>
  <si>
    <t>58ded57a-ec90-49e9-963f-dfea5dc82a15</t>
  </si>
  <si>
    <t>66dec43e-1ffc-4923-9e95-3d865f5b8ef2</t>
  </si>
  <si>
    <t>fde12247-9936-42f7-8be1-77087b2ccb06</t>
  </si>
  <si>
    <t>b54bde1d-fa6b-4376-8f85-5daf9af3baf0</t>
  </si>
  <si>
    <t>fa32fedc-ac88-4f28-b1a5-911aa754bb54</t>
  </si>
  <si>
    <t>4acf70a4-4601-4a7b-ba60-ec429e02ed93</t>
  </si>
  <si>
    <t>1f93face-05de-4411-bebd-d5f0d5ca63cd</t>
  </si>
  <si>
    <t>e81aef30-e7a7-4aeb-8eef-c4967596a893</t>
  </si>
  <si>
    <t>99bc6deb-c00c-4e60-bf79-57535827e446</t>
  </si>
  <si>
    <t>44ae8a3c-93f0-4ffa-80ab-a04b49d288ce</t>
  </si>
  <si>
    <t>0bc417ee-3f71-4373-a8cc-331b1aa4a350</t>
  </si>
  <si>
    <t>4cbbe2c6-93a6-4f4a-8a58-cb0568992128</t>
  </si>
  <si>
    <t>842e532f-eafa-43c3-91e1-043216a3a1b9</t>
  </si>
  <si>
    <t>ce76d2eb-7452-44f4-bfe8-8f14ea2d179f</t>
  </si>
  <si>
    <t>b944a82d-8935-4ec4-a9a8-ee375c046361</t>
  </si>
  <si>
    <t>56fc1cd3-f46c-45b1-86c8-a8d814b4b01f</t>
  </si>
  <si>
    <t>eeecc979-d06f-4951-a2cd-655a554aeab5</t>
  </si>
  <si>
    <t>8cba73af-fdd2-40c5-a047-ad5892347414</t>
  </si>
  <si>
    <t>ce9e2886-8929-4783-b4c6-606c0b390a67</t>
  </si>
  <si>
    <t>de4b41a5-0849-4e62-8e1a-8a8402d632bc</t>
  </si>
  <si>
    <t>2def8921-9bc9-4018-94e5-e01583cb4a8a</t>
  </si>
  <si>
    <t>c6866d13-0b06-4e37-9951-7419fe48f070</t>
  </si>
  <si>
    <t>35f91264-6cc8-4a3a-ba35-f41a1f8845b8</t>
  </si>
  <si>
    <t>6322cad7-9bab-45ba-974b-e2761a226ff6</t>
  </si>
  <si>
    <t>0c62aef7-ef41-42aa-8500-89a6c481df76</t>
  </si>
  <si>
    <t>37791795-8e12-4220-89b1-1fcdde816eba</t>
  </si>
  <si>
    <t>48b9de50-6724-44ad-a0d2-d78beb2554c4</t>
  </si>
  <si>
    <t>0c872601-857c-425d-813a-07043f66be87</t>
  </si>
  <si>
    <t>9c36838f-6eaf-4bb4-9024-1e2b376b94ab</t>
  </si>
  <si>
    <t>3a184b71-300b-4893-b4aa-92cff705b7c7</t>
  </si>
  <si>
    <t>d1eea60c-8922-461e-97b9-7c8c3634e4a8</t>
  </si>
  <si>
    <t>ad4116a1-d841-48bb-b96d-4474cbf84c68</t>
  </si>
  <si>
    <t>1ee48ca0-f336-47e8-bc94-950b8fb7b8e4</t>
  </si>
  <si>
    <t>e256a69a-08fe-4384-91d9-c1bc7bb74c96</t>
  </si>
  <si>
    <t>01b9a552-c129-4000-a259-2125118a2d05</t>
  </si>
  <si>
    <t>f3763f9d-ced2-4983-9cfa-203770b1f23d</t>
  </si>
  <si>
    <t>5f4ae876-26fa-4e2d-a50c-06cc47a357a5</t>
  </si>
  <si>
    <t>23701bff-2f61-4efb-8367-a2b937e0a8c4</t>
  </si>
  <si>
    <t>6065d8f7-08e7-421c-ab2c-0f3401c1007e</t>
  </si>
  <si>
    <t>38c98f6f-3535-415c-bfba-78244c1ba199</t>
  </si>
  <si>
    <t>7af0ed2d-08ed-400c-a8e7-b764ab1e1b78</t>
  </si>
  <si>
    <t>14ce19c7-ffce-41b5-b4a1-67314cd5974a</t>
  </si>
  <si>
    <t>46849fbb-5a52-4e73-bb8f-ae01b6fb599c</t>
  </si>
  <si>
    <t>c916c9b4-1164-4387-81e7-0c2d0565b9b1</t>
  </si>
  <si>
    <t>44cc0ae8-cb94-4b3f-9d0d-0c24c1a57267</t>
  </si>
  <si>
    <t>4b3a58cf-f92e-40ab-bfe3-9203f6b813ea</t>
  </si>
  <si>
    <t>7e08b75e-d8c2-4370-917d-99e19d660ed3</t>
  </si>
  <si>
    <t>ecd05571-5133-452b-a15c-58b1d6fcf55b</t>
  </si>
  <si>
    <t>ad1386aa-c4a6-4fef-ac7d-8d017bc1834d</t>
  </si>
  <si>
    <t>5c0d251e-ecf0-42b1-a8a3-92879c7759d2</t>
  </si>
  <si>
    <t>1c50a915-b685-4954-b75e-50696b67585c</t>
  </si>
  <si>
    <t>0dbd65af-cebd-466e-8dae-0faefae015d0</t>
  </si>
  <si>
    <t>b0e1e6b6-595d-40f5-9190-bda8ffaf670c</t>
  </si>
  <si>
    <t>af3333ad-218a-4c59-a505-0bdc6c3a8ff9</t>
  </si>
  <si>
    <t>b86d66cb-9189-4291-b58a-ff82f1400a1b</t>
  </si>
  <si>
    <t>8792f856-e6dc-4e01-9e66-5da330500bb1</t>
  </si>
  <si>
    <t>9ee323d9-03fd-4243-b725-0799969eebe5</t>
  </si>
  <si>
    <t>ed30d9dc-3b8b-4568-90b0-9a4ab37c0b43</t>
  </si>
  <si>
    <t>5fd52a5c-0e8a-4c1f-bce7-fb565f654413</t>
  </si>
  <si>
    <t>646fdaf5-1306-44f0-b02d-00ae75a929ae</t>
  </si>
  <si>
    <t>a29a6a04-1baa-41ca-a6f8-8975da13ccac</t>
  </si>
  <si>
    <t>35687a5e-84aa-4fd3-8a35-6d2c4ede909e</t>
  </si>
  <si>
    <t>092b1c55-371b-4499-a9ba-03a34d3efd9e</t>
  </si>
  <si>
    <t>30f6ab29-5f0d-44e0-b094-8a26164d5303</t>
  </si>
  <si>
    <t>5709d5c3-d7e3-44cb-a414-0401be7a414d</t>
  </si>
  <si>
    <t>ff149146-918e-4a05-802a-08e696b05ca5</t>
  </si>
  <si>
    <t>8d3f248e-ed7c-42cd-b3d4-60774b897d71</t>
  </si>
  <si>
    <t>f0d90afa-ac9b-4248-9f1f-d262d266696b</t>
  </si>
  <si>
    <t>efe7aef5-61d4-4046-b949-8ebb253ea4df</t>
  </si>
  <si>
    <t>5f99dc80-0876-4938-9f32-32f8121def1d</t>
  </si>
  <si>
    <t>7dcf21e0-1891-4a67-8762-5475e064b562</t>
  </si>
  <si>
    <t>8891ec31-2a81-4f19-a0fb-9f092f2fa076</t>
  </si>
  <si>
    <t>b253557e-7e9f-42e7-a964-08409512972c</t>
  </si>
  <si>
    <t>80fa0811-9079-4a4e-bee3-27d5d809118c</t>
  </si>
  <si>
    <t>e0ed8133-983b-499f-aaa2-d55fed500c39</t>
  </si>
  <si>
    <t>0742f86e-5f2d-44ef-99e9-17701ba583e9</t>
  </si>
  <si>
    <t>b75366bb-d3d5-426f-bf5e-c38759e966bc</t>
  </si>
  <si>
    <t>394cb1e4-055f-4966-83e6-243beaeb3aca</t>
  </si>
  <si>
    <t>3a9ecfb2-33d3-4bee-a44a-630de00fbd01</t>
  </si>
  <si>
    <t>38e8f595-7ae2-478a-ad6b-449334d7fc96</t>
  </si>
  <si>
    <t>24796c47-3ab2-4476-834f-b8ee3062a37e</t>
  </si>
  <si>
    <t>41816b3f-56f6-43bf-9115-971ba7dc242f</t>
  </si>
  <si>
    <t>5cde086f-eb25-4291-b2ee-0c6d1c6b5459</t>
  </si>
  <si>
    <t>1dfb56be-d12c-4739-aab0-0f6cd8c3031c</t>
  </si>
  <si>
    <t>d8653e82-a487-4adf-9ac9-64f6664ed08c</t>
  </si>
  <si>
    <t>0cb3b1b4-f56d-4937-a509-b7c79a125bc7</t>
  </si>
  <si>
    <t>e33b05be-fc1b-4cf1-9fcc-185be5525bac</t>
  </si>
  <si>
    <t>e674aba0-35ab-4d84-9283-901a58d5ece9</t>
  </si>
  <si>
    <t>98504084-75ee-40c1-a61e-c01ebf8377d5</t>
  </si>
  <si>
    <t>db86ffd3-430d-4f21-99a0-d0c002b24dfb</t>
  </si>
  <si>
    <t>f2148f5b-1c1c-4924-8f23-c2781fe5c869</t>
  </si>
  <si>
    <t>6b12da3c-c538-4257-b3a8-6ecaaeb07210</t>
  </si>
  <si>
    <t>4419096c-eab3-4723-920e-eac48bdbf287</t>
  </si>
  <si>
    <t>6579bce5-dc6a-481c-b1fe-a22518a7a609</t>
  </si>
  <si>
    <t>891cf0f4-f86f-4ad3-9336-c08226ab832f</t>
  </si>
  <si>
    <t>3a412682-0c12-4379-8613-f752dadfc41d</t>
  </si>
  <si>
    <t>3ea62e22-d039-4d10-bdfb-ff1b821675bb</t>
  </si>
  <si>
    <t>71e228f4-5b7f-4806-8a29-28bf53814d83</t>
  </si>
  <si>
    <t>422bf1a4-f0ed-4bab-a1ff-8269c1c70ecc</t>
  </si>
  <si>
    <t>963809c1-1498-4951-b893-a42cd0b8038a</t>
  </si>
  <si>
    <t>32c89f45-a6e5-450a-991b-ca55e7d3bc65</t>
  </si>
  <si>
    <t>25c15fc4-5df8-45a4-a8f3-4477b6549bb9</t>
  </si>
  <si>
    <t>f80d6eaf-dae4-43ce-8c83-bd1c6ae38c81</t>
  </si>
  <si>
    <t>6861742f-e225-4a48-a899-10515f5fe14a</t>
  </si>
  <si>
    <t>3d12f279-fec1-42b9-8628-9191b773a7f4</t>
  </si>
  <si>
    <t>36490c08-2bed-473e-b421-f79d03e44d36</t>
  </si>
  <si>
    <t>952c3b4f-7921-4f45-bb74-2b229a8312d4</t>
  </si>
  <si>
    <t>b8fdc9d1-5b33-44ff-8112-c60df62d6f32</t>
  </si>
  <si>
    <t>0fe47c7b-385a-478d-bda2-22b84a8712a2</t>
  </si>
  <si>
    <t>18f6b306-a34c-4cfc-9798-99a919a0992f</t>
  </si>
  <si>
    <t>e975682c-48c9-49b9-8381-1fe0f4943c3b</t>
  </si>
  <si>
    <t>b041cc34-ff46-4f7c-8983-f68f29c0d3ef</t>
  </si>
  <si>
    <t>dd14a766-3108-4397-9422-525fac071e57</t>
  </si>
  <si>
    <t>f7e212bf-14ed-4017-ad80-dacd5d6b7be5</t>
  </si>
  <si>
    <t>c33f8bd1-b44c-4e7b-af87-b85574c2bec5</t>
  </si>
  <si>
    <t>d96d507e-5f27-43fc-b25e-c80f3e52f49d</t>
  </si>
  <si>
    <t>2224f87a-30da-4c5e-9ff3-dbdac8e1592e</t>
  </si>
  <si>
    <t>3cb33869-2004-4ce2-8d6d-bcfe4432e0cf</t>
  </si>
  <si>
    <t>1accc892-44fa-4be9-bfc4-c9168ec4417a</t>
  </si>
  <si>
    <t>f06a4e35-9aad-42e2-97b8-88c0876364ae</t>
  </si>
  <si>
    <t>07c019ac-78fd-4f04-99b3-ed1efce17ed2</t>
  </si>
  <si>
    <t>2114f4a9-f892-40f2-ad83-1f6431f06ad6</t>
  </si>
  <si>
    <t>eeafbbe8-c130-4215-98cb-2c50590d4c36</t>
  </si>
  <si>
    <t>b6c7f41f-f9fd-4915-a4b5-eb9eddfcca2f</t>
  </si>
  <si>
    <t>b60244ce-c9ab-4ca7-af7b-a752e7569f20</t>
  </si>
  <si>
    <t>a6af82cf-a6a1-4305-a839-e70b51783c32</t>
  </si>
  <si>
    <t>a70da997-2a45-4bb6-bb24-e40964941eff</t>
  </si>
  <si>
    <t>c306dc87-45f3-4bee-bfbc-2e928cd8c63f</t>
  </si>
  <si>
    <t>f898a1fd-293e-40b3-9a40-e21de4828852</t>
  </si>
  <si>
    <t>b47423e0-fc07-4c45-93e9-5de5f180c69b</t>
  </si>
  <si>
    <t>4bb2258b-b1bf-4e4a-8e25-5738517e9917</t>
  </si>
  <si>
    <t>4ca18b96-1fce-4bcc-9b1e-85c0f699523e</t>
  </si>
  <si>
    <t>45cd4327-0de3-43a8-a581-0bdd0432030d</t>
  </si>
  <si>
    <t>d263f088-0d09-494b-83b1-268d497cbcd0</t>
  </si>
  <si>
    <t>7e16b964-d803-4cb8-94da-29f5660c1027</t>
  </si>
  <si>
    <t>672a8d38-e6ed-4649-8b8f-e31ceedeea37</t>
  </si>
  <si>
    <t>3cffe3c7-6583-4e5a-b615-1fdf922642f9</t>
  </si>
  <si>
    <t>744bf5e8-5096-4082-8903-70e4cfdd1e64</t>
  </si>
  <si>
    <t>b9802ea9-5c98-4d4a-a77c-6de878d22ea4</t>
  </si>
  <si>
    <t>9363bef2-c9cb-4a76-971e-f1a5bb357d58</t>
  </si>
  <si>
    <t>349f7e43-7477-4e48-860d-b838ad415b1c</t>
  </si>
  <si>
    <t>9cc41b86-9e5f-40f1-91f1-5c431290571a</t>
  </si>
  <si>
    <t>6f5a2958-cb64-47b5-af53-1d70ba016494</t>
  </si>
  <si>
    <t>887de878-c150-46f7-9bf5-58c7ef8ce74e</t>
  </si>
  <si>
    <t>291d76b3-d8c3-406e-803f-c9e04fb283de</t>
  </si>
  <si>
    <t>46b5db3d-c2b2-4188-9424-4f7172f15112</t>
  </si>
  <si>
    <t>aaa4f493-b841-42d0-a7ca-644ad0512c3a</t>
  </si>
  <si>
    <t>43c97b11-0e8d-4947-9bdb-12af35174f31</t>
  </si>
  <si>
    <t>565b0478-0a6f-4900-b6b6-285e6656bb91</t>
  </si>
  <si>
    <t>2240c2c4-f736-4caa-bc9f-6500eb1501ba</t>
  </si>
  <si>
    <t>c9ca7e43-bb03-4e5c-82be-057200bc6f32</t>
  </si>
  <si>
    <t>32f97948-ac90-446f-ba8f-0da203d8d523</t>
  </si>
  <si>
    <t>501823e6-8ea5-433b-b0f6-d8c5f53c8907</t>
  </si>
  <si>
    <t>c4c39eed-21ee-4f06-be68-f9f4899be76b</t>
  </si>
  <si>
    <t>16c333fc-47cb-49f9-819b-b9853c0254d7</t>
  </si>
  <si>
    <t>3790887a-7a19-4201-9f39-fec333345e97</t>
  </si>
  <si>
    <t>7bd51ef6-d0f6-4894-ade9-af2b4f2f45b1</t>
  </si>
  <si>
    <t>67db947c-f035-417e-8883-71b4780b4fc0</t>
  </si>
  <si>
    <t>3d394651-d7f9-455c-b308-058cb52f8df8</t>
  </si>
  <si>
    <t>356a678e-8341-481b-b1dd-c3bf8085cdf3</t>
  </si>
  <si>
    <t>af9ce006-0bc4-48ee-ad39-730a74359d03</t>
  </si>
  <si>
    <t>466baf83-d1b8-4d98-9f30-06b1e654f463</t>
  </si>
  <si>
    <t>a902ec06-7bed-4c3d-b664-5e26fc183d7c</t>
  </si>
  <si>
    <t>32484385-55d4-4c6a-ad1a-834abeaaa883</t>
  </si>
  <si>
    <t>1227b01e-1600-46ac-b14f-3991a895796a</t>
  </si>
  <si>
    <t>64f688c6-0b4c-451a-94f9-48a66dd0139d</t>
  </si>
  <si>
    <t>d20c3cd3-e949-4026-a0af-1b9392f4d466</t>
  </si>
  <si>
    <t>16baff30-d637-4241-9b5f-1d0451f30375</t>
  </si>
  <si>
    <t>8b811175-e9c7-4a47-9e23-1b92a6a498aa</t>
  </si>
  <si>
    <t>a2796611-e145-4000-823c-16e30e8f2d03</t>
  </si>
  <si>
    <t>d1f48191-4dfa-474e-b7ca-3b935aee6531</t>
  </si>
  <si>
    <t>e724e4f3-9542-43f8-ab8f-e817d88999a3</t>
  </si>
  <si>
    <t>45c7566b-3b5b-4112-8ed2-89a4d20a3eae</t>
  </si>
  <si>
    <t>6b1bb258-a4c9-41c1-abb5-811dbb60701a</t>
  </si>
  <si>
    <t>d13f6fc0-7d6e-4dce-9798-93a1c6162887</t>
  </si>
  <si>
    <t>8018cc4c-3924-46b3-8fc8-a31de1b42fc2</t>
  </si>
  <si>
    <t>00108bd6-c0ee-42f0-8809-e5be2b6cd12a</t>
  </si>
  <si>
    <t>a7607adf-e66d-431e-ad89-61a216125690</t>
  </si>
  <si>
    <t>5a5cf094-cda6-4488-9171-9747ec590ad0</t>
  </si>
  <si>
    <t>5254de27-f444-44d4-bc79-08efebefaa4b</t>
  </si>
  <si>
    <t>c6d7aa04-5235-4214-b413-8a53f966b119</t>
  </si>
  <si>
    <t>fde18152-cb7b-433c-98b4-cc7b6016b750</t>
  </si>
  <si>
    <t>3155d3e9-2213-4d16-8587-5137a087ef3b</t>
  </si>
  <si>
    <t>104484a9-8ace-4877-a90c-bf2c7e79be7b</t>
  </si>
  <si>
    <t>65fcb9c7-6e5a-4058-86ee-93af0d7bd2fb</t>
  </si>
  <si>
    <t>94b1c205-4fe9-431a-bba7-ca1d0d013436</t>
  </si>
  <si>
    <t>55725796-857e-4b59-b253-187bd5f07d1b</t>
  </si>
  <si>
    <t>d2f0f6e0-fa3c-4b50-97fd-a84f8b4707fe</t>
  </si>
  <si>
    <t>ddb275d9-4e72-4fa7-8ce6-d3d458a81cf3</t>
  </si>
  <si>
    <t>606adbe6-dd8a-4eb8-8ddf-baf3d62da553</t>
  </si>
  <si>
    <t>c172eab0-fd92-44ea-aed5-4119fdf3d104</t>
  </si>
  <si>
    <t>6e118d2b-80ba-4226-8a1a-cdacad3f4448</t>
  </si>
  <si>
    <t>ca6c9e3c-8993-450d-b1fb-49cc7afd440e</t>
  </si>
  <si>
    <t>e4e34065-9917-4bec-9673-b0f75e992985</t>
  </si>
  <si>
    <t>0512ed5b-de30-4681-8b7c-8f2aeaf80725</t>
  </si>
  <si>
    <t>1257021f-5cd1-4213-821c-e0a323d6e2ee</t>
  </si>
  <si>
    <t>9356ab66-a890-48cf-86d8-a569664d9b56</t>
  </si>
  <si>
    <t>3daa3b0c-08d0-4763-876b-dc2c86533963</t>
  </si>
  <si>
    <t>47366ae4-467f-4bec-b49d-a7f22b794f59</t>
  </si>
  <si>
    <t>1b077aeb-57d0-438b-adab-48691727b847</t>
  </si>
  <si>
    <t>49725105-8575-4217-87f4-5733bd288d03</t>
  </si>
  <si>
    <t>6b2ff669-1b0a-4f76-acfe-421153087710</t>
  </si>
  <si>
    <t>a22669d5-6da6-4097-a4e4-4ff4655a0d38</t>
  </si>
  <si>
    <t>aef0ea56-6758-44c7-88b6-32d7ca0556ca</t>
  </si>
  <si>
    <t>fb963246-a793-4d70-a015-0402e3173f5a</t>
  </si>
  <si>
    <t>b1806254-48df-4ade-8024-ce14aab30781</t>
  </si>
  <si>
    <t>cfce115a-0bc5-4aac-bf51-59898240c4a1</t>
  </si>
  <si>
    <t>4c6ba635-f6a3-47b0-b165-d6654655de23</t>
  </si>
  <si>
    <t>5fe4f40a-4055-446d-8d46-e7cb6a540c72</t>
  </si>
  <si>
    <t>266be772-0a13-4114-bd1b-dc40b0516ce2</t>
  </si>
  <si>
    <t>fc9cfb2b-7e44-456d-ad56-cb91f2b276fb</t>
  </si>
  <si>
    <t>1c1ef7b5-72cc-4aa6-95d8-7b26897e9a21</t>
  </si>
  <si>
    <t>baa40e1d-e279-4770-b5fa-1da71e3ab2e2</t>
  </si>
  <si>
    <t>edd9b3d1-bdde-4f75-a7f9-8012744512ba</t>
  </si>
  <si>
    <t>255dd7cf-6113-435a-a958-00f25e1987e5</t>
  </si>
  <si>
    <t>0fa1ce67-73cf-4d9b-a171-81ef2ba271fd</t>
  </si>
  <si>
    <t>23e2a122-9e50-41d8-a434-c25675765f79</t>
  </si>
  <si>
    <t>7ec26427-23a6-4cc3-a188-ac08968e6f3e</t>
  </si>
  <si>
    <t>e012b536-8421-45de-a8ca-caab61d9b1e4</t>
  </si>
  <si>
    <t>7069b89a-b443-4895-89a4-44b719c1e347</t>
  </si>
  <si>
    <t>1dcf08f8-357b-4740-98c1-bb768f842126</t>
  </si>
  <si>
    <t>9ffd0956-8b70-4483-ac93-63f2e5e101cc</t>
  </si>
  <si>
    <t>bfbe5804-1dc1-452b-b92b-a483c5eeb76b</t>
  </si>
  <si>
    <t>7bf23b3d-ab59-48e0-a558-db5c48b1a206</t>
  </si>
  <si>
    <t>02ec20f5-ed7f-4f0e-8c1c-e95b386c28b5</t>
  </si>
  <si>
    <t>7954dfc1-63a1-4207-b3e0-4d55b73f564f</t>
  </si>
  <si>
    <t>48692c47-9278-4198-be47-f921a8ab8299</t>
  </si>
  <si>
    <t>57a8fb5f-c293-4702-ad9e-71cbdb4aa6e8</t>
  </si>
  <si>
    <t>3fe822d8-7078-4018-a420-b4496d29ccf2</t>
  </si>
  <si>
    <t>fcd90302-e7f6-4679-ac49-cffe71a7ee46</t>
  </si>
  <si>
    <t>aae4b13b-2247-4c8b-bdfd-f94dc5ac45e9</t>
  </si>
  <si>
    <t>5d298906-96ce-4a2a-b1f1-8e7b18bbbd25</t>
  </si>
  <si>
    <t>ba02bc00-8be5-478d-92ba-eb993ed9e571</t>
  </si>
  <si>
    <t>05f5d068-70f9-45f7-a440-2eca2e0af6df</t>
  </si>
  <si>
    <t>f57d69c1-f51d-4ec3-b0f7-7cfcc5f49e3b</t>
  </si>
  <si>
    <t>403d8e8c-bc7b-4d0a-8339-07365f767b62</t>
  </si>
  <si>
    <t>792136ad-a56c-4505-abf3-22d4b8fe35d9</t>
  </si>
  <si>
    <t>82eb568e-1658-4648-8809-2a53fafc3dc7</t>
  </si>
  <si>
    <t>8ff8e23b-ac00-4e86-9748-01556e3ecc32</t>
  </si>
  <si>
    <t>5626606a-8708-469e-a1c9-d0d93478c2e1</t>
  </si>
  <si>
    <t>b3b8b32a-3b18-4ef3-86ff-424d50eef43f</t>
  </si>
  <si>
    <t>ee0c0189-40a6-4894-a64a-5c23b3f6b5a2</t>
  </si>
  <si>
    <t>d20a61c2-fa3d-4e57-8b09-3e19ade44d10</t>
  </si>
  <si>
    <t>0301a4b5-7475-4b89-bac5-00093859216d</t>
  </si>
  <si>
    <t>6236413f-44f4-4429-85ba-6ba5dbf37e89</t>
  </si>
  <si>
    <t>154ec30a-7a10-4161-9386-87abd5a14b98</t>
  </si>
  <si>
    <t>88848d87-d7aa-4f30-85e6-af72905dd402</t>
  </si>
  <si>
    <t>e4768262-43e0-4321-929d-d7ac85194afa</t>
  </si>
  <si>
    <t>fd0ebde2-f8c0-4963-a1af-402dd9fe9fb6</t>
  </si>
  <si>
    <t>60d8375e-e90b-4db1-827d-29f59ee209a7</t>
  </si>
  <si>
    <t>dd57db1b-a539-458a-a190-1fa9d3961f20</t>
  </si>
  <si>
    <t>54089806-c774-4d4b-b323-e5f2d42fbb5c</t>
  </si>
  <si>
    <t>f6c76b05-75ec-4bf4-a63d-e8eede4026c6</t>
  </si>
  <si>
    <t>2d1781ac-2416-4df0-8681-e86766db1d33</t>
  </si>
  <si>
    <t>838bc2fe-a146-4520-97ba-0f710f7b1ea3</t>
  </si>
  <si>
    <t>38dde078-8a79-4e50-8d44-dad952e9ae22</t>
  </si>
  <si>
    <t>c0b4153b-d0b1-4974-90f4-28dbb8c88ff8</t>
  </si>
  <si>
    <t>b5c5a9ff-0db7-466e-b0cd-e2948bd83e94</t>
  </si>
  <si>
    <t>aeff1496-6b97-4258-870d-670cd28f4ada</t>
  </si>
  <si>
    <t>c71e9898-65ce-47bd-918c-3ebdd3ffcac9</t>
  </si>
  <si>
    <t>1f9e775f-0ade-4083-9cb5-11b1324985ec</t>
  </si>
  <si>
    <t>a577834a-41c6-489f-9666-5eafe78530a5</t>
  </si>
  <si>
    <t>796a5f77-018a-451d-abc9-46948b6456b2</t>
  </si>
  <si>
    <t>dc518d2a-a7f9-4120-8407-01ccb6efe5cb</t>
  </si>
  <si>
    <t>49ff3afb-cb6c-4dfc-8468-530f9c0abfd6</t>
  </si>
  <si>
    <t>6c561eec-2d63-4ef6-9d9a-18c9c6f1bac1</t>
  </si>
  <si>
    <t>560576d9-5dd5-4ce5-9c25-319ce946f39e</t>
  </si>
  <si>
    <t>3ab879fb-d01a-4c51-b3f9-625d2c4e1860</t>
  </si>
  <si>
    <t>ee70356f-8d7b-4674-bdc8-ee84bf93e296</t>
  </si>
  <si>
    <t>d43ee357-4a11-411a-be89-1e938a2b03c5</t>
  </si>
  <si>
    <t>950d7dad-d93e-43ae-ab6f-1e24d330f4b3</t>
  </si>
  <si>
    <t>a085a33f-40ea-44f0-a592-3869a8fb76d6</t>
  </si>
  <si>
    <t>f1bf566a-dde7-4e4f-8895-4e30277b67fe</t>
  </si>
  <si>
    <t>ff0381b1-21b5-4e1c-9f32-a33104814ce9</t>
  </si>
  <si>
    <t>b02aafea-c911-43ca-8034-748cdba41d79</t>
  </si>
  <si>
    <t>58d12b76-d7ee-481e-b9f8-6d8513ea063d</t>
  </si>
  <si>
    <t>08141b17-2f86-464f-ac79-eac660142aab</t>
  </si>
  <si>
    <t>1560ad96-084e-4aee-9acd-5e46ee8105e4</t>
  </si>
  <si>
    <t>0d26aff1-5dcd-4c72-8853-ac6efd34ca2a</t>
  </si>
  <si>
    <t>84080a5b-af89-4c17-b1f8-6859842d4e5b</t>
  </si>
  <si>
    <t>c0d31bac-2ab7-4f02-a3b0-d9b5a0e1c03d</t>
  </si>
  <si>
    <t>8196f9c1-0f8f-4a56-9eb3-baa2012b65d4</t>
  </si>
  <si>
    <t>01e7ba0e-23f7-4c43-91c2-97ccea703e51</t>
  </si>
  <si>
    <t>4fe787fa-8786-4d56-93d0-ed72f11b7241</t>
  </si>
  <si>
    <t>a9284906-2f35-4b1c-85bb-7eb60338cc2d</t>
  </si>
  <si>
    <t>26b2ed27-68f5-4d21-a1f2-1cd87d048e06</t>
  </si>
  <si>
    <t>92c683ff-034e-4bdd-8c27-d196a4676bed</t>
  </si>
  <si>
    <t>64a5562b-1eeb-4de7-90d8-9eba0b1c09ff</t>
  </si>
  <si>
    <t>1524b909-0e45-44be-8e93-1855b614339c</t>
  </si>
  <si>
    <t>693f8ac0-ef10-4a05-9f43-07e089edab75</t>
  </si>
  <si>
    <t>c31b9740-ad76-4178-9256-2c00a1c7290a</t>
  </si>
  <si>
    <t>c7f1727b-e0a3-4f06-86ba-cc1a3dedfa85</t>
  </si>
  <si>
    <t>f376f532-f75b-4c60-b56e-08527a7facca</t>
  </si>
  <si>
    <t>4a212db8-6b5d-4f86-96c6-027c1d4c5a60</t>
  </si>
  <si>
    <t>16993e91-870b-47d2-9098-b687b2f20336</t>
  </si>
  <si>
    <t>5b5ea547-92ab-40fa-8576-69d92d37557b</t>
  </si>
  <si>
    <t>80545107-3bf0-4bad-8c8e-98950b1e8738</t>
  </si>
  <si>
    <t>0376ecc1-f7bd-41b0-bb41-719f1cdf0853</t>
  </si>
  <si>
    <t>e7aeeddd-1450-47d9-a18a-0e209f5af835</t>
  </si>
  <si>
    <t>19646dbb-a0c8-44c8-a262-169801a59f2f</t>
  </si>
  <si>
    <t>ae7779f6-13a0-43e7-a356-45a7c3965e23</t>
  </si>
  <si>
    <t>2dc2f017-c762-4922-8704-ed47a421afb6</t>
  </si>
  <si>
    <t>d34b78fd-e9fd-4af2-8185-ecad66520d4b</t>
  </si>
  <si>
    <t>910ccab4-1c1a-4591-94c7-8399939f3480</t>
  </si>
  <si>
    <t>cb2b7b7c-60aa-4222-a711-cb109e2aa2b8</t>
  </si>
  <si>
    <t>a7b3553d-e719-4b4d-802d-33622723dd5d</t>
  </si>
  <si>
    <t>d2f0f59a-fd2c-4f32-9da0-a09c7b877025</t>
  </si>
  <si>
    <t>6e99dfd5-3046-4724-8933-41ed69d81932</t>
  </si>
  <si>
    <t>97bb6237-30a3-4795-b9dd-036113d4b3b3</t>
  </si>
  <si>
    <t>efba9209-3221-4892-8d96-23146aef4424</t>
  </si>
  <si>
    <t>8eb5037d-cf60-465e-a7b6-fc940311b87b</t>
  </si>
  <si>
    <t>a9aa274f-d581-457a-ad8e-94d886058ed8</t>
  </si>
  <si>
    <t>92ba884c-d467-4b97-aba0-7032878c1e03</t>
  </si>
  <si>
    <t>0a8bc259-eb14-4cdf-8add-0d96ac8f1646</t>
  </si>
  <si>
    <t>748be132-1b1e-4306-ba23-735a539d422e</t>
  </si>
  <si>
    <t>298435d0-1f7a-4dd4-b065-7801de7e23fd</t>
  </si>
  <si>
    <t>07bb46a2-c255-4133-8fec-c0b3ac944990</t>
  </si>
  <si>
    <t>92c53048-5882-489d-856d-aa142eaf9d80</t>
  </si>
  <si>
    <t>8f16a933-2d0f-43f7-af59-63dba7b6db8d</t>
  </si>
  <si>
    <t>a673ecc2-3f9e-49c8-a8a0-33518170fc75</t>
  </si>
  <si>
    <t>e4c0bdd0-8887-4794-83d0-90bcf550e7f8</t>
  </si>
  <si>
    <t>e1400ac9-2fdf-4207-8c65-82d322a55539</t>
  </si>
  <si>
    <t>f6271f82-73c1-4c68-94f0-00a8c7ee3ec1</t>
  </si>
  <si>
    <t>2af3f4c7-9797-4e72-b0e8-7005376ce267</t>
  </si>
  <si>
    <t>246e7b39-0755-4a0a-9d9b-dfe34ab133cb</t>
  </si>
  <si>
    <t>9fb45fe7-6937-4239-8548-115936dfce77</t>
  </si>
  <si>
    <t>bae9ac0c-dcd5-429b-88df-2af895fc1f3e</t>
  </si>
  <si>
    <t>fbeabb4d-6f7e-4465-881f-bcb265b21ca0</t>
  </si>
  <si>
    <t>db369245-5a2d-4fd1-8463-4679d35d7cd2</t>
  </si>
  <si>
    <t>fbdfea76-1ced-4cf1-96dd-6c38e159ddbb</t>
  </si>
  <si>
    <t>df1f5e40-48f8-4501-b220-53ba2a1001d3</t>
  </si>
  <si>
    <t>fe420cef-9ccb-473e-9ae5-d7ca920ec4fc</t>
  </si>
  <si>
    <t>9b8878c6-238f-44c8-9dfe-4676c66e11f7</t>
  </si>
  <si>
    <t>3cdcd810-39e5-4f28-989b-378a9b976a5d</t>
  </si>
  <si>
    <t>c95f2368-372e-46c4-9f3d-1c82a301fd78</t>
  </si>
  <si>
    <t>c43449fd-4ad5-429d-89c4-74d268dcb6bc</t>
  </si>
  <si>
    <t>365dc778-c1e5-4ab8-8687-f9583f9308e1</t>
  </si>
  <si>
    <t>639cda74-2249-449f-a7f2-64228302647b</t>
  </si>
  <si>
    <t>4fd24bc2-10ac-4a18-96cd-1f062ba5024c</t>
  </si>
  <si>
    <t>7fa02534-0dd1-455f-84ac-dcbef3aa4168</t>
  </si>
  <si>
    <t>27fd0327-3305-449e-b4df-20aeb99d6ea2</t>
  </si>
  <si>
    <t>66284077-a6c7-4460-9cc9-df93097a5fb5</t>
  </si>
  <si>
    <t>9f1d9e64-d5eb-4014-a291-033be9ad6031</t>
  </si>
  <si>
    <t>81f9ef23-4a14-44ac-9c0d-8322b1588958</t>
  </si>
  <si>
    <t>fd89085e-0ec9-40aa-8b8b-b72b7ca501da</t>
  </si>
  <si>
    <t>b3aa4ed8-5a94-461b-8446-d653fc705466</t>
  </si>
  <si>
    <t>099bd55e-eb92-4b54-b33a-c148619d6148</t>
  </si>
  <si>
    <t>90ad70cd-6152-4d45-a6a3-9289f33ed606</t>
  </si>
  <si>
    <t>1a69031e-2a84-46b5-a375-e94e60ab0bc7</t>
  </si>
  <si>
    <t>065606ab-5f1f-428f-b2c5-c6da4baf9597</t>
  </si>
  <si>
    <t>1660ae96-d64f-496c-91cb-bdac9b7722aa</t>
  </si>
  <si>
    <t>eb8761bc-db4a-4e20-951a-e00522afcb18</t>
  </si>
  <si>
    <t>c7d025b0-f633-4505-8793-1401f9c0f412</t>
  </si>
  <si>
    <t>4585284f-5848-44b3-83e5-aac36e6bfe1e</t>
  </si>
  <si>
    <t>ab1a4a62-5d67-4e91-bceb-bfd5cf9779c9</t>
  </si>
  <si>
    <t>a29e03cc-8960-45b2-b2dd-608515080f08</t>
  </si>
  <si>
    <t>f0e1c2de-9251-4a9a-a28d-083519f93a99</t>
  </si>
  <si>
    <t>b7da6db6-172a-4970-b38a-4a375cfa375b</t>
  </si>
  <si>
    <t>a9876912-824c-4e5a-846e-819e55d8269f</t>
  </si>
  <si>
    <t>94f9f356-3b73-4a86-95d0-d27829bd0717</t>
  </si>
  <si>
    <t>a1e0529c-84b2-4403-b3c1-6c64aa9e23cc</t>
  </si>
  <si>
    <t>2e278144-386b-48ff-9777-dbe15a249e13</t>
  </si>
  <si>
    <t>5675244b-3663-4d14-9b6b-b076128889a5</t>
  </si>
  <si>
    <t>6b0cde7d-0f34-41bc-bc64-a3254a2d7561</t>
  </si>
  <si>
    <t>d3911e59-4ea8-4fa9-aeef-5bfb155c103b</t>
  </si>
  <si>
    <t>8c796d6a-ee93-4640-b9a9-7556b5a1a07d</t>
  </si>
  <si>
    <t>1241fd90-c3c5-4a10-a69b-708ba8b4633e</t>
  </si>
  <si>
    <t>eab99641-f7e9-4cba-a913-e1880044e640</t>
  </si>
  <si>
    <t>5acce646-5752-40e2-bc51-1c308240464e</t>
  </si>
  <si>
    <t>b76c3506-251d-4836-a3f7-f3bb62d02ad1</t>
  </si>
  <si>
    <t>bbcb20f1-75b4-4393-95dd-6e2b65d5ff4f</t>
  </si>
  <si>
    <t>59cbff4b-2d9f-4539-b6d6-0d89eddde6bc</t>
  </si>
  <si>
    <t>d8f3a1ce-a034-4298-bdec-7a1edd116231</t>
  </si>
  <si>
    <t>cd82c04b-852d-4e0c-8d5e-68645248bd6f</t>
  </si>
  <si>
    <t>c3335df7-3db5-44c4-bc70-1b03ba03048a</t>
  </si>
  <si>
    <t>dbdbfa7c-7932-46fa-ad10-d53bbd798cf5</t>
  </si>
  <si>
    <t>f608833d-8f7e-4184-a3fc-665f57aba3b0</t>
  </si>
  <si>
    <t>ef61f409-a614-4271-986a-5d40d27e053c</t>
  </si>
  <si>
    <t>aad6f51a-1c6f-46b7-aa7b-768352ed8d1c</t>
  </si>
  <si>
    <t>2723dca3-d1e9-4198-829f-f9ed1fb396b4</t>
  </si>
  <si>
    <t>7984e2c6-c353-4a41-b094-e1dafb4edf8b</t>
  </si>
  <si>
    <t>07dbcfe6-abc1-4d18-8461-eb3989c5462b</t>
  </si>
  <si>
    <t>132aaf5f-1300-43ed-bae5-4887a7e7e6aa</t>
  </si>
  <si>
    <t>08b55574-a0b5-45c8-abea-e84eb7b32975</t>
  </si>
  <si>
    <t>09f04fe7-9954-4df3-9431-cd35713dbc1a</t>
  </si>
  <si>
    <t>f078167b-f855-4987-bfda-6527e54e8d44</t>
  </si>
  <si>
    <t>cabf84bd-b268-4013-af9d-cbe9ffc044af</t>
  </si>
  <si>
    <t>da313250-0337-4225-a411-b5b75ca190d9</t>
  </si>
  <si>
    <t>a7cc0271-0b4c-4da5-869b-7b59ce57d0bd</t>
  </si>
  <si>
    <t>cd0e79d8-3857-4dfb-b7f9-8d7106aa1fce</t>
  </si>
  <si>
    <t>954dcb74-100f-4ceb-8eed-376103cf5436</t>
  </si>
  <si>
    <t>a4c72480-839c-4b10-9139-e602b10215b8</t>
  </si>
  <si>
    <t>06768e6d-9118-44cd-852c-32cce8bfe898</t>
  </si>
  <si>
    <t>d0885607-812a-49f6-b5a4-dbc7a59549f4</t>
  </si>
  <si>
    <t>4bc6206b-a4ee-4f43-a69f-13a03aa8adbe</t>
  </si>
  <si>
    <t>6afbc377-c531-4b4b-ba2d-f616107bea3e</t>
  </si>
  <si>
    <t>e7069522-df6f-43e5-acd7-050d7c3f1fe3</t>
  </si>
  <si>
    <t>9d8871fd-6726-4bdd-b846-4a19c7d197bc</t>
  </si>
  <si>
    <t>fd485b3c-f7bd-4eb2-a742-1d2431bcbb2a</t>
  </si>
  <si>
    <t>efb1d2d1-e437-4a9d-a0e4-6b1da652541e</t>
  </si>
  <si>
    <t>d553a8df-d604-4a85-b7cc-c11980bd7ce2</t>
  </si>
  <si>
    <t>7f73a9ec-fb82-4eb0-bc55-bff60ca0afc4</t>
  </si>
  <si>
    <t>cd3e92be-8dbb-4f0f-a7b7-80be21d85db8</t>
  </si>
  <si>
    <t>7843f07d-f2c8-4ebc-8dc1-9a25d28b8d28</t>
  </si>
  <si>
    <t>8b92d68f-3baa-431c-b556-472d9638ce45</t>
  </si>
  <si>
    <t>6c580d81-de0f-4db3-b8dd-bd1ab10919e4</t>
  </si>
  <si>
    <t>3997f8f9-ed0e-4bda-94b0-6f06372c9506</t>
  </si>
  <si>
    <t>8f556804-a1d0-41b1-930d-96be4a33e606</t>
  </si>
  <si>
    <t>369b918f-c741-4cd7-8f5a-74eaebb3ba16</t>
  </si>
  <si>
    <t>ebd6f9c6-f04e-402a-b3b5-e35e3d1752ca</t>
  </si>
  <si>
    <t>d26a52b3-d9f5-4b5d-8aca-afa2484875ee</t>
  </si>
  <si>
    <t>6a3430a2-4a88-41a8-beaf-fccdd1d45517</t>
  </si>
  <si>
    <t>03572a83-a989-4602-bb89-d6ed424bb61a</t>
  </si>
  <si>
    <t>a0338b15-ee5a-46b7-9ff5-6efb2eb8f5ab</t>
  </si>
  <si>
    <t>30d8cd44-a1a8-4ab7-87f1-99111c75cb6f</t>
  </si>
  <si>
    <t>4efe87f8-2bf7-48e1-85cf-5c1457df9d9d</t>
  </si>
  <si>
    <t>0fc80a72-2d05-4c3c-8136-f544df2093c3</t>
  </si>
  <si>
    <t>5bde9c98-533b-4ba8-8d0d-aed2782d2684</t>
  </si>
  <si>
    <t>074974ed-7713-4edf-abcc-5e200bc8537d</t>
  </si>
  <si>
    <t>5bb7086d-a632-48c5-9b57-a2ff4dc934f8</t>
  </si>
  <si>
    <t>b48455fa-fbdf-4a42-aa4e-cbf8da5d9ee1</t>
  </si>
  <si>
    <t>fcd98704-3381-4da8-a9d0-85206456ca0b</t>
  </si>
  <si>
    <t>03473cbb-116f-4f83-86c0-50d5889eff11</t>
  </si>
  <si>
    <t>1cec8e1a-078f-4340-ba27-a583a615df39</t>
  </si>
  <si>
    <t>9a1b7476-d0e7-436f-ae1b-959aafbad559</t>
  </si>
  <si>
    <t>e8ba80fd-2a67-4540-bd98-b356fd9e2dd2</t>
  </si>
  <si>
    <t>d5959062-3681-408a-a01a-53c7403a89be</t>
  </si>
  <si>
    <t>33fa6e25-f271-47d9-8a29-de91bc1af0d5</t>
  </si>
  <si>
    <t>cdfc45e7-7f97-429e-bb8b-09a7c29b9bd0</t>
  </si>
  <si>
    <t>85a4f95c-60cc-4cb9-814d-d8f745f82325</t>
  </si>
  <si>
    <t>8388cf02-9398-4b74-b67b-56d7a074612e</t>
  </si>
  <si>
    <t>ab956cd0-1819-451c-b8c1-d22b4b6796b2</t>
  </si>
  <si>
    <t>5d77fa6c-4508-4088-9722-5a2902285a19</t>
  </si>
  <si>
    <t>2312ef5d-8274-4e8c-90e6-0f5c3eadd031</t>
  </si>
  <si>
    <t>5a7ab9d8-b064-4994-8477-3a606aad924c</t>
  </si>
  <si>
    <t>3c779e4e-ccc4-4d72-b98e-a1757ac6797f</t>
  </si>
  <si>
    <t>eca1d876-576b-4434-b47b-1bebd8f426d2</t>
  </si>
  <si>
    <t>cb4b90e7-5dcc-4e06-92b4-2aeb4db98cdf</t>
  </si>
  <si>
    <t>08a14bb8-ab48-4170-bccf-ef04ab15c43a</t>
  </si>
  <si>
    <t>05eaae1b-e321-499c-be9b-b6599ad1a880</t>
  </si>
  <si>
    <t>1a594ae9-af38-4c31-a00b-a1cf439139bc</t>
  </si>
  <si>
    <t>ead812db-d371-4bc2-abb4-ca8c8471ca77</t>
  </si>
  <si>
    <t>a3dfcf7d-3765-40d2-8a11-2111df14899b</t>
  </si>
  <si>
    <t>46bdbd12-f628-49d0-850d-40ed37757cdc</t>
  </si>
  <si>
    <t>7dca795d-ec1e-44b2-a87c-daa04461915a</t>
  </si>
  <si>
    <t>ea9dd8be-c392-42e1-8ccc-ace56b211966</t>
  </si>
  <si>
    <t>6d7cc8e5-2cc5-46a0-84c8-43c7f87daf9a</t>
  </si>
  <si>
    <t>1b88d370-7853-4579-99af-dc942e3f248f</t>
  </si>
  <si>
    <t>b8c06b97-66a7-492f-9ee4-a115b51e9dcf</t>
  </si>
  <si>
    <t>ee89f93f-b2ff-459e-93a2-ea8bfa7992f6</t>
  </si>
  <si>
    <t>4473c5da-f69b-4fd8-9a33-1838c1e09fc6</t>
  </si>
  <si>
    <t>6b31ebd3-0df5-4c2f-a137-a81d2c18e90a</t>
  </si>
  <si>
    <t>cadbece8-fd1a-4fcf-a4f5-3dd2e6bdd969</t>
  </si>
  <si>
    <t>33a69d90-e90a-45af-a9ce-eda2a1ab0d7c</t>
  </si>
  <si>
    <t>a59ad549-bbaa-4fee-9eb0-10d7e64b5e3b</t>
  </si>
  <si>
    <t>837a5bb7-7d0f-4315-8528-d5a30bf12108</t>
  </si>
  <si>
    <t>396f6900-f042-44d8-be21-0b167b912ff9</t>
  </si>
  <si>
    <t>c8fb5434-5cc6-4b80-85f4-3bcd5205a7a8</t>
  </si>
  <si>
    <t>59512720-e88a-468c-adda-27695b946960</t>
  </si>
  <si>
    <t>7b7aa94d-7978-405d-874b-593805447b56</t>
  </si>
  <si>
    <t>8134248c-be39-48b8-ae98-f9e508dbb240</t>
  </si>
  <si>
    <t>c86981de-a762-42d2-8576-c52e61cf46b6</t>
  </si>
  <si>
    <t>435e0df1-9dc6-4dbc-8a22-d98d9287743f</t>
  </si>
  <si>
    <t>4e273869-ee28-46a6-b32d-41c1b291af1e</t>
  </si>
  <si>
    <t>c93b183b-6934-4630-b9b9-727cf3a44d9f</t>
  </si>
  <si>
    <t>984f7f4a-0e12-47d7-8f25-00433e9a81ab</t>
  </si>
  <si>
    <t>2c7ccf0f-852f-4359-a5bf-1e15605d2411</t>
  </si>
  <si>
    <t>e0203e9a-2724-4032-b679-6c33795c4d13</t>
  </si>
  <si>
    <t>b2976ddf-b2bb-4870-8fcf-2377c119d2cd</t>
  </si>
  <si>
    <t>4b4e57f2-0dce-4598-885f-71fa5662cf0e</t>
  </si>
  <si>
    <t>521d1f0d-3f5f-438f-8c6d-6c9aab0299af</t>
  </si>
  <si>
    <t>c8a08658-20ab-4f89-a0e7-3f614340eb78</t>
  </si>
  <si>
    <t>b010be93-76b2-4b4d-bdbc-a420fc96aeaf</t>
  </si>
  <si>
    <t>7e4e462c-f211-4671-b964-ee732464853e</t>
  </si>
  <si>
    <t>35cdcfe1-c48a-43b6-8533-8f70aa35c713</t>
  </si>
  <si>
    <t>1df5b1e8-8112-471d-80aa-74af1982324f</t>
  </si>
  <si>
    <t>eb295874-e3cf-4c03-8fcc-0d20f7002487</t>
  </si>
  <si>
    <t>b46fb518-339f-4c79-a429-f00e662c7085</t>
  </si>
  <si>
    <t>d6b8270f-7185-40df-9965-535dc995fafb</t>
  </si>
  <si>
    <t>5f8bdd64-2a4f-404d-9cdc-a1ada06cafe8</t>
  </si>
  <si>
    <t>cb5d5d80-7f94-421c-a76a-fb560beeb1ba</t>
  </si>
  <si>
    <t>1de5ede5-f00c-473f-9a4c-adb67defa9a2</t>
  </si>
  <si>
    <t>31cd336c-f793-4bec-bc4c-039d941c2490</t>
  </si>
  <si>
    <t>29208590-743a-425b-9077-67234e055f13</t>
  </si>
  <si>
    <t>3db1dae5-386e-4bcd-8696-37840c900ccf</t>
  </si>
  <si>
    <t>7ba75cd9-df14-4e14-a22c-3ddc259ef325</t>
  </si>
  <si>
    <t>8109f1c7-ba4f-46ec-b3c5-46243b944811</t>
  </si>
  <si>
    <t>06465985-0b74-4942-bae3-5d65186df92b</t>
  </si>
  <si>
    <t>ca45e25e-8bdd-4799-8c0c-2eccdcb6bbf2</t>
  </si>
  <si>
    <t>b2b6a0a2-6478-467c-b4f6-901fde495cec</t>
  </si>
  <si>
    <t>9181fa02-7760-4f1e-a008-1a54d063fb9b</t>
  </si>
  <si>
    <t>bb097e87-3e4e-40ad-b791-cd342f7ad67b</t>
  </si>
  <si>
    <t>1c813952-7e02-4264-a834-416e29ccb810</t>
  </si>
  <si>
    <t>f4d7fadf-5c3b-41d9-b4fb-f6df2bfaaa2d</t>
  </si>
  <si>
    <t>7b2aae74-2b75-4973-93ec-b657bff5a9a1</t>
  </si>
  <si>
    <t>09263d5f-674e-482d-a8c0-324762193672</t>
  </si>
  <si>
    <t>3dd65018-61b5-4329-a9cc-bac8c15a6b25</t>
  </si>
  <si>
    <t>516e93d4-bbed-4673-9afd-e3e853754100</t>
  </si>
  <si>
    <t>42466881-a58b-4057-a0ea-615af204f9a6</t>
  </si>
  <si>
    <t>6dde2c86-7593-4d49-aee0-38ae33b01060</t>
  </si>
  <si>
    <t>1a0feffc-117c-4e7c-a2cf-8c2c3548f658</t>
  </si>
  <si>
    <t>a0acfed2-3ecb-4404-a39e-2fc473381219</t>
  </si>
  <si>
    <t>3cef2ed3-dfec-427e-ba70-5d08fa92a631</t>
  </si>
  <si>
    <t>25c3f6c6-d0d4-4135-b2e8-67e3d423fa2d</t>
  </si>
  <si>
    <t>fa6410af-b085-4a71-9789-00ccefdeb848</t>
  </si>
  <si>
    <t>ea172916-31b9-429f-b590-a746507bb20e</t>
  </si>
  <si>
    <t>b36b2e7d-ddd2-41ee-8a2f-00154f07b184</t>
  </si>
  <si>
    <t>1b82995d-cc3f-4f27-a87f-2dd1b6c9fc2e</t>
  </si>
  <si>
    <t>eb0149c4-6c4f-4467-92f1-32a3745766f7</t>
  </si>
  <si>
    <t>eb6c6692-bbc5-40f1-b191-88b47869c368</t>
  </si>
  <si>
    <t>181aa143-101d-4965-9ab4-80edcaedd194</t>
  </si>
  <si>
    <t>0066a45e-d10f-4519-9e4a-15e32388ad00</t>
  </si>
  <si>
    <t>41750832-10d6-4ce6-ae6c-494a1d849b0a</t>
  </si>
  <si>
    <t>e55e1e83-d28d-4691-a909-185781512ae0</t>
  </si>
  <si>
    <t>1ad376c4-db63-48e2-92ea-1f2f94d583ce</t>
  </si>
  <si>
    <t>79d11806-228a-4fab-8270-a7d65c9cecf7</t>
  </si>
  <si>
    <t>b69ffd1c-443e-47a7-ac67-b304ee8ece03</t>
  </si>
  <si>
    <t>cff04a7a-b133-49e2-9a12-16c9c89c1a7a</t>
  </si>
  <si>
    <t>2d6e45f9-c626-4f26-b7ca-7fbea55a3773</t>
  </si>
  <si>
    <t>78a91b6f-0e0a-4432-b7cf-170f0d378356</t>
  </si>
  <si>
    <t>ce4be12e-c15f-46e0-8026-f3e4935d04b4</t>
  </si>
  <si>
    <t>1c8ec967-8010-404b-b7d6-767a09e543bc</t>
  </si>
  <si>
    <t>a35353ba-7e5d-4a4e-b1e2-851b4ce3ed64</t>
  </si>
  <si>
    <t>ab117f6f-73fc-4211-b264-db6211bd97f3</t>
  </si>
  <si>
    <t>a060eae1-66cc-4f52-9aef-d512ccc77f47</t>
  </si>
  <si>
    <t>1663f5da-a60e-41d7-a9ae-5704f4c7a196</t>
  </si>
  <si>
    <t>24be0465-3bee-4952-bc5b-8b0227a6baaa</t>
  </si>
  <si>
    <t>a952d34f-2ec1-4daf-9ee0-9c06351caa91</t>
  </si>
  <si>
    <t>f7b5a5d9-ce05-4088-8839-e0ee991872ec</t>
  </si>
  <si>
    <t>8f38ef25-91a6-42e2-947f-9d9d094a2d0d</t>
  </si>
  <si>
    <t>2756a817-e711-4a26-b146-2e793e01d065</t>
  </si>
  <si>
    <t>f1bbc7ec-707d-4d01-b7fc-ceb06bd4de36</t>
  </si>
  <si>
    <t>4b488ecd-4021-414b-9e79-052a51e982e6</t>
  </si>
  <si>
    <t>2919e65b-e387-49f7-8afa-26b4cb2f5d35</t>
  </si>
  <si>
    <t>abe07eca-d0df-4a23-8b09-738a81049742</t>
  </si>
  <si>
    <t>03e076ee-865e-440a-bf29-41053d4f0b3b</t>
  </si>
  <si>
    <t>37cfcd56-9185-4c3d-8049-8ac6b15e6cbb</t>
  </si>
  <si>
    <t>7e65ef60-0906-4e1e-9b54-b8d89cefddae</t>
  </si>
  <si>
    <t>5c619083-1760-4a87-a00a-3ca15ffccf0c</t>
  </si>
  <si>
    <t>4d396fff-770c-4879-ab7d-562cd5347d99</t>
  </si>
  <si>
    <t>e1c24850-9ba6-4b3c-b64c-b3dc0e49a8f0</t>
  </si>
  <si>
    <t>80ae474f-2e01-4732-a930-00d3e2cd07ba</t>
  </si>
  <si>
    <t>e9c0e33c-d11c-49fe-8c0a-7cd7c19bccb6</t>
  </si>
  <si>
    <t>eb61a935-8dbb-40cc-83eb-a4b86a1c5f82</t>
  </si>
  <si>
    <t>6ef75419-014d-484f-b0b5-ad892dc6355a</t>
  </si>
  <si>
    <t>78881b37-93a3-40e3-af3f-0ed648260308</t>
  </si>
  <si>
    <t>3e5ca0e8-0ee4-442c-a7d5-42e317f42e32</t>
  </si>
  <si>
    <t>1ef03e82-e34c-4c29-b256-b321b3a5ce99</t>
  </si>
  <si>
    <t>74321b67-ea33-4478-a9a2-a5d32e6eab48</t>
  </si>
  <si>
    <t>5a8ba2fb-5253-47fd-8008-44384430edf1</t>
  </si>
  <si>
    <t>ba7257d0-99c8-4c55-a657-6537eb677dfb</t>
  </si>
  <si>
    <t>fa287c41-72cd-40a9-82b6-1fc0737ab235</t>
  </si>
  <si>
    <t>09054f5f-12f8-4050-a4a3-0200272daaa0</t>
  </si>
  <si>
    <t>900d8e75-3067-4dfb-8193-9f2a21e0678e</t>
  </si>
  <si>
    <t>e158767d-d404-4c70-9ab1-df830be9d0d7</t>
  </si>
  <si>
    <t>804256f3-09b1-43a2-9e9b-2e12ed16cffe</t>
  </si>
  <si>
    <t>210b9c3e-61bd-419b-842d-72ed78d38e9e</t>
  </si>
  <si>
    <t>5ab5431d-4185-4b4f-be21-4183473aa0a9</t>
  </si>
  <si>
    <t>eb0d1e13-35b7-472c-a39c-c5211ebb80e4</t>
  </si>
  <si>
    <t>83f21fb5-7cfa-45e9-875e-819c773032fb</t>
  </si>
  <si>
    <t>33bca94a-0b75-4ad7-b4fe-db44cfdd6992</t>
  </si>
  <si>
    <t>ac790561-30ba-49da-b38b-56e3f1d6898d</t>
  </si>
  <si>
    <t>1b49ab1b-80c6-48a5-8fa2-99155b0d743d</t>
  </si>
  <si>
    <t>2053f03c-0aff-41b0-be01-b4b81f0b1c6b</t>
  </si>
  <si>
    <t>77b85c42-c67d-4876-b26b-6ab89ed8bbaf</t>
  </si>
  <si>
    <t>6b608954-fb0e-409e-bb61-f6b97fea7fb5</t>
  </si>
  <si>
    <t>7fc041a7-0fd1-44e9-b505-6dd1e752a78c</t>
  </si>
  <si>
    <t>cd3d65e9-6653-4206-8809-0665721a1af5</t>
  </si>
  <si>
    <t>d7fbf7d7-9302-402c-a84e-d8303dedc8cd</t>
  </si>
  <si>
    <t>4715e1c8-4447-49fb-aaf6-d1f7cdc5a4a3</t>
  </si>
  <si>
    <t>e6d043fa-2dd1-45d0-876c-a7c704f2ce1f</t>
  </si>
  <si>
    <t>84e37d64-6055-4386-ba92-21d96a511b3b</t>
  </si>
  <si>
    <t>b16c9135-2798-4e1d-a48a-1d9c64d459f2</t>
  </si>
  <si>
    <t>029e94b4-bc1c-4602-a8ef-7fe92c78f4c2</t>
  </si>
  <si>
    <t>28c6e751-2511-479d-83c1-455a6e1fc02a</t>
  </si>
  <si>
    <t>727e553f-d207-4563-9a00-8d82561e7817</t>
  </si>
  <si>
    <t>3f14d6e0-dd02-4fe1-82ff-bd5cec08118b</t>
  </si>
  <si>
    <t>43c2a767-ad49-4977-b9b7-e87e81e9e93d</t>
  </si>
  <si>
    <t>2b7bf795-ccef-4bca-93a6-d00318b73c50</t>
  </si>
  <si>
    <t>f1200806-6780-4b17-b062-50507384f5ce</t>
  </si>
  <si>
    <t>e3a57085-5027-4193-90fd-91b31d51ffe8</t>
  </si>
  <si>
    <t>214cb42c-b964-4040-9c71-0251fb9a4a1e</t>
  </si>
  <si>
    <t>e8e2671b-ef4f-4d9b-a1b3-0b642a8eff25</t>
  </si>
  <si>
    <t>4d29e9ee-d620-4826-934a-0ad009294493</t>
  </si>
  <si>
    <t>ecb0426b-5580-4337-a6c4-add3b523895d</t>
  </si>
  <si>
    <t>83a192a7-6748-40bc-a60b-004e4a03e87b</t>
  </si>
  <si>
    <t>85420440-ebf6-49e6-af14-16079557b57a</t>
  </si>
  <si>
    <t>57212dcb-1d06-4d90-8679-277113d72959</t>
  </si>
  <si>
    <t>69f107ad-0d39-475d-850e-6d718d486ae4</t>
  </si>
  <si>
    <t>18a5612d-f555-46c6-ad9a-ec247c068c0e</t>
  </si>
  <si>
    <t>cc8ec647-33c7-46cf-af2b-141363c9314f</t>
  </si>
  <si>
    <t>63c3d866-4c2f-4b50-9e58-332a2bbea4e5</t>
  </si>
  <si>
    <t>981b303b-c6cd-438a-9e2a-d360db261b75</t>
  </si>
  <si>
    <t>b6a5e8ca-ccd7-4fca-a1d3-949bffc746cf</t>
  </si>
  <si>
    <t>c3bb2207-5913-4675-9977-5a1a64de72e1</t>
  </si>
  <si>
    <t>ac6d762a-91b1-494e-9ce5-cdccfd177f90</t>
  </si>
  <si>
    <t>9084d77f-70c5-4e36-91f5-57f8f36c20c7</t>
  </si>
  <si>
    <t>b2bf8c40-7a2a-4695-8a51-354e6021337e</t>
  </si>
  <si>
    <t>75213958-6f81-4fc1-a446-5eafb01dca12</t>
  </si>
  <si>
    <t>ead37a59-af0e-4cd8-a764-f2cdbe727457</t>
  </si>
  <si>
    <t>91b02759-584d-4f29-b1a4-5818311708d1</t>
  </si>
  <si>
    <t>2b8e4729-3d02-40e1-86ba-7cb9241b7f80</t>
  </si>
  <si>
    <t>10fe2d39-3e7a-4fd6-afef-fd7885f1fd16</t>
  </si>
  <si>
    <t>8f256cb4-eb43-4eaf-a0f9-ee1436424b70</t>
  </si>
  <si>
    <t>47787f39-8e7e-44fb-b179-442e3735f82f</t>
  </si>
  <si>
    <t>b6083e69-466b-43ff-bd61-d835ff91dfae</t>
  </si>
  <si>
    <t>225a3fb2-e273-4726-a0f3-0fea1aa6f0c9</t>
  </si>
  <si>
    <t>bdfa953f-4810-434e-a574-205313689450</t>
  </si>
  <si>
    <t>9f3553ad-d5b2-4d08-85f8-1560403a619d</t>
  </si>
  <si>
    <t>11ea4551-84fd-4d94-b679-4a8f5d4fd69a</t>
  </si>
  <si>
    <t>6a2c245c-1c2b-4aab-8133-182c39000b3a</t>
  </si>
  <si>
    <t>435ccceb-38f8-40a8-86eb-7629bd3d9c54</t>
  </si>
  <si>
    <t>437ee4e8-fc39-4e80-99a5-3e8aa461522a</t>
  </si>
  <si>
    <t>3a541439-f431-4fbc-9f60-8434d47eaae8</t>
  </si>
  <si>
    <t>28c544f1-3e87-4ae2-bd03-8bb94284b82c</t>
  </si>
  <si>
    <t>9927198c-86e3-4f28-a6ce-397acc4caf69</t>
  </si>
  <si>
    <t>2381eca7-1a48-4bfb-8dab-c7a632ed0058</t>
  </si>
  <si>
    <t>c6e7dcc7-f791-40a3-ac2e-7604b3a98468</t>
  </si>
  <si>
    <t>0986188b-fb15-47a9-afc2-8a22c131768f</t>
  </si>
  <si>
    <t>51846af3-4ee8-4383-b77e-c7941ff99e4f</t>
  </si>
  <si>
    <t>872edb94-4351-4086-b95a-9e27431cc43f</t>
  </si>
  <si>
    <t>5387eb2d-2e8e-47aa-a12f-9202951e5f69</t>
  </si>
  <si>
    <t>887211af-46f5-4170-b67d-ae4b857a3e02</t>
  </si>
  <si>
    <t>19cef185-673b-4519-9fb2-cd85a59f6528</t>
  </si>
  <si>
    <t>398c5457-acaa-41b1-887c-eb2b44578430</t>
  </si>
  <si>
    <t>87224324-13d4-4c0c-b5a2-8f782c47cccd</t>
  </si>
  <si>
    <t>67cf164d-d961-4310-8646-8b5792f20876</t>
  </si>
  <si>
    <t>5c55ebb6-04ac-4d5d-9d7c-32ea910c88ba</t>
  </si>
  <si>
    <t>de02cddd-08a6-42fe-99bc-06cc033f2bd5</t>
  </si>
  <si>
    <t>d625591a-3bbc-429e-a938-e0c608d79b57</t>
  </si>
  <si>
    <t>51902957-4d34-4297-ae4b-fb94b2467e14</t>
  </si>
  <si>
    <t>42c50042-91a6-424a-b693-29d883255e61</t>
  </si>
  <si>
    <t>5ad29c73-f218-4cb0-b44c-628973888c49</t>
  </si>
  <si>
    <t>226c0013-0f4e-437e-a087-e806934fc1fb</t>
  </si>
  <si>
    <t>5952e659-bab6-482a-96c4-f44b828be07a</t>
  </si>
  <si>
    <t>07cbc13d-c375-4955-a2a8-15fd519c8740</t>
  </si>
  <si>
    <t>dbb5d434-8a56-41f9-87eb-1cf8dc563b1b</t>
  </si>
  <si>
    <t>40f121cf-8cc7-4e5a-bf91-dfa99f774bca</t>
  </si>
  <si>
    <t>4be265b7-f86a-4d63-913d-f15259bbc9ad</t>
  </si>
  <si>
    <t>4b9cde42-026c-4e54-a2d5-c417ffca15ac</t>
  </si>
  <si>
    <t>cd892f9f-b0e1-4c18-b7da-e733c906f25a</t>
  </si>
  <si>
    <t>207339d4-84f7-4562-aeab-481ca61807c6</t>
  </si>
  <si>
    <t>755f3ee0-6334-4300-8117-dd9d43d6b113</t>
  </si>
  <si>
    <t>5cd4bc7f-42fe-4ca5-8903-f154b5473974</t>
  </si>
  <si>
    <t>803b8187-d2cd-405e-9016-a8aa418384e1</t>
  </si>
  <si>
    <t>61ed2c75-3159-4640-9a7f-adbdcd9f6144</t>
  </si>
  <si>
    <t>47ef1fd4-7788-481e-829c-abd737dbd61f</t>
  </si>
  <si>
    <t>2820c5f3-3394-45aa-930f-e4e26a781c66</t>
  </si>
  <si>
    <t>3080b07c-545a-4370-9485-b288de08764f</t>
  </si>
  <si>
    <t>c0874a78-dcb0-4a64-b41d-1995f7c54cab</t>
  </si>
  <si>
    <t>c2edf117-ec72-4ee9-bf3c-bb67ea3ce636</t>
  </si>
  <si>
    <t>8eebe75f-d578-48f5-9c59-5a5864dfa1c2</t>
  </si>
  <si>
    <t>d87c00e4-e192-46ea-a7cf-353a90d06715</t>
  </si>
  <si>
    <t>10d5f159-a06d-4c0b-8ca6-20231beefa15</t>
  </si>
  <si>
    <t>7ffed6ac-db02-4e27-9368-551fb7b66687</t>
  </si>
  <si>
    <t>c8a454e7-9cfd-41de-a06e-f0251becf007</t>
  </si>
  <si>
    <t>2f7bc8a8-1433-4c9e-976d-02584059d9c4</t>
  </si>
  <si>
    <t>724af657-0df2-4775-8850-9e3cd124f620</t>
  </si>
  <si>
    <t>5c4b45aa-9549-406c-9b5a-efbc6faf2a36</t>
  </si>
  <si>
    <t>19ff99c9-4347-4ec5-9ba7-d9680a0268a6</t>
  </si>
  <si>
    <t>f933c9ef-6e58-4e70-b20d-e7d40e7c0ea2</t>
  </si>
  <si>
    <t>e334edac-479f-4209-a523-985d5244f439</t>
  </si>
  <si>
    <t>76cf661d-95cb-4b43-bd4e-a2fb1e1ca16c</t>
  </si>
  <si>
    <t>2736897f-a383-4813-bb71-2a3b303dc1be</t>
  </si>
  <si>
    <t>d178f7f4-f66b-4f59-8ab8-d15e9b51a915</t>
  </si>
  <si>
    <t>14505c8a-5d16-4808-8a62-75fcdfbb28d1</t>
  </si>
  <si>
    <t>a20bd2c0-01c9-46f2-883e-addc3a0b0ab3</t>
  </si>
  <si>
    <t>3a85cb4f-fbe6-43cd-9e48-561e968a38ba</t>
  </si>
  <si>
    <t>df6931fb-0022-4c8a-a665-d7a6fa7e896d</t>
  </si>
  <si>
    <t>a4cfac30-906c-46c6-9613-799375ab5c8a</t>
  </si>
  <si>
    <t>4accb3d6-cb3e-4912-955e-5c7ab5b2f60a</t>
  </si>
  <si>
    <t>ee1c6064-32f6-488d-b0c5-e7ff7fc46d64</t>
  </si>
  <si>
    <t>d3b41960-c2b4-4bf5-92cb-243fd3dd3839</t>
  </si>
  <si>
    <t>88007999-8185-4c2c-8bb7-019af9a4268a</t>
  </si>
  <si>
    <t>bbc959b5-3e2d-486d-afe6-f5604ccd8353</t>
  </si>
  <si>
    <t>c7070081-a154-4414-b413-bef90b05e624</t>
  </si>
  <si>
    <t>0048f001-a72c-4307-8f2d-3820bdf4ed80</t>
  </si>
  <si>
    <t>37d89df6-e945-4365-b6bf-f153ff42dba6</t>
  </si>
  <si>
    <t>81264692-e2fd-4344-9f2b-0826d6bb7edf</t>
  </si>
  <si>
    <t>0b23f53c-b88a-4f84-9ad7-a5c6c58468c1</t>
  </si>
  <si>
    <t>baf77c0b-ae75-441e-a9ca-10dcb0ca8a86</t>
  </si>
  <si>
    <t>e6f30248-cada-456a-9bad-60136760979b</t>
  </si>
  <si>
    <t>07b6de05-0028-418a-9e1c-09a345bd813c</t>
  </si>
  <si>
    <t>a07f537a-651f-4bfd-894c-91d437fe5a2f</t>
  </si>
  <si>
    <t>49d28e48-9b37-4e3d-b921-06b3c1ff01f3</t>
  </si>
  <si>
    <t>005bfa8f-2b5b-4b77-8285-3bf38fc632da</t>
  </si>
  <si>
    <t>6463ec75-e456-45e7-8cfb-a377f3842234</t>
  </si>
  <si>
    <t>acccbbd5-848f-4151-a9e8-33e653d4e494</t>
  </si>
  <si>
    <t>31f056a8-4f89-4d97-a971-d157f79285c2</t>
  </si>
  <si>
    <t>86222aa8-5671-4c15-b626-a0b47e66afcf</t>
  </si>
  <si>
    <t>3a338129-8b57-498d-b986-04c650132c87</t>
  </si>
  <si>
    <t>119a8e37-6e68-4055-b5bb-012e97bc9ffb</t>
  </si>
  <si>
    <t>8cb6d729-372a-415e-a63f-7460bf042fb5</t>
  </si>
  <si>
    <t>6cdf0799-8c0c-40af-8522-41cb8dedbd76</t>
  </si>
  <si>
    <t>fd0ef1ea-371a-4e71-8fb7-c9a05f7ccd03</t>
  </si>
  <si>
    <t>0d84a40e-1adf-46a9-850f-312e3efd401b</t>
  </si>
  <si>
    <t>3fede56d-0d7a-4aa2-93b7-acc1341f620b</t>
  </si>
  <si>
    <t>c55bd57e-3c4f-495c-be97-d55c21b22f6f</t>
  </si>
  <si>
    <t>7b4e29be-baa8-42c4-a7e8-3a707d8ef336</t>
  </si>
  <si>
    <t>00e9f683-9379-4296-a5a6-76bc2c9dd117</t>
  </si>
  <si>
    <t>3c9f262f-a793-4935-8967-c74dbadf9938</t>
  </si>
  <si>
    <t>a70e3fc7-66f5-4ab7-ac53-4875558a9a48</t>
  </si>
  <si>
    <t>fb35081c-372b-46f2-afb1-a239c1ca535b</t>
  </si>
  <si>
    <t>c214a79d-72d0-4384-8a5a-619721b76c8e</t>
  </si>
  <si>
    <t>0090f79e-a776-489a-9112-5f71e7870f94</t>
  </si>
  <si>
    <t>df3978cc-64e6-4e40-9cd3-10a6a5dda843</t>
  </si>
  <si>
    <t>174b96de-7b2d-4934-a5a0-35ba2d435c5a</t>
  </si>
  <si>
    <t>69aedea2-3081-4c29-805a-c76edff4c5a3</t>
  </si>
  <si>
    <t>0bd8dee5-47a9-4349-9d55-e109f81d4394</t>
  </si>
  <si>
    <t>593b2af6-e882-4129-8c49-1deddd7278fb</t>
  </si>
  <si>
    <t>cfe10e0f-1aac-495b-b869-4af2359dbb3a</t>
  </si>
  <si>
    <t>a65d3fbe-d5b0-4ac7-840c-fdca8d9a9379</t>
  </si>
  <si>
    <t>3fa23200-518c-4593-983c-1114bf8ee2e7</t>
  </si>
  <si>
    <t>75994c2a-9f9a-4701-b51d-ad8b7e3787cb</t>
  </si>
  <si>
    <t>b96865dc-ec6f-42ff-8d8b-9a0bf7d5b6be</t>
  </si>
  <si>
    <t>99700d41-55b7-4d78-acd3-86a1060d880c</t>
  </si>
  <si>
    <t>14032ec1-bd28-4b6e-8baf-e87a673489b1</t>
  </si>
  <si>
    <t>c73888d0-47c7-49e4-ac1f-8c525c426907</t>
  </si>
  <si>
    <t>99ac905d-c892-41e1-b9dc-619aace2175a</t>
  </si>
  <si>
    <t>d7f8474a-aa5c-452d-b85d-c86132f7e5c0</t>
  </si>
  <si>
    <t>236586ff-c75c-4dfa-b787-19a63e0b4dbd</t>
  </si>
  <si>
    <t>30bc483c-87d9-4a9a-9863-6eb5c6bdcb66</t>
  </si>
  <si>
    <t>374de352-5868-4026-b9fb-57fd075b1fb3</t>
  </si>
  <si>
    <t>bb31bd8f-7d63-4280-ada1-f1e832fcfdd6</t>
  </si>
  <si>
    <t>71c014eb-50d0-488e-9f41-b4db638f20be</t>
  </si>
  <si>
    <t>eaafa153-5c55-4d3b-897c-ef6198ece521</t>
  </si>
  <si>
    <t>5d64d061-91f4-4dd9-ab18-93007717e295</t>
  </si>
  <si>
    <t>2e409def-802a-4a41-9972-8c8864802af3</t>
  </si>
  <si>
    <t>4d71c035-c5c9-4da6-907e-171241ea0922</t>
  </si>
  <si>
    <t>93a74dd5-ab90-4ce9-a0b9-8eb45b50e030</t>
  </si>
  <si>
    <t>8f6ce173-fad9-4b9f-bb9c-54cf1f37d6ef</t>
  </si>
  <si>
    <t>9db403c5-08c3-4cee-8e71-59423d132195</t>
  </si>
  <si>
    <t>a8f4a8ea-a8a6-4ebb-bcd8-b22e7da612a5</t>
  </si>
  <si>
    <t>b4866929-b3fb-47af-a191-0afaf68d14c8</t>
  </si>
  <si>
    <t>941a7320-7c18-442a-9184-f56d633b7b8e</t>
  </si>
  <si>
    <t>abb4775a-faff-43c3-8d78-641ec98033a8</t>
  </si>
  <si>
    <t>f234490c-9b75-4956-9efa-ed1c14b00599</t>
  </si>
  <si>
    <t>a5796917-05b1-456c-8d56-a2d396ebfcf2</t>
  </si>
  <si>
    <t>8c15047a-4ddf-4b9b-9f42-5e616af49dc1</t>
  </si>
  <si>
    <t>1d4d7280-ee29-4030-8773-d70bea7b2b3b</t>
  </si>
  <si>
    <t>58bf1357-6164-4e5f-a325-69d1bbd93289</t>
  </si>
  <si>
    <t>919cd49b-f1e4-4deb-82e8-ed7db297d9b8</t>
  </si>
  <si>
    <t>2f4b3f98-c2e9-49e2-bc44-5bfd637d4dec</t>
  </si>
  <si>
    <t>18886a51-c0a1-4984-90d4-d4a65e31e03b</t>
  </si>
  <si>
    <t>11ff4157-7112-460a-b2f0-b74ee12ee607</t>
  </si>
  <si>
    <t>61ad71a3-40b3-487a-9f6d-38a74144f87b</t>
  </si>
  <si>
    <t>70b1a663-57dc-4d65-8665-808f618abbba</t>
  </si>
  <si>
    <t>8790e02e-d917-4c2b-bcae-249e1597109c</t>
  </si>
  <si>
    <t>2f38faa5-6695-40e3-892a-ecd94ff19800</t>
  </si>
  <si>
    <t>75f21653-1613-4eb8-92a6-5b82721d96df</t>
  </si>
  <si>
    <t>6a427566-52a2-4932-9486-979c1bc514d8</t>
  </si>
  <si>
    <t>904460bb-b5a1-4450-bc0f-5fec7fd21583</t>
  </si>
  <si>
    <t>5fd7658b-f5bb-462e-b9e4-86a4485b0fb0</t>
  </si>
  <si>
    <t>9e060381-f27b-4fbf-b098-6415f3eb4bbb</t>
  </si>
  <si>
    <t>5c4d8663-35c7-4f51-a930-5b1a7059a8b0</t>
  </si>
  <si>
    <t>1934ae7e-6f01-40d2-a15c-ee3db2650f99</t>
  </si>
  <si>
    <t>9eacdfae-16bb-4a84-8c31-dd5976efb95f</t>
  </si>
  <si>
    <t>9f085e5d-c6b2-4ec1-a43f-1307f1f59222</t>
  </si>
  <si>
    <t>444b694b-d1b2-476b-98d7-f05298e37b91</t>
  </si>
  <si>
    <t>e5fa0aa5-41a0-4c47-8547-4d9600229701</t>
  </si>
  <si>
    <t>4937c49d-70db-459d-b2d1-ac7f33f0dfc5</t>
  </si>
  <si>
    <t>3d36ed49-a4f4-4fb2-80ea-f90f048bc0e1</t>
  </si>
  <si>
    <t>e5a706a6-0a02-4a59-93ae-8d86ea5fcb6e</t>
  </si>
  <si>
    <t>511d9a10-669b-4283-bc6d-40c10a595b43</t>
  </si>
  <si>
    <t>92bd3cd1-3724-4b30-a56c-4929277c2461</t>
  </si>
  <si>
    <t>68be0bb5-a6ed-4dfd-889d-0e116265290d</t>
  </si>
  <si>
    <t>bfe8f1a3-00d5-436f-b79a-553651c553f7</t>
  </si>
  <si>
    <t>f4fc7c39-6b78-4437-ab00-8ab2957f73f7</t>
  </si>
  <si>
    <t>7d7ec060-ca0f-4371-a86a-69bf262b94bb</t>
  </si>
  <si>
    <t>bce13731-9d24-4bbe-9b0f-97221e952048</t>
  </si>
  <si>
    <t>489dcbd1-474e-42b6-878e-f62c181860f6</t>
  </si>
  <si>
    <t>571102fa-b9c7-4e1c-8e0f-bc6642d36cb0</t>
  </si>
  <si>
    <t>e5ba5dd3-a246-4526-9616-662dd7188e7c</t>
  </si>
  <si>
    <t>b4aae09c-528f-445d-afb3-68ab027b8d48</t>
  </si>
  <si>
    <t>0210bc7e-5a01-4a6b-b3c1-8c1a332ab7f6</t>
  </si>
  <si>
    <t>e5e25330-3900-43bf-a8e2-45a13d1ec806</t>
  </si>
  <si>
    <t>95c88693-4388-4ab9-bd37-c917bc4c8d1d</t>
  </si>
  <si>
    <t>3e87afc6-292d-4a8b-8399-1a8fe6aad089</t>
  </si>
  <si>
    <t>8e57aa17-60f6-4c7e-9e15-a886a240c4d7</t>
  </si>
  <si>
    <t>e16e6ae0-8e67-4b63-80a5-a0f7e8801ed7</t>
  </si>
  <si>
    <t>cb219c7b-8d77-454d-8967-2b4529a0e172</t>
  </si>
  <si>
    <t>abf01a4a-4b6f-477f-943c-7189c33cd6cc</t>
  </si>
  <si>
    <t>520074a5-0028-44e4-b17a-199d74134190</t>
  </si>
  <si>
    <t>b64e1a04-ef14-4a6c-ad72-640a941c2612</t>
  </si>
  <si>
    <t>b963a331-91ee-4a6a-9d9c-208788c49074</t>
  </si>
  <si>
    <t>2f55007a-9682-4109-8431-2fa060e85673</t>
  </si>
  <si>
    <t>17874397-5431-4e69-9bf9-19d705faab2e</t>
  </si>
  <si>
    <t>d3975aa1-9bf5-45a5-9375-ff6ced50de42</t>
  </si>
  <si>
    <t>22266a98-3d16-4f4e-b382-ffa5d3aed831</t>
  </si>
  <si>
    <t>44d3397a-806f-43c1-8907-aa8c27ed8079</t>
  </si>
  <si>
    <t>521382de-978e-48ad-b161-5d8ab6b7234e</t>
  </si>
  <si>
    <t>72601ad7-f6b1-4f64-8c07-f1a0a787a386</t>
  </si>
  <si>
    <t>ab5b6ce1-4472-4987-b7ca-dd71334f9592</t>
  </si>
  <si>
    <t>697ba97e-0ab7-465c-8c43-87a7e484dfac</t>
  </si>
  <si>
    <t>c1d6b7a6-e749-43fc-8430-e0f0057aca5f</t>
  </si>
  <si>
    <t>a683a981-d35f-49f3-9b9a-a8ad04fd7b16</t>
  </si>
  <si>
    <t>5548db44-9939-45ea-8cde-6dd44b0d8036</t>
  </si>
  <si>
    <t>30add045-ab3e-4753-abfa-c317ec02730a</t>
  </si>
  <si>
    <t>ec4fcd72-7a49-473c-85ca-390fc9e57d52</t>
  </si>
  <si>
    <t>6c7026ab-704b-4d7d-b658-66432e78fbf8</t>
  </si>
  <si>
    <t>aeb6a179-a31d-4430-9d79-388dbd8b552f</t>
  </si>
  <si>
    <t>60334592-83df-4b11-a2e1-da7ded2535aa</t>
  </si>
  <si>
    <t>1b829a44-ed16-4913-aac5-28506c92e0a9</t>
  </si>
  <si>
    <t>55aa7135-3268-48a1-a965-0fac4eddb7b8</t>
  </si>
  <si>
    <t>2ad8b82e-2168-47f7-9744-e845a8e48a18</t>
  </si>
  <si>
    <t>b88a132f-9afd-4eb8-9e78-2d359cc78a22</t>
  </si>
  <si>
    <t>2d25d85a-6085-4ad8-ae08-1a4d21b7c05b</t>
  </si>
  <si>
    <t>51ba57c9-cf31-4241-9a54-ad1abaf17326</t>
  </si>
  <si>
    <t>a8f8a526-8289-46fc-83a3-9717a64af759</t>
  </si>
  <si>
    <t>2975d560-cd13-47c5-8216-f8847177ed85</t>
  </si>
  <si>
    <t>edaac9b2-7788-4cc2-bcae-8cf07f8afb3a</t>
  </si>
  <si>
    <t>55987346-c6e1-4766-8226-74d0fcf02ff5</t>
  </si>
  <si>
    <t>feca176b-1ae3-47f9-82d6-ebee151dcd65</t>
  </si>
  <si>
    <t>70877fd0-301a-4021-9bca-539c1833ae4d</t>
  </si>
  <si>
    <t>bcae9b58-6081-44e3-8dec-26406f6835e7</t>
  </si>
  <si>
    <t>0e9c2a39-12f4-4bf6-be86-deaccd099fec</t>
  </si>
  <si>
    <t>c0d2bb59-f5bb-4da4-88ed-9d670e2ec727</t>
  </si>
  <si>
    <t>1bc58c87-ff12-4ead-995a-c2c35062e450</t>
  </si>
  <si>
    <t>eec8b59a-4325-43d3-9308-fc5cc94830fa</t>
  </si>
  <si>
    <t>6ef3d5c9-1d7f-4100-9b17-22a554e8caad</t>
  </si>
  <si>
    <t>287ec5fe-48e9-4538-b9c9-71bf23aa8781</t>
  </si>
  <si>
    <t>036b4a5f-d26d-40e3-ba14-669a725bdb1f</t>
  </si>
  <si>
    <t>0691d9e7-92de-4dc5-ae11-64824edbf9e0</t>
  </si>
  <si>
    <t>099473b4-b27c-4cf8-9bb1-862c639701f3</t>
  </si>
  <si>
    <t>0ac19238-cb50-4882-b4bb-3d068dc29494</t>
  </si>
  <si>
    <t>8728e75d-5ce9-4a44-b6ab-f53ffaacf6c5</t>
  </si>
  <si>
    <t>8050afa7-ecbe-4ad4-a793-50f42ab423d3</t>
  </si>
  <si>
    <t>5ed9091c-6b7e-4351-b526-d57df230b26d</t>
  </si>
  <si>
    <t>4d37690f-3d7f-4aae-9b34-9a45b65cf63d</t>
  </si>
  <si>
    <t>81a2a8c7-3f1b-47be-b787-9730e6874b3b</t>
  </si>
  <si>
    <t>b1b17c62-0907-4594-8477-b6d9a1de203c</t>
  </si>
  <si>
    <t>41667e6f-421b-44dc-a22e-6f49d64d11c7</t>
  </si>
  <si>
    <t>7987069d-efaa-4d6b-bf85-de78408157c5</t>
  </si>
  <si>
    <t>f6790d45-e49b-478e-9535-ee8ce7ef1cdf</t>
  </si>
  <si>
    <t>a4a081bf-78e0-49f2-b13d-edb25ab7ea32</t>
  </si>
  <si>
    <t>3a705431-53dc-4ec6-a4e5-2960228a1ad8</t>
  </si>
  <si>
    <t>b9fd67cd-6bf0-4c9c-ab2f-2d3060247949</t>
  </si>
  <si>
    <t>1009cba1-e578-425e-99b7-0693b4024e29</t>
  </si>
  <si>
    <t>9448266e-01a1-472a-9fe4-37d4e1a6b7b4</t>
  </si>
  <si>
    <t>9c5addc5-de2b-4614-8efc-afc56a0ac20b</t>
  </si>
  <si>
    <t>fbf7eced-0008-448b-a601-d051971b1764</t>
  </si>
  <si>
    <t>7b929fce-23d0-4c91-886c-e9d3c60f2a03</t>
  </si>
  <si>
    <t>e938d06e-fcc5-4768-86d8-6aaf73f4fa35</t>
  </si>
  <si>
    <t>a5e54cb5-cab8-452b-9592-f2b83dadb4c5</t>
  </si>
  <si>
    <t>c7ef45c3-a8d7-4952-bf06-66e39f308471</t>
  </si>
  <si>
    <t>6e91dbee-b822-44c0-a014-a48a452ec9d0</t>
  </si>
  <si>
    <t>49d191d4-94d6-46a0-a47a-f36813b05dfb</t>
  </si>
  <si>
    <t>f500aa1d-d760-42ea-8cd1-725d5aa13413</t>
  </si>
  <si>
    <t>da1d94c9-af82-46ad-a2a3-112aa874e2c2</t>
  </si>
  <si>
    <t>6eaa7000-e450-4dbd-9eea-6abe53a3ccea</t>
  </si>
  <si>
    <t>14b8d5b4-acf9-4243-bfc7-371bfc3b67df</t>
  </si>
  <si>
    <t>5ff64e1b-5ffa-4f13-827c-62773ab1ab6f</t>
  </si>
  <si>
    <t>89931699-5ba5-434a-8dca-32e18d7dbd4b</t>
  </si>
  <si>
    <t>46621af8-c4ca-4079-87d7-a8b68c9461b3</t>
  </si>
  <si>
    <t>750a6638-3b93-407c-80b6-074f7b7e9673</t>
  </si>
  <si>
    <t>a1419778-cfb0-47d8-8e7a-bc5d093195d2</t>
  </si>
  <si>
    <t>4933b25d-6722-45b2-b706-e08605c11066</t>
  </si>
  <si>
    <t>24405e27-b8b8-4ef8-9cb0-c7974bd0dcd7</t>
  </si>
  <si>
    <t>3fb95ed2-0c85-4197-9463-622b3ca9a90c</t>
  </si>
  <si>
    <t>c414e639-5ea4-4481-b760-4c16636863fb</t>
  </si>
  <si>
    <t>f7b0c51e-0031-4647-900a-115a166b40b5</t>
  </si>
  <si>
    <t>17219697-8881-42f0-aba7-7ab8fdd11da9</t>
  </si>
  <si>
    <t>b4af5cfb-b811-4ec6-9b0e-b8fbf7de35b5</t>
  </si>
  <si>
    <t>9216565f-576a-44ed-9d7a-a8aab306d7fb</t>
  </si>
  <si>
    <t>7f00af18-e9a7-464e-a6b5-b9b10a54b27d</t>
  </si>
  <si>
    <t>931bee39-98db-4b72-9e52-f40e09e00738</t>
  </si>
  <si>
    <t>8c2d6f55-ade2-477e-b273-53e50b0a40b7</t>
  </si>
  <si>
    <t>6b1bf8c4-e894-4ba9-9fad-7497ef253b7f</t>
  </si>
  <si>
    <t>1a7ac656-bafb-4e6a-a5ac-ae0416f3dbe1</t>
  </si>
  <si>
    <t>6034d060-391f-4f38-9ff7-870fb4d6c241</t>
  </si>
  <si>
    <t>e1ba461d-21c7-4a8a-9629-d916d9b5cff7</t>
  </si>
  <si>
    <t>f0b6c5bd-f49e-4cd3-90f5-29b4b00a8ab3</t>
  </si>
  <si>
    <t>17570efb-4ba0-4b9f-8841-56492358c59a</t>
  </si>
  <si>
    <t>17d1f30d-33be-4bc4-ba78-8a57cdc8ef8d</t>
  </si>
  <si>
    <t>cf036ddf-1a7e-4a72-b1ea-55b11a87b482</t>
  </si>
  <si>
    <t>62bf9eae-d919-4c34-8bc2-2ffedcc4ec5d</t>
  </si>
  <si>
    <t>3b71b9da-ed2a-4bac-935d-60979792672e</t>
  </si>
  <si>
    <t>d4fa918c-1bfb-4a9f-ab36-2179e743db0b</t>
  </si>
  <si>
    <t>b585c7c3-46df-4c32-95eb-12551b1bb2d8</t>
  </si>
  <si>
    <t>91cf940b-4be6-4692-b46e-53cc59c3bc36</t>
  </si>
  <si>
    <t>1b5f4177-371a-4c9a-a4fd-46ccc96103dd</t>
  </si>
  <si>
    <t>cf0e854c-0608-40f6-b631-6b4d5f7a0ce9</t>
  </si>
  <si>
    <t>2c906f73-b731-418e-8097-95c0f874c3eb</t>
  </si>
  <si>
    <t>6843cc5d-4c0d-4a4f-a479-05001622c9bb</t>
  </si>
  <si>
    <t>4ffd8a27-1149-4b0c-a822-1da56b80b212</t>
  </si>
  <si>
    <t>dcece5b0-43e4-466c-9511-3fbae0a3b624</t>
  </si>
  <si>
    <t>56664bb3-161c-447c-a977-00f18bc4787d</t>
  </si>
  <si>
    <t>552546fb-dfc4-48e2-a13e-183c8fb7c18f</t>
  </si>
  <si>
    <t>da959d35-24c6-46e5-b52b-a2908e645ed7</t>
  </si>
  <si>
    <t>a4eaedbe-375c-472f-bf56-15f560afa034</t>
  </si>
  <si>
    <t>b9d07746-6aa5-48e1-9033-e37b45cefb34</t>
  </si>
  <si>
    <t>fcf7205d-ed92-45a1-a608-75f6a70e5ed7</t>
  </si>
  <si>
    <t>43e3cd1c-2c5a-4b3b-bd24-5a7d4ccd8bf2</t>
  </si>
  <si>
    <t>87c2892e-e449-40c4-b110-0824c85d14af</t>
  </si>
  <si>
    <t>ccada82d-8cc9-47a7-bc93-ac1b8fa07b8e</t>
  </si>
  <si>
    <t>5526ab76-d30d-4cdf-84cb-ff2d3217274a</t>
  </si>
  <si>
    <t>086a7a3f-9a89-42cd-8b47-ac858b72722a</t>
  </si>
  <si>
    <t>d6fde866-8dab-414d-93a6-44293e26c97b</t>
  </si>
  <si>
    <t>f2b16c7f-4760-4f1e-a4b2-b5e50e67fb27</t>
  </si>
  <si>
    <t>6e160b44-363a-4d57-bab6-5b22e979e887</t>
  </si>
  <si>
    <t>f0e8e312-3315-46d4-9475-d376bb231524</t>
  </si>
  <si>
    <t>3ee82784-d01b-44da-b1fe-bbfa81b78bf1</t>
  </si>
  <si>
    <t>27df865c-d4b2-4981-a525-360126dcd57a</t>
  </si>
  <si>
    <t>efd974fa-1dce-41ff-9d11-0d2f181559a0</t>
  </si>
  <si>
    <t>e2c3f40a-af6b-49bb-a8c6-85691505fae8</t>
  </si>
  <si>
    <t>8e595ac0-28a0-4178-b0bb-04b452326a5b</t>
  </si>
  <si>
    <t>e49a8c45-d0f3-40a4-bbdf-08134e2c2a91</t>
  </si>
  <si>
    <t>47f88627-cafa-48f1-be88-630ac9399313</t>
  </si>
  <si>
    <t>140050f4-0857-4a05-b012-34001d8114a6</t>
  </si>
  <si>
    <t>fae18ffd-0f18-453b-9a08-6af102c029fa</t>
  </si>
  <si>
    <t>25d38511-efff-416e-a92e-af59e71aedae</t>
  </si>
  <si>
    <t>37df711b-35ee-4ed8-83d2-922c80ffa1a1</t>
  </si>
  <si>
    <t>94db0386-f234-4ee7-8aa0-dcc0ff457278</t>
  </si>
  <si>
    <t>73133473-9657-49c2-b4f8-77b2380ca309</t>
  </si>
  <si>
    <t>e19f60cc-7e74-458f-9e37-12511d3a3506</t>
  </si>
  <si>
    <t>ddb44990-503f-4d57-b23e-81ee8e33e31c</t>
  </si>
  <si>
    <t>fefecab1-579c-48fa-8803-253dfbdf42d5</t>
  </si>
  <si>
    <t>46fd4297-b49a-45d6-a09d-19a26147e19a</t>
  </si>
  <si>
    <t>89c5d399-6c86-4310-b981-2bd58fc37e57</t>
  </si>
  <si>
    <t>f1506978-d456-462e-a6c7-85a160c9b82e</t>
  </si>
  <si>
    <t>165348b6-2c90-4d08-88c4-9c3a76076b85</t>
  </si>
  <si>
    <t>146bc219-473c-4813-9d27-f584962bdb44</t>
  </si>
  <si>
    <t>1715c4e4-7c56-4bcf-845a-4c366c39e8fc</t>
  </si>
  <si>
    <t>1986a40f-eb95-42f1-866c-0aa905972aa5</t>
  </si>
  <si>
    <t>eb982e0d-4adc-47a3-98e8-4e86a3befe48</t>
  </si>
  <si>
    <t>c469045f-ec87-42e4-82a1-be8e5bab2135</t>
  </si>
  <si>
    <t>b74f6b4b-a83d-4319-a121-99c5b4e1a7ed</t>
  </si>
  <si>
    <t>23d09f18-697f-4233-b1a5-6fe4513aab29</t>
  </si>
  <si>
    <t>b12d8725-09de-44f9-8b52-603ba1c99166</t>
  </si>
  <si>
    <t>c26d29b3-eac5-4ac4-82a5-116833c65582</t>
  </si>
  <si>
    <t>c53745c7-448f-4527-be6b-734d02c8548e</t>
  </si>
  <si>
    <t>a2147627-7d68-4461-8c26-3192b1252e0e</t>
  </si>
  <si>
    <t>dd2569d2-b6cc-474b-be8b-bc3dc7a5cb4a</t>
  </si>
  <si>
    <t>cd974314-1954-4de9-9813-63cb988be716</t>
  </si>
  <si>
    <t>7f3ea46a-0d94-46df-a668-471a6e468f64</t>
  </si>
  <si>
    <t>89fa6c7c-ab59-40a0-aab5-8a9c35733ad5</t>
  </si>
  <si>
    <t>0908b54f-538e-4a4b-bc5e-e93d4b529d8d</t>
  </si>
  <si>
    <t>e4d4a948-04d2-434f-a52c-ebc5151db43e</t>
  </si>
  <si>
    <t>edf8770b-4690-4b30-a9da-a5bc9ef3c615</t>
  </si>
  <si>
    <t>8571850d-e2cd-47a6-bc93-63f2d3f9cb30</t>
  </si>
  <si>
    <t>2b696005-f4d7-40c5-bcc3-587d2910a8e3</t>
  </si>
  <si>
    <t>77f8d2da-3f34-4a02-8780-fcaab801b7fb</t>
  </si>
  <si>
    <t>2986b2af-cafa-4e8e-84ef-935c90683c79</t>
  </si>
  <si>
    <t>23a6a866-d1a1-4929-9b5d-97c99ed39c80</t>
  </si>
  <si>
    <t>81572c13-a12d-4bf8-a510-5bdb12c9c16a</t>
  </si>
  <si>
    <t>1f89f505-ac3f-4538-9215-063c70b48b98</t>
  </si>
  <si>
    <t>dcf62189-400f-4b2a-afc7-9b673182c229</t>
  </si>
  <si>
    <t>3c84119c-5db9-4cbb-ac42-45757da0210f</t>
  </si>
  <si>
    <t>729ef660-eb97-4b5e-8765-4791dba2f754</t>
  </si>
  <si>
    <t>93ddd2c6-7761-44e5-a8b5-a43863575f33</t>
  </si>
  <si>
    <t>3c43176b-3672-4722-87a6-74a88692c573</t>
  </si>
  <si>
    <t>0e9cfc52-27cb-4fed-97cd-46f4bbacfa31</t>
  </si>
  <si>
    <t>973e84f5-3ef5-4309-9b37-2b4af45ed4b9</t>
  </si>
  <si>
    <t>0301dc2e-b1d8-46ad-a291-0f056e28896a</t>
  </si>
  <si>
    <t>e5bd752b-a772-4775-b45b-1f2fdd438ba7</t>
  </si>
  <si>
    <t>e33f6670-abe6-4931-8c94-3c94e8a9ce49</t>
  </si>
  <si>
    <t>ad445a45-e3da-485d-9d7c-d174bd6cb9fd</t>
  </si>
  <si>
    <t>23f24aaf-241e-4d60-a09e-7b0ca98bc162</t>
  </si>
  <si>
    <t>9fc308fa-66ba-46c2-ab5d-96a0592bfdb6</t>
  </si>
  <si>
    <t>535f3322-6658-449b-8cca-0942262d1c30</t>
  </si>
  <si>
    <t>df0faf6a-31a9-4e2a-bb49-3ec85a23da60</t>
  </si>
  <si>
    <t>ac816925-161d-46fb-94c9-1fd98990a8a9</t>
  </si>
  <si>
    <t>99ad0075-1330-459a-80ee-c657f8d65788</t>
  </si>
  <si>
    <t>46c6cf49-e8b6-475d-9252-218a53be060c</t>
  </si>
  <si>
    <t>d1beab45-e3a2-4cbd-84d3-15d4409cfab0</t>
  </si>
  <si>
    <t>421eaae8-990a-4421-be7e-b58f45b36d28</t>
  </si>
  <si>
    <t>28dd1332-f527-4429-88e4-2c54f09b4578</t>
  </si>
  <si>
    <t>2094b063-9307-43b4-93e2-c886a4267f3e</t>
  </si>
  <si>
    <t>32e6a570-0814-4ec5-9437-964eb1c0628c</t>
  </si>
  <si>
    <t>2f3049d1-4d2c-4843-a9c2-8fc9120b4c94</t>
  </si>
  <si>
    <t>67e5d466-d227-4f8e-9bda-0149ee523745</t>
  </si>
  <si>
    <t>373a5341-9fae-4e0f-b0cb-940c4142c903</t>
  </si>
  <si>
    <t>aac9ebfd-3df9-483c-8fa5-ff1d45671696</t>
  </si>
  <si>
    <t>44dbc1a9-eb73-4769-bb12-4664aaac9fd5</t>
  </si>
  <si>
    <t>96e05214-21b3-4450-ab7c-2722a75e519d</t>
  </si>
  <si>
    <t>d9e6a910-4984-4cba-bacc-406df78a9267</t>
  </si>
  <si>
    <t>46251140-d9fd-4ce3-b8dd-fb44601072b2</t>
  </si>
  <si>
    <t>34b11349-c05d-4937-a515-141c02818f64</t>
  </si>
  <si>
    <t>07aaee5a-c849-49f0-bc95-4ec089ebd3fd</t>
  </si>
  <si>
    <t>e7ef30c9-36eb-4033-ba19-2baf2f0563c8</t>
  </si>
  <si>
    <t>39047018-dbfe-4cd5-8d42-abef35b1be4a</t>
  </si>
  <si>
    <t>91218fe1-6859-4876-80f7-d6165cbd7bd0</t>
  </si>
  <si>
    <t>6c6c1bb7-6107-461d-ae34-e6759269a77d</t>
  </si>
  <si>
    <t>03c16f8b-64ce-4d37-9afe-f7a7359a10b8</t>
  </si>
  <si>
    <t>24f1f8ac-6d0e-4447-a0db-c3ab27251400</t>
  </si>
  <si>
    <t>4264a846-1da0-44d8-b472-dee73a80502e</t>
  </si>
  <si>
    <t>027c06c0-4dec-43d4-91eb-d2a5a70f92e0</t>
  </si>
  <si>
    <t>fb5cc622-695b-4447-b65e-173ed40be7fd</t>
  </si>
  <si>
    <t>7344e8a9-c160-4f84-9215-54be55f8b369</t>
  </si>
  <si>
    <t>0690ee56-dbe2-4187-9a3b-db22c49cea51</t>
  </si>
  <si>
    <t>72c79df9-fe17-4b36-887c-9ac68890f255</t>
  </si>
  <si>
    <t>34795a37-7635-423e-9ecb-56194c0ee1ef</t>
  </si>
  <si>
    <t>504c17d7-19fd-456d-a80e-b60c45ce6e7f</t>
  </si>
  <si>
    <t>64d66fab-5ec1-4ae5-9010-b72c1aefa827</t>
  </si>
  <si>
    <t>15f35d98-ef62-4252-a44a-98483ecfdc6b</t>
  </si>
  <si>
    <t>381b9550-7403-48dc-bcff-6dad9fc2fa87</t>
  </si>
  <si>
    <t>3ead40cc-03a1-4cf8-abf1-cfed74120c33</t>
  </si>
  <si>
    <t>91f3fee3-3140-4e9a-a53e-b7cd3160bbb8</t>
  </si>
  <si>
    <t>35eda14f-a4c1-4e4d-a0ff-48d5f47d6cd0</t>
  </si>
  <si>
    <t>ac468cbb-0f55-48fd-978f-33519d3c4e8f</t>
  </si>
  <si>
    <t>4d1f6b5b-7652-4e4e-b63b-a8bc84930962</t>
  </si>
  <si>
    <t>0c23ddf6-2f6f-4738-bbbe-d03878cef662</t>
  </si>
  <si>
    <t>85b672b9-5979-4d69-a17e-9fab8ddf7175</t>
  </si>
  <si>
    <t>f2cd737b-75dc-4064-bd5c-de2ee6af51c9</t>
  </si>
  <si>
    <t>5b1eeeb3-53e3-4ae2-bcfb-2b0d60e1a21c</t>
  </si>
  <si>
    <t>6c63319f-2d29-4cd8-ae08-7d646783282a</t>
  </si>
  <si>
    <t>ef8a5d14-205a-47a3-a595-acef403bffa7</t>
  </si>
  <si>
    <t>af35351d-11cc-4c32-8b3c-6d477cb05b19</t>
  </si>
  <si>
    <t>cfe60bd5-d9f0-4eb7-bd59-3358e35bca91</t>
  </si>
  <si>
    <t>2c9b21d9-8b8d-4e69-bb70-e20d34b16983</t>
  </si>
  <si>
    <t>1211c375-77c5-456b-b087-adb685025dd0</t>
  </si>
  <si>
    <t>e093d405-4d3f-489f-969f-6c14fcac2a33</t>
  </si>
  <si>
    <t>25790560-f785-425f-a426-fd3545fc21ad</t>
  </si>
  <si>
    <t>ffbe0e7c-9921-4107-9d4c-f75a1a70ac2a</t>
  </si>
  <si>
    <t>7d0a7427-093b-4583-9b8e-13162463ad6a</t>
  </si>
  <si>
    <t>08d9dcda-cbfc-4b6b-adc8-658ae78cdcf3</t>
  </si>
  <si>
    <t>5d798ad1-efc9-4cfe-99af-7dcae34b5c0e</t>
  </si>
  <si>
    <t>acb5b541-437d-4150-9562-2639a38159db</t>
  </si>
  <si>
    <t>643494e4-afe5-405d-b0e2-daec487796a3</t>
  </si>
  <si>
    <t>96845736-2edd-450d-8678-2d935b5b3f09</t>
  </si>
  <si>
    <t>42fb7dc0-56cd-426e-8c8e-19808925ea59</t>
  </si>
  <si>
    <t>2024bd7e-e873-48c0-9e44-5c66143e14a2</t>
  </si>
  <si>
    <t>28e30bf4-e7c0-4579-9c38-0aee5d5ea3f2</t>
  </si>
  <si>
    <t>196f5f4b-47a8-496e-9ddb-9299912fd698</t>
  </si>
  <si>
    <t>4b1c7681-3221-44aa-82c7-02aebdd20434</t>
  </si>
  <si>
    <t>179fd5bc-99d7-42ca-96e9-194c7c1068be</t>
  </si>
  <si>
    <t>ecd368fd-0a23-436c-b18c-f79fa8d974c1</t>
  </si>
  <si>
    <t>faddd042-b338-4999-ab4a-21667a8aff99</t>
  </si>
  <si>
    <t>3fd47b85-cf5a-414e-9929-7ed51be738ab</t>
  </si>
  <si>
    <t>548084c6-48aa-4110-ae71-02c2cd0640d8</t>
  </si>
  <si>
    <t>200744fd-339d-46b7-bdd7-75f6311d10c2</t>
  </si>
  <si>
    <t>4f3c78e6-9e90-4601-bece-377f38567cef</t>
  </si>
  <si>
    <t>faf264ee-c0a0-400b-9d77-353c6ced1a8c</t>
  </si>
  <si>
    <t>44e14173-268c-47b3-b10d-35e655f1b8d5</t>
  </si>
  <si>
    <t>f0e9091e-2431-4ab8-8bb9-444c5c39c800</t>
  </si>
  <si>
    <t>1f0b6300-2576-4798-bd4a-7645fc55445b</t>
  </si>
  <si>
    <t>514c1267-5be8-4418-9efb-f7999a11f894</t>
  </si>
  <si>
    <t>ec5781d8-464a-454c-baff-392f96621e07</t>
  </si>
  <si>
    <t>4c9eda19-2bb3-43e7-8e1c-0a0ff9357bd4</t>
  </si>
  <si>
    <t>910c5164-93ec-4e31-88ad-549868476466</t>
  </si>
  <si>
    <t>2d4805d4-31be-4eb1-940d-a328774e9e5d</t>
  </si>
  <si>
    <t>d2d6b334-a048-454e-a756-1d925a2445eb</t>
  </si>
  <si>
    <t>f3246e5b-ec85-446b-bcf2-30b15de58d9d</t>
  </si>
  <si>
    <t>346ab0c2-f11d-4a08-a0ef-7694363f3ae0</t>
  </si>
  <si>
    <t>6e50444c-6c08-423f-b720-847af215bd41</t>
  </si>
  <si>
    <t>5e0f5d5f-f7b8-4ad4-a56f-22b2bb3c43e4</t>
  </si>
  <si>
    <t>a48287db-3d2e-40a0-a0b8-8675d4589388</t>
  </si>
  <si>
    <t>26622754-7436-4bf5-adea-04a292f06216</t>
  </si>
  <si>
    <t>abd4eaa5-969c-4035-bd81-b98533442ae0</t>
  </si>
  <si>
    <t>faf370da-6bed-4d99-aa01-15b0f2868a9e</t>
  </si>
  <si>
    <t>28b8c898-187c-49cb-b827-d91fd93bec70</t>
  </si>
  <si>
    <t>049ec9ab-b09f-461c-b774-5810bc5789c9</t>
  </si>
  <si>
    <t>18529d93-893a-4903-8289-5bc00dfbbbc6</t>
  </si>
  <si>
    <t>1303b7b6-6ec5-4e7a-af22-ea429515357d</t>
  </si>
  <si>
    <t>654260fa-24d7-4f03-b32c-f5ab977a1031</t>
  </si>
  <si>
    <t>301e8131-5946-4245-ba48-2dc3fd552cb8</t>
  </si>
  <si>
    <t>ffd7a77d-7608-4dbc-82d1-c2d4d1d5d132</t>
  </si>
  <si>
    <t>b2b3bbdb-482c-4388-b355-c728f9da748f</t>
  </si>
  <si>
    <t>1f796607-be06-4e6a-a102-2efc78b1ca16</t>
  </si>
  <si>
    <t>bfa02557-5441-4042-8137-793c43a422e8</t>
  </si>
  <si>
    <t>f6907862-a9fd-4a23-aae1-6edbf491d7f1</t>
  </si>
  <si>
    <t>5144a8df-7f6d-4e84-9022-66f39e58bb68</t>
  </si>
  <si>
    <t>7b0d81cd-c249-4d2d-9cdc-6ee9d85ed283</t>
  </si>
  <si>
    <t>769674ba-19e5-4a6a-b353-facf54fbb6e0</t>
  </si>
  <si>
    <t>1679b3fc-718f-4000-8f69-3b9366299e49</t>
  </si>
  <si>
    <t>d88c20b8-c0af-41e5-8d59-65a345133fb3</t>
  </si>
  <si>
    <t>e5a8e0b5-5b5e-4613-acc4-76b38e03f958</t>
  </si>
  <si>
    <t>b034d781-e4ca-4cfc-b645-e9531ef2d347</t>
  </si>
  <si>
    <t>0c07f09f-a442-4a69-a25d-8af2df6af414</t>
  </si>
  <si>
    <t>916d87c9-3f88-4f0e-98ee-0f27d8e62b0a</t>
  </si>
  <si>
    <t>9b6193ab-b21c-4cc8-b45d-2bd11475efb3</t>
  </si>
  <si>
    <t>14b956af-aa78-468c-a20d-daabae23108d</t>
  </si>
  <si>
    <t>6032d0f5-e5c0-49d2-971d-079db6c358df</t>
  </si>
  <si>
    <t>d59ba34e-6680-40f2-ae1a-14f2d2c88e91</t>
  </si>
  <si>
    <t>1ba18211-9c5f-498f-b188-b5b5f58ff198</t>
  </si>
  <si>
    <t>7fc98c2f-c71a-4af0-b532-7bb513272815</t>
  </si>
  <si>
    <t>c6f3374b-7a7f-4219-b194-f0c989f78cfc</t>
  </si>
  <si>
    <t>fcf17ea1-2e26-45b6-8c64-052a0c84e1a4</t>
  </si>
  <si>
    <t>af2f7a8e-6611-416a-8cbc-871e3df33a1b</t>
  </si>
  <si>
    <t>8329b08a-22c9-41c9-b4a2-ede2a1407ca9</t>
  </si>
  <si>
    <t>e7e2dc97-77cb-4657-a75c-7b909b1f473f</t>
  </si>
  <si>
    <t>e96f9dcb-1d39-48ea-8c76-83d4526b1d5f</t>
  </si>
  <si>
    <t>63b76069-9c9c-4030-8501-e9bd5f70baac</t>
  </si>
  <si>
    <t>d5494de3-5422-4437-a937-9e9fc1673b23</t>
  </si>
  <si>
    <t>965d9ef5-fdbf-48e4-a11e-8fd70b8dd4a9</t>
  </si>
  <si>
    <t>b3e8ad34-ade8-4b9e-a72d-1629275399eb</t>
  </si>
  <si>
    <t>1a417fbf-866c-4ff1-af44-13e90cbbb9db</t>
  </si>
  <si>
    <t>29495870-356f-4676-9bf8-f8ba49204d46</t>
  </si>
  <si>
    <t>161da9aa-5e4f-427e-a647-bc015a469252</t>
  </si>
  <si>
    <t>93c00b2a-b12a-4729-978a-1856748fec65</t>
  </si>
  <si>
    <t>d3bfe52c-7f6a-4e4a-b895-a3210b84d94d</t>
  </si>
  <si>
    <t>99d5bb9e-b3ce-4e56-a8d2-493bed4864e1</t>
  </si>
  <si>
    <t>4e3cbc2a-8c21-4845-932b-bd5bbb02e10b</t>
  </si>
  <si>
    <t>1c1c5145-fd13-4c0e-9a45-e18e9ebb6a07</t>
  </si>
  <si>
    <t>9e153932-2f33-4f32-ac2d-279f5c5ffaab</t>
  </si>
  <si>
    <t>a2860e45-9812-4952-8865-2c9113baae8d</t>
  </si>
  <si>
    <t>eb9ffc1d-90cf-41bb-b18e-b118d745b184</t>
  </si>
  <si>
    <t>f3d58e2f-b78f-4df7-8455-58ecd328798d</t>
  </si>
  <si>
    <t>ed233136-d1c6-4e17-8ea3-64ec10d8f882</t>
  </si>
  <si>
    <t>065fa014-3a3e-4d9a-a54f-60f91fae5820</t>
  </si>
  <si>
    <t>b942a90e-e80a-4079-94cf-b6657f127de4</t>
  </si>
  <si>
    <t>bf57159a-63c5-479a-b4c8-ced4a60e2d2d</t>
  </si>
  <si>
    <t>ebdbba9b-b3c9-4074-b02d-4ee57b51f8f6</t>
  </si>
  <si>
    <t>e433a731-5370-4d70-8852-a81c478d4483</t>
  </si>
  <si>
    <t>3d0ef301-6769-46fc-b331-ce295cd74e80</t>
  </si>
  <si>
    <t>f71aec52-ab1e-4dcf-a184-69646fe45f56</t>
  </si>
  <si>
    <t>303e5d95-809b-4bf4-92ac-6e5f2cc59ba8</t>
  </si>
  <si>
    <t>412c7e89-3176-4918-9264-dd82be8010f5</t>
  </si>
  <si>
    <t>1a681a1b-25e5-4de8-837d-0cf7d69b7a21</t>
  </si>
  <si>
    <t>3c7bdc9d-9591-4914-8ba0-50080fe98b08</t>
  </si>
  <si>
    <t>8bd100a3-8559-404b-bdd6-ddaa029b6c70</t>
  </si>
  <si>
    <t>e4b24812-efbd-4593-9d9c-00b531d763c4</t>
  </si>
  <si>
    <t>803da581-3136-49b8-8fcc-7a3b32964c21</t>
  </si>
  <si>
    <t>f3c0fef7-e0e2-4559-9541-63d4d6c943ce</t>
  </si>
  <si>
    <t>5fc305d7-0598-4114-bd7d-e523aa1befc9</t>
  </si>
  <si>
    <t>e43fd57a-efec-41d1-93be-ef8bb0e913be</t>
  </si>
  <si>
    <t>96cd4e09-7d3a-44ac-8895-3e579b483e67</t>
  </si>
  <si>
    <t>9b84c381-8a4e-425e-82d6-e4574ce7eaef</t>
  </si>
  <si>
    <t>ae61debd-11d7-4e74-90b0-5058e273c518</t>
  </si>
  <si>
    <t>027d0683-397f-4764-b23b-26c0baa7dd31</t>
  </si>
  <si>
    <t>69fce7d7-873c-4a8c-9e16-31b51f8a5b89</t>
  </si>
  <si>
    <t>b51e3fd6-b485-4fb4-8f4d-7308e8f8637f</t>
  </si>
  <si>
    <t>f542341a-c266-4e89-a629-a1bd8ea7b663</t>
  </si>
  <si>
    <t>a0aa33e6-8d16-4270-8fff-50888fca0dcf</t>
  </si>
  <si>
    <t>b92f9947-8cc5-4c19-a6e2-92166d3183a6</t>
  </si>
  <si>
    <t>20610703-f205-4e18-8f71-b06869a773d9</t>
  </si>
  <si>
    <t>27ad2e65-11c8-44ef-b468-c1b5a271b2d6</t>
  </si>
  <si>
    <t>9eee1bd0-7e98-411b-8970-2fe112d7ebec</t>
  </si>
  <si>
    <t>43f062ac-2abc-4849-b273-eee6c1d03926</t>
  </si>
  <si>
    <t>80bdb6a9-af1d-4bf8-bdd6-d44d23361ec7</t>
  </si>
  <si>
    <t>4b561de5-67ca-4d0c-8e49-ec97fa83626a</t>
  </si>
  <si>
    <t>ae401f97-f477-4b59-835c-80aba1166e34</t>
  </si>
  <si>
    <t>31a4140a-c4fb-42c7-8854-4c24c438d18e</t>
  </si>
  <si>
    <t>ce3fbd40-95b0-45e9-b263-3c8ec20036c0</t>
  </si>
  <si>
    <t>b7738cff-10aa-4e6f-9fef-e9fcf917d1c4</t>
  </si>
  <si>
    <t>57f1d116-ea1e-43db-93e6-4a9324378aa1</t>
  </si>
  <si>
    <t>0ca91c24-0ea5-4885-8ae4-665754c4a464</t>
  </si>
  <si>
    <t>c98976dd-6fef-4649-bf60-100427cfa861</t>
  </si>
  <si>
    <t>bf4af9cd-1b68-481c-96aa-d569dc62852d</t>
  </si>
  <si>
    <t>13480445-fc86-4991-89e5-ab251055352d</t>
  </si>
  <si>
    <t>d0a6eca4-bb35-4ab4-a281-9a5427cd35af</t>
  </si>
  <si>
    <t>1a2e23e5-b228-4e47-b7cc-0ae914646afd</t>
  </si>
  <si>
    <t>6f635592-2a83-4d81-bfc8-1bc88a9a26a2</t>
  </si>
  <si>
    <t>3ba1272d-37f8-45eb-89d8-9a1dfbc113dc</t>
  </si>
  <si>
    <t>7ae87f0b-ec48-4a45-9947-aadbd421a2d8</t>
  </si>
  <si>
    <t>d074446a-701b-4b52-8a63-790ae3d922b0</t>
  </si>
  <si>
    <t>d1957af6-689c-4010-81fd-fd8590ba41b6</t>
  </si>
  <si>
    <t>663438b8-2e83-49b7-8ca1-f4e8d89fa67f</t>
  </si>
  <si>
    <t>017de893-5eca-4abb-a6fb-235bf52e1183</t>
  </si>
  <si>
    <t>bb58fe93-e0b2-4946-b2f9-f150f203a485</t>
  </si>
  <si>
    <t>82ce0b3d-f1d9-4a0f-92cf-cef581133e3f</t>
  </si>
  <si>
    <t>f1f1260d-5360-470d-9818-505f8db68230</t>
  </si>
  <si>
    <t>2fe5ac5c-459b-49f1-a673-398b1db9b72e</t>
  </si>
  <si>
    <t>ebf85bd7-b3b1-4299-9d0f-e32e7fc3cd4a</t>
  </si>
  <si>
    <t>7864a64d-b304-4501-84ea-cfd022c2f1bc</t>
  </si>
  <si>
    <t>e6b3368d-95d8-445d-bf7e-102d660f0c57</t>
  </si>
  <si>
    <t>3944f950-85d8-4cb2-bedb-09ce9cbed09c</t>
  </si>
  <si>
    <t>9bae5e8d-359c-48c6-ad6f-c791395832e2</t>
  </si>
  <si>
    <t>a24bb748-6eb6-4841-94a9-bf532feac6e6</t>
  </si>
  <si>
    <t>ead6bbc7-1708-4702-99d6-95f30ea755bb</t>
  </si>
  <si>
    <t>a2794c07-a79c-43a9-ba77-bcbc4cfb17ef</t>
  </si>
  <si>
    <t>d9fc180d-06dc-4976-b536-f86b54c3006f</t>
  </si>
  <si>
    <t>b80f6489-78a5-440f-8084-6db353891aeb</t>
  </si>
  <si>
    <t>4fc4e447-3b9a-4414-aed8-894d34103034</t>
  </si>
  <si>
    <t>83bad4fe-fb54-4501-8bfc-0b1f728b523e</t>
  </si>
  <si>
    <t>00ce9289-e055-4962-ad61-110ce7d37ff4</t>
  </si>
  <si>
    <t>9ac104ea-5967-4a62-8f82-3a14e82ecde0</t>
  </si>
  <si>
    <t>5055574d-e03a-4409-8940-5aa540f8c7b1</t>
  </si>
  <si>
    <t>886ecf0d-e049-42b3-bb10-c2e7993a5682</t>
  </si>
  <si>
    <t>2a8b672e-c40e-4884-a460-33c3a34a315e</t>
  </si>
  <si>
    <t>a0e1dbff-bcc6-41c4-97f6-1a3a032b39f4</t>
  </si>
  <si>
    <t>90e19cd2-bb3b-4fd6-bec6-db40cf203781</t>
  </si>
  <si>
    <t>cb532b75-eac0-49c2-898e-6f86e94cd9ee</t>
  </si>
  <si>
    <t>a8013c09-772b-450f-9e42-403cdabc7b2d</t>
  </si>
  <si>
    <t>2f313767-ac03-459d-9300-05962c229980</t>
  </si>
  <si>
    <t>5294d27c-a856-43bb-a560-05cd5d08b939</t>
  </si>
  <si>
    <t>673c0432-05df-4c54-98bb-2cf25801fc96</t>
  </si>
  <si>
    <t>f749e2c8-e004-479b-b690-6a89ef434ddb</t>
  </si>
  <si>
    <t>05ec7918-ccd6-4042-9577-99ccf86b3031</t>
  </si>
  <si>
    <t>64a172b5-1f6b-4618-aeb1-50fef19ae22f</t>
  </si>
  <si>
    <t>06ca1b4c-5275-4cf2-b1e3-44955c49c0aa</t>
  </si>
  <si>
    <t>64b4c226-5693-4b0c-a064-e5e7567ef883</t>
  </si>
  <si>
    <t>5a4745cf-5727-463f-a722-07eaf6b09ee6</t>
  </si>
  <si>
    <t>cfea570a-88d4-4f81-88ae-d89496ed6c87</t>
  </si>
  <si>
    <t>0be77627-7c87-403b-9aa1-35591b045fba</t>
  </si>
  <si>
    <t>d50c7902-2f7e-4db5-b315-db3e9f0c2496</t>
  </si>
  <si>
    <t>344c5424-1d19-4abe-9252-a8ca71cf5aca</t>
  </si>
  <si>
    <t>8e927d87-d1c2-4694-8abb-afc222021faa</t>
  </si>
  <si>
    <t>44c26f24-daef-4b15-bed0-ec68547f0413</t>
  </si>
  <si>
    <t>22f875b0-1894-46a3-b73c-e077fa665873</t>
  </si>
  <si>
    <t>606e1bbd-36d5-45a1-9932-cf5aa3484e5c</t>
  </si>
  <si>
    <t>c69e8c4a-8081-46ab-9482-0147501a5603</t>
  </si>
  <si>
    <t>b312c59e-92cd-4b0a-9baa-d6477c72a8a5</t>
  </si>
  <si>
    <t>b9616946-7d01-4c68-ac7d-b7dcd62fb6ad</t>
  </si>
  <si>
    <t>d019d181-62ae-4042-80fc-61c843545bcd</t>
  </si>
  <si>
    <t>cd2b2235-3612-4d81-b143-1a3af5884238</t>
  </si>
  <si>
    <t>f78f708e-fc00-4c1d-823b-8798f10c8b83</t>
  </si>
  <si>
    <t>4c1a5dd9-a2d2-46f0-870e-a6142afbb3a9</t>
  </si>
  <si>
    <t>4dc3204a-1c4f-4afd-9597-9dc4e9166bd9</t>
  </si>
  <si>
    <t>054d48d4-e95f-4bb8-a4cb-e1bd7c448dbc</t>
  </si>
  <si>
    <t>b0fde5ba-8a38-45ee-b7fb-6c35851e8975</t>
  </si>
  <si>
    <t>c4a05da1-d840-47cf-baf8-d8f4005a4928</t>
  </si>
  <si>
    <t>caaa5ce7-686c-4498-add9-565eb0493c6d</t>
  </si>
  <si>
    <t>9829890a-3880-439c-a2b4-80afeb217997</t>
  </si>
  <si>
    <t>3c07805f-4275-40c9-ac26-921ea46824e8</t>
  </si>
  <si>
    <t>30f6a1ee-33d7-4a8a-a6cb-82c3aa6a16ae</t>
  </si>
  <si>
    <t>59adee7e-d7d6-4c22-b62c-1b42311f77a2</t>
  </si>
  <si>
    <t>bd4aab1a-8302-4e08-a648-a63609db66df</t>
  </si>
  <si>
    <t>11373011-9e1b-41f4-ab76-15ee1c916105</t>
  </si>
  <si>
    <t>e9087e86-8089-43bc-be36-a876aeb5ceb6</t>
  </si>
  <si>
    <t>0ad6fe46-9b24-46fc-9698-7001aa3c071b</t>
  </si>
  <si>
    <t>2f8c9d54-7c13-4902-bc95-dca665d28276</t>
  </si>
  <si>
    <t>3ee5c136-2055-4e39-a9b9-46da20b123a7</t>
  </si>
  <si>
    <t>9274feb4-b477-492e-8ebe-8e6a3466bbdf</t>
  </si>
  <si>
    <t>7bb73ff8-9bb9-4f6d-866f-240f38cc21ee</t>
  </si>
  <si>
    <t>09676128-1363-46d4-8e65-fb15aab4502c</t>
  </si>
  <si>
    <t>3117ae22-8768-4682-b37c-f6788ee60ace</t>
  </si>
  <si>
    <t>e5697b4f-3b1f-40d0-a27f-ffbe199aa1fa</t>
  </si>
  <si>
    <t>1829ac6c-bf86-4add-93af-ef3534a06c28</t>
  </si>
  <si>
    <t>7d44b140-388b-45e7-90be-3989f2c186ef</t>
  </si>
  <si>
    <t>7f720eb2-a80f-4b4d-8daf-1f6829e1e9ae</t>
  </si>
  <si>
    <t>a854b579-3d98-44fb-9d45-00ab83f24a6f</t>
  </si>
  <si>
    <t>c614659a-26da-476a-864b-718733fe9da3</t>
  </si>
  <si>
    <t>948ce2cb-69d0-44e8-82d3-77e8e7e8faef</t>
  </si>
  <si>
    <t>7d08d89e-8404-4b5f-9997-bf9e6b5fb250</t>
  </si>
  <si>
    <t>8ca4333b-e984-423e-8c3b-359064e08c95</t>
  </si>
  <si>
    <t>bfa1ea14-554f-4ea6-bdde-025e9f3797f5</t>
  </si>
  <si>
    <t>b188eb5c-8e85-49e6-be94-ebd9f6c8db61</t>
  </si>
  <si>
    <t>e5cd7a56-d6f1-4023-81ab-11a379047f1d</t>
  </si>
  <si>
    <t>1532673a-a236-4238-8071-860e099bd870</t>
  </si>
  <si>
    <t>760e2c65-f8d5-4600-802d-36cb875e9a19</t>
  </si>
  <si>
    <t>15717c27-c14f-451f-9cd6-8cfa0a2d24e1</t>
  </si>
  <si>
    <t>9352be40-839f-4dcc-af25-f8edd6a94669</t>
  </si>
  <si>
    <t>416b8522-14e6-4803-8f23-a434add52670</t>
  </si>
  <si>
    <t>cd60de06-e3c0-4b41-914f-f63e856ddd67</t>
  </si>
  <si>
    <t>2026cff5-8c58-4355-8d63-cd1bd67114a1</t>
  </si>
  <si>
    <t>9ad724af-34b1-4dc6-913d-291f9a5e5d26</t>
  </si>
  <si>
    <t>0ce8e49e-5fe9-4acc-a9fa-9cc3afcfde73</t>
  </si>
  <si>
    <t>2fcd7184-dbcc-40ba-9107-01eb946cd492</t>
  </si>
  <si>
    <t>8b5b904f-29d5-4933-ba64-957976fa103c</t>
  </si>
  <si>
    <t>9b509a70-72ae-4d6a-8ec3-7501f5220d76</t>
  </si>
  <si>
    <t>76410bb6-7942-4be9-a862-94701d4dcbd3</t>
  </si>
  <si>
    <t>9d93da93-4af0-4ee3-a33a-e9113bb9e909</t>
  </si>
  <si>
    <t>38769edf-d82f-4be4-98b2-324b1295e6d9</t>
  </si>
  <si>
    <t>1bc9bedd-0caf-425e-aed3-5faf9a0c2d27</t>
  </si>
  <si>
    <t>9aa74495-95c3-4d40-afa8-6b352ea283ae</t>
  </si>
  <si>
    <t>24920cb3-62f7-4d92-85b5-ad23f9c29103</t>
  </si>
  <si>
    <t>5fd6b79c-c1c6-45e2-9604-58cece9a92f7</t>
  </si>
  <si>
    <t>6d029724-a31c-4ef1-aea2-59c572067d27</t>
  </si>
  <si>
    <t>b918e3f7-644c-4be8-9b94-e079f0e57adb</t>
  </si>
  <si>
    <t>4b7b3437-9e9b-476a-93e2-b566045c069e</t>
  </si>
  <si>
    <t>051f8977-2874-40a1-b3ff-2374156b1ea0</t>
  </si>
  <si>
    <t>23dbe855-88b7-49e6-8afd-c87e6e7a3789</t>
  </si>
  <si>
    <t>c5070e45-4a31-420c-aa42-6c8733276b63</t>
  </si>
  <si>
    <t>b5acd69b-8cd3-401d-88c2-40c7d6ce48c6</t>
  </si>
  <si>
    <t>595dbdea-9fbb-419c-9e52-4bf9e64d802e</t>
  </si>
  <si>
    <t>3c7f59b3-1c9e-4dc6-9b84-9ef32bde9b1a</t>
  </si>
  <si>
    <t>891545a3-c612-41af-b037-c9513bd65f4d</t>
  </si>
  <si>
    <t>a897c8ea-28f4-4fc2-a050-9b41f2188f72</t>
  </si>
  <si>
    <t>f3fd9e3a-3a0c-4290-8368-4ec6535a24fa</t>
  </si>
  <si>
    <t>fb7ccdf3-68c3-4ed8-bc57-04ba93357cfd</t>
  </si>
  <si>
    <t>069324d5-5b98-413b-b77a-f60ebb7a0342</t>
  </si>
  <si>
    <t>cf4022df-7092-48f3-8264-878f8fba98e5</t>
  </si>
  <si>
    <t>bbfa791d-bf59-4022-b8fc-3c0a64e7c2f4</t>
  </si>
  <si>
    <t>2aa44138-b15c-461f-ba7b-6b1718fc3f8f</t>
  </si>
  <si>
    <t>ae174d75-414d-4847-b752-44d73211df8e</t>
  </si>
  <si>
    <t>8a61f494-bab5-4e82-a508-a7120e973db8</t>
  </si>
  <si>
    <t>47a75ee0-4752-4838-9962-891abdb5c0ea</t>
  </si>
  <si>
    <t>745745e9-e354-486c-952d-1cf7bcc6451f</t>
  </si>
  <si>
    <t>a41dd9ef-0764-4f95-9101-e9d5bb30c03a</t>
  </si>
  <si>
    <t>f31c3891-2944-40ab-a8ef-92b11b3f4334</t>
  </si>
  <si>
    <t>a63f5214-db0f-4cac-a315-64d3499cde08</t>
  </si>
  <si>
    <t>66cd6ce6-43f8-4f9b-920c-03fe32f6b3c1</t>
  </si>
  <si>
    <t>adbfc678-4fe5-4b2e-b071-f72b8bdf9aa1</t>
  </si>
  <si>
    <t>fbe0177d-1a78-4759-91f1-ba62b03acc15</t>
  </si>
  <si>
    <t>27cea559-7785-44c0-ac70-6b3494eeb70b</t>
  </si>
  <si>
    <t>8a0848fd-4827-4f85-9b6f-007ffe391d30</t>
  </si>
  <si>
    <t>84ee2484-f659-41f0-b358-119262ea7d5d</t>
  </si>
  <si>
    <t>94135b4f-6a37-41c4-8625-d91c4926ec68</t>
  </si>
  <si>
    <t>8d2214a8-eef2-4345-ab43-dc9fa0719c72</t>
  </si>
  <si>
    <t>b72a5d95-24ba-4440-8288-b9aacfee95b9</t>
  </si>
  <si>
    <t>abb262e4-25f1-48a4-a322-879a563a00af</t>
  </si>
  <si>
    <t>8f6dc546-9b9c-41fb-9ed2-afac4e5c5a9e</t>
  </si>
  <si>
    <t>ed668da3-d99b-4026-92a3-300a114142e7</t>
  </si>
  <si>
    <t>ee57514c-eefb-44e1-a80d-8dfe36cee93b</t>
  </si>
  <si>
    <t>fa307a7f-4a55-4e3a-a385-0de816f61de8</t>
  </si>
  <si>
    <t>30ce7dcc-c41f-48e9-8e16-b6cfb0e9d1a3</t>
  </si>
  <si>
    <t>d8a6954a-bf7f-45fa-bde0-90266d3195fb</t>
  </si>
  <si>
    <t>bba14e0b-05f9-4cf4-b201-41398c6d4ec5</t>
  </si>
  <si>
    <t>47537e18-5119-4d3c-934e-c0fa3646be77</t>
  </si>
  <si>
    <t>1f70867f-6022-4521-8138-3116b8a88a5c</t>
  </si>
  <si>
    <t>49261e9e-fdd0-48df-87f7-3eab7d66fa81</t>
  </si>
  <si>
    <t>a065e7e1-f8a6-429b-90be-e5b35e78f22a</t>
  </si>
  <si>
    <t>9f43a60a-bd6e-42de-9707-0a3b942d97fc</t>
  </si>
  <si>
    <t>5cdde76b-50a8-4d41-a799-177a2e77e581</t>
  </si>
  <si>
    <t>b21baa2a-9c93-4d91-92bc-88f708dabe32</t>
  </si>
  <si>
    <t>73a4b76c-1e0c-4d55-9ef4-cfce29a688ba</t>
  </si>
  <si>
    <t>1e89c820-f686-4a32-aeab-924d79f6d288</t>
  </si>
  <si>
    <t>f8520665-cd2a-42c9-ba24-3da9505579a9</t>
  </si>
  <si>
    <t>7e06975c-0bf7-4fe1-b884-8e7de13b702d</t>
  </si>
  <si>
    <t>f6abaaad-45a9-4879-8e66-3b1d4d5c3cbc</t>
  </si>
  <si>
    <t>f1c437f2-b4be-40fb-9007-03dece9b63bd</t>
  </si>
  <si>
    <t>1b217597-8e8c-475f-bfc2-df1b648f3ec8</t>
  </si>
  <si>
    <t>a7b7aed8-c00a-4d06-8ffc-bf527572f7bb</t>
  </si>
  <si>
    <t>ccbcbfcb-32f4-4cfb-be96-79bb84daf04b</t>
  </si>
  <si>
    <t>febacab1-7c87-4a27-b2a5-6aaa51021c13</t>
  </si>
  <si>
    <t>deadc085-ed13-47fb-81b4-45eadc08353d</t>
  </si>
  <si>
    <t>5b9fc53d-960a-475a-b189-b54d9c7564a6</t>
  </si>
  <si>
    <t>065fe85d-0373-4737-bbf9-0880fc13ad44</t>
  </si>
  <si>
    <t>88fd7813-ff27-47be-9470-b4ad4044ccef</t>
  </si>
  <si>
    <t>20eb5fec-6d12-4d6a-b791-c984c662cd33</t>
  </si>
  <si>
    <t>c1c6bed5-6167-4c79-bd6f-4c27851ce580</t>
  </si>
  <si>
    <t>c4da46c8-aadf-4aca-98c3-b2e9422c1e93</t>
  </si>
  <si>
    <t>089c7011-1dec-412d-a160-d029ac6eb0a5</t>
  </si>
  <si>
    <t>20971458-c879-4bdc-bf4f-6a4758552a35</t>
  </si>
  <si>
    <t>c3144388-5e8f-4c1c-83ff-3129e562ba4e</t>
  </si>
  <si>
    <t>4489b67d-456a-40da-941e-68facbe3bdb4</t>
  </si>
  <si>
    <t>90acaef3-45c4-49e4-bd9f-1faf1b350e71</t>
  </si>
  <si>
    <t>c42b0dd0-9d7e-47eb-9b16-18c2195e9fce</t>
  </si>
  <si>
    <t>590d4fc0-17ef-42af-aa91-778aa0d317d6</t>
  </si>
  <si>
    <t>55125abd-2493-40cf-8843-604709af81e7</t>
  </si>
  <si>
    <t>24d6f90a-ea1f-44cb-a83b-4d3d53c4d152</t>
  </si>
  <si>
    <t>a525e81a-ceac-45bf-9aaf-312b292c0ab2</t>
  </si>
  <si>
    <t>4e16202d-72c0-4a59-974b-ba3e9c9fb04d</t>
  </si>
  <si>
    <t>b74fff72-ab6f-46d9-a86c-66e7b580c4f3</t>
  </si>
  <si>
    <t>ecf5d19d-4bb9-4dd4-9b1f-1e34cf7b03cf</t>
  </si>
  <si>
    <t>cb28901c-b8a3-43aa-9580-f116d219bf30</t>
  </si>
  <si>
    <t>3db02ad4-41a1-4582-975d-a3a19e873c5a</t>
  </si>
  <si>
    <t>39c2f74d-e634-4686-b4a4-7f3617f6db10</t>
  </si>
  <si>
    <t>b4c1296b-4b42-4988-8541-0e5e848c4488</t>
  </si>
  <si>
    <t>18c08dd6-5cd2-49ff-b9d4-d1e5d3b4aaf1</t>
  </si>
  <si>
    <t>33a14e13-98be-4886-8707-28184c66ae0d</t>
  </si>
  <si>
    <t>0658b8ed-13e8-4ea7-a31f-8afeb49acd60</t>
  </si>
  <si>
    <t>f49a225d-d3da-4584-8f5b-2d17ebb19bd7</t>
  </si>
  <si>
    <t>2d41aa15-7acd-4ab4-b5df-2d6a316ddb17</t>
  </si>
  <si>
    <t>3f593c64-f2eb-4736-974a-5efadabce25a</t>
  </si>
  <si>
    <t>8966b795-f82f-4c5d-a80c-5244a1016339</t>
  </si>
  <si>
    <t>88023604-f612-409e-9761-9fe2336a43e4</t>
  </si>
  <si>
    <t>2635a91a-d4db-4458-8100-c8aa01ee55f1</t>
  </si>
  <si>
    <t>e3852e2b-3a3c-466a-916e-edd403c5353f</t>
  </si>
  <si>
    <t>eeca7e99-fc70-4609-aeb1-5ba88fd7daef</t>
  </si>
  <si>
    <t>8632438c-1adb-4a0f-9d3b-9eed17db3536</t>
  </si>
  <si>
    <t>4020ae84-bece-4f52-bee7-b9ea56435b36</t>
  </si>
  <si>
    <t>8918b03e-e245-4ebf-b05f-158b557fcaea</t>
  </si>
  <si>
    <t>67b67fc6-7750-44bd-896c-3260f78d8e53</t>
  </si>
  <si>
    <t>f8839f01-4286-4f45-a675-f09d869146c1</t>
  </si>
  <si>
    <t>3cb37e51-569d-4238-9854-5e659abf16c4</t>
  </si>
  <si>
    <t>d64c129e-b523-4e14-ab3a-ec621137c3af</t>
  </si>
  <si>
    <t>d08e5984-dcc6-4e82-9190-c0532bbb7cae</t>
  </si>
  <si>
    <t>5299c7dd-6117-44fb-b316-41e3c6ca0e8f</t>
  </si>
  <si>
    <t>187a5666-9d16-459c-a524-35b1789ba1ae</t>
  </si>
  <si>
    <t>3fd34d59-ed02-4b2a-a7b7-7c8dba676ef9</t>
  </si>
  <si>
    <t>79b3f0bd-b45f-444d-a121-5b7a374c0780</t>
  </si>
  <si>
    <t>d74761a3-27c1-4593-92ee-084f86b6c7f5</t>
  </si>
  <si>
    <t>14e1fddb-7d3b-4098-b5f5-98d0467d9921</t>
  </si>
  <si>
    <t>d3cdf140-4887-4f53-a5d3-ec891892c883</t>
  </si>
  <si>
    <t>2fae4d1f-9063-4947-aac3-ec1c00169d35</t>
  </si>
  <si>
    <t>4beaf71e-a65e-4ddd-a643-c8e5acf5bd55</t>
  </si>
  <si>
    <t>d0c512fc-8212-4d61-9ad2-dce10af1dbf7</t>
  </si>
  <si>
    <t>76a7587e-4288-4134-acd3-1c161865573a</t>
  </si>
  <si>
    <t>8868e07d-acc4-4b62-808a-ad4553109922</t>
  </si>
  <si>
    <t>91a11dc0-b609-434f-a1d2-3ecd42d2321b</t>
  </si>
  <si>
    <t>3bca6390-0c4b-4f47-a993-8e49139361c3</t>
  </si>
  <si>
    <t>f6aa3008-2137-480e-ac38-70d58514af59</t>
  </si>
  <si>
    <t>6fb2caa8-9389-4816-91cb-d1134a7b15a1</t>
  </si>
  <si>
    <t>a96d856f-c265-4f78-80d5-f6d85c2e3e48</t>
  </si>
  <si>
    <t>0769f070-5b48-4e47-9507-35259b4dfc71</t>
  </si>
  <si>
    <t>57b1d167-a660-48d5-8fca-f75fa0837d41</t>
  </si>
  <si>
    <t>9bc6420a-4fe7-4bda-97db-6689849cc101</t>
  </si>
  <si>
    <t>9127fd59-f25d-4b74-a710-7f60b1804252</t>
  </si>
  <si>
    <t>39a2da01-6445-4ba4-8dd5-846b8fe23c43</t>
  </si>
  <si>
    <t>ac511430-85a0-40ed-bac6-423c3fe14a63</t>
  </si>
  <si>
    <t>c42c5dc0-22f1-464b-9aa8-9ff0661a54c3</t>
  </si>
  <si>
    <t>7d756761-f638-4e9b-8c0a-00492281d68d</t>
  </si>
  <si>
    <t>cade9688-a34c-4bf1-a49a-962d5d8fb7c4</t>
  </si>
  <si>
    <t>466eaa12-9e20-4d53-860f-a8dccfb242b8</t>
  </si>
  <si>
    <t>57a0a7ed-21ea-4587-b519-ab35689cc9c8</t>
  </si>
  <si>
    <t>4e091ec6-3c1b-4649-aed7-cf99cc9da60d</t>
  </si>
  <si>
    <t>3afd0a8c-2d06-41f8-954a-e439e193f21d</t>
  </si>
  <si>
    <t>63fb5a17-b9fc-4191-8cec-ca2848cc3e54</t>
  </si>
  <si>
    <t>1c663855-e700-49cf-8512-224b34d1efac</t>
  </si>
  <si>
    <t>ca44d69c-f059-423e-82e2-65550f1314be</t>
  </si>
  <si>
    <t>07b638bb-a4bf-4938-9b81-3160ecf59053</t>
  </si>
  <si>
    <t>10187a53-e499-45ef-b5b2-0c0d16ffaef7</t>
  </si>
  <si>
    <t>fe5bdcb9-aa57-47ff-b123-33e4842057da</t>
  </si>
  <si>
    <t>dc67ab9c-2786-4c67-8b27-3891f2676446</t>
  </si>
  <si>
    <t>92ea3113-82a0-40c9-8d98-142d22f0799b</t>
  </si>
  <si>
    <t>834274e5-cea9-4d78-a673-89b85674de2a</t>
  </si>
  <si>
    <t>68fcc8f2-4100-4fb8-bc83-efdca9a49322</t>
  </si>
  <si>
    <t>e0306a29-e5de-43f9-a455-6955498cd3ed</t>
  </si>
  <si>
    <t>27482340-b055-4041-aeb1-1a0feb5dec60</t>
  </si>
  <si>
    <t>ab2d8fa6-2f40-4122-ae99-bf400c1301b1</t>
  </si>
  <si>
    <t>4f6ec262-da69-45ec-914c-026309454e98</t>
  </si>
  <si>
    <t>fbdb9c05-f713-42da-acbc-426247e3dae8</t>
  </si>
  <si>
    <t>63fefe7d-6134-49fb-95fc-5b011b8583c7</t>
  </si>
  <si>
    <t>72913cf5-928b-4c70-9fdf-23f320b7387e</t>
  </si>
  <si>
    <t>e9ecd068-dda1-43b9-a4fb-c17b3e2c9455</t>
  </si>
  <si>
    <t>aa56b066-fb34-4c3c-8ffa-913e48221d38</t>
  </si>
  <si>
    <t>4b34b055-d1b3-401e-8b73-b8c3297396d0</t>
  </si>
  <si>
    <t>2c4ab875-d3c3-429d-9dad-fdf4c0f850d7</t>
  </si>
  <si>
    <t>dba01592-6410-4be2-b930-10d122fabfef</t>
  </si>
  <si>
    <t>35119411-b270-46a9-b807-5f703dc512e5</t>
  </si>
  <si>
    <t>63d9d93c-1c27-4123-951c-81f49f5bcc38</t>
  </si>
  <si>
    <t>794a55aa-41e8-4973-a92d-e694ac1d2c10</t>
  </si>
  <si>
    <t>8ca9ce9b-95f1-480a-bdf8-7ab9b97535ce</t>
  </si>
  <si>
    <t>9c5b8ee6-d18b-4614-8c23-4a4fcac04d80</t>
  </si>
  <si>
    <t>604f83af-4c1b-4e00-897c-82ce3d3a5727</t>
  </si>
  <si>
    <t>2e1aad64-26cc-449a-b08c-fbedd731de31</t>
  </si>
  <si>
    <t>7aa81ae5-8879-4d6b-ac2c-e30ddadbbef6</t>
  </si>
  <si>
    <t>73c16c1b-0b24-47d3-b7c8-41a1fac54b48</t>
  </si>
  <si>
    <t>58540f35-ed97-4eef-9638-9039f8eddb3d</t>
  </si>
  <si>
    <t>59631c00-9348-44af-a232-40e34ec07c22</t>
  </si>
  <si>
    <t>2b59d33a-1b53-4131-a0d5-4d3e56e07d85</t>
  </si>
  <si>
    <t>1f736007-b6d2-447a-840d-89c0ee65629b</t>
  </si>
  <si>
    <t>02421d84-5f78-429d-a2f6-be81c656dc0a</t>
  </si>
  <si>
    <t>797e3a2d-50ad-478d-9f62-48f49771dd87</t>
  </si>
  <si>
    <t>98850d40-9bb7-46e5-bf51-9c36ff13ccf1</t>
  </si>
  <si>
    <t>6df50497-d522-4c9e-ae35-b570fc2656cf</t>
  </si>
  <si>
    <t>1e7bde1f-8158-40b9-9aa5-97cf0312ed3f</t>
  </si>
  <si>
    <t>5bc33d7d-2258-438c-9c77-7cfb0af09acb</t>
  </si>
  <si>
    <t>e40b9738-ff59-46b5-a2bb-3dc95a2a429c</t>
  </si>
  <si>
    <t>12fa97b3-078a-4a97-b338-f130fb3762a4</t>
  </si>
  <si>
    <t>1753bc3c-d5f3-4507-bbc9-3d8d2de87bf6</t>
  </si>
  <si>
    <t>b13b45b8-9130-4222-aced-db116c542c50</t>
  </si>
  <si>
    <t>5843bccd-c8a2-4294-b541-85481a633beb</t>
  </si>
  <si>
    <t>56e385b7-755f-4c91-917e-0a5a60db358a</t>
  </si>
  <si>
    <t>f2477cdd-25e4-47c2-8b0e-2194e62a4ea2</t>
  </si>
  <si>
    <t>153d426a-bfd4-47d8-9821-a84a5e9fee7b</t>
  </si>
  <si>
    <t>b512a9aa-3832-4ec2-bfc0-65cec94afd68</t>
  </si>
  <si>
    <t>19ef59d2-6a1c-4507-8b4c-8d8fbd68db12</t>
  </si>
  <si>
    <t>7ccb2fc4-29ae-47d5-b9ca-c10d7e9dce63</t>
  </si>
  <si>
    <t>51440c93-aa74-453e-a0ac-0fd9cb25409f</t>
  </si>
  <si>
    <t>d78f5876-1525-463f-9790-58f96401020d</t>
  </si>
  <si>
    <t>b4a4ef53-4da5-4b3a-818d-7a2db7b6dc3c</t>
  </si>
  <si>
    <t>5e5dcb10-52c2-4611-b0a2-c083f94dde3c</t>
  </si>
  <si>
    <t>0244ba1e-f643-4f1a-9ed1-2531650a2ace</t>
  </si>
  <si>
    <t>43c345f1-1534-4f02-afed-866b3515059b</t>
  </si>
  <si>
    <t>31a08a9f-e3b2-46ed-80fc-4cdc63f2e593</t>
  </si>
  <si>
    <t>0abfd213-ef70-4c96-979a-95401f2d222a</t>
  </si>
  <si>
    <t>9318ddca-73d1-425f-8cf2-180b30bf5c37</t>
  </si>
  <si>
    <t>e95ba0a7-3085-4358-9fac-b404fdb198b3</t>
  </si>
  <si>
    <t>5405f752-cb3f-4f59-9206-4e7cdc662738</t>
  </si>
  <si>
    <t>bfb8411b-0e6a-4f69-b072-24ed44cc094e</t>
  </si>
  <si>
    <t>9fbafa7f-e3de-4166-b71b-e4bc230715a5</t>
  </si>
  <si>
    <t>575e8cef-5ce2-4bbc-80a0-bdf68bd29505</t>
  </si>
  <si>
    <t>17bd8bda-c161-413a-bb7d-8453978c974b</t>
  </si>
  <si>
    <t>a36af881-f75f-42aa-bb55-aa8f43cd2c1f</t>
  </si>
  <si>
    <t>dd222a27-27ab-459a-994a-8c5ad58ddeeb</t>
  </si>
  <si>
    <t>9216acf7-bc86-44f9-95d5-2d5e96d459d4</t>
  </si>
  <si>
    <t>1b673fc7-2b1b-4f12-ae55-6f61e739c483</t>
  </si>
  <si>
    <t>8643fbb4-e91f-40d3-bb3d-9da4cf47d8d2</t>
  </si>
  <si>
    <t>efa05e12-91f5-4de0-886d-7efe2b13e3df</t>
  </si>
  <si>
    <t>de40d774-89d7-43ef-81f2-a845c85cb3a3</t>
  </si>
  <si>
    <t>e3b0394b-c1e2-4d2a-8f3e-881750fa9401</t>
  </si>
  <si>
    <t>c42c3176-bb7e-411d-a769-0b2ad9e8ed2a</t>
  </si>
  <si>
    <t>433c3f13-1127-42b6-bff7-8801b71cdaf6</t>
  </si>
  <si>
    <t>e8e4d4ec-8d71-4f31-9a49-18b68cb209b8</t>
  </si>
  <si>
    <t>3b6ad87b-8320-46b3-8cd0-ba38c3def845</t>
  </si>
  <si>
    <t>b239abd3-b75b-4da5-9794-0de700a9d4a7</t>
  </si>
  <si>
    <t>87dd331e-af28-4193-ad16-3fa4dde9f4df</t>
  </si>
  <si>
    <t>1a222df2-070f-4549-b164-a9baa2bbdafe</t>
  </si>
  <si>
    <t>dd06b1e7-368e-4a14-9c4b-1167e1751312</t>
  </si>
  <si>
    <t>bdeb4f47-097c-49b8-956a-d9fa25802324</t>
  </si>
  <si>
    <t>23983a3b-9ddb-44ee-b02d-7128ffc31a36</t>
  </si>
  <si>
    <t>1f21093e-a068-4fd4-a23a-3bdbe2a2ac90</t>
  </si>
  <si>
    <t>452e1227-fdcd-4f2a-b51d-93c972870576</t>
  </si>
  <si>
    <t>f53aabeb-9951-48d4-a47c-ee92be30b9ef</t>
  </si>
  <si>
    <t>d0478dc6-40b3-4217-b23b-1e5d368d99e3</t>
  </si>
  <si>
    <t>9b97bbce-cee3-4f9f-929a-91a55540665a</t>
  </si>
  <si>
    <t>1a4dc981-f642-40e7-be57-eb92abdce2cd</t>
  </si>
  <si>
    <t>789522f8-c4a7-458c-8303-68262a0f458a</t>
  </si>
  <si>
    <t>ca235c75-ef56-4b6e-b147-144484fc7a68</t>
  </si>
  <si>
    <t>e7be6384-c0d8-4762-8490-1242e245f14a</t>
  </si>
  <si>
    <t>530f7589-89c5-487c-a14a-d1500bb9fc21</t>
  </si>
  <si>
    <t>cc1eecc4-1916-4342-9400-b18c036d98e5</t>
  </si>
  <si>
    <t>8629cc72-e810-4acd-89b5-51614d21b070</t>
  </si>
  <si>
    <t>fa0f95cd-a763-4ca0-b86c-dc7d1e93f8a9</t>
  </si>
  <si>
    <t>f58d7d36-bc85-44c4-b74a-e7de9cf5104a</t>
  </si>
  <si>
    <t>094fe1ea-c59b-434b-afd9-be895740dea7</t>
  </si>
  <si>
    <t>a35dfad2-b67f-40ea-871c-37c1ec686bda</t>
  </si>
  <si>
    <t>234a89e9-0793-4c4b-8855-8afaf76b3bc7</t>
  </si>
  <si>
    <t>7a889b45-8ea4-416d-b58f-d38b5eb7ea45</t>
  </si>
  <si>
    <t>6818695a-d9b5-47c0-98dc-c1b0c1c379ce</t>
  </si>
  <si>
    <t>0cff8cd5-ab3c-4116-8edb-fa314b5a3273</t>
  </si>
  <si>
    <t>2774bcf2-ddec-44c9-a3bc-ff87a8a96dee</t>
  </si>
  <si>
    <t>eb0251cf-302e-4e08-a31d-a9a5ab2baef3</t>
  </si>
  <si>
    <t>e001f24e-444b-4781-84bf-a90a3b374710</t>
  </si>
  <si>
    <t>83913311-e86f-4750-98dc-e9d4bf78e544</t>
  </si>
  <si>
    <t>463a6397-5c89-4ad4-8d08-f9c6e3081f25</t>
  </si>
  <si>
    <t>7dae8155-8114-4ead-acab-712cdb9fecda</t>
  </si>
  <si>
    <t>1d0e9016-5635-4615-b5aa-defaadffcc7f</t>
  </si>
  <si>
    <t>4d84f911-ed8d-42bd-a583-924e3b9dafd8</t>
  </si>
  <si>
    <t>0a77605c-e86e-4b72-91a1-7a49969c1ac1</t>
  </si>
  <si>
    <t>17edb2d1-c14b-4e51-a874-2f1658336201</t>
  </si>
  <si>
    <t>f8bef0a9-79f7-4d01-9699-f7d9ca36129b</t>
  </si>
  <si>
    <t>5eaaffbf-db92-48f4-88e2-6d0924f6bc9c</t>
  </si>
  <si>
    <t>b2ec2304-01bd-4336-8a61-f0b0abbba0db</t>
  </si>
  <si>
    <t>1a3b4d35-f6d2-4645-a156-55305464e7ae</t>
  </si>
  <si>
    <t>9eec9d5c-6e0e-4796-b55f-75b8b68180b4</t>
  </si>
  <si>
    <t>5f426a25-b218-474f-8d86-484cb97d3a29</t>
  </si>
  <si>
    <t>c40c9949-8c3e-4002-9ad3-3e98abf9d759</t>
  </si>
  <si>
    <t>629cdfb3-3b30-4a6d-8112-8a323da83e34</t>
  </si>
  <si>
    <t>9e095556-c0fe-4ebd-9e42-00fdbd49a5e6</t>
  </si>
  <si>
    <t>54c05598-365d-4f0a-9053-47c773d60fb0</t>
  </si>
  <si>
    <t>33b1d71a-a301-4ff5-b31e-e0ae15703dc6</t>
  </si>
  <si>
    <t>a7e66b70-b8a9-466c-83c2-28f7ee12b1f5</t>
  </si>
  <si>
    <t>23738ea6-6051-407f-b134-54b5abf97c76</t>
  </si>
  <si>
    <t>127c0924-f08c-4b58-826e-eaba5d7e5684</t>
  </si>
  <si>
    <t>5db3f1f4-2a78-4905-a404-38b184a190d4</t>
  </si>
  <si>
    <t>ca048e28-c4a0-423c-abe2-a0da5ead69a1</t>
  </si>
  <si>
    <t>ece55bb3-fc9a-4a30-92b0-fb95a55aec51</t>
  </si>
  <si>
    <t>2f262b29-6001-432d-9f5c-0f6558826627</t>
  </si>
  <si>
    <t>bc7703f4-a5d9-4d99-955e-158eb11751ef</t>
  </si>
  <si>
    <t>9253a50a-fd90-4a43-a419-1a8725cdaaad</t>
  </si>
  <si>
    <t>6dd30fa8-e9be-4ba1-831d-ec479489390d</t>
  </si>
  <si>
    <t>0f3aff18-a29f-48d1-96fd-3dce25aa3f30</t>
  </si>
  <si>
    <t>b2ac1325-4f88-49f8-b626-c339c8a839b8</t>
  </si>
  <si>
    <t>2cea2e6f-6ac0-451e-bc97-28c032b6431b</t>
  </si>
  <si>
    <t>daba8bad-2131-40db-9fa3-467c7da43703</t>
  </si>
  <si>
    <t>ad2be0d3-7744-43bd-b4b8-5b61799756a1</t>
  </si>
  <si>
    <t>2e6ffbc2-aaf8-41c1-9d30-47ae9260fb4b</t>
  </si>
  <si>
    <t>13fc0db0-35b8-4902-a770-11a2aade369d</t>
  </si>
  <si>
    <t>286e9bc1-b9d2-4d4d-9b46-8f823a170139</t>
  </si>
  <si>
    <t>a9bac7bd-9fb2-43cc-b170-fb3a6c9772f7</t>
  </si>
  <si>
    <t>6e498648-f7cf-4fd0-9315-df66b413fba8</t>
  </si>
  <si>
    <t>0acb8995-d92d-46a1-b80a-2c5d7fac4df3</t>
  </si>
  <si>
    <t>b81c524a-a1a3-4047-a9ca-a656564f9ad2</t>
  </si>
  <si>
    <t>8c722fa9-57be-4fa0-a466-f43e61d35f94</t>
  </si>
  <si>
    <t>67261644-d5d8-4867-a359-22d606e2dcc9</t>
  </si>
  <si>
    <t>3cbf2873-561b-4ef3-a946-fc8693dab3bc</t>
  </si>
  <si>
    <t>d021c19c-289d-44b2-959c-bb3231f5f23a</t>
  </si>
  <si>
    <t>d73ea6c0-c6a3-43ef-b4df-34d432f0295f</t>
  </si>
  <si>
    <t>9ab55bb5-1957-46a6-8472-d26b2fda624a</t>
  </si>
  <si>
    <t>7492f32f-8c97-4a80-81ad-78749329c8f3</t>
  </si>
  <si>
    <t>d9ea07b7-ffa7-4165-8d37-04fdfe0fd5fa</t>
  </si>
  <si>
    <t>ad0caecf-9b95-4921-8a81-7bb311564c2a</t>
  </si>
  <si>
    <t>5b2ec7eb-5ee5-4b1a-a409-88f9b0dba73e</t>
  </si>
  <si>
    <t>9fa65636-ca49-40ef-bd85-85dac00a0612</t>
  </si>
  <si>
    <t>f916f25f-2303-4145-af99-99a0b8e8de5b</t>
  </si>
  <si>
    <t>37b1f7e9-731b-45f0-8b64-0019780a7c3c</t>
  </si>
  <si>
    <t>0c65fd72-9e3b-4033-99ed-4397ccf9346f</t>
  </si>
  <si>
    <t>9212f1ee-8fcc-49de-9379-496677369ec0</t>
  </si>
  <si>
    <t>245a68d0-ff48-4300-8fd9-94cc361e02c9</t>
  </si>
  <si>
    <t>88d0c4cb-a32d-45df-b849-536859b8ba10</t>
  </si>
  <si>
    <t>9b18d52f-d169-4ac0-aae9-840d5b8fd937</t>
  </si>
  <si>
    <t>85f3c893-5cb4-402f-893a-563686a5a644</t>
  </si>
  <si>
    <t>ff5354ce-5deb-4dc4-8d39-a68c03938af3</t>
  </si>
  <si>
    <t>e60d2e98-1236-4d67-aa6c-b5b3ca28e7a0</t>
  </si>
  <si>
    <t>d6dbab58-a030-43a9-9873-06b044b65052</t>
  </si>
  <si>
    <t>f290c3ba-8bc9-48c3-8b9f-d4c878f405fa</t>
  </si>
  <si>
    <t>a12e71fd-b9d2-4a9f-aa23-ec9901dd1fc3</t>
  </si>
  <si>
    <t>44bf9ce1-bd7d-40f8-a16c-abce926888ae</t>
  </si>
  <si>
    <t>10b310c8-dca5-4bbc-a54e-696beba345f2</t>
  </si>
  <si>
    <t>38d1c68c-e901-4446-a303-9ea123048b89</t>
  </si>
  <si>
    <t>795a4e3f-5b2a-4d74-94c7-0879c68f7140</t>
  </si>
  <si>
    <t>5eb42c33-ba38-441a-8c46-55726449543b</t>
  </si>
  <si>
    <t>6bbbd9ca-d3d6-443d-aed6-a5c6d9a6aa03</t>
  </si>
  <si>
    <t>7c517774-77b3-4c4c-acb6-8d338fcb3a6f</t>
  </si>
  <si>
    <t>3485b497-ec38-4c7f-abdb-05c2bad0e25b</t>
  </si>
  <si>
    <t>4b02c88c-a29d-46c6-aa87-2dae9f140e4e</t>
  </si>
  <si>
    <t>1f0e4cc1-431d-4fbe-89ca-3bd42241cd29</t>
  </si>
  <si>
    <t>2a059484-209d-4e60-8329-4344aac42bbb</t>
  </si>
  <si>
    <t>1ee12cc7-48c9-452c-83d0-aaf89ee786ff</t>
  </si>
  <si>
    <t>2fb99e15-5e31-4f4e-acaa-78dc5da4b8bf</t>
  </si>
  <si>
    <t>75609f51-5ee6-4cac-ad28-a3821e94554e</t>
  </si>
  <si>
    <t>f33d248f-0bb4-4189-919e-61f1a239d69e</t>
  </si>
  <si>
    <t>43cb53f5-d22c-4cb2-ae1c-879ffabb8b97</t>
  </si>
  <si>
    <t>85629d48-5eda-4610-b233-c4e4d562c796</t>
  </si>
  <si>
    <t>207f99b4-fa1e-4ed8-ad8e-7fb58d76e1aa</t>
  </si>
  <si>
    <t>39319e9d-faad-4026-bac4-4270b7853cd0</t>
  </si>
  <si>
    <t>a5c028fb-e6fd-43ab-a87c-bd591558b580</t>
  </si>
  <si>
    <t>1a19714f-fc3f-4023-8006-84d562378a9b</t>
  </si>
  <si>
    <t>96506b65-616a-497c-a3e4-888b830db1c3</t>
  </si>
  <si>
    <t>2d7ebb9d-93bb-495c-80de-4346c8a4cbee</t>
  </si>
  <si>
    <t>9d34ab95-164d-4c46-8f82-38b03ea4a17f</t>
  </si>
  <si>
    <t>025f67d8-5ff0-4e79-9463-ec829fec6755</t>
  </si>
  <si>
    <t>72795539-6b5f-4f9a-8105-7f15dba34e9d</t>
  </si>
  <si>
    <t>610b1d2e-92ab-4c35-868a-3227a0e36ba5</t>
  </si>
  <si>
    <t>7b2c7b95-8650-4966-80b5-50bcedc9ef73</t>
  </si>
  <si>
    <t>2ce755db-5314-4c64-b00b-ad8c71df90f8</t>
  </si>
  <si>
    <t>905edc2c-831c-4d3a-90e1-c80fd7f63a97</t>
  </si>
  <si>
    <t>b3210d44-92c1-40ad-b881-b560dda637c1</t>
  </si>
  <si>
    <t>9e87210e-05ee-4e33-9e89-9cd544cf9a4e</t>
  </si>
  <si>
    <t>6380741d-7d1c-4c91-8df5-cb4db02fbac7</t>
  </si>
  <si>
    <t>67f97be2-f7bd-4fe4-b6f9-5b5f3fd1da4c</t>
  </si>
  <si>
    <t>3b02d521-586b-4e03-88dc-a0e6f9d01eda</t>
  </si>
  <si>
    <t>053a53a2-0627-432e-b93b-ae6465d32095</t>
  </si>
  <si>
    <t>a2e3e19d-086e-4e27-9fcd-4677c429156f</t>
  </si>
  <si>
    <t>559d5073-6ed9-4e7a-ab5c-4cabe918406b</t>
  </si>
  <si>
    <t>6be63f37-9c93-4781-b9d3-ee6e4170a2c5</t>
  </si>
  <si>
    <t>0ba4451f-8bef-4373-99e9-338665b1faaf</t>
  </si>
  <si>
    <t>d4a3ccb8-d383-49aa-8b56-259c70e96ec1</t>
  </si>
  <si>
    <t>1b5e5fe1-2e6d-44d7-9a7c-e5bccbfe2c6d</t>
  </si>
  <si>
    <t>febcc30f-5bb3-4977-ba96-f546920d93c9</t>
  </si>
  <si>
    <t>362b51e7-e0eb-49f2-aa16-2e94b8062820</t>
  </si>
  <si>
    <t>759ff976-7636-4958-8a91-acb48aa80dfe</t>
  </si>
  <si>
    <t>33522bd5-ca92-4999-9077-ded7f2fb1e49</t>
  </si>
  <si>
    <t>32d86b8c-cf94-4d2e-9963-baae45c6b1ea</t>
  </si>
  <si>
    <t>b58920d7-b06e-4602-8f17-6351acee76bb</t>
  </si>
  <si>
    <t>40426e9f-3686-43a6-b231-f0d6d435df43</t>
  </si>
  <si>
    <t>34ce66fa-96d9-43d5-a840-7d0f624e6686</t>
  </si>
  <si>
    <t>9ae7d36b-12f9-4d0d-a13e-dbade0db9f8e</t>
  </si>
  <si>
    <t>06571e46-9baa-43e8-a233-e03930636b84</t>
  </si>
  <si>
    <t>3fd709e6-3919-422b-a31f-5d087936d68b</t>
  </si>
  <si>
    <t>8701ef59-597f-4cb4-abf3-c2fac543e7e4</t>
  </si>
  <si>
    <t>cd226887-22a7-4f48-ab87-03e7b874b9cb</t>
  </si>
  <si>
    <t>2eba8457-300a-470e-add1-a90f68e6b02a</t>
  </si>
  <si>
    <t>115385ba-4d05-41c3-8437-4c6892265daa</t>
  </si>
  <si>
    <t>d42b27cf-7d96-4bd9-8752-2a3e2dbc0def</t>
  </si>
  <si>
    <t>64c6a3d1-570a-4835-9f8a-295e5f4f5607</t>
  </si>
  <si>
    <t>1ab284de-6a45-4a1e-bccb-f31c7e8304b9</t>
  </si>
  <si>
    <t>3da7720a-a9fb-48f9-835c-45d6eba9a95c</t>
  </si>
  <si>
    <t>501815fc-7cd1-4680-8c34-93a69e69f7eb</t>
  </si>
  <si>
    <t>8a86d03a-5e09-42ff-bd95-e5195e959450</t>
  </si>
  <si>
    <t>9aaa979e-72ef-477c-b2ea-e1e373a1533e</t>
  </si>
  <si>
    <t>dcf5f39e-43d4-4d3e-bd9a-217b4ef016b8</t>
  </si>
  <si>
    <t>193ff2d8-d842-4028-837d-b13263e2f08f</t>
  </si>
  <si>
    <t>8798f187-18cb-42aa-a3bf-698dfd72a880</t>
  </si>
  <si>
    <t>81ff625a-3b7d-4d84-8a40-c0e42881eab7</t>
  </si>
  <si>
    <t>af59c21c-5c00-4051-b1a8-96b84b8c46be</t>
  </si>
  <si>
    <t>25af57e2-b956-4155-bf4c-3d7687b5d3b8</t>
  </si>
  <si>
    <t>4fc64b59-3f7e-4560-b434-027440fd4e30</t>
  </si>
  <si>
    <t>e8dd552e-5b29-4c98-b499-ac4be92ea012</t>
  </si>
  <si>
    <t>2a0d5401-4f2f-49e7-811e-f0ea4fe51a48</t>
  </si>
  <si>
    <t>1feead91-6d5b-4113-84f7-8a01c3112fa4</t>
  </si>
  <si>
    <t>5508c3b7-0927-40eb-9e4f-b9fed144ab44</t>
  </si>
  <si>
    <t>47fe2c0b-aac3-4406-9d6f-fac41aa6ef9b</t>
  </si>
  <si>
    <t>ec4b1929-7af9-4042-af0d-580378d7fd70</t>
  </si>
  <si>
    <t>b81d84e9-720c-4ebf-88d1-76fb220fec64</t>
  </si>
  <si>
    <t>dc750f45-8d0f-4d97-9c14-5f2c12b388df</t>
  </si>
  <si>
    <t>35183e0c-9d34-4de7-8e56-c02d8150d52a</t>
  </si>
  <si>
    <t>ea0ee4eb-bc26-492d-a755-e024bd41fc86</t>
  </si>
  <si>
    <t>e68ca7ad-262c-4faa-8f72-31acf9b3520c</t>
  </si>
  <si>
    <t>5cbb9981-6f2d-424f-af91-af52901b2f54</t>
  </si>
  <si>
    <t>c7d5fd94-65a7-44d0-9950-cbd4a81baefc</t>
  </si>
  <si>
    <t>5ff73d3c-2fab-46f6-9b67-48982872780e</t>
  </si>
  <si>
    <t>1d278ed7-0ab6-4012-8ab9-58513b6242e1</t>
  </si>
  <si>
    <t>37371173-515b-475e-afc8-832445a40a2a</t>
  </si>
  <si>
    <t>175442f3-3430-402e-8032-bd875f2163c2</t>
  </si>
  <si>
    <t>74c58c56-4bbd-4e7c-8ff9-1853e03f0e7b</t>
  </si>
  <si>
    <t>1367ea74-884b-4db8-b4be-43a00413f280</t>
  </si>
  <si>
    <t>b5632911-eebb-4df5-98e5-68ba421fee57</t>
  </si>
  <si>
    <t>10b6a948-69ee-4074-8e15-c15ce0304f8f</t>
  </si>
  <si>
    <t>05cc6f25-3ad7-48e3-b37d-cd542f0facd8</t>
  </si>
  <si>
    <t>1170be2f-64e5-4819-856d-961cd44a38d4</t>
  </si>
  <si>
    <t>c6a8e5fa-5432-47ce-b361-ae6096451a27</t>
  </si>
  <si>
    <t>ec9db0f2-3043-427d-a332-28ec111524de</t>
  </si>
  <si>
    <t>2773e85d-c7cf-4a74-885e-e2f0d15c50f5</t>
  </si>
  <si>
    <t>82f97023-7abf-4356-9b04-437f708c843a</t>
  </si>
  <si>
    <t>7cdbbdf7-d057-4b7f-b595-38a19016ad63</t>
  </si>
  <si>
    <t>7d6adea2-0428-4b69-b74a-83be5a20dcdd</t>
  </si>
  <si>
    <t>58c2d13e-80d1-4d13-ba1b-c10fdb76845d</t>
  </si>
  <si>
    <t>fd0bbc67-8b8e-4ced-ae4b-67e27c0e854e</t>
  </si>
  <si>
    <t>0b3ee497-e62e-42de-907d-169ab8c05e41</t>
  </si>
  <si>
    <t>578a0a90-3fed-4c72-ba24-bb08903f1d4e</t>
  </si>
  <si>
    <t>7a9a43fb-a99f-4468-a7df-8b037e5723d7</t>
  </si>
  <si>
    <t>9bdf15cd-9bb1-498f-ae9f-182f09db433a</t>
  </si>
  <si>
    <t>c3f7aa56-f0bd-416c-8351-b4a71bb9cc03</t>
  </si>
  <si>
    <t>b21933f8-6d51-47a5-8cc3-800b518ebd77</t>
  </si>
  <si>
    <t>816f0519-7f1f-4840-b216-b8c08471d1c9</t>
  </si>
  <si>
    <t>fbf49131-0d40-4538-b833-61f2853232f7</t>
  </si>
  <si>
    <t>fca823b8-3edd-4563-a0cf-b232af5e2b5b</t>
  </si>
  <si>
    <t>003a0b79-bbe0-4fc3-a472-6f41163304f6</t>
  </si>
  <si>
    <t>9df42ee9-00e2-45dc-90a7-f5111edb1dd4</t>
  </si>
  <si>
    <t>a5274505-ce99-404d-91d2-7eb2b196c891</t>
  </si>
  <si>
    <t>ab0b6855-52b4-4535-bde3-ef4e0941742b</t>
  </si>
  <si>
    <t>b69cfa34-4ed4-4990-91ba-4e92acf4365d</t>
  </si>
  <si>
    <t>9ec86251-a006-474a-a64e-cdca8f8c125d</t>
  </si>
  <si>
    <t>28da7e28-603e-4b58-90d9-084ffdc09314</t>
  </si>
  <si>
    <t>168a2180-feec-4b0e-82e7-a717621851ad</t>
  </si>
  <si>
    <t>66b059d7-75da-4083-ae90-baf7321930ba</t>
  </si>
  <si>
    <t>1fda63bb-9af0-4c63-b275-92e1711d8c2f</t>
  </si>
  <si>
    <t>1e5ea5bb-78d0-44d0-8ed9-1ab9ee0f5ec6</t>
  </si>
  <si>
    <t>3e7541bd-bfd7-4c88-a7f6-bcdb0c97507a</t>
  </si>
  <si>
    <t>5ce962cf-4737-4fed-b993-de3e16546c74</t>
  </si>
  <si>
    <t>3fe2608c-c96b-44ba-9bd4-3b9815ca30a8</t>
  </si>
  <si>
    <t>0518f586-beca-4a14-89bc-b8084bcf6599</t>
  </si>
  <si>
    <t>2841bec1-e995-44c2-a8a3-461e3eb33cb6</t>
  </si>
  <si>
    <t>79834450-f52d-498e-902b-cb69d3f6c6a4</t>
  </si>
  <si>
    <t>2efa1510-6349-40ab-8c60-5b5abec779a6</t>
  </si>
  <si>
    <t>2adb38da-c9e8-43dc-b500-4ebdfc5187e1</t>
  </si>
  <si>
    <t>fa4ec32f-55e7-4609-bb12-293d41b042f6</t>
  </si>
  <si>
    <t>54ef27f9-1c05-4e92-8b3d-adbaf901c73f</t>
  </si>
  <si>
    <t>6a973e51-c068-46f4-92f7-8eec5d2028cd</t>
  </si>
  <si>
    <t>6c9531ae-10ec-45cf-99bc-971287abef2a</t>
  </si>
  <si>
    <t>b6b5ba74-46cf-4df3-aeae-c16d3338d3e3</t>
  </si>
  <si>
    <t>04df6b31-22ff-4a64-b1f9-fde97eed25f8</t>
  </si>
  <si>
    <t>aa9475e4-00e1-4e7c-9c1b-780632d33b3d</t>
  </si>
  <si>
    <t>aa019cbc-24d5-4898-93ee-5b2f4b89ef68</t>
  </si>
  <si>
    <t>f8b2fc02-c42f-48c0-a07b-56e4d8eb9d85</t>
  </si>
  <si>
    <t>57e85db6-af70-499c-9d7d-c89dcc29a52d</t>
  </si>
  <si>
    <t>86b5d63b-5dd5-4d9b-907e-ef44a55e3c9e</t>
  </si>
  <si>
    <t>15e35649-01d8-4a27-849b-6aab102fce77</t>
  </si>
  <si>
    <t>5bf04dcf-b209-4833-a2b7-be6c11aa6a41</t>
  </si>
  <si>
    <t>3cf947ab-e2d5-43cf-8dee-e8b8566d5dee</t>
  </si>
  <si>
    <t>3a5fcf0b-57a7-4e8d-8afd-7bcf84b8adc5</t>
  </si>
  <si>
    <t>61ae1e60-0d02-409b-b105-b64c3f2ecf90</t>
  </si>
  <si>
    <t>884c5fad-a79e-457f-be31-813997b37cf6</t>
  </si>
  <si>
    <t>3414e470-95a7-4043-b8ce-b7c876fa0969</t>
  </si>
  <si>
    <t>2a4f3f62-fb1c-4854-b2d0-8078586f0eff</t>
  </si>
  <si>
    <t>6d118c34-ab50-4536-a2a2-b07a214e2343</t>
  </si>
  <si>
    <t>147bda63-2552-4e10-a3d7-3ad43264b5e2</t>
  </si>
  <si>
    <t>43711252-d3df-41aa-98bf-b17bd33ad95e</t>
  </si>
  <si>
    <t>755df1c3-0358-4107-9e92-d5bcc92e25ff</t>
  </si>
  <si>
    <t>a29dec9d-fc5a-4d29-9c63-5d4465de58c6</t>
  </si>
  <si>
    <t>4e50ad61-f951-418f-88ca-cbdaf2b57e8d</t>
  </si>
  <si>
    <t>cc3ba241-0ca3-40b2-a1f9-a8e88cb724e8</t>
  </si>
  <si>
    <t>a8eeb6ff-e4e6-4fa6-b4dd-2147d66e5234</t>
  </si>
  <si>
    <t>81a4ab80-32bd-4d9a-9e23-6cecbebf2173</t>
  </si>
  <si>
    <t>9677ed5d-0bf2-4ccc-92ca-c176e3ed5ab2</t>
  </si>
  <si>
    <t>bc860dfd-b813-4828-a17c-0b55c994de44</t>
  </si>
  <si>
    <t>a5f996c0-05a7-4654-b5ee-46b897cfbb83</t>
  </si>
  <si>
    <t>ac99a3e4-fbf6-4b32-82cc-76d8d2d528f1</t>
  </si>
  <si>
    <t>dc8a8278-a2ed-47b1-aa4f-c0693a216b8f</t>
  </si>
  <si>
    <t>19f92e26-27ea-420a-803a-fffce53367a5</t>
  </si>
  <si>
    <t>1ada8db6-b7b4-4bfc-ae3d-600e0fce87c6</t>
  </si>
  <si>
    <t>9e87a156-02ad-45a1-b98f-e218859f3d38</t>
  </si>
  <si>
    <t>eb5b6e30-6cc5-4abf-a0e0-99faac5951e6</t>
  </si>
  <si>
    <t>4abe31be-3910-4fe0-9b6b-17481304f2c6</t>
  </si>
  <si>
    <t>99e90dad-2eaa-46e0-838a-ed38065dcef8</t>
  </si>
  <si>
    <t>012bcaff-f27c-444f-bba9-0e8d362980d6</t>
  </si>
  <si>
    <t>67370c23-ea2c-4fae-a662-bac10e67fb5d</t>
  </si>
  <si>
    <t>d58c60e4-282f-48df-a284-f965335453a6</t>
  </si>
  <si>
    <t>2a7592d1-a98b-47f9-9b78-1da8608e4ba2</t>
  </si>
  <si>
    <t>fb89a317-d2a8-4415-b75b-923bc1f30e87</t>
  </si>
  <si>
    <t>eae91e7a-6c46-4327-b6d4-a5ad5d813d39</t>
  </si>
  <si>
    <t>c2e7c00e-db9d-4789-89ad-76d415275d8d</t>
  </si>
  <si>
    <t>95b33d84-4e8c-487c-80e1-3612c7911294</t>
  </si>
  <si>
    <t>9691b88b-4dcc-4c06-a61b-7703cc740491</t>
  </si>
  <si>
    <t>819a11d2-8939-4883-84fb-7983e1326cbb</t>
  </si>
  <si>
    <t>09cb6244-abf9-46b2-98fe-24e87b26170e</t>
  </si>
  <si>
    <t>eb9c8e47-3f0f-4851-95fc-9edd7ff39aa2</t>
  </si>
  <si>
    <t>d2947208-73ad-4e8c-9665-809f51d636fb</t>
  </si>
  <si>
    <t>cc7fca45-d81c-4971-8fd7-2a953250de71</t>
  </si>
  <si>
    <t>28da3fe8-e182-4b9e-874c-0ac4c7cdf9cd</t>
  </si>
  <si>
    <t>6ef6129f-8d85-4be9-a20a-bd1e67689ab7</t>
  </si>
  <si>
    <t>bead6a43-11a4-4f53-af77-0d537fe06928</t>
  </si>
  <si>
    <t>e2f70790-f0ed-4ad8-8985-bc89def534a9</t>
  </si>
  <si>
    <t>8710f794-e3ec-4fd0-b4aa-f9feff298048</t>
  </si>
  <si>
    <t>35ccb42a-5b8f-4a56-b979-56ef4df94413</t>
  </si>
  <si>
    <t>3032fb1b-eee1-4e0b-8b51-30b6a52cd563</t>
  </si>
  <si>
    <t>a47b3283-a619-43f4-8ae0-b649ee493a8e</t>
  </si>
  <si>
    <t>e27f7ce7-451e-43a1-921d-805411db2e25</t>
  </si>
  <si>
    <t>985405ca-0c9a-41bb-b747-4c142f3e339a</t>
  </si>
  <si>
    <t>d8a243e7-f547-459a-929c-4105fd3f8b38</t>
  </si>
  <si>
    <t>ca6b3804-bb03-4b9b-b835-76b2fe647189</t>
  </si>
  <si>
    <t>1bbee03c-aa9a-43ba-a760-10d789b2bb68</t>
  </si>
  <si>
    <t>b8c8c57b-903f-448b-88fc-0313c24694b7</t>
  </si>
  <si>
    <t>39414f09-6fcd-4d7e-a1f0-f4345620df82</t>
  </si>
  <si>
    <t>b4aebd19-20bf-4d4e-a458-45038b95a910</t>
  </si>
  <si>
    <t>4ca1ccbe-5e66-4bdc-b1d4-282060b755ed</t>
  </si>
  <si>
    <t>c5bfe476-a505-42d5-8a63-9ec89b17d347</t>
  </si>
  <si>
    <t>2d9e4af8-9f66-4585-9e71-d42609937bb8</t>
  </si>
  <si>
    <t>0bf9c06d-e909-461d-9505-147648fc9e80</t>
  </si>
  <si>
    <t>730c39fa-5f30-44a1-9ca8-0fb76e80cd16</t>
  </si>
  <si>
    <t>dd50e0b3-cece-4441-881f-09eee537b752</t>
  </si>
  <si>
    <t>7ebf8b63-c79a-41b3-b418-e06465b5d3ee</t>
  </si>
  <si>
    <t>95f04ac9-d1ae-4d72-874a-8e2927626532</t>
  </si>
  <si>
    <t>a76291ab-bfb6-4bb9-8467-2c5c89ce0c01</t>
  </si>
  <si>
    <t>3d0adeac-cb46-4796-8548-b37987c94581</t>
  </si>
  <si>
    <t>54b96af4-ca5c-4846-a42d-4d6f8698163d</t>
  </si>
  <si>
    <t>e6a7df09-1068-494e-86b1-382393fc5ee9</t>
  </si>
  <si>
    <t>b96e7dcf-5d14-4745-bb48-28c661562440</t>
  </si>
  <si>
    <t>ad17bae3-ef4b-43ea-95f6-c26fd969493e</t>
  </si>
  <si>
    <t>2cb5d01b-9a5a-4270-a03f-d487eb11ae88</t>
  </si>
  <si>
    <t>b832a589-8dc2-48a0-8a58-25d1035941ec</t>
  </si>
  <si>
    <t>728a8191-97ca-408b-882e-f8f5ec540146</t>
  </si>
  <si>
    <t>10d74e3d-d297-4008-9a90-bd424fd2423e</t>
  </si>
  <si>
    <t>8492a1da-4c16-458f-b27f-7f3127b402bb</t>
  </si>
  <si>
    <t>ac9e9c4b-a50e-4c0c-9f68-d0a2b3a657f5</t>
  </si>
  <si>
    <t>ccddfb15-797a-4e9e-b571-4675290b071d</t>
  </si>
  <si>
    <t>414f08d4-5a4c-4113-b152-09813060f9a4</t>
  </si>
  <si>
    <t>16bb271f-9990-42ef-a49e-5563fb1d11b9</t>
  </si>
  <si>
    <t>724493ea-fdfc-4cb1-914c-4f157f8803a8</t>
  </si>
  <si>
    <t>525028b4-ea2d-463f-892f-86a839621ee9</t>
  </si>
  <si>
    <t>ea3decc3-11cf-464e-8b9b-91e394e97d41</t>
  </si>
  <si>
    <t>ad8bfdb0-341b-4c9c-8e83-d96aed9203e5</t>
  </si>
  <si>
    <t>b146adf9-cdfd-48d7-bc1c-0748cca548b2</t>
  </si>
  <si>
    <t>b488bac9-04c0-425b-a671-70598580c686</t>
  </si>
  <si>
    <t>d29365dc-c4e0-4b7e-a094-b3aee49a99f4</t>
  </si>
  <si>
    <t>63f9d986-7068-49e3-b822-fab8e0a49bc1</t>
  </si>
  <si>
    <t>d2bbf3a7-d910-4d8b-b554-497251508886</t>
  </si>
  <si>
    <t>0ceddb1d-533e-46bc-967f-823b87b432fa</t>
  </si>
  <si>
    <t>9747ed12-6f16-46af-8c59-c54fcd947b73</t>
  </si>
  <si>
    <t>08dbcf43-5ce6-4326-a997-8da4cf6f731f</t>
  </si>
  <si>
    <t>3c78a99f-e9a5-4f6a-9bd4-9bea5f137515</t>
  </si>
  <si>
    <t>99cbb3de-fe56-4704-82c1-ffa8dd5c7a36</t>
  </si>
  <si>
    <t>ae2fd5ac-59e1-4433-b26b-3ac43b42a4bf</t>
  </si>
  <si>
    <t>0a82244e-e72e-46a5-9d96-76eedc5674c6</t>
  </si>
  <si>
    <t>8316d994-9295-49d6-b608-7a27856fa6cf</t>
  </si>
  <si>
    <t>e1b71893-1f20-45ab-b9e6-0edacceaf9d3</t>
  </si>
  <si>
    <t>00c85c4a-478b-411c-a06f-8d229eea4684</t>
  </si>
  <si>
    <t>77601669-57ba-4d83-822b-2c9d3fbee785</t>
  </si>
  <si>
    <t>aa3d931e-f2c1-4a87-ac26-f4feed539178</t>
  </si>
  <si>
    <t>4abb2b16-b493-4d53-a738-9475abc94756</t>
  </si>
  <si>
    <t>dbee2c1d-4003-4723-b0db-0cdd117d341d</t>
  </si>
  <si>
    <t>06ad36eb-67ec-4eb4-93d7-fa5c1a4abded</t>
  </si>
  <si>
    <t>74296717-7313-49b7-a0ff-17281751b037</t>
  </si>
  <si>
    <t>10374c5a-0a9b-46c9-a19a-4b9acbfe6322</t>
  </si>
  <si>
    <t>107f9e60-e4ce-4fe0-b90f-7f478b64e346</t>
  </si>
  <si>
    <t>e6f5aad8-3d0d-482c-b377-0399c888f984</t>
  </si>
  <si>
    <t>e88ae0bf-e5ca-4295-ab09-1ea14e389b70</t>
  </si>
  <si>
    <t>3c748cc8-fab5-41d0-971e-eba32b247a66</t>
  </si>
  <si>
    <t>bd3ee325-8a00-419a-b1a6-e976080197f5</t>
  </si>
  <si>
    <t>ce5f31e7-101e-4709-ac71-b46dfd8c8c59</t>
  </si>
  <si>
    <t>f9aae5f5-3f3b-4afe-ba24-4f313a94ec46</t>
  </si>
  <si>
    <t>46942525-7197-40ab-a5d1-79e46f5e09f4</t>
  </si>
  <si>
    <t>eca3b2cc-7fa6-4731-93c2-c2af38d448ad</t>
  </si>
  <si>
    <t>17f77859-2514-41c7-95be-cd3570d0025c</t>
  </si>
  <si>
    <t>e0795841-bcb5-499e-86e6-cb0f87f9870f</t>
  </si>
  <si>
    <t>c76969cd-336d-4838-a240-8002d91705f2</t>
  </si>
  <si>
    <t>74dcb7c7-74c6-43e6-9034-d1a72adad651</t>
  </si>
  <si>
    <t>9ee5c445-56ec-4208-b47c-759c3b7f01bb</t>
  </si>
  <si>
    <t>999d8e4e-1e8e-46fa-818e-9657afcc0068</t>
  </si>
  <si>
    <t>a1743e4c-9e2c-4f48-a208-dba3b8df1c91</t>
  </si>
  <si>
    <t>32b42dc3-6e82-44bb-b5d0-f323244aba7c</t>
  </si>
  <si>
    <t>1386123c-5f7c-459e-ae51-08ae5fbe47bb</t>
  </si>
  <si>
    <t>b1298a61-b99b-4b75-a99a-ad94966f69f6</t>
  </si>
  <si>
    <t>71f9b5da-cd65-4d82-aadc-03be9f0d0822</t>
  </si>
  <si>
    <t>feb0dafb-ef3c-4cd8-a3e4-530babafb063</t>
  </si>
  <si>
    <t>68fd098e-d088-47eb-b14f-bd5e306322a0</t>
  </si>
  <si>
    <t>ad293cc0-f9c5-41cc-b98b-d30104acd571</t>
  </si>
  <si>
    <t>2d709119-8028-4486-8e2c-d140c42a3e33</t>
  </si>
  <si>
    <t>2619177e-ff09-4d89-b00b-f61e7dad8bf9</t>
  </si>
  <si>
    <t>a2fa6fbd-35f8-4db0-aff2-2673727dc84c</t>
  </si>
  <si>
    <t>dc3a0a45-0717-4baa-86f2-8d6573d5cd0c</t>
  </si>
  <si>
    <t>5fa5ca82-b81d-40df-a054-96e09acb28ea</t>
  </si>
  <si>
    <t>ce71d08b-80b9-4b6a-a055-d07ad964b74e</t>
  </si>
  <si>
    <t>3f0c299b-2856-4fcd-9da8-a1d19afa1365</t>
  </si>
  <si>
    <t>c298405c-4f93-4e45-b8ce-de46bc13b51a</t>
  </si>
  <si>
    <t>107b7ac2-d69a-482e-ba42-0707d07983f5</t>
  </si>
  <si>
    <t>a9414457-2c36-4d97-8820-4dcc8349368e</t>
  </si>
  <si>
    <t>db07d34d-d62e-4cee-a65b-00f8a336c73b</t>
  </si>
  <si>
    <t>a1fa1e89-c730-4c7f-b615-5fc51f92abfc</t>
  </si>
  <si>
    <t>df2e5ee6-a486-4cd8-b452-959e63e397c6</t>
  </si>
  <si>
    <t>5dbd7687-5f99-4393-93cd-22ad811b4d22</t>
  </si>
  <si>
    <t>3f8f748f-aae8-4ebd-8e6d-a88ed721f2fd</t>
  </si>
  <si>
    <t>dfb72a40-99ce-419c-8bb8-a7e6d80f8d0f</t>
  </si>
  <si>
    <t>2c9893fa-7934-40a5-8ddb-85f934f5dbe0</t>
  </si>
  <si>
    <t>45c38e06-d28c-46b6-b473-bd983b259d4c</t>
  </si>
  <si>
    <t>64d85f24-42f8-48b1-8675-590db42d23e5</t>
  </si>
  <si>
    <t>0aa018d1-6f8d-493a-bd1b-7d79b803fd22</t>
  </si>
  <si>
    <t>d50276ec-30c4-4e33-94b1-68cb83eaf5a7</t>
  </si>
  <si>
    <t>76cc2999-f28b-46ee-b31d-a27407c1f421</t>
  </si>
  <si>
    <t>9ae4fd75-7402-4539-8d0d-a5d7d1ac9596</t>
  </si>
  <si>
    <t>1b9db6e9-6522-4731-9474-7b1f63da1fc9</t>
  </si>
  <si>
    <t>0c7a461a-e6f9-45c9-a1ba-b9745a6b3b17</t>
  </si>
  <si>
    <t>37dd41be-f537-46b1-8e2e-905604a8cdad</t>
  </si>
  <si>
    <t>2fa9fc55-ecbd-428f-a0e6-7ce6f60e8975</t>
  </si>
  <si>
    <t>76f5fba2-0349-4f73-84aa-475fa2f8c789</t>
  </si>
  <si>
    <t>cf48d58a-217e-40c4-b6c5-72bbbe03fd56</t>
  </si>
  <si>
    <t>ac919ac2-e711-45b2-8d74-f2d164585c15</t>
  </si>
  <si>
    <t>dbdab0cd-577e-49b5-b94e-4c5d8162c4f5</t>
  </si>
  <si>
    <t>d85e4916-857b-4008-b7a5-20ea8157e9af</t>
  </si>
  <si>
    <t>17ed341d-de04-4466-8b18-bda03f5e38fd</t>
  </si>
  <si>
    <t>274599c6-5a23-4d2e-a471-22fa0e76e24e</t>
  </si>
  <si>
    <t>dc5b0984-88d3-4ff3-b093-f0cfdb80070d</t>
  </si>
  <si>
    <t>ca23a8be-fef8-4b6c-afba-136af304b2d5</t>
  </si>
  <si>
    <t>4099d31a-cc4b-4948-bcb8-d3270cf3a9f5</t>
  </si>
  <si>
    <t>37c521d5-e042-4dc6-a38a-be7eafeb9092</t>
  </si>
  <si>
    <t>17ce1fd9-fa04-4c76-b7c0-f23519005371</t>
  </si>
  <si>
    <t>c1660018-6e78-4bd4-88f0-3a1faa017c4c</t>
  </si>
  <si>
    <t>86079cfc-0cd9-4487-ac31-0e38a2859cd2</t>
  </si>
  <si>
    <t>3e3cfb79-20ef-4690-a186-7f69adb9c1c6</t>
  </si>
  <si>
    <t>c726aec5-29ec-4b62-b752-7d9f91d7ebd1</t>
  </si>
  <si>
    <t>7911e6e5-fad9-423b-b343-c74a045ad2ae</t>
  </si>
  <si>
    <t>0a5ee218-5618-44fe-b90d-cae6da8f6859</t>
  </si>
  <si>
    <t>99b365a9-075d-4ed6-b3a4-539d4245cd22</t>
  </si>
  <si>
    <t>20b10142-39c2-4061-8573-a1e5f91ad019</t>
  </si>
  <si>
    <t>2b784338-d744-4800-b6f8-4508260255b7</t>
  </si>
  <si>
    <t>ac8576dd-8167-485c-9452-c8fc0e559ed8</t>
  </si>
  <si>
    <t>e95a32d7-dbb3-457d-b655-df5765b3ea84</t>
  </si>
  <si>
    <t>a22b2cef-2032-47d9-8fb4-36f3dcf93b94</t>
  </si>
  <si>
    <t>ba13ed63-7cc2-4a1e-9d77-d45bfe793cc5</t>
  </si>
  <si>
    <t>8bdf4628-437d-4675-a5bd-c0e70adb590d</t>
  </si>
  <si>
    <t>e203e4ef-dc62-4e97-884d-77a46ddf3813</t>
  </si>
  <si>
    <t>5b4c2040-0725-49cd-b8bb-0c1848fe1577</t>
  </si>
  <si>
    <t>cdd7611f-d900-43cf-b218-71d45bca9a13</t>
  </si>
  <si>
    <t>11d562cc-a296-442c-8ad0-4c2a5f5f2e1f</t>
  </si>
  <si>
    <t>1fb210c3-6369-4fb9-9abc-f56736df9f47</t>
  </si>
  <si>
    <t>1aab7315-184d-4e18-8338-071aab257e63</t>
  </si>
  <si>
    <t>33e54062-d5b6-400e-9f34-fe98abbe476c</t>
  </si>
  <si>
    <t>5d0fd4a3-dc03-4a99-8cb0-087424513a52</t>
  </si>
  <si>
    <t>d16fcf8a-89ce-4b6c-9083-bf9e43fbd8d7</t>
  </si>
  <si>
    <t>609e1a47-614a-4c12-b0c7-50c6a27c83bb</t>
  </si>
  <si>
    <t>c3fc2a8b-b9e3-48b3-9c46-b3a64b62157d</t>
  </si>
  <si>
    <t>6af2ef31-7637-45a5-8a64-201ec7cb3065</t>
  </si>
  <si>
    <t>a35b0e4d-c43a-48cb-8c56-e49d6879c391</t>
  </si>
  <si>
    <t>1c904da9-0232-449d-a20e-43a3c0e409b7</t>
  </si>
  <si>
    <t>3f0b4a45-5ec6-4a10-a6f0-dfab7d32c292</t>
  </si>
  <si>
    <t>696ead93-5262-4d00-a2ab-042f737bcb9c</t>
  </si>
  <si>
    <t>eacf58bf-9e97-4299-b176-75e028554818</t>
  </si>
  <si>
    <t>75c9cb84-d05c-4a42-8ab2-828d008f94ba</t>
  </si>
  <si>
    <t>dac932ff-cdf8-4b8d-a369-7a25f9bd7a0e</t>
  </si>
  <si>
    <t>39000a6b-840b-4387-8278-74242df72456</t>
  </si>
  <si>
    <t>0c1633dd-ffdf-4a8e-acf3-6b8726513703</t>
  </si>
  <si>
    <t>4c9b0d0f-1fa8-439e-af1f-8282130cf0bf</t>
  </si>
  <si>
    <t>dbaf9169-5442-4b8c-b41d-b9f87f96e404</t>
  </si>
  <si>
    <t>56eae98d-0f94-42e9-bc74-b87ee559adc0</t>
  </si>
  <si>
    <t>4234d7ee-c5d2-43be-ad24-1545623c4983</t>
  </si>
  <si>
    <t>a880a8d5-fd6c-4056-8fea-151329ac0bc0</t>
  </si>
  <si>
    <t>fe3fe07b-85b9-4f24-aef0-78a120ffca7d</t>
  </si>
  <si>
    <t>da3695da-d79e-4240-be6f-e5252500e74c</t>
  </si>
  <si>
    <t>45556d1e-cca3-4681-91f0-c400a3523511</t>
  </si>
  <si>
    <t>755ce452-4079-48bb-bc47-4ba2b2ecd942</t>
  </si>
  <si>
    <t>fa010757-b01a-4f20-abed-bce22f5a810a</t>
  </si>
  <si>
    <t>e2dfa569-35ea-412e-9a4e-2b194f5d62c8</t>
  </si>
  <si>
    <t>003e8ce2-25ac-44b6-91db-fc2784528c36</t>
  </si>
  <si>
    <t>e25b97a4-daab-4243-8698-14b71b085a13</t>
  </si>
  <si>
    <t>8acd78db-f4ed-4bc0-a385-0764a60e7b9f</t>
  </si>
  <si>
    <t>8a3af76b-7153-48c0-a775-3534fd49fe16</t>
  </si>
  <si>
    <t>8661f083-bf8b-497e-80af-74b5442aa691</t>
  </si>
  <si>
    <t>e444d340-ba14-40bd-99f4-85f85f98cf78</t>
  </si>
  <si>
    <t>e12dbde6-af94-4fed-8392-75efd9f8c1a8</t>
  </si>
  <si>
    <t>095b2666-34f3-42ba-aaa6-f9512b8d30cc</t>
  </si>
  <si>
    <t>d3c3d095-8b42-45d2-9c19-7e3fa96ca787</t>
  </si>
  <si>
    <t>1aa16b12-fff7-48b4-9b72-fa22e08d058d</t>
  </si>
  <si>
    <t>f8aa86e5-518a-4051-9727-74947064db92</t>
  </si>
  <si>
    <t>a92a788b-ae74-4716-9bea-7eb0b3cef793</t>
  </si>
  <si>
    <t>17183448-1fc2-4e97-a5f2-36d1d5a9ca1e</t>
  </si>
  <si>
    <t>cdb0c59c-6086-4985-a133-bd141e1bb6ca</t>
  </si>
  <si>
    <t>dcb91836-142b-4bcd-b42c-f0b34c272121</t>
  </si>
  <si>
    <t>828e263c-a5a2-4390-8880-5851ba9395c1</t>
  </si>
  <si>
    <t>c54f6982-c7af-4460-b1ca-661c411ee091</t>
  </si>
  <si>
    <t>e7c17a68-7cb0-445f-8d31-f2c1d07aab3d</t>
  </si>
  <si>
    <t>da5099cc-9057-4fcd-a133-8873336c7697</t>
  </si>
  <si>
    <t>2d6081cb-4964-472e-ad69-86ebf0dd7c1c</t>
  </si>
  <si>
    <t>45edfde5-88c9-424d-8d71-709998c94939</t>
  </si>
  <si>
    <t>55e8d23c-b8a3-4bb1-9c03-3e14641639ac</t>
  </si>
  <si>
    <t>def3e5b6-5ce0-4d69-b0b5-b39fad417a6d</t>
  </si>
  <si>
    <t>b27e3290-ca39-4779-89db-6402ae280a3d</t>
  </si>
  <si>
    <t>3a23e4a5-22f8-4647-8717-8331fa5eba94</t>
  </si>
  <si>
    <t>b945055d-449d-47e8-9f14-574ea7cea9a1</t>
  </si>
  <si>
    <t>c5dc62ac-e177-461a-bc76-d7842de60ca8</t>
  </si>
  <si>
    <t>035988be-2cdb-4a69-a630-6d76bc1b97f6</t>
  </si>
  <si>
    <t>8a0a4ccf-0708-43c7-8b95-12cf9b4fb001</t>
  </si>
  <si>
    <t>f044c71b-3fed-4121-9cd6-b3a3d0be4cf6</t>
  </si>
  <si>
    <t>77a6c968-3ec1-4c82-ae01-a2e5b4db0931</t>
  </si>
  <si>
    <t>6a53dd10-b7e8-44f2-8f4a-56015f9a5c61</t>
  </si>
  <si>
    <t>bbe577b2-0e7e-44de-aec5-8d54cbb0eed8</t>
  </si>
  <si>
    <t>8b412cdc-c03a-456c-af50-3d045bc026ee</t>
  </si>
  <si>
    <t>735190c8-4a3d-46a6-885f-795f3ecdad42</t>
  </si>
  <si>
    <t>f60e85aa-2c80-4282-9a7e-885c5b1801fd</t>
  </si>
  <si>
    <t>43316923-630e-4b9d-97af-cc263e0b56e3</t>
  </si>
  <si>
    <t>67ce86b7-0f74-4af8-acf1-5987206db796</t>
  </si>
  <si>
    <t>87d5811f-29bd-480a-b53e-8b2775331cfe</t>
  </si>
  <si>
    <t>6d446445-a1b2-455d-bba9-d7f3077c0a10</t>
  </si>
  <si>
    <t>dce7ccc8-e51c-4cb3-9aed-7f952220a2d1</t>
  </si>
  <si>
    <t>688d52ac-3051-4780-b1f1-5436fdb4d51b</t>
  </si>
  <si>
    <t>efe57503-644e-4224-a159-a8d880e1676b</t>
  </si>
  <si>
    <t>8a965066-832a-445b-a5d3-6935102c89a0</t>
  </si>
  <si>
    <t>211cc3e6-2493-4cb5-a05d-648a8b62339e</t>
  </si>
  <si>
    <t>827b839a-2a40-41e8-a668-3e84708aab8d</t>
  </si>
  <si>
    <t>5a434596-ec80-4d47-a472-46587f20a98f</t>
  </si>
  <si>
    <t>6c297fda-c973-4435-ac49-c330b5e20030</t>
  </si>
  <si>
    <t>e7336493-b9bd-47ee-9298-a74a91625ab9</t>
  </si>
  <si>
    <t>14ef7d6f-0c7f-448e-8bb2-a718401cd8a9</t>
  </si>
  <si>
    <t>3914fd90-24cd-4681-a26a-2ba4a2a159f9</t>
  </si>
  <si>
    <t>5f056e77-b597-4372-81ec-74cfa153e832</t>
  </si>
  <si>
    <t>f1f834a6-23c4-405a-b5f2-dfd604ce318b</t>
  </si>
  <si>
    <t>2cf69775-8761-45e2-a44d-b4bd0669b757</t>
  </si>
  <si>
    <t>4f25b8c4-d5c9-4131-af78-55e3ffeed2dd</t>
  </si>
  <si>
    <t>c51b4715-3ce4-49e7-9102-508107212399</t>
  </si>
  <si>
    <t>2430b31a-ab1d-4aeb-9d8f-5b5bb2427ff5</t>
  </si>
  <si>
    <t>a06f6ebb-cdf1-4d0a-ab74-c3c1b86d53ae</t>
  </si>
  <si>
    <t>b160aa5f-532a-4e17-999d-5d17abb3926f</t>
  </si>
  <si>
    <t>f7f78b0a-14a9-43c0-8ab4-dbae4364badc</t>
  </si>
  <si>
    <t>6516706c-08dd-4be3-9bcf-d8cc39b8e59b</t>
  </si>
  <si>
    <t>e518b0d5-b916-43a0-9f3e-23030ae34aa7</t>
  </si>
  <si>
    <t>ca6e759e-e5b0-4f69-b548-2acfba9ef338</t>
  </si>
  <si>
    <t>b0d6c364-2083-42c5-9c6f-92fb5a21a71a</t>
  </si>
  <si>
    <t>5d26a7bf-3240-4197-a94c-369861b65c37</t>
  </si>
  <si>
    <t>58ae61ba-c2a5-4ae2-b3ec-3a99c8ea6357</t>
  </si>
  <si>
    <t>f55fe025-31da-4f50-ab61-f691c3fc3631</t>
  </si>
  <si>
    <t>b78b1bc6-d7d2-45a0-ba76-f10383ccc023</t>
  </si>
  <si>
    <t>7bb98f8f-da88-4641-9a18-990f20e1ec42</t>
  </si>
  <si>
    <t>8639ee6f-b8d5-4f6a-949e-ede441e48612</t>
  </si>
  <si>
    <t>4cac4adf-90cb-4cce-a753-7aee0a1c21ae</t>
  </si>
  <si>
    <t>ed8ebb86-abad-4cd8-b5b9-c5a6fb6abac7</t>
  </si>
  <si>
    <t>d9ebed4c-cdb4-468e-a1e1-9e2cf8ad491d</t>
  </si>
  <si>
    <t>ad1bd590-72fa-472e-9a02-22ec6cd82e5f</t>
  </si>
  <si>
    <t>e68fd0c3-ad0e-46be-b2c8-233662c68310</t>
  </si>
  <si>
    <t>6b127fa4-cce8-4a17-8b7f-926b1d1edd42</t>
  </si>
  <si>
    <t>c8cfc65c-6035-46d5-8c9c-d7bb68bf9f20</t>
  </si>
  <si>
    <t>c0670d76-1e6f-4c29-b07e-c28c5ce90b62</t>
  </si>
  <si>
    <t>dca23069-4f5f-4525-9277-eadd2bc97e9c</t>
  </si>
  <si>
    <t>8e164955-faf6-4390-8b3f-f65a067bdf27</t>
  </si>
  <si>
    <t>8f0aadba-150a-48c7-a659-16e5cee03b2e</t>
  </si>
  <si>
    <t>9836211a-c1be-4ccd-b56c-fe50e8f975fd</t>
  </si>
  <si>
    <t>28f087f2-d7ca-4d0c-b8cc-17ac530ecd68</t>
  </si>
  <si>
    <t>b392aeef-57c0-4bfd-95a8-0d91d61a7493</t>
  </si>
  <si>
    <t>be65e2d8-f330-4919-af85-108de70426dd</t>
  </si>
  <si>
    <t>2b853bf7-98c9-4980-8425-80cf8a0b472b</t>
  </si>
  <si>
    <t>48231d68-14ab-4cff-a17c-f9fb1022ba1a</t>
  </si>
  <si>
    <t>7501de45-fff5-4212-8179-1c1877baab45</t>
  </si>
  <si>
    <t>c8dd50f4-f755-486a-a904-024a1be2ba69</t>
  </si>
  <si>
    <t>f739acc1-b74a-4659-87ee-b634e946c9b5</t>
  </si>
  <si>
    <t>5095a93a-4007-4f71-b9c0-063e9a8f41e5</t>
  </si>
  <si>
    <t>927b4844-c0e6-41ba-bb80-76019beb67c8</t>
  </si>
  <si>
    <t>a4d87de9-69bf-459a-b5e9-95b76b21badb</t>
  </si>
  <si>
    <t>625dc945-cbd7-42b5-9199-2f64f2abd664</t>
  </si>
  <si>
    <t>72adca9f-6269-4e59-a56b-cb03c699549c</t>
  </si>
  <si>
    <t>fce4863c-99e6-4058-ab31-561b8607bbe4</t>
  </si>
  <si>
    <t>f6652572-c33f-4cf6-ba8e-db6ce43bf4b9</t>
  </si>
  <si>
    <t>b9380b2a-266e-4475-a158-19726cfc98f7</t>
  </si>
  <si>
    <t>e9b2749d-d99a-4826-96f7-a9b971b69714</t>
  </si>
  <si>
    <t>c448fef8-33e2-4067-b717-ae7f77695a51</t>
  </si>
  <si>
    <t>aed594ac-9218-427f-8d52-d137f7604c5f</t>
  </si>
  <si>
    <t>7370e647-9b05-42bd-8ede-b893eebcbafc</t>
  </si>
  <si>
    <t>60d0282f-3849-479f-a487-9a3b59e0c727</t>
  </si>
  <si>
    <t>3f92d3cc-76cc-4fc6-a6fb-cfea5a0292be</t>
  </si>
  <si>
    <t>c98b0d35-2af6-43a6-8589-e358859de87f</t>
  </si>
  <si>
    <t>052e5ea6-7c77-4cc2-9437-1baf5694adb5</t>
  </si>
  <si>
    <t>2452bd61-488e-4fa5-a947-3329c9d4aac3</t>
  </si>
  <si>
    <t>800c65d1-ea65-45d2-843e-b710461c44fd</t>
  </si>
  <si>
    <t>00dda31e-daec-401f-af63-32a4bd2be0f9</t>
  </si>
  <si>
    <t>62d7e157-addd-463a-8fa3-07f8f309d8ca</t>
  </si>
  <si>
    <t>134fda45-9bd5-42dd-8192-f1b24ff87fc8</t>
  </si>
  <si>
    <t>5df7e878-2b99-4215-813e-76ddff65867e</t>
  </si>
  <si>
    <t>f6b53553-e1df-4c96-ab51-1b9f5d512011</t>
  </si>
  <si>
    <t>4bcc6a9a-9a97-477c-9fef-531b6bee4626</t>
  </si>
  <si>
    <t>4b1239ba-6b62-4d21-a8a6-2b59b284a1b9</t>
  </si>
  <si>
    <t>10180c1a-d001-46c9-910a-1a232602a1e2</t>
  </si>
  <si>
    <t>91d28d6e-d797-43b0-918a-180131e67a89</t>
  </si>
  <si>
    <t>0e25484d-2192-4933-af25-8c1ce66ddef1</t>
  </si>
  <si>
    <t>b8109934-3350-4d7d-a4a2-4665cbbac2b0</t>
  </si>
  <si>
    <t>37efe8d4-f30b-4839-8707-67cfb77cc1ff</t>
  </si>
  <si>
    <t>3127338f-47d9-4aa7-b9f6-79107e057b80</t>
  </si>
  <si>
    <t>0a8aa6a2-ba3d-4042-b959-8cb224db42f2</t>
  </si>
  <si>
    <t>f267db4a-af7e-447d-b5b2-09798e3160a4</t>
  </si>
  <si>
    <t>7e3de2a4-1eda-4822-9414-edf630b56ca0</t>
  </si>
  <si>
    <t>c08952b5-9e61-464b-8118-851535b2f0a0</t>
  </si>
  <si>
    <t>e183f03b-e7ec-425a-b5be-b5c7ee8010b2</t>
  </si>
  <si>
    <t>fa9e2423-d295-4fb8-af3c-4197ee5b7435</t>
  </si>
  <si>
    <t>ed914a01-62e5-4b18-b4ad-1e9a28c3a68c</t>
  </si>
  <si>
    <t>53c0345a-7d19-48bd-b659-70d4a6781dfb</t>
  </si>
  <si>
    <t>6d6a8d7b-f943-4279-ba4f-f2fcc8df2fc0</t>
  </si>
  <si>
    <t>783898c5-a397-44be-9556-e1fd61bf35e9</t>
  </si>
  <si>
    <t>82dee3af-9f17-421c-8d3e-2177420183e1</t>
  </si>
  <si>
    <t>05aa98f7-b533-4184-9f57-bafe5be92e11</t>
  </si>
  <si>
    <t>a16eabd8-7500-401f-a09f-c196e8084525</t>
  </si>
  <si>
    <t>125660b9-b996-4330-b1c1-c12ecf075f80</t>
  </si>
  <si>
    <t>c214433b-2cd5-42bb-8b59-657928b311a6</t>
  </si>
  <si>
    <t>ff769f45-e8c0-4224-8fef-763d9b9cf9b6</t>
  </si>
  <si>
    <t>7aaf4a07-bbee-41cc-b800-8084935b8b7c</t>
  </si>
  <si>
    <t>7cd4a8f6-a14a-4c46-9c67-d52b2279855e</t>
  </si>
  <si>
    <t>4231d1df-7cdf-491d-b0ca-794940a56bfd</t>
  </si>
  <si>
    <t>f1cfed63-b6f3-4af8-b406-dc92beac76ce</t>
  </si>
  <si>
    <t>914a0ec2-9ccc-4c89-a18e-4a95f8f38049</t>
  </si>
  <si>
    <t>c39ca4e9-d9f8-440e-a74b-56d91473dd2c</t>
  </si>
  <si>
    <t>edfd175f-6d64-4ba5-9c17-5ed2312cfb32</t>
  </si>
  <si>
    <t>c251eb3b-1929-4c6a-a29e-7bb49e637a0a</t>
  </si>
  <si>
    <t>4c80103d-ac0a-4e95-a494-7ba0f6388867</t>
  </si>
  <si>
    <t>ae7ea312-9fa1-40ef-a563-25d4efa57399</t>
  </si>
  <si>
    <t>9eec0f0f-8898-49ab-bdd4-59839a8a1d9d</t>
  </si>
  <si>
    <t>0b97eae3-769e-4f45-bdc7-47173286870f</t>
  </si>
  <si>
    <t>97b3ebca-2895-42c0-8c95-d75f212b5efa</t>
  </si>
  <si>
    <t>72b5dad8-35cd-4e5b-b5f6-9fd189e46db5</t>
  </si>
  <si>
    <t>bc0deac4-46d4-46a3-aa7f-7e4f7d0cd88c</t>
  </si>
  <si>
    <t>33ce32b1-a79b-4b4f-8e3f-a73a326be03a</t>
  </si>
  <si>
    <t>0d5125bb-9a77-46fd-a008-e12965c68f6e</t>
  </si>
  <si>
    <t>7c554923-0fc8-4af4-9482-48ddaa9af4ce</t>
  </si>
  <si>
    <t>4aaa4b30-0995-42b2-86f8-acd420bd1f27</t>
  </si>
  <si>
    <t>0b4d9c35-a743-4c45-acac-1953cacbac29</t>
  </si>
  <si>
    <t>6f2eb696-241e-4d07-b0dd-f8fa78955fc7</t>
  </si>
  <si>
    <t>37eab84e-f904-41ee-9fa0-9160d1a8ac85</t>
  </si>
  <si>
    <t>07d39ac7-4f54-407c-9065-d2de9017092b</t>
  </si>
  <si>
    <t>a816aad2-ddc6-4714-9013-8d76b4de89e5</t>
  </si>
  <si>
    <t>4825a472-0710-4ab2-824d-2fdd30ed23ca</t>
  </si>
  <si>
    <t>934908b3-41b9-4415-bbad-0f3032a18506</t>
  </si>
  <si>
    <t>c52a8297-84ec-4e1f-8193-4ee88a0fc34e</t>
  </si>
  <si>
    <t>b2161461-eb4c-4473-a193-e167ba3c784c</t>
  </si>
  <si>
    <t>c5fc233b-21e3-410c-85bf-742fca828d6a</t>
  </si>
  <si>
    <t>3ca556af-b4d6-4c39-bb53-f00960221cbf</t>
  </si>
  <si>
    <t>5a11d8d0-cb62-456e-939d-ae4a8cbdde5c</t>
  </si>
  <si>
    <t>b7fd931c-d59d-466c-b104-dc8819641e5d</t>
  </si>
  <si>
    <t>c175fd94-acfe-41f0-9c92-0f5e386499fe</t>
  </si>
  <si>
    <t>0a762b77-7701-436c-a5e6-2b4a2cff7d03</t>
  </si>
  <si>
    <t>ffdf0f37-5ab0-4b5d-b33d-1a4a11e02c70</t>
  </si>
  <si>
    <t>d4b6b1c5-e809-4a36-9126-c485c93c2099</t>
  </si>
  <si>
    <t>fac8f5fe-151e-4991-98a9-7906520b9967</t>
  </si>
  <si>
    <t>b794556e-1123-4c20-bc98-4ad400d68f76</t>
  </si>
  <si>
    <t>abcdc4df-ade6-4dc0-a29f-26751510f091</t>
  </si>
  <si>
    <t>92a658bc-f2c1-4f19-ba0a-5f8627195a23</t>
  </si>
  <si>
    <t>9176aa47-8f35-4b61-aa0c-7f5e82ef4315</t>
  </si>
  <si>
    <t>a74837e1-dc9c-4feb-a9f4-4091b15d15ea</t>
  </si>
  <si>
    <t>9e6a25d6-4014-4c58-a23f-6016815d6f31</t>
  </si>
  <si>
    <t>c52e4d67-f98f-4f1e-83a0-ec401295cd65</t>
  </si>
  <si>
    <t>6d40b2a3-6520-4f59-b076-276940e28dee</t>
  </si>
  <si>
    <t>65c8b6a9-0386-40de-b313-0ccfd413fda0</t>
  </si>
  <si>
    <t>eab869fb-6318-4e76-ad3d-453d4fd7a219</t>
  </si>
  <si>
    <t>f30ef5c3-be17-4886-9bcf-a859532fbfef</t>
  </si>
  <si>
    <t>086bac2e-0490-4c8b-8b1e-5b9813ef2e72</t>
  </si>
  <si>
    <t>13169809-d529-496b-a4f8-1d470a744300</t>
  </si>
  <si>
    <t>0a7127ae-3d90-4b6d-8249-484df4905aec</t>
  </si>
  <si>
    <t>d5dbc55b-8ef1-4988-a9b0-c45505ca2431</t>
  </si>
  <si>
    <t>8afd45e9-d401-4a9b-b3c6-e20808c39073</t>
  </si>
  <si>
    <t>7d40c105-0ae1-4235-aab9-f8ec0122145d</t>
  </si>
  <si>
    <t>4834dd77-26eb-49c2-9684-2ca5183ca4f0</t>
  </si>
  <si>
    <t>a2a1697f-7d68-4c9a-bd9f-82c6958a0222</t>
  </si>
  <si>
    <t>a7a9bf50-f432-4336-b5ce-f5fc967c388d</t>
  </si>
  <si>
    <t>4aa4cb4e-bb15-429c-88ae-00274c3fcebf</t>
  </si>
  <si>
    <t>938b3e5a-2269-45d3-9a05-b04df79d7719</t>
  </si>
  <si>
    <t>ea9ede30-ded4-475e-8bdb-6e6f74ef8557</t>
  </si>
  <si>
    <t>16cf6caf-bc65-4ec7-bf7b-ed1944ac741d</t>
  </si>
  <si>
    <t>57b01680-4141-4474-a48b-e78a987b9d2f</t>
  </si>
  <si>
    <t>34c37623-852f-4ce4-92f1-f8c41322e3a3</t>
  </si>
  <si>
    <t>1de748fc-27f6-4d04-95b1-43185506ff98</t>
  </si>
  <si>
    <t>f5463712-8752-4fb0-ae3f-30137078f44b</t>
  </si>
  <si>
    <t>c1d63ea1-39ef-402c-aaac-6086bd3e3368</t>
  </si>
  <si>
    <t>c3892ced-e6d1-4218-aa88-6ed1d835de10</t>
  </si>
  <si>
    <t>d7cbf38b-95b2-46b7-8ac3-50f4b316878c</t>
  </si>
  <si>
    <t>7ae851ab-037f-41f3-b58a-a54190149ed0</t>
  </si>
  <si>
    <t>692b797c-2e2c-4907-a81a-24f394f25810</t>
  </si>
  <si>
    <t>b3d7df66-3750-4afa-afd1-d217ac259eff</t>
  </si>
  <si>
    <t>0ac9f17d-3658-4d74-9054-0f96a5460c54</t>
  </si>
  <si>
    <t>32c2a5bc-7e17-4fe3-85f0-b00105dde7dc</t>
  </si>
  <si>
    <t>91898a2b-07f0-43d5-aecb-7933052c3f77</t>
  </si>
  <si>
    <t>d11573bf-f68b-4134-89ff-659630bb63f3</t>
  </si>
  <si>
    <t>aeca46b3-2f4a-4f8a-941a-bcc7c536f372</t>
  </si>
  <si>
    <t>c8117a2e-0ad2-4702-98d4-a91b9e29247c</t>
  </si>
  <si>
    <t>12be3d4b-67ef-4665-a7bb-f889989afe1a</t>
  </si>
  <si>
    <t>d14be48f-b54b-4b14-90b7-153e6c90a1ed</t>
  </si>
  <si>
    <t>89f7d229-8ad2-4553-8582-066a2af2ebed</t>
  </si>
  <si>
    <t>f4eaec8d-554b-40c5-9761-c74633a253b5</t>
  </si>
  <si>
    <t>1d72e7f2-4e93-471d-8d46-772c2d538fdd</t>
  </si>
  <si>
    <t>e408ee62-5313-4e04-bcec-e23b5202a7ab</t>
  </si>
  <si>
    <t>f1c83b47-42f3-43d3-8e18-4ea89c57773c</t>
  </si>
  <si>
    <t>610d956e-f1f5-4b11-9d7c-441a37b21a17</t>
  </si>
  <si>
    <t>f0c87ced-93a5-4494-a348-fcfcecb24541</t>
  </si>
  <si>
    <t>a32eee4c-69e9-41ee-a91d-f328cb381b15</t>
  </si>
  <si>
    <t>a5e64288-3362-4735-be6e-a09c1c044761</t>
  </si>
  <si>
    <t>2fe53083-6764-4dc3-bbaa-a88e030e71e2</t>
  </si>
  <si>
    <t>44f7004f-4f0c-4ff0-848b-97da9a781eb0</t>
  </si>
  <si>
    <t>50ebca29-2130-4894-9f3c-63f3f938f819</t>
  </si>
  <si>
    <t>48486230-b6dd-4d6c-8d2a-0c8a2b7f2f39</t>
  </si>
  <si>
    <t>47ea998f-01f4-4e7e-8c55-0fa01baecd11</t>
  </si>
  <si>
    <t>5af2d5bd-47aa-435f-8ea9-f18bba61da3f</t>
  </si>
  <si>
    <t>39218d93-3485-4f1a-b7db-f501deb29f04</t>
  </si>
  <si>
    <t>d763fc11-4943-4f8b-80c2-4de5ba439245</t>
  </si>
  <si>
    <t>aacd3fe3-fdd1-415f-bdaf-a0d23aeb3c37</t>
  </si>
  <si>
    <t>26f6d31c-6d28-43f9-a56e-760eef8da91e</t>
  </si>
  <si>
    <t>1fc5bc15-e2ed-47e0-a8c3-78632ffeae19</t>
  </si>
  <si>
    <t>d9930885-add6-474c-91bd-a2f9d0d2629d</t>
  </si>
  <si>
    <t>b0204082-d07f-4b31-858a-7ece1b76fb30</t>
  </si>
  <si>
    <t>f10c6464-abf4-4120-a49d-2b80657f5324</t>
  </si>
  <si>
    <t>23c526da-c76e-4a8c-82ea-838a7736f832</t>
  </si>
  <si>
    <t>bf9a7e56-2737-4931-a68d-e0b9696b65d7</t>
  </si>
  <si>
    <t>a88f8e6a-cf81-47eb-b982-5f73f413cf84</t>
  </si>
  <si>
    <t>ee612990-fd6f-4b96-95c5-4c3d64a961a7</t>
  </si>
  <si>
    <t>70ef21fb-2720-408f-8d98-7070d307971b</t>
  </si>
  <si>
    <t>44e03489-87f8-4024-8ad0-24eb139168fe</t>
  </si>
  <si>
    <t>72556cf5-71a1-404b-bb96-e1d49e112ed3</t>
  </si>
  <si>
    <t>94940860-8fc0-4fe9-a813-136e736dc785</t>
  </si>
  <si>
    <t>5d4f942c-5e0c-4e72-b7e5-c03cc4dc020c</t>
  </si>
  <si>
    <t>6a1cf920-fbb2-4b70-881c-358c007bc43c</t>
  </si>
  <si>
    <t>8e64c096-6cc3-468e-b5bc-63c64e8ea64a</t>
  </si>
  <si>
    <t>c38f1921-4fc2-4350-a1e1-c0aaeedf1654</t>
  </si>
  <si>
    <t>dcc0039c-307a-4d72-a67e-a69688d676db</t>
  </si>
  <si>
    <t>6c89b2aa-65db-477b-8a60-5d8da393950f</t>
  </si>
  <si>
    <t>91c178ba-d603-4aa5-8a9f-f872b9e9ee38</t>
  </si>
  <si>
    <t>2a2087f5-d137-4320-a395-2352acab3eef</t>
  </si>
  <si>
    <t>e874713c-7349-4582-806f-1fb0d743ab6c</t>
  </si>
  <si>
    <t>75bb1697-a008-4d94-9307-8652f6b88827</t>
  </si>
  <si>
    <t>f5edc841-bc01-4908-ae59-2051c2757a7b</t>
  </si>
  <si>
    <t>95da76ce-dc72-4192-b15d-57b576909335</t>
  </si>
  <si>
    <t>5152898c-b43a-4087-93bc-4ec283f379b2</t>
  </si>
  <si>
    <t>eee51db1-409b-4642-becb-311ad53094a2</t>
  </si>
  <si>
    <t>c8363c4a-8478-4498-b1fb-f6c33222e11d</t>
  </si>
  <si>
    <t>8ba829fb-fe7c-47f4-89db-241934a74db6</t>
  </si>
  <si>
    <t>6bf1d15a-7ede-4fa1-8ac3-ca10566780ea</t>
  </si>
  <si>
    <t>c3f2e7fd-8b89-48a5-8327-6db568e73a64</t>
  </si>
  <si>
    <t>ad7ef66f-b1ff-4e88-a13a-3a031501a8cb</t>
  </si>
  <si>
    <t>12ddaf98-d735-4343-954a-5269936b4d85</t>
  </si>
  <si>
    <t>28028f3f-af46-4e13-b3cd-d32ab1279c48</t>
  </si>
  <si>
    <t>ab76d3cc-b330-42c9-ad6b-28b5e707a64d</t>
  </si>
  <si>
    <t>1adad285-b2b1-4090-84b5-21d9aa4d1922</t>
  </si>
  <si>
    <t>76ee5c7f-f3c8-49ae-b448-a2510b0bd954</t>
  </si>
  <si>
    <t>23cfb542-2422-44ab-9acf-48096caccd3c</t>
  </si>
  <si>
    <t>c32bafe7-6744-4901-bf9a-fa83bda82088</t>
  </si>
  <si>
    <t>c18a0290-a6c6-4d07-9641-5255c31da967</t>
  </si>
  <si>
    <t>3ad7f42c-02c6-469e-915c-cc1d57bba996</t>
  </si>
  <si>
    <t>ce97c787-6a6c-4162-aeda-19b2f014d2ff</t>
  </si>
  <si>
    <t>4f064243-4e60-4a9b-ab4e-b4b262969f53</t>
  </si>
  <si>
    <t>87badf81-7a2d-4bbe-a869-321a3ca58275</t>
  </si>
  <si>
    <t>3cd1c05f-5575-4a10-ac1f-b67337a7acaf</t>
  </si>
  <si>
    <t>336a2ae7-f0bc-4aa5-8fc8-540c138b7d3c</t>
  </si>
  <si>
    <t>7e9ddb87-4b17-40c9-aa12-a070f3720693</t>
  </si>
  <si>
    <t>c1d1ae44-0bc9-49ee-b2ae-e2d6fb2bf599</t>
  </si>
  <si>
    <t>b819383f-8219-47be-a119-7c9225b5436c</t>
  </si>
  <si>
    <t>7c1dfa22-78a1-4be1-a9c9-929801f14b1c</t>
  </si>
  <si>
    <t>a7ffdf22-b673-4b5a-aed8-8c53ed42814d</t>
  </si>
  <si>
    <t>958219d9-6c45-4863-ae79-e0580f7936a0</t>
  </si>
  <si>
    <t>cdcea36d-e4be-42ff-8df1-f792147643fc</t>
  </si>
  <si>
    <t>71243054-81b6-43a9-bea5-0bb0a0b2cf11</t>
  </si>
  <si>
    <t>f10cd6c5-f3ec-43e7-a296-ccfa7f15942e</t>
  </si>
  <si>
    <t>cde28795-9a83-4b21-85a4-2fdd628430a5</t>
  </si>
  <si>
    <t>0d2e7cf3-53e8-4ff5-8385-3d2047301d5a</t>
  </si>
  <si>
    <t>5816a80b-d30e-4f74-b896-66982b245ac2</t>
  </si>
  <si>
    <t>8b321e79-2eea-4412-8d82-1d3178d5bf05</t>
  </si>
  <si>
    <t>dfcfa9b7-1cf2-4fc2-a671-12b758a6d6fd</t>
  </si>
  <si>
    <t>e502bbd1-d79d-4705-b2f8-51d3d0da534a</t>
  </si>
  <si>
    <t>126bb497-94e7-4c3e-b7e4-58f87b347217</t>
  </si>
  <si>
    <t>783256b2-4209-4768-8239-6c32fd358074</t>
  </si>
  <si>
    <t>399c1cff-c016-45b4-b2b0-984443300064</t>
  </si>
  <si>
    <t>728cb69b-4920-4d86-83ce-8c89da725583</t>
  </si>
  <si>
    <t>9347980b-009d-4c3f-99d8-e7c509a64747</t>
  </si>
  <si>
    <t>1b8d684d-619c-41b0-9e21-ae96bf84dcf7</t>
  </si>
  <si>
    <t>8f4a47f4-7b2a-4afc-b520-7b99b5ab2b37</t>
  </si>
  <si>
    <t>96ff8ebe-a6e9-4cdc-ba8f-cd8ab503887e</t>
  </si>
  <si>
    <t>6e4404fd-2f42-4a86-8d30-769a4f940474</t>
  </si>
  <si>
    <t>aaddbc84-7ee8-4c0f-8e0c-16ca63dd7881</t>
  </si>
  <si>
    <t>8dc81534-c8a1-4a55-8f4c-5e34ba2ae7bc</t>
  </si>
  <si>
    <t>ba083146-d48c-4d1f-aca2-ca4bc5d6178a</t>
  </si>
  <si>
    <t>f6f6624a-b2d0-4655-a972-f9bec17a6ee4</t>
  </si>
  <si>
    <t>458dc247-15ed-4e76-aa27-d2f194e47d2a</t>
  </si>
  <si>
    <t>c889501d-97d7-4383-9fcf-9c87840e4a43</t>
  </si>
  <si>
    <t>18fdd87e-1221-4b90-a8ac-c80d74f6511f</t>
  </si>
  <si>
    <t>74e8480b-6d93-4e54-8298-026036832022</t>
  </si>
  <si>
    <t>5f0daf72-991e-4edc-a8c2-c1a330351e9a</t>
  </si>
  <si>
    <t>ca75f885-2393-40f3-bd87-28f761ef8487</t>
  </si>
  <si>
    <t>2bcf8e3c-c68d-4343-9d6f-8a0d4406a4cb</t>
  </si>
  <si>
    <t>984019b7-1f52-407c-a36f-8288f6a141a0</t>
  </si>
  <si>
    <t>6f60718e-5a94-4ed6-9350-982f44c4166c</t>
  </si>
  <si>
    <t>5d21578a-b614-4939-9ce3-0c2e84aed9a4</t>
  </si>
  <si>
    <t>9731c4f5-6e17-4efb-8757-47e7b6491b02</t>
  </si>
  <si>
    <t>0601af52-dab0-4113-9231-3a750db99347</t>
  </si>
  <si>
    <t>bf7c20e7-a641-4744-b5f5-77726be8761b</t>
  </si>
  <si>
    <t>b1f58e6d-869a-4bcc-b8ef-85c692608b44</t>
  </si>
  <si>
    <t>615bf370-1547-4522-bd9a-095ea804c262</t>
  </si>
  <si>
    <t>6b9ea7e4-5a75-4ad1-8e49-8b47731862a2</t>
  </si>
  <si>
    <t>28e352ce-75b6-4fe3-8f57-ea1b0757ae28</t>
  </si>
  <si>
    <t>ca30626a-76d6-4200-a884-9883377bfbc5</t>
  </si>
  <si>
    <t>5bf1d96e-c284-4dae-851a-3b2cc3922dc9</t>
  </si>
  <si>
    <t>2dd034c1-08b9-4b8a-9121-5ee5b4ff187e</t>
  </si>
  <si>
    <t>13b141f5-ad9b-49ea-9c0b-1fbbe042f285</t>
  </si>
  <si>
    <t>411b6bce-947c-4e94-a92c-f9709d42f9ea</t>
  </si>
  <si>
    <t>7d2e8c99-eba5-41d7-8a5a-6f5d58fecaca</t>
  </si>
  <si>
    <t>c9a12c20-e602-4d0f-b036-4877d4e55e9a</t>
  </si>
  <si>
    <t>df086863-9f4b-48ba-968b-0286614e5bd5</t>
  </si>
  <si>
    <t>c9246e8b-545b-4719-88f1-ee69be75e652</t>
  </si>
  <si>
    <t>1b5a59a3-7bd7-460a-8978-0a0d192fe774</t>
  </si>
  <si>
    <t>f6cbd08c-12fa-4eba-b860-da3b6c21eb39</t>
  </si>
  <si>
    <t>8443f57d-34f9-495c-9471-eb212212192e</t>
  </si>
  <si>
    <t>d2a932ab-697b-4647-8f2c-dbc66caef165</t>
  </si>
  <si>
    <t>e6c7d246-1773-48c1-ac58-689c3e68ac6b</t>
  </si>
  <si>
    <t>7a5a1c2d-4ddf-4ced-8b06-9fe87d4e0d77</t>
  </si>
  <si>
    <t>eb1715dc-8db7-4781-a6fd-027e5f6bb5ac</t>
  </si>
  <si>
    <t>c2e9b503-386d-42dc-bac7-6a297a98e82c</t>
  </si>
  <si>
    <t>3589dd2e-c79a-4239-99fb-f35c8b19f77c</t>
  </si>
  <si>
    <t>d487b07d-0a2d-49c5-81f9-0ca3d4a25069</t>
  </si>
  <si>
    <t>e1844a6b-1068-4951-83f9-eb207e5b60d3</t>
  </si>
  <si>
    <t>181fd400-afb0-4208-9315-759de2eb87d9</t>
  </si>
  <si>
    <t>996b6673-00fa-4bf0-b45d-74d98888f537</t>
  </si>
  <si>
    <t>47610273-6edd-4a7b-a38e-8299b453981e</t>
  </si>
  <si>
    <t>01adeb52-273b-42eb-979a-3fb1a4440a75</t>
  </si>
  <si>
    <t>1a3f4483-772d-43ea-a48a-605e0ebe7079</t>
  </si>
  <si>
    <t>e473c69f-6859-4428-844e-93814aaf0186</t>
  </si>
  <si>
    <t>5ee0ae54-f871-4dd1-9614-e4ca9f74659f</t>
  </si>
  <si>
    <t>a03ee82d-6ef9-4c38-976a-d121e6b7dea0</t>
  </si>
  <si>
    <t>082c7632-daca-4f82-ba6e-dc1e7dca5624</t>
  </si>
  <si>
    <t>da9c8b84-7d45-457f-9038-dfe4a87751a1</t>
  </si>
  <si>
    <t>1e2cf6c0-3fb4-49d5-8aeb-af2a4c886d64</t>
  </si>
  <si>
    <t>b8004935-690f-401b-b365-33b40b1d5d4e</t>
  </si>
  <si>
    <t>2de72af7-0363-4ede-bf96-c0003a896f72</t>
  </si>
  <si>
    <t>023674fd-9b81-45e5-8f9d-f8733d7d65d8</t>
  </si>
  <si>
    <t>77a52f9c-7768-491c-9b1d-723ead182bdf</t>
  </si>
  <si>
    <t>454fec46-8e0d-4393-8447-cd6a9e571728</t>
  </si>
  <si>
    <t>5cc8a992-4c30-43be-a159-973c513b4dd6</t>
  </si>
  <si>
    <t>1a0e524e-c388-4abf-af21-46baf2798e0a</t>
  </si>
  <si>
    <t>2e4826ea-64a8-4eae-84f2-4e5e2c104656</t>
  </si>
  <si>
    <t>f4c54bfe-7854-4c8c-ad84-b9710932a4af</t>
  </si>
  <si>
    <t>7108b055-a04f-4eb1-b937-acf3b9eacbfc</t>
  </si>
  <si>
    <t>72836765-0277-45c6-8517-86670c85cc1c</t>
  </si>
  <si>
    <t>fa628a8c-2284-4cd4-b893-92f7667cd544</t>
  </si>
  <si>
    <t>bfc31455-3690-4b1c-8b1d-7c920788dacd</t>
  </si>
  <si>
    <t>838a0849-d3c0-459d-be8a-3062f5c3c0f4</t>
  </si>
  <si>
    <t>9adb0b11-3199-438c-9b3c-59dee22c6b27</t>
  </si>
  <si>
    <t>817458bd-a260-4430-b45e-f81d607fb449</t>
  </si>
  <si>
    <t>219a55d5-2799-4e22-9e75-ef4fe26ed9cd</t>
  </si>
  <si>
    <t>6d10f486-9b5f-4cd3-b85b-fc27a5a5595d</t>
  </si>
  <si>
    <t>082fd087-4859-4b03-9ec1-f51050cd285b</t>
  </si>
  <si>
    <t>c31a20bb-1b05-4448-801c-a8193f1b4f74</t>
  </si>
  <si>
    <t>cbdd092b-08f0-4234-8418-feceb1f990d9</t>
  </si>
  <si>
    <t>74bab484-aac9-4a5c-8e3d-d2a4504a1eff</t>
  </si>
  <si>
    <t>c3614ddf-ee73-496a-b1ea-3e27f6a5288a</t>
  </si>
  <si>
    <t>26024fd4-7715-4460-ae23-4e78f477a652</t>
  </si>
  <si>
    <t>c7cf1b97-cdd3-47cf-a147-a8ab731a5f19</t>
  </si>
  <si>
    <t>6004fb8d-885f-4bdc-bcef-d671742ba6f6</t>
  </si>
  <si>
    <t>19fc98f0-ad10-4ad2-9526-28254dca93e5</t>
  </si>
  <si>
    <t>80b1fe1e-8ef5-42af-ada7-af43d8993352</t>
  </si>
  <si>
    <t>c65be27e-f93b-4423-a704-e981640e344e</t>
  </si>
  <si>
    <t>e2bcc0cf-556c-4c71-93b4-f4e99a0e9520</t>
  </si>
  <si>
    <t>693dbaee-4cc2-4978-ab24-f5588acfe591</t>
  </si>
  <si>
    <t>cc439399-1ef2-4143-8924-b9e36668bdea</t>
  </si>
  <si>
    <t>4b051c08-de8a-4d4e-a445-efb30be01528</t>
  </si>
  <si>
    <t>d1be299e-4ffd-47bf-9976-93a9c9456ba0</t>
  </si>
  <si>
    <t>2f01c18c-8ac5-4b63-873e-fe10605673e3</t>
  </si>
  <si>
    <t>ab672cb5-ca3c-4c41-8f60-05033fd5a24f</t>
  </si>
  <si>
    <t>5a322090-313f-4308-ab38-8fdf937cc37e</t>
  </si>
  <si>
    <t>2b48ac28-5439-47a6-b935-4438f01794ee</t>
  </si>
  <si>
    <t>612e9485-7864-4dcb-83be-bc58c403719e</t>
  </si>
  <si>
    <t>f140d0f2-16e8-44d1-b48c-2d1cc316939e</t>
  </si>
  <si>
    <t>1575ab22-bbac-4dc1-be66-e03431a9fc07</t>
  </si>
  <si>
    <t>3a68905f-037f-48eb-97b0-7e8c5a6f9c5a</t>
  </si>
  <si>
    <t>6ed1be2a-984e-4fe7-becc-351b913eb571</t>
  </si>
  <si>
    <t>79a31ced-93d3-4f11-a961-7ce4256ab073</t>
  </si>
  <si>
    <t>1e0c89ad-a44c-479e-b2b5-eb8e35cc0f41</t>
  </si>
  <si>
    <t>f4223a44-e729-4eb9-afca-28680c9cdb21</t>
  </si>
  <si>
    <t>96ba87e6-324e-4976-96e1-5359f74975f6</t>
  </si>
  <si>
    <t>4a019852-cd31-4f1a-ab65-fce6b1b4fa01</t>
  </si>
  <si>
    <t>31832db0-5f36-4c75-9226-07c279e0f707</t>
  </si>
  <si>
    <t>9d3b9aa9-6ef6-40c3-990a-0b71d4e1cd32</t>
  </si>
  <si>
    <t>d62d3551-4902-442d-8c64-0d6877a35934</t>
  </si>
  <si>
    <t>84e03006-c72a-4d1f-bd72-d59d7854660a</t>
  </si>
  <si>
    <t>0ea4c14c-52be-4987-a6b8-396c00b47ee1</t>
  </si>
  <si>
    <t>d736a739-cc2b-4884-ae4b-72c68825f391</t>
  </si>
  <si>
    <t>7fde535c-b503-4287-a277-ee12295cf580</t>
  </si>
  <si>
    <t>4ad47677-3633-4836-a9df-c0f173e50006</t>
  </si>
  <si>
    <t>8ad33487-24c0-448e-a75a-35ec18a47e30</t>
  </si>
  <si>
    <t>ac50dc85-d01d-4066-b80f-ef5f2d2af804</t>
  </si>
  <si>
    <t>d25fa337-92ae-40f9-a2ab-8c6bc5cdf6ae</t>
  </si>
  <si>
    <t>ca46ce36-fc9e-44f2-8389-482a3140e392</t>
  </si>
  <si>
    <t>1646d3ef-e240-4ca8-8594-d79116550b71</t>
  </si>
  <si>
    <t>0d95ff72-e987-4197-b250-afc7e62d2dee</t>
  </si>
  <si>
    <t>62b61c40-b80a-416a-9ccb-fe3c9e6d0a06</t>
  </si>
  <si>
    <t>4ef6fb81-a622-445f-8f85-597ecf5567be</t>
  </si>
  <si>
    <t>056fe4f4-e919-4cfe-ba2f-fdec0661500d</t>
  </si>
  <si>
    <t>ee07ca21-c2c4-44e6-9df9-1c15ec176c3a</t>
  </si>
  <si>
    <t>6531fb78-bb8a-4beb-ab13-c3e8b856e3f6</t>
  </si>
  <si>
    <t>266c6b86-79e8-4fa9-a41c-be3d23ef2475</t>
  </si>
  <si>
    <t>4115cbbb-3de8-46ef-a43f-b338d350ad79</t>
  </si>
  <si>
    <t>5381612f-764a-40ee-9b78-d63104e51f5f</t>
  </si>
  <si>
    <t>3988c64c-4754-489c-bf86-146be943c7b8</t>
  </si>
  <si>
    <t>83d9f3d1-27b2-46d3-b2c5-6803bb220f4d</t>
  </si>
  <si>
    <t>31fa49f8-825a-4ea0-8ac6-ea7101ad0bda</t>
  </si>
  <si>
    <t>b0494b53-2f3c-46cc-b907-265ed1f3d345</t>
  </si>
  <si>
    <t>a9815df5-69e5-4cb7-9cdd-e7e47b879875</t>
  </si>
  <si>
    <t>8d1288c4-b29c-4cba-8c59-4bbf0db22487</t>
  </si>
  <si>
    <t>3a1bf4c6-39ee-430e-bdf0-74fd5f9615c2</t>
  </si>
  <si>
    <t>ee78b050-dae3-4b93-ba7c-cc046f2e7003</t>
  </si>
  <si>
    <t>1d8fdb2f-7a27-4d1f-9dcf-fc324a029558</t>
  </si>
  <si>
    <t>a58a4b83-c549-420b-acf2-e746ed63477a</t>
  </si>
  <si>
    <t>7769cf6c-0c7c-4f5b-8807-03a2ccb516a7</t>
  </si>
  <si>
    <t>32fb3202-3001-457c-b218-60b3e3bfe26b</t>
  </si>
  <si>
    <t>622065af-078b-407b-ac57-754272d9b7df</t>
  </si>
  <si>
    <t>0c18ab75-e044-4805-ac68-9828f50f3193</t>
  </si>
  <si>
    <t>6c602423-7b4c-4b86-8505-32b042557344</t>
  </si>
  <si>
    <t>351a509c-28ab-4e97-8ac2-d8addfe48e93</t>
  </si>
  <si>
    <t>d9ac3ade-6c21-4bae-89bd-c2ad880d31f0</t>
  </si>
  <si>
    <t>5c3ffb03-1eb8-4441-853f-e6aca2fdbc2b</t>
  </si>
  <si>
    <t>c836e596-7e8e-4be9-8413-4d75f8151709</t>
  </si>
  <si>
    <t>79aa6450-52e2-4c0e-9efe-969afaa8c252</t>
  </si>
  <si>
    <t>5913a03e-ba87-408c-b4fd-b0713609ab9f</t>
  </si>
  <si>
    <t>c004d46a-3676-4c1f-bd2a-b3ca2c55389d</t>
  </si>
  <si>
    <t>4a3d750d-4fc6-43ce-9354-c086e2372d3e</t>
  </si>
  <si>
    <t>81703340-2d76-4363-953e-56bed0c5b93c</t>
  </si>
  <si>
    <t>feff7dcc-8b4d-4121-9638-e39edad5c67f</t>
  </si>
  <si>
    <t>56ba0529-b5aa-48e2-ba5b-154e594ce824</t>
  </si>
  <si>
    <t>7f9e1a97-c9be-4712-a61b-aed1bbbf858e</t>
  </si>
  <si>
    <t>dc9be9a8-e518-4f3c-a023-bdbaeeb17b3c</t>
  </si>
  <si>
    <t>633ce2e6-3297-4e35-83ac-1eb8ebb10331</t>
  </si>
  <si>
    <t>03d585d7-1c33-4d36-a7b1-f75db2ebff42</t>
  </si>
  <si>
    <t>181b6713-b90e-4211-a3c5-0f763e890d58</t>
  </si>
  <si>
    <t>fff878e7-afef-4b0f-9934-6f5b2819e20d</t>
  </si>
  <si>
    <t>e1a73fc5-3f78-481b-bc83-3e2938ba4129</t>
  </si>
  <si>
    <t>3d98a1f8-5893-42da-b18d-59e48283ec63</t>
  </si>
  <si>
    <t>6d950e48-0e13-4e8f-a6d7-2c30b2ec6529</t>
  </si>
  <si>
    <t>887801e2-9db1-4956-a541-c39601fb5c06</t>
  </si>
  <si>
    <t>f967ac11-3d04-4c44-a518-5e6f432cd0c0</t>
  </si>
  <si>
    <t>88ff87a0-d3a1-4609-9960-d505e81d2507</t>
  </si>
  <si>
    <t>4ab6dc88-5117-45e9-8a50-d7ce2f48cc66</t>
  </si>
  <si>
    <t>b084d328-0b3a-49bd-a03f-06d53bf89686</t>
  </si>
  <si>
    <t>cbe73b6f-edfd-43a2-95aa-8821c564389e</t>
  </si>
  <si>
    <t>be92bfd0-a5a6-431a-b376-dd8207dd32d2</t>
  </si>
  <si>
    <t>1b5358fa-03c3-4163-8dd5-c30b2460ca97</t>
  </si>
  <si>
    <t>83662cbb-68d7-4d0a-bed6-73c0b4fb0206</t>
  </si>
  <si>
    <t>5a10ba14-49e9-4305-84c4-39690a5750e2</t>
  </si>
  <si>
    <t>6d3f8263-b314-4d76-b2bf-0329597d963e</t>
  </si>
  <si>
    <t>a34e8ef9-faa1-42a4-8db2-d0402e6f09ee</t>
  </si>
  <si>
    <t>b33d87e2-8e21-405e-95e0-b357f02a0af5</t>
  </si>
  <si>
    <t>651e01c7-45b6-44ef-a851-16dd82b0d92f</t>
  </si>
  <si>
    <t>eb9340bf-76e0-4abc-a037-897ab16a9321</t>
  </si>
  <si>
    <t>13d9a2c4-6246-4b31-9c92-2dd0a8ab193b</t>
  </si>
  <si>
    <t>ea772153-fc26-4ae7-9a01-f0c441d77bac</t>
  </si>
  <si>
    <t>a856148d-f351-4167-97b3-f542c4b0055b</t>
  </si>
  <si>
    <t>41c3b640-f804-4274-8b9b-10c9ad380348</t>
  </si>
  <si>
    <t>470957a2-9765-4376-bd45-7b0c8ae3fdac</t>
  </si>
  <si>
    <t>01bf79df-d2f3-4bf8-b63c-1e8031b22ac3</t>
  </si>
  <si>
    <t>c2a427a1-f7a0-4e27-aa4b-00a947a019fb</t>
  </si>
  <si>
    <t>dc9c76a8-0447-4ba5-ae03-cf1babba783b</t>
  </si>
  <si>
    <t>e75da4f2-0792-4146-9a51-f4a49af1275b</t>
  </si>
  <si>
    <t>611b8c45-f9dd-4635-a726-f2fab2ab0c7e</t>
  </si>
  <si>
    <t>6f8f6066-8b9d-4d86-9706-fd94c6d87f8c</t>
  </si>
  <si>
    <t>0ef46415-fdcc-428b-8f0d-068a9412db6a</t>
  </si>
  <si>
    <t>79ffa97f-3b33-4795-9d8b-98cb819d9a5c</t>
  </si>
  <si>
    <t>e3c31b2e-94eb-419b-8212-3536e2385d2c</t>
  </si>
  <si>
    <t>d8a1b0e1-30c5-404c-aaef-ee2f91090379</t>
  </si>
  <si>
    <t>3305c5ff-0c1d-4454-a4d1-dea0e3978975</t>
  </si>
  <si>
    <t>13869085-2e02-4a17-add2-47d51472d671</t>
  </si>
  <si>
    <t>e4103b71-a2ba-4c11-82f8-9bff9aba5a4b</t>
  </si>
  <si>
    <t>e160466a-f14f-4ad4-b190-ab9ffd5c2a27</t>
  </si>
  <si>
    <t>f6c82890-a67e-4c6c-bc25-c0942e667b1a</t>
  </si>
  <si>
    <t>c8c6df6c-920d-4f3c-80b1-8607d13c62dd</t>
  </si>
  <si>
    <t>45b3fb12-d487-41cf-a511-6bb224c2848d</t>
  </si>
  <si>
    <t>284b8e48-b6ef-4947-a69b-4934f8509b51</t>
  </si>
  <si>
    <t>02cc8f8c-5d42-4c4b-bacb-177a896e51b7</t>
  </si>
  <si>
    <t>84057a35-72ad-4922-8c79-4bdd241b83c3</t>
  </si>
  <si>
    <t>36562aee-2f47-41c0-8455-e0ad53858c3c</t>
  </si>
  <si>
    <t>ad57c204-f497-4f4b-88fb-03a6ed249a42</t>
  </si>
  <si>
    <t>37e9a389-655c-4b71-a5f8-ceb53a4b0728</t>
  </si>
  <si>
    <t>f812b295-fffc-4248-9068-a94a1f30bba7</t>
  </si>
  <si>
    <t>ed9483f7-d1bb-43ea-b042-737f411148e0</t>
  </si>
  <si>
    <t>a6a03d8a-8c9b-4f3b-910d-4ee276cd1b8b</t>
  </si>
  <si>
    <t>ac2992f2-0f0b-410e-acc3-cd2df1cc164d</t>
  </si>
  <si>
    <t>a885f06b-975d-4dc1-b097-fbeeb8a5ae05</t>
  </si>
  <si>
    <t>7fba5ae9-1913-4021-9975-c3b8982a0c16</t>
  </si>
  <si>
    <t>6631dbbb-dba7-4e36-98e1-ecd5867db158</t>
  </si>
  <si>
    <t>2cc8e207-22d5-4fb0-a161-45d411d07da6</t>
  </si>
  <si>
    <t>7d760c06-d947-48e0-8db5-f5329387d1ef</t>
  </si>
  <si>
    <t>ecdc67bf-2219-48d4-ad54-61842802c67c</t>
  </si>
  <si>
    <t>7b1a55cd-297f-4b7e-b881-1b5fd6f5ec61</t>
  </si>
  <si>
    <t>bd92a3f0-63ff-4e60-8ebd-7789d7318af9</t>
  </si>
  <si>
    <t>7cdf9e69-0b07-42dc-8aa9-225c8cdf6904</t>
  </si>
  <si>
    <t>36d2ad86-3674-4aa9-86e0-b523c81990b6</t>
  </si>
  <si>
    <t>10e56352-8dce-4ba9-a452-87405310c972</t>
  </si>
  <si>
    <t>fe446b20-d84d-4ee7-9de6-6bf726b339b4</t>
  </si>
  <si>
    <t>8974f6aa-5a7b-4cef-9f38-b56ac2869ef4</t>
  </si>
  <si>
    <t>4c950183-7b4d-433d-94f0-7f415e89c36e</t>
  </si>
  <si>
    <t>ef0c40a9-94e9-43d8-b0f5-0123e35c851c</t>
  </si>
  <si>
    <t>727a2bec-50ec-47ee-9905-3caf8cb2a987</t>
  </si>
  <si>
    <t>1f958ee1-08d0-46d2-8375-88bb42ff738a</t>
  </si>
  <si>
    <t>1d5bbdf1-b8eb-49c8-8502-6925c92285d6</t>
  </si>
  <si>
    <t>ee8faa7f-a7e8-4a8b-8441-695a894635ec</t>
  </si>
  <si>
    <t>33287cc9-f41f-40ae-ac5c-71754484e635</t>
  </si>
  <si>
    <t>e3a08f87-a693-47d8-a47e-cf071d5c1d71</t>
  </si>
  <si>
    <t>0b4eb218-348c-4c68-a3a5-08e7993b303a</t>
  </si>
  <si>
    <t>2146a842-093c-446d-a78d-86b66080475f</t>
  </si>
  <si>
    <t>e6dd515f-7399-4451-8a24-6e0ffda79f66</t>
  </si>
  <si>
    <t>cc2d1c2c-57dd-420b-8937-6004c639af1d</t>
  </si>
  <si>
    <t>a54a7593-d55e-4f30-b27b-56c9b17b6bb6</t>
  </si>
  <si>
    <t>7fe742a0-9a13-4740-93f2-7de97369def0</t>
  </si>
  <si>
    <t>7948427b-e1c2-40c2-8447-04791699eeb9</t>
  </si>
  <si>
    <t>c4694ef0-b6af-47a9-b7ae-f24ad7ecdb29</t>
  </si>
  <si>
    <t>ed0d8d2e-659d-4a88-ba88-b42846c0e9c8</t>
  </si>
  <si>
    <t>45e9c6d3-4c02-4437-9a89-b1e425b3809c</t>
  </si>
  <si>
    <t>7e2e2ab8-ef15-4a1d-ab31-70439070dcb2</t>
  </si>
  <si>
    <t>ac363bfb-8031-4077-a271-465e28b18e97</t>
  </si>
  <si>
    <t>e8a364a4-feae-43f7-805e-eca0a2ba8b9c</t>
  </si>
  <si>
    <t>1d57d21e-088d-4e30-9d26-a22f243d2cfd</t>
  </si>
  <si>
    <t>fddebef1-3eb1-4164-b39e-58708ccec633</t>
  </si>
  <si>
    <t>9b096c41-88cb-47f7-821a-51088e67fd01</t>
  </si>
  <si>
    <t>586bee8a-9719-4537-ab4a-5ce2b2a584fa</t>
  </si>
  <si>
    <t>1d2a4f65-52e7-4608-8b68-eb5bd4cdffe7</t>
  </si>
  <si>
    <t>2dae5422-290c-43f5-86a0-1b32d4ac035b</t>
  </si>
  <si>
    <t>4524dbd8-5791-42d4-b071-f52c41ee1c6e</t>
  </si>
  <si>
    <t>05c92d11-017e-4bc6-bb81-936a2547ed8a</t>
  </si>
  <si>
    <t>44b4f479-0f54-4647-b5fc-eca9657724ce</t>
  </si>
  <si>
    <t>1b04627d-b81d-4bad-8343-ae22bd145828</t>
  </si>
  <si>
    <t>b281af12-1392-4e70-9dc8-b394fe8de6a8</t>
  </si>
  <si>
    <t>08b88a8c-5cf1-4443-8735-cb68e6ec3769</t>
  </si>
  <si>
    <t>aac86e6a-dd8e-4a52-9ab0-b6f14fd2911f</t>
  </si>
  <si>
    <t>3e53a4a8-4033-4454-8c95-0b6be106de8d</t>
  </si>
  <si>
    <t>48b92021-3236-486c-8c47-9e0c6e6e6c4b</t>
  </si>
  <si>
    <t>2d323e83-1795-4c77-91fa-cbc75c603296</t>
  </si>
  <si>
    <t>adc7f84c-3aab-48f5-af7e-27358f82ac21</t>
  </si>
  <si>
    <t>5c43c29c-5301-4c78-bde7-d3f55324e38e</t>
  </si>
  <si>
    <t>3b324e22-6303-4712-b779-d62414ac4ecc</t>
  </si>
  <si>
    <t>8bfa387d-bfd3-411f-ab70-4754993bc947</t>
  </si>
  <si>
    <t>3937c4f3-e061-412e-881c-4abc32f985e0</t>
  </si>
  <si>
    <t>f2bd18f7-ed02-4f34-980e-1c7dba261108</t>
  </si>
  <si>
    <t>2224d120-e062-49d2-bd41-26419d703ce9</t>
  </si>
  <si>
    <t>fedb3f81-a21c-43fe-839b-fcb7c0252e68</t>
  </si>
  <si>
    <t>74e01e40-d5a7-4efb-90fe-f1300408cb29</t>
  </si>
  <si>
    <t>048c60bd-5233-445a-83d5-f33e8e5ad0f1</t>
  </si>
  <si>
    <t>b4ebf013-bb7d-4033-b06d-cd08a2026791</t>
  </si>
  <si>
    <t>886e8d80-2dd5-42ef-82ce-513b690759b0</t>
  </si>
  <si>
    <t>81882b96-2263-47c0-be9a-895d4c8983d3</t>
  </si>
  <si>
    <t>acbfff21-46ea-4d22-9320-980af367bdc2</t>
  </si>
  <si>
    <t>ce4f1f9b-06d3-4ed6-a75c-bc1d13e5cbec</t>
  </si>
  <si>
    <t>6e006abe-2672-4309-9303-6ca60ffd2e60</t>
  </si>
  <si>
    <t>3cf2407f-5d20-4c4c-aa54-7f5ca07e0183</t>
  </si>
  <si>
    <t>ab212213-fe29-41ff-9baf-98537678d60c</t>
  </si>
  <si>
    <t>f8d78376-febd-4540-8d6a-81bbab8f3b57</t>
  </si>
  <si>
    <t>3878e4e3-2960-4b36-b25c-f90ddd01b5d8</t>
  </si>
  <si>
    <t>47c7ceb4-e638-4732-abbf-708c055d13f5</t>
  </si>
  <si>
    <t>8511ae79-b03f-432b-bac6-1933649f2b24</t>
  </si>
  <si>
    <t>18c6f3b7-bdb7-4860-b12f-d614adedd94e</t>
  </si>
  <si>
    <t>3396e8c6-d124-466a-976a-2282eb070659</t>
  </si>
  <si>
    <t>2c7e4d20-2f73-49a5-82d4-3eea433b1dee</t>
  </si>
  <si>
    <t>8ce3c8fd-8d0a-42cd-9ace-c79d8847f482</t>
  </si>
  <si>
    <t>180983f8-9d3c-440f-b4cd-32012522ca03</t>
  </si>
  <si>
    <t>49fa3709-598c-42ec-9f7f-3fe2952a7a9d</t>
  </si>
  <si>
    <t>11b11026-73bb-42af-8a0f-092fac0012ee</t>
  </si>
  <si>
    <t>ab2a775f-9e55-4246-a6f8-6f9b9b933da5</t>
  </si>
  <si>
    <t>9204fff6-14fd-45be-ab46-1cd5efe61aff</t>
  </si>
  <si>
    <t>95718011-6fd5-45fc-a8f1-4edcd8cadcbf</t>
  </si>
  <si>
    <t>080276bb-8ca9-4584-bd17-e42062a10a56</t>
  </si>
  <si>
    <t>362cc198-e99a-4e0f-91b3-f0442b7d0177</t>
  </si>
  <si>
    <t>26b02b3c-52b1-4c5e-b5d7-62e599a4e310</t>
  </si>
  <si>
    <t>75019d85-6f3c-4332-a407-7ff4f9a5da92</t>
  </si>
  <si>
    <t>038a3b7a-2156-496b-95dc-1a141efbf296</t>
  </si>
  <si>
    <t>bcf1e773-449b-4e76-878a-9e9620465707</t>
  </si>
  <si>
    <t>f621bd06-0cdf-4010-b39e-3ad5d697ba92</t>
  </si>
  <si>
    <t>dfd041ff-d855-4c8e-81c1-57155d28c48f</t>
  </si>
  <si>
    <t>b656e72d-28cd-4aec-bc48-4fd49b5fc7c8</t>
  </si>
  <si>
    <t>e758dc19-126c-439f-bc98-4302726912cd</t>
  </si>
  <si>
    <t>f73da12b-b911-40cf-910e-202e6419d7e9</t>
  </si>
  <si>
    <t>de0bbcd6-c19d-4e30-9cf2-b66bf2dc5ceb</t>
  </si>
  <si>
    <t>a8df1927-7706-42ec-9dd9-99d18857cb02</t>
  </si>
  <si>
    <t>5253e4fd-15d7-42e6-b83c-4cffe2678758</t>
  </si>
  <si>
    <t>e2204612-d947-4f10-8e02-a7e9aa6e4ee8</t>
  </si>
  <si>
    <t>da651aa7-4e06-40d7-88dd-bc98395aaade</t>
  </si>
  <si>
    <t>b72187e9-7572-4cc6-b79c-5b07cea9e128</t>
  </si>
  <si>
    <t>c079ea83-bb00-4217-86b6-cbb230f0e14f</t>
  </si>
  <si>
    <t>f566b553-8b4f-48d7-90f0-0b21c62cfc5b</t>
  </si>
  <si>
    <t>19841454-1c0f-4a76-bc4a-223be392e712</t>
  </si>
  <si>
    <t>2b231ddf-e204-4577-ae91-f0da4cb5f261</t>
  </si>
  <si>
    <t>dfa1b990-66dd-4237-afee-721ed2e9aab6</t>
  </si>
  <si>
    <t>6008bb17-f444-46ae-a8c5-b1890e810ca4</t>
  </si>
  <si>
    <t>b3fe4f32-1641-4053-b26c-b5000c1d2a58</t>
  </si>
  <si>
    <t>bd8e834a-51cf-4e23-8487-bf5892bce69b</t>
  </si>
  <si>
    <t>44a3736f-eb54-4b27-afb8-6f07d6c9c25b</t>
  </si>
  <si>
    <t>18c7ffea-f407-4e12-a8ca-f4cf9bb2e4ab</t>
  </si>
  <si>
    <t>945a5f93-9c3b-4b1e-893a-bb486805d851</t>
  </si>
  <si>
    <t>5862858f-d37e-4231-aaef-31db7463d60d</t>
  </si>
  <si>
    <t>1f8f36b8-2b12-423c-8d89-7b6421897c37</t>
  </si>
  <si>
    <t>5caa5ca3-c54d-4b59-838f-e008e0cdc129</t>
  </si>
  <si>
    <t>4efc58fd-c544-473c-8e01-cb331aa88456</t>
  </si>
  <si>
    <t>3cf735c4-c340-44e5-9fe5-b5aee7b4d3d9</t>
  </si>
  <si>
    <t>97a423c0-e104-4e03-8ba2-4083cba8d28a</t>
  </si>
  <si>
    <t>82f9b433-0df6-4474-97b9-c478f3d5d7c8</t>
  </si>
  <si>
    <t>e7e1eef2-2f92-487c-a5f3-d1cf791e3167</t>
  </si>
  <si>
    <t>3d0767c0-fa70-434f-ac4c-57f6ffa24e4c</t>
  </si>
  <si>
    <t>3bc53390-2e23-40a3-9ebd-f4eeb7367575</t>
  </si>
  <si>
    <t>be1de62d-9b6f-4c09-9316-1212c248b4c6</t>
  </si>
  <si>
    <t>1b68c20d-bee2-4f66-8701-67809addd9aa</t>
  </si>
  <si>
    <t>72a2c300-cc3d-4e71-81e6-85e4e309c680</t>
  </si>
  <si>
    <t>322eef98-5dfd-41d1-b4f6-41f20f253632</t>
  </si>
  <si>
    <t>3cd2ff2c-063e-4384-a092-1f812a51a456</t>
  </si>
  <si>
    <t>439b60cc-9888-424f-98f0-d2ed345b5dd5</t>
  </si>
  <si>
    <t>261ddbef-9b7a-4226-a1b6-631ae8dbf332</t>
  </si>
  <si>
    <t>0451999d-c51d-4453-8015-9dc317341a30</t>
  </si>
  <si>
    <t>6ed5f317-ba85-4aac-8f7b-0324686982f6</t>
  </si>
  <si>
    <t>0b811eb1-b4b7-4873-ab45-437e74f75a6c</t>
  </si>
  <si>
    <t>d85b071c-30c4-4396-9b9d-14e3e60e724f</t>
  </si>
  <si>
    <t>11c1de99-a041-4f28-9158-033c5e09ef50</t>
  </si>
  <si>
    <t>125db7ff-b7e9-44a4-b29c-80b0cd45ea2e</t>
  </si>
  <si>
    <t>f418494c-d6e3-4fca-bdb8-d08fb3b83a85</t>
  </si>
  <si>
    <t>886da80b-6c19-47ba-b070-c7630c5b4241</t>
  </si>
  <si>
    <t>922bce16-2ceb-44a4-96f4-fc49fb0e0ac2</t>
  </si>
  <si>
    <t>080dac1d-54e2-4664-af52-56eb42281c72</t>
  </si>
  <si>
    <t>c185f0f8-0410-4e1c-bc87-40f90824bf1d</t>
  </si>
  <si>
    <t>90695f65-6429-4f63-903f-843160038baa</t>
  </si>
  <si>
    <t>4ce50867-9e68-4f77-857c-45d1b57260f3</t>
  </si>
  <si>
    <t>2dd53c77-3646-42b0-825e-69f598e0dc00</t>
  </si>
  <si>
    <t>c090572e-263a-422d-9829-d167bf0e98fa</t>
  </si>
  <si>
    <t>aca733c9-cee7-40e5-acc5-0c0627834828</t>
  </si>
  <si>
    <t>352b88dc-f431-41cc-ab32-20829a4e4e37</t>
  </si>
  <si>
    <t>24798db7-c1a2-4e80-9275-ae9b143dace7</t>
  </si>
  <si>
    <t>1531f56b-7a98-43de-9ee2-ca215bec697b</t>
  </si>
  <si>
    <t>ad498abb-6c86-4ece-81b7-9588a0ff3eda</t>
  </si>
  <si>
    <t>c5703e60-bad8-4b18-880d-7ed85d00462b</t>
  </si>
  <si>
    <t>ee43f918-a9d2-4a68-8b2a-5f4a25dee1f2</t>
  </si>
  <si>
    <t>12a181f8-58ca-45ab-968b-af28ef28b37b</t>
  </si>
  <si>
    <t>0d13d747-9091-4ad1-af2f-752b753b78d5</t>
  </si>
  <si>
    <t>a985f355-5ac2-4b10-a656-ab62e4e279f3</t>
  </si>
  <si>
    <t>4bcdf3d2-c743-46f8-9656-911dc92e6213</t>
  </si>
  <si>
    <t>aaafd476-ccb4-457e-a984-24abae7f34c8</t>
  </si>
  <si>
    <t>2d08c15f-c97d-4cf0-84fc-9127dcf6e9cb</t>
  </si>
  <si>
    <t>ee8b1fc7-9123-4e95-9df9-8bcb4c58bbb8</t>
  </si>
  <si>
    <t>7829169d-75d6-4f04-bef9-7ae2fc256e33</t>
  </si>
  <si>
    <t>177ad6c2-46ed-4fbb-a3f8-1dc137c45417</t>
  </si>
  <si>
    <t>cba44e85-c06e-4bbc-8c94-6ab64421e817</t>
  </si>
  <si>
    <t>e1d31d7f-2cff-40bb-8a77-3da93095d5d4</t>
  </si>
  <si>
    <t>3ca8ae59-19ce-4566-8ad0-922c03c652b2</t>
  </si>
  <si>
    <t>e0f75dc5-79d3-466c-af2c-6cddc2518204</t>
  </si>
  <si>
    <t>161b7568-fcb1-49a4-ab7e-97cc7be6a554</t>
  </si>
  <si>
    <t>e8f79144-74d8-4255-845a-4080948838c8</t>
  </si>
  <si>
    <t>5f35fd9b-f8b6-4c0c-8ee5-824cec062f5a</t>
  </si>
  <si>
    <t>a2c2e9bb-e5dd-497c-aa8f-1a6354694023</t>
  </si>
  <si>
    <t>2eb65cb4-3e68-4e6a-abb5-fb5988bcd903</t>
  </si>
  <si>
    <t>467d07a0-cee3-437e-99c0-24ad8b68fb34</t>
  </si>
  <si>
    <t>bc17d830-baf7-4d14-b51e-b18ee693e4b9</t>
  </si>
  <si>
    <t>4e449f48-1106-4a52-a52f-217f716f2987</t>
  </si>
  <si>
    <t>c9b84086-70b7-4713-9370-09408b3c0173</t>
  </si>
  <si>
    <t>055a3dec-4f91-4b6d-b8ac-cbfdce142525</t>
  </si>
  <si>
    <t>d00e3438-46da-4754-bb0d-637232738b44</t>
  </si>
  <si>
    <t>658fa594-c797-41fb-b95f-7e27e0b3dcc8</t>
  </si>
  <si>
    <t>e4dd7619-90ac-4b86-944a-f37209896674</t>
  </si>
  <si>
    <t>6fdb47dd-024c-459a-955a-eb58b4306458</t>
  </si>
  <si>
    <t>025012fa-15f3-4f23-8772-35803aa97fae</t>
  </si>
  <si>
    <t>94da8854-45e5-453f-99ce-a98d248d8673</t>
  </si>
  <si>
    <t>6fbcc123-9037-4413-b11c-df0870f0f896</t>
  </si>
  <si>
    <t>85e00a43-2e79-4d0b-8231-6920229fb2f9</t>
  </si>
  <si>
    <t>4b4467e7-7863-4358-8c3e-2b5f347a1dfc</t>
  </si>
  <si>
    <t>7608719d-77c5-43c9-88fd-918eaaf748ba</t>
  </si>
  <si>
    <t>dbf86fb5-6f71-4453-95af-8dadc61159d6</t>
  </si>
  <si>
    <t>921baddb-222c-49fe-94f2-cc54858a5de8</t>
  </si>
  <si>
    <t>893fda9f-2a90-4011-ae1f-9e5ba9cf7d6c</t>
  </si>
  <si>
    <t>dbb8c947-e4f5-46a0-b002-a03a0e6d5ea4</t>
  </si>
  <si>
    <t>c8e2f96a-60f2-42b0-86f4-b7f16868f196</t>
  </si>
  <si>
    <t>df15018a-f407-4f1b-8be5-8cfb76e94670</t>
  </si>
  <si>
    <t>b2f4e8db-e2b0-42f7-81aa-26e6239d7d25</t>
  </si>
  <si>
    <t>e84d1748-a4af-4405-b3ae-53d2ca64cd15</t>
  </si>
  <si>
    <t>9b1b8058-d053-4a3b-82e3-280336c2e162</t>
  </si>
  <si>
    <t>d32c1ecf-9553-4e07-b563-9e800c42efe4</t>
  </si>
  <si>
    <t>9904ca50-a24a-42c6-b4b0-5459488f77d9</t>
  </si>
  <si>
    <t>04d2b903-4529-4255-8f4a-b4b688fcad51</t>
  </si>
  <si>
    <t>8b51b646-9bd3-4bba-9258-43df68214950</t>
  </si>
  <si>
    <t>bb85954d-bb34-4a56-96e8-4a8829119bb7</t>
  </si>
  <si>
    <t>2200c15c-d6fe-4aa0-879c-9e929c7aeb08</t>
  </si>
  <si>
    <t>e1535564-40f4-4c87-8d67-95f407c4ded6</t>
  </si>
  <si>
    <t>b79ffb90-91f7-44dd-98fc-83d59992fc62</t>
  </si>
  <si>
    <t>546af1fb-d39f-4610-8236-c4cd162d3c0c</t>
  </si>
  <si>
    <t>95a26a20-22a0-452e-a647-851b418f41de</t>
  </si>
  <si>
    <t>895ad12a-717f-4427-9caf-bdbc0b6bb987</t>
  </si>
  <si>
    <t>ae62aa52-5971-4017-a0d9-f7968e105e3a</t>
  </si>
  <si>
    <t>d99b28e5-4ecf-4ac4-871b-e205b421c803</t>
  </si>
  <si>
    <t>62978367-96e2-470a-be63-38060506031d</t>
  </si>
  <si>
    <t>ebf470a5-4f3b-4a61-906e-244e5b4178cc</t>
  </si>
  <si>
    <t>155fbfe6-62e7-4937-aecd-8b8c14595c20</t>
  </si>
  <si>
    <t>f858d7a7-d4bb-4aeb-af27-6560bac0725f</t>
  </si>
  <si>
    <t>ff19f85a-c162-45d2-969d-836e7b33e80f</t>
  </si>
  <si>
    <t>cf64bda1-0bda-4e56-8478-81836f5b24d3</t>
  </si>
  <si>
    <t>c5d86549-b3f3-4afe-9bf3-b1b47a6bf584</t>
  </si>
  <si>
    <t>e5c7d145-545a-4927-b751-7c4159ab7b84</t>
  </si>
  <si>
    <t>142de341-a41c-4cbf-98d2-1c8c86d08880</t>
  </si>
  <si>
    <t>25aa1d59-9191-4128-91d6-87f8209a8712</t>
  </si>
  <si>
    <t>a1edd117-ae99-404f-82d8-efff65663f21</t>
  </si>
  <si>
    <t>d212aebd-df18-4bac-992d-3d4e6bb90711</t>
  </si>
  <si>
    <t>9ef98845-2393-4e72-96fd-95047f25a4b4</t>
  </si>
  <si>
    <t>f81158ac-1559-4728-88fd-9c2e111fc41b</t>
  </si>
  <si>
    <t>30a113c8-1b0c-4bc1-885c-e1a385ad11c0</t>
  </si>
  <si>
    <t>81ca6a1b-94bd-4e46-afe5-e274d3b4ff1f</t>
  </si>
  <si>
    <t>4297d7f1-545a-486b-8473-214ebfa4741a</t>
  </si>
  <si>
    <t>d37ec561-1768-4a93-be30-15a7c820e307</t>
  </si>
  <si>
    <t>f859113a-2fe6-48da-9ef1-8e7c7b0291ed</t>
  </si>
  <si>
    <t>d58ddc1e-1bdf-440a-8c6b-309077fc3f17</t>
  </si>
  <si>
    <t>2198e57e-f273-418b-9841-2728c362b67c</t>
  </si>
  <si>
    <t>30b99823-3634-4286-a9b9-7db9f87cb49b</t>
  </si>
  <si>
    <t>ce3c7cbb-b993-4916-a81d-4e4ac032a5c9</t>
  </si>
  <si>
    <t>55cfd789-ef07-43f7-aeac-cb4e8beb5c27</t>
  </si>
  <si>
    <t>de4e0a07-b2f0-4b45-8764-dedff7dc00ce</t>
  </si>
  <si>
    <t>de33c8b1-ecb2-448f-8f97-a99ffbabe1be</t>
  </si>
  <si>
    <t>e6e1676e-f17d-4e77-89b2-cf0e3df598ab</t>
  </si>
  <si>
    <t>a1d6a50d-973f-4e43-a3c0-ce5acf4b09ec</t>
  </si>
  <si>
    <t>255cd731-221c-4f98-adda-f7dffb7a03c9</t>
  </si>
  <si>
    <t>c2feda98-9478-480b-b544-ec89a3cd58b8</t>
  </si>
  <si>
    <t>12a31de2-5742-4217-a7ba-eac8cb7a79f6</t>
  </si>
  <si>
    <t>52322a98-a709-4dcd-8cc6-e84f8461e005</t>
  </si>
  <si>
    <t>468c7547-f285-47e1-8fa8-d836ba848846</t>
  </si>
  <si>
    <t>3e4d0c22-74cd-4be3-b03c-2342026e82bb</t>
  </si>
  <si>
    <t>880a72cd-79fd-44fd-806f-b9bdcedd04f4</t>
  </si>
  <si>
    <t>cbeb85c5-9480-4ea2-b6ab-8518eece6961</t>
  </si>
  <si>
    <t>1141bdf2-a5e8-4026-9422-d4844620fe61</t>
  </si>
  <si>
    <t>54372fef-6fb6-421f-bab6-606fb3a90f0c</t>
  </si>
  <si>
    <t>989ca7a0-a0c3-4e55-a23c-3f4458291008</t>
  </si>
  <si>
    <t>7955efc4-a06e-43e7-9b8e-028e700955bd</t>
  </si>
  <si>
    <t>e5187426-4fcb-4133-8191-022dbde6aee2</t>
  </si>
  <si>
    <t>6f26710a-d654-4a36-99e4-bdaf2943fe2e</t>
  </si>
  <si>
    <t>6836917d-1c7f-4651-861b-1c4ebbeb6020</t>
  </si>
  <si>
    <t>cc8af428-e171-48ac-8ac3-3354d52bffaa</t>
  </si>
  <si>
    <t>8f6bb647-36a1-40de-af06-825e69ea7f9d</t>
  </si>
  <si>
    <t>5ca7dc45-e131-41be-82fb-580106346593</t>
  </si>
  <si>
    <t>bb98f21e-15a6-459f-9739-d007cae5734e</t>
  </si>
  <si>
    <t>bbeab1f0-e7d0-4d12-9a73-a1927bfdb187</t>
  </si>
  <si>
    <t>8b4f9c81-82fb-40df-8382-0dd2a0cef83c</t>
  </si>
  <si>
    <t>5e47d43e-927d-46dc-8828-d13eaab15b4e</t>
  </si>
  <si>
    <t>da1333b2-35f9-4d1e-9799-55116f166b51</t>
  </si>
  <si>
    <t>19352d22-01bc-4e16-b5b7-cb2fe248f5b7</t>
  </si>
  <si>
    <t>1f814426-fb33-4ea8-8abb-5c5b4ec64076</t>
  </si>
  <si>
    <t>99003cbb-a0e2-4663-9628-13f6d46f1a0c</t>
  </si>
  <si>
    <t>334fbf6b-0681-49de-ae3a-c08da907fda0</t>
  </si>
  <si>
    <t>a8fddcff-3303-437f-b4ba-c3ecab9da8f5</t>
  </si>
  <si>
    <t>e257dba6-fb3d-41cf-99a2-0700e8f8a568</t>
  </si>
  <si>
    <t>052a034c-7746-43fc-912d-4991c01b1f95</t>
  </si>
  <si>
    <t>f6b21267-fc81-4b2c-bb52-26535593c64d</t>
  </si>
  <si>
    <t>d567ec1c-9950-494f-b619-0071de29b581</t>
  </si>
  <si>
    <t>140506ea-05e5-40e5-abc3-253581dd24e0</t>
  </si>
  <si>
    <t>c85a5890-a887-41bf-b866-5cd201747ede</t>
  </si>
  <si>
    <t>863590b0-7d07-487b-a89c-d4700d8d4e4e</t>
  </si>
  <si>
    <t>46bbc44d-525c-498c-bee4-71c73afbc13c</t>
  </si>
  <si>
    <t>6a061a82-97b7-4d14-b9ae-e7df764684b1</t>
  </si>
  <si>
    <t>b5e00f1f-9d09-4429-889f-ade90e1b3cee</t>
  </si>
  <si>
    <t>90826a68-bc7f-4a10-aa24-989fad597c30</t>
  </si>
  <si>
    <t>81eb7012-12b8-43df-854b-711a40561be0</t>
  </si>
  <si>
    <t>d1b705c9-acf8-4f48-bd4b-c0fc00234b0f</t>
  </si>
  <si>
    <t>7cf05bfb-74e6-4c8e-a949-8c4193d254d6</t>
  </si>
  <si>
    <t>d9900693-90bf-43ce-953f-8d1888e0bb1b</t>
  </si>
  <si>
    <t>94226c99-e3c6-44a8-b8df-d66080b5bf30</t>
  </si>
  <si>
    <t>a7723da8-3f8e-49df-b973-d9959d8bf844</t>
  </si>
  <si>
    <t>5649fe75-6de9-4ecc-86f6-712fdfe3848a</t>
  </si>
  <si>
    <t>0afc4baf-0aa5-44c3-b6be-949008d9c2da</t>
  </si>
  <si>
    <t>dd192706-2635-46a1-9559-9ca27f7999b9</t>
  </si>
  <si>
    <t>bb20c584-b8c7-4e09-a487-df50428b49ba</t>
  </si>
  <si>
    <t>ebaa15ec-5b85-4b6c-8b99-d9ce1cba8577</t>
  </si>
  <si>
    <t>8e1031b6-b98f-4b5a-b035-8d7aafad3c47</t>
  </si>
  <si>
    <t>cb536c36-8a1e-41b7-ac20-43f09a4cedbd</t>
  </si>
  <si>
    <t>e623d359-0278-4bfc-82c3-86892eed77a3</t>
  </si>
  <si>
    <t>630f9371-9298-435a-8a66-f24f4bb528fc</t>
  </si>
  <si>
    <t>91bf7b50-f149-4e23-9e93-b614ad58212e</t>
  </si>
  <si>
    <t>bc11510c-f213-4766-a2c6-904ce8c1512e</t>
  </si>
  <si>
    <t>1769de71-a047-4194-b2a4-5e0a7ef18add</t>
  </si>
  <si>
    <t>8d258669-8a00-4643-9a8b-f004488b0472</t>
  </si>
  <si>
    <t>c1f2945d-92e6-4f96-b443-eb5b7b84220f</t>
  </si>
  <si>
    <t>ff4bc4b3-d731-4cc8-8b4f-221224581e83</t>
  </si>
  <si>
    <t>282e622f-a1cc-41a1-8e62-fe70a9375f25</t>
  </si>
  <si>
    <t>7928e876-645a-49fe-a21c-9d02944d1523</t>
  </si>
  <si>
    <t>629740f1-2ca1-4daf-af46-9b3cb2c6fe63</t>
  </si>
  <si>
    <t>a88809ec-5337-4c2d-bee2-480cdcb0ad4d</t>
  </si>
  <si>
    <t>4f841e9d-dcd6-4e42-818e-c9789756e156</t>
  </si>
  <si>
    <t>33572a9e-8851-48b3-a9b8-9b6a3f88b1d1</t>
  </si>
  <si>
    <t>7732d3d5-ded6-4927-86ff-71aa998186f9</t>
  </si>
  <si>
    <t>0b05e78a-8c4b-4097-8bc1-72f52ff1e5d9</t>
  </si>
  <si>
    <t>12a50fbb-54f6-4bf1-9c0d-db8bc6dfc159</t>
  </si>
  <si>
    <t>480aa107-c976-4ba7-ac36-ee39787e0eda</t>
  </si>
  <si>
    <t>16bcce49-e615-4ebb-80e6-bcad0eb613c9</t>
  </si>
  <si>
    <t>d95789b7-7e89-4e4c-aa62-f881fff47dd1</t>
  </si>
  <si>
    <t>37eff54d-aa2b-4cc4-8aba-ea192afc459b</t>
  </si>
  <si>
    <t>15559746-e817-4930-9bc7-3342d891627e</t>
  </si>
  <si>
    <t>dbfb92e5-f251-4870-9cf1-89bd39cee9bc</t>
  </si>
  <si>
    <t>c1f6a329-e3f2-40d7-a1e2-03175940526b</t>
  </si>
  <si>
    <t>37b9f2c3-372c-4a11-9176-4e66bdc8ea38</t>
  </si>
  <si>
    <t>a092de74-2718-48f3-956a-679b4e32095b</t>
  </si>
  <si>
    <t>7bf6c6f7-98e4-45d8-bba8-e23ec8e56048</t>
  </si>
  <si>
    <t>aa0e03bb-5758-4edb-9d50-e2539e629c75</t>
  </si>
  <si>
    <t>97d0f609-4ed9-4c1b-bcfb-443ffb41e275</t>
  </si>
  <si>
    <t>0e10b5dc-491e-4846-8c4f-1c77e212012e</t>
  </si>
  <si>
    <t>61ccaa63-d356-4c51-a436-db45268b829e</t>
  </si>
  <si>
    <t>a5b6b29e-7a7e-4f62-9eea-b64ff3861d78</t>
  </si>
  <si>
    <t>05c4636f-6e42-4460-9449-9667b4ce9fbd</t>
  </si>
  <si>
    <t>146b3e1f-e680-446f-8f4a-54de55694a39</t>
  </si>
  <si>
    <t>a1a58d35-7759-4b6e-aeb1-438c26f3b366</t>
  </si>
  <si>
    <t>1e696e35-8de8-4004-9518-cb7281926da8</t>
  </si>
  <si>
    <t>4ae5d0f2-121d-4820-9404-26032ef97eba</t>
  </si>
  <si>
    <t>408e8f7f-608c-4b8d-bf43-d68933ab6606</t>
  </si>
  <si>
    <t>cce5be2a-9112-4447-93af-db8dd2263ed1</t>
  </si>
  <si>
    <t>3d1d4b0b-7556-4ab7-8a9f-f47e37c61ac1</t>
  </si>
  <si>
    <t>e8444cdf-5d82-4110-9138-1d882576c44e</t>
  </si>
  <si>
    <t>cb2fa434-022a-42a5-97ea-56caf52190af</t>
  </si>
  <si>
    <t>25fca800-6c8b-4d78-a43a-ff33ff870ea8</t>
  </si>
  <si>
    <t>b6f391a5-6046-41cd-bd2a-bb08cba87ade</t>
  </si>
  <si>
    <t>08645725-d1af-4d97-ab3d-2e4f806c7f82</t>
  </si>
  <si>
    <t>cb43f579-8d20-441e-9de6-2680dee7b966</t>
  </si>
  <si>
    <t>d778081e-6fc5-4121-bd2c-2d23134b04b8</t>
  </si>
  <si>
    <t>a1f04ee3-d220-47e3-aba1-1fcdb769db0a</t>
  </si>
  <si>
    <t>997cbf98-32d4-40da-9947-3faefe7425ad</t>
  </si>
  <si>
    <t>78d3f793-dcfd-4d7a-acb2-83fa6cdc33c8</t>
  </si>
  <si>
    <t>60e6c533-6c9c-4ca6-a917-a27cbe86aa1d</t>
  </si>
  <si>
    <t>abb49c7b-8ac5-47b5-a703-ece9fb8d520a</t>
  </si>
  <si>
    <t>9a31ef57-a971-484e-a186-29ed435f5442</t>
  </si>
  <si>
    <t>5673e225-586b-4e99-8613-8aa01162aaf8</t>
  </si>
  <si>
    <t>a18a210b-9083-420a-924e-9719359d2bac</t>
  </si>
  <si>
    <t>6c6e1e7a-2ba2-4934-bd13-d2ce7afe9b7c</t>
  </si>
  <si>
    <t>320b668c-0d42-45da-b0ce-12503b250c96</t>
  </si>
  <si>
    <t>7f15e45b-1f7a-4fd2-851d-60ab2cb332c1</t>
  </si>
  <si>
    <t>d4d13760-ac88-41b9-84dd-47c40ba26551</t>
  </si>
  <si>
    <t>22f87c88-86f3-412d-8fa6-2c15ed0b6573</t>
  </si>
  <si>
    <t>1a57587b-d48d-45d1-8315-92cac73d6e3d</t>
  </si>
  <si>
    <t>3abb8f5e-2c86-47ae-a744-e20a7cf52642</t>
  </si>
  <si>
    <t>16bda772-63ea-4e5c-965d-daca311c6a7c</t>
  </si>
  <si>
    <t>98642ab8-58f0-4356-912e-7b4425666afe</t>
  </si>
  <si>
    <t>94224e57-69e7-4350-99bb-9740aa185bbd</t>
  </si>
  <si>
    <t>d949fbce-cb2f-4e7d-90ba-6cfac9f1186f</t>
  </si>
  <si>
    <t>9c0261eb-7cd4-47c0-8548-369d8838d46f</t>
  </si>
  <si>
    <t>137afd34-0646-4d13-ab57-0adf696ce9af</t>
  </si>
  <si>
    <t>8e403409-9787-47c1-bf20-402eff1b5288</t>
  </si>
  <si>
    <t>da2d3172-12b3-4348-975d-4334d32bd28e</t>
  </si>
  <si>
    <t>146badc9-8bea-4703-970a-5735ef9e9896</t>
  </si>
  <si>
    <t>2f8b0059-b300-4da0-bacc-749ab45c3722</t>
  </si>
  <si>
    <t>cb4abf9b-83d9-4750-b258-e05045a74ae0</t>
  </si>
  <si>
    <t>951166de-8d22-49ad-afff-2d0f720aedc8</t>
  </si>
  <si>
    <t>135953be-32e3-4fd8-a0ae-8234fdc7a8dc</t>
  </si>
  <si>
    <t>b3fa7afc-d504-446f-8f32-30c061b305d9</t>
  </si>
  <si>
    <t>894bdf78-d2ce-4630-ad1c-c770beae1bfd</t>
  </si>
  <si>
    <t>73e2a9b9-8d0b-4ad8-87e2-7fe83110c999</t>
  </si>
  <si>
    <t>b8ddfe4f-977c-46d4-b995-fc1756d4ddd9</t>
  </si>
  <si>
    <t>e2099718-98c9-4ab1-8b20-cdc7184feacf</t>
  </si>
  <si>
    <t>4d69fd9b-a1e8-48a9-a0b3-ea425eacd7e0</t>
  </si>
  <si>
    <t>dff09d24-0925-4658-95d4-89b6ced8d1ca</t>
  </si>
  <si>
    <t>44d38c32-c73b-4041-9eb6-c850b7ac39c7</t>
  </si>
  <si>
    <t>e42d9b7c-45aa-407a-8bd8-5e0622a2ecbf</t>
  </si>
  <si>
    <t>b6342efb-3668-4707-9bcd-ae6ba9180b54</t>
  </si>
  <si>
    <t>3eb2ec73-7f46-4fbc-a330-e4c7400ea6cd</t>
  </si>
  <si>
    <t>15af8821-bdd5-4c9b-8aff-88435d9efaae</t>
  </si>
  <si>
    <t>ef23baaf-4a7b-41d2-903f-4f772ab31c26</t>
  </si>
  <si>
    <t>a0fc6f9f-8c84-43ef-9dcd-2d0cab4faaf2</t>
  </si>
  <si>
    <t>49d7dd83-0c7b-4f1d-8b1c-1cc13096b151</t>
  </si>
  <si>
    <t>a7678a7a-b501-41b5-b5d3-abf39e61644e</t>
  </si>
  <si>
    <t>caa9db16-975d-48b6-963d-e6c30c58eeb0</t>
  </si>
  <si>
    <t>471fb8cd-4497-4e20-a9c5-cfb8b3729308</t>
  </si>
  <si>
    <t>28994e1c-df97-40f1-9b04-20cb29462486</t>
  </si>
  <si>
    <t>6de03854-44a1-40e2-94b7-5fd20db6a39d</t>
  </si>
  <si>
    <t>14ee7859-5504-41ac-aac7-9bc5d66a0bb9</t>
  </si>
  <si>
    <t>25cc756b-6f70-4855-9d3f-36af6724cec5</t>
  </si>
  <si>
    <t>6bb1aca9-0bb6-4a2c-a5ea-b04faf91ec09</t>
  </si>
  <si>
    <t>ecc5a056-e4b1-4000-a217-e5932f7a3ec1</t>
  </si>
  <si>
    <t>33cfe352-95d7-49f7-b368-ce5218758112</t>
  </si>
  <si>
    <t>7c912f5e-49f4-40e7-a68d-0a8a3ae3bcf9</t>
  </si>
  <si>
    <t>ed400be4-19d2-4196-aea3-680c798f0e17</t>
  </si>
  <si>
    <t>e821aafd-dfc3-4ffb-9129-3741f65aef17</t>
  </si>
  <si>
    <t>0b945a37-fe3d-48f3-8bd9-0ce0d58c74de</t>
  </si>
  <si>
    <t>6fda8923-b925-4e65-97e4-ed9481d66b44</t>
  </si>
  <si>
    <t>6df35e17-ca7f-42c2-a978-28b213e921e9</t>
  </si>
  <si>
    <t>5b9b1694-e5d7-49be-af2a-9ee50f968320</t>
  </si>
  <si>
    <t>31862a3b-baef-4cf2-9ece-f6bc288b9224</t>
  </si>
  <si>
    <t>ed57e399-b34c-447e-ab12-d72946d0fc73</t>
  </si>
  <si>
    <t>435c5516-9ca4-4623-8c1b-6e7c568352ca</t>
  </si>
  <si>
    <t>591e2d65-1b87-48ff-8e68-93917868cd24</t>
  </si>
  <si>
    <t>856b5e64-f982-4156-adb9-f005d6c56ee2</t>
  </si>
  <si>
    <t>ac171460-b30b-48bb-9949-f420e21c3982</t>
  </si>
  <si>
    <t>86ef9bd7-c8e2-4dc7-8a6f-ec68e57730df</t>
  </si>
  <si>
    <t>2b46513e-8412-4b99-91aa-d614206322d1</t>
  </si>
  <si>
    <t>aba3a59d-6ff0-4069-bdaf-6847d1148489</t>
  </si>
  <si>
    <t>eaf657b9-53f1-4b33-9521-61b096e9666b</t>
  </si>
  <si>
    <t>07717e07-d7a1-4bee-8bf5-c51e19276964</t>
  </si>
  <si>
    <t>d2038fcb-1899-4b27-acc7-8bd054f32003</t>
  </si>
  <si>
    <t>1bfddb22-4308-411a-897e-1081198500ce</t>
  </si>
  <si>
    <t>735f5a63-06cb-47d4-8240-138887fdbab6</t>
  </si>
  <si>
    <t>6b6918bb-7f5d-4d77-a829-0b5a803100bd</t>
  </si>
  <si>
    <t>c6e04c65-8c8b-4cc2-acbe-772bf63edfff</t>
  </si>
  <si>
    <t>7de2a54b-751d-44a9-9755-3ed3e90742c0</t>
  </si>
  <si>
    <t>b4b4555b-8433-434f-9383-001239cf8129</t>
  </si>
  <si>
    <t>97920ba3-ed2d-418c-93f1-bf3d0f0148bc</t>
  </si>
  <si>
    <t>850e58a9-93e1-4c1a-a8f8-d8a39ce4e461</t>
  </si>
  <si>
    <t>d25183cb-ffaa-4b4e-8a22-140d3a21a7de</t>
  </si>
  <si>
    <t>6dd067ff-f2b5-423c-8c38-ab5ceab92ff4</t>
  </si>
  <si>
    <t>4b19503c-673b-4073-bdc1-f672de41d568</t>
  </si>
  <si>
    <t>296d587f-e02a-4e4c-a88a-cc31e10823f3</t>
  </si>
  <si>
    <t>2ea80c34-962f-4983-a53a-f5781331d132</t>
  </si>
  <si>
    <t>19da3460-ef3d-4094-aa3f-f168246b42a2</t>
  </si>
  <si>
    <t>10ee957b-891f-4fee-8861-eb84aeec2de1</t>
  </si>
  <si>
    <t>0427fde9-46c6-469c-bc4a-6d8e39a85df9</t>
  </si>
  <si>
    <t>e35b86c8-465a-4945-8f2d-a6c42b61f6d8</t>
  </si>
  <si>
    <t>c46cced1-d263-4237-ac16-4248956204f5</t>
  </si>
  <si>
    <t>b91503ef-c830-4d47-986c-6e87d8e718bb</t>
  </si>
  <si>
    <t>e7847fc5-4848-485d-8172-53505ff5c1d5</t>
  </si>
  <si>
    <t>292beacd-895e-4d60-bdc4-69faec93ce66</t>
  </si>
  <si>
    <t>f6080e6d-2a61-4d67-bb58-6ab35b805bca</t>
  </si>
  <si>
    <t>c26ca12f-3a9d-4522-ad03-95e1a45137eb</t>
  </si>
  <si>
    <t>1112b137-d4fe-448d-9188-af48334fbc53</t>
  </si>
  <si>
    <t>5b61c411-6055-4022-a40a-b05d1555eac4</t>
  </si>
  <si>
    <t>10e961c3-40de-45cb-bcf5-76836ec603d7</t>
  </si>
  <si>
    <t>bf0363ac-7c6a-4e50-bfb5-ff71151df8f1</t>
  </si>
  <si>
    <t>bb04c7d9-f77a-4793-b984-e9d20d7cecb2</t>
  </si>
  <si>
    <t>0bf99c02-b45f-4b75-a9eb-11aad9c48c54</t>
  </si>
  <si>
    <t>10f0eb98-3902-458f-9e2f-24f48f83ae41</t>
  </si>
  <si>
    <t>b423daa9-5960-4361-8806-025fdd52d654</t>
  </si>
  <si>
    <t>ee7b619d-8df1-47ce-8ab5-060c29ac3d3e</t>
  </si>
  <si>
    <t>3f260c2f-4b6c-49d7-9617-2f906b933ca8</t>
  </si>
  <si>
    <t>1e5a70bf-83da-4c7b-b76c-606333bfa7aa</t>
  </si>
  <si>
    <t>f0e1cc4a-8545-4e03-9f16-9e83b65e44aa</t>
  </si>
  <si>
    <t>032719c1-eafd-4963-9362-778c661ad881</t>
  </si>
  <si>
    <t>041d3c04-aa19-4359-861a-05327029f960</t>
  </si>
  <si>
    <t>d32f3fc2-f9df-45b7-bd91-4ed789bd17bb</t>
  </si>
  <si>
    <t>752d1403-7fc8-46d1-8532-f861147b73dc</t>
  </si>
  <si>
    <t>28652897-1058-46fd-a152-0acea9e9284f</t>
  </si>
  <si>
    <t>d6c4c6fc-d6ac-4f13-9518-103cc3cd52c6</t>
  </si>
  <si>
    <t>af17ffdc-f27a-4159-9c8d-addd1bfb0979</t>
  </si>
  <si>
    <t>ff583d32-c660-49dd-ba75-54106ef7d44a</t>
  </si>
  <si>
    <t>85003a46-57ba-4ad5-8240-99d3d8b9ef27</t>
  </si>
  <si>
    <t>0c807992-f90b-4e89-85e3-9178d3bae4a8</t>
  </si>
  <si>
    <t>ef6d974d-c79d-4fe6-b2e8-a3d375ea37c8</t>
  </si>
  <si>
    <t>16241f0a-8cfe-4ded-88f9-12e70315e6aa</t>
  </si>
  <si>
    <t>1f0aa18c-1417-4ca7-9895-7dac0baee3ee</t>
  </si>
  <si>
    <t>f229d011-40b4-4e21-ac8e-394de1b4d6bc</t>
  </si>
  <si>
    <t>f0a64ef5-b531-4c85-9f81-5ce41490de02</t>
  </si>
  <si>
    <t>b6b3f022-6564-45d9-a070-90f66db4d09d</t>
  </si>
  <si>
    <t>422f3159-6fd0-42d4-9bc8-4f8dc29d531e</t>
  </si>
  <si>
    <t>24b27817-e433-45cf-8439-8658f84b5d2e</t>
  </si>
  <si>
    <t>5de098c2-fa28-45bf-ae9f-f31dbaa387c0</t>
  </si>
  <si>
    <t>d7f54be2-58dd-46b8-b43b-4ff590876743</t>
  </si>
  <si>
    <t>938fec83-206c-4bb3-8ae6-7aa0bd8e7683</t>
  </si>
  <si>
    <t>ece05305-60ed-4148-b003-3d3fde5ac23b</t>
  </si>
  <si>
    <t>72e1395c-665a-40d9-99d4-150a7d6ba156</t>
  </si>
  <si>
    <t>9490f2fb-6881-415d-a9c2-55855ad016fc</t>
  </si>
  <si>
    <t>5bd2fa59-db60-4274-9e7c-f64de753ff84</t>
  </si>
  <si>
    <t>e60ca66e-6129-4c74-9917-2039b803fb3a</t>
  </si>
  <si>
    <t>7dae5dd3-9815-4ae0-a868-c1d08eb7ec3f</t>
  </si>
  <si>
    <t>2477d719-b049-4b4c-8f1d-d9173919eedd</t>
  </si>
  <si>
    <t>375eca39-a99b-48a4-b4c0-bb0e8722d963</t>
  </si>
  <si>
    <t>d2927ae0-0518-4579-aed1-4ad9a039d1d0</t>
  </si>
  <si>
    <t>e74a58dd-5c33-41a4-a2f5-ba8f634216dc</t>
  </si>
  <si>
    <t>913c9b60-2bf4-495a-9e80-74719a9c5047</t>
  </si>
  <si>
    <t>e66f76a6-9e44-4d2a-ac84-d297b96abe7c</t>
  </si>
  <si>
    <t>018fad5a-7be7-48ad-993f-68fe75ed0b9b</t>
  </si>
  <si>
    <t>5f0a5e42-5c88-417a-b627-1f3057237d04</t>
  </si>
  <si>
    <t>07d43b0b-94e3-4ea5-9281-7d959494690d</t>
  </si>
  <si>
    <t>91c22005-2619-4f68-a797-531076bc8d6a</t>
  </si>
  <si>
    <t>2a93d86f-7768-4c2d-93f0-82a7356ef894</t>
  </si>
  <si>
    <t>4c14bede-0e49-4c69-bd98-ad6fa46fed15</t>
  </si>
  <si>
    <t>44e5fbde-b513-4d69-accb-f083a5863d89</t>
  </si>
  <si>
    <t>090d46ba-d78e-4f49-a4c6-9bf211df3f91</t>
  </si>
  <si>
    <t>66513bd6-e31b-4dc4-9b1b-aff8caa18e88</t>
  </si>
  <si>
    <t>acc43c61-4f60-49b8-a93b-4241c02b2be2</t>
  </si>
  <si>
    <t>079d22b5-cb52-4784-862a-93eb40a6fc9d</t>
  </si>
  <si>
    <t>fb137217-22e7-4472-9f24-c3e1982c0bbd</t>
  </si>
  <si>
    <t>e25dbc8a-284a-4064-bddd-ea62c7fde074</t>
  </si>
  <si>
    <t>4a72d855-c7d1-41ea-bf1d-5e0eba3be8d8</t>
  </si>
  <si>
    <t>ffef8fb1-3847-4535-a403-fad7ac35eb46</t>
  </si>
  <si>
    <t>44c431b4-0f1a-4403-b701-98ab0f23f260</t>
  </si>
  <si>
    <t>70f8a703-4e16-495b-97b5-739c7edace9e</t>
  </si>
  <si>
    <t>7e829bbe-ef04-481e-88d9-8eeae0a7cac6</t>
  </si>
  <si>
    <t>48130993-574a-4765-b5f0-5f98dba9547e</t>
  </si>
  <si>
    <t>efc777d9-e7a2-404c-9626-3b30b333dcce</t>
  </si>
  <si>
    <t>e51e6d48-d863-4799-9f3d-75b6980b5d3e</t>
  </si>
  <si>
    <t>ce0b32de-26ff-4f3d-bd27-9c85e6f2bf26</t>
  </si>
  <si>
    <t>3ef8e526-3060-49e4-b23d-7c8325593d35</t>
  </si>
  <si>
    <t>4e3215e3-48be-4ea9-86e4-057e5ce9bf39</t>
  </si>
  <si>
    <t>9d71a390-0c88-40da-b62e-7ff0cd29f65b</t>
  </si>
  <si>
    <t>11d0215f-7d5c-439a-ab60-98c27e38d982</t>
  </si>
  <si>
    <t>b81e2759-c1e2-433e-a4e1-d7fe65a14464</t>
  </si>
  <si>
    <t>cee2b2d5-7bd7-46de-8d55-36b262b78b70</t>
  </si>
  <si>
    <t>c83d8343-0bd3-42a8-a312-9b6e75367d29</t>
  </si>
  <si>
    <t>2c4930a3-789b-4ed5-8f39-e8c64a740269</t>
  </si>
  <si>
    <t>16a200cb-3249-413a-977d-6ad61271b74f</t>
  </si>
  <si>
    <t>4f6c6788-a003-4eca-b344-5e47ace30e12</t>
  </si>
  <si>
    <t>c56d6009-0b18-47d0-a605-99c63f1cf8c3</t>
  </si>
  <si>
    <t>f4db7304-7056-46c8-88dd-0b612ad71ba2</t>
  </si>
  <si>
    <t>6fb66bbb-0951-4845-a4cd-3ce9151ab345</t>
  </si>
  <si>
    <t>ca15d77a-57d5-44c3-bcb3-a0c4d1abbbdd</t>
  </si>
  <si>
    <t>567dc920-9ae2-41ca-b169-a6706369169f</t>
  </si>
  <si>
    <t>6fbc22eb-6eb2-4df2-82f7-1fa1d07d4802</t>
  </si>
  <si>
    <t>c7580297-a79c-4487-a676-afefffc00a0c</t>
  </si>
  <si>
    <t>b63bbb24-3940-4377-bda2-081dc5008511</t>
  </si>
  <si>
    <t>c7bd6a1e-dd9b-4ae0-8640-b800f73384ae</t>
  </si>
  <si>
    <t>f25ebdda-0532-43da-91be-d2ff34c108cc</t>
  </si>
  <si>
    <t>b47239a1-8e93-4c1a-87b5-3ba3b6d46a77</t>
  </si>
  <si>
    <t>c06f7f28-0fde-4b15-819b-ec1061932a50</t>
  </si>
  <si>
    <t>c6c8cbb4-b03d-4aa7-ae8f-591c88f61aa2</t>
  </si>
  <si>
    <t>4ef69a1f-c2b7-4e85-b0f5-318696e2675c</t>
  </si>
  <si>
    <t>7a8163de-f9a8-416e-8019-79049bb31e9b</t>
  </si>
  <si>
    <t>c064e06e-7e55-493f-817f-ca67c074b251</t>
  </si>
  <si>
    <t>b7aa7d7c-1680-4a40-9646-3fbc458fdef6</t>
  </si>
  <si>
    <t>107172f9-17aa-4d27-9316-211b12b7ca66</t>
  </si>
  <si>
    <t>e4cedabe-2ad7-4c28-ad24-34ad6ac0a7db</t>
  </si>
  <si>
    <t>360177a9-b5fd-4c78-ba0d-a0dad34611f6</t>
  </si>
  <si>
    <t>9cf98ae9-3ca2-4174-a7ca-0fb8969544aa</t>
  </si>
  <si>
    <t>6d0baae0-e0c5-4a4e-8e3b-97bf14be6147</t>
  </si>
  <si>
    <t>2d568e58-1bce-43d3-b509-529c4907feb6</t>
  </si>
  <si>
    <t>c154deff-4e9e-4fe4-9d67-f48908ff54d9</t>
  </si>
  <si>
    <t>71f2e2cc-c590-4263-a857-9d41079aeca5</t>
  </si>
  <si>
    <t>1750bbeb-a4d1-4fdd-9d4b-6da8f2110f83</t>
  </si>
  <si>
    <t>a5c9b131-7db9-49dc-bbf0-ab2cc975db2e</t>
  </si>
  <si>
    <t>f34c660c-8130-46ea-b9eb-2b94983e70f0</t>
  </si>
  <si>
    <t>b3df269b-9a99-4b0d-b72a-309d9eb0fdff</t>
  </si>
  <si>
    <t>762bdb2f-9869-459d-a388-b7d7499de3d1</t>
  </si>
  <si>
    <t>8c5e8ece-8b04-4187-943f-c47e7452ac98</t>
  </si>
  <si>
    <t>1ba7df97-738b-4bda-84bc-342e75f0bb3b</t>
  </si>
  <si>
    <t>0b029466-21a8-4aa2-a32d-7957bc97dd15</t>
  </si>
  <si>
    <t>78f2bf62-fba1-46a6-833c-110010ab98ad</t>
  </si>
  <si>
    <t>68ce89c8-a5b2-4117-b896-352c78e682a5</t>
  </si>
  <si>
    <t>e06fb7ea-7713-4fac-a996-c7ea9349c0f1</t>
  </si>
  <si>
    <t>8c3c1be4-1e6e-44d8-8c71-d45fd198b10a</t>
  </si>
  <si>
    <t>8f7170b0-9f51-4774-88cc-a5881e14d60d</t>
  </si>
  <si>
    <t>391f7245-b2ef-4328-b1f0-47135a7252ce</t>
  </si>
  <si>
    <t>c3d0acc2-11f2-410c-bdcb-15da9958e18d</t>
  </si>
  <si>
    <t>602855b3-cd60-4b34-9201-1dfb89a22d88</t>
  </si>
  <si>
    <t>910f20e5-3307-4e9f-928d-bf6b69fbc430</t>
  </si>
  <si>
    <t>05e332ce-23b3-4687-90ae-3a9a515490ff</t>
  </si>
  <si>
    <t>5802fec8-2f12-4cea-8fe6-64a2d9038aba</t>
  </si>
  <si>
    <t>4a384e91-f1c0-47f5-a245-485175a01a96</t>
  </si>
  <si>
    <t>72636137-36a1-4188-98f6-faaa54b0a5aa</t>
  </si>
  <si>
    <t>0687c494-6a02-4c35-9ed5-4932776b9162</t>
  </si>
  <si>
    <t>215aac75-022a-4a4a-90c3-160a8a792257</t>
  </si>
  <si>
    <t>21a179f2-e450-4d64-a10f-439788529ba6</t>
  </si>
  <si>
    <t>16eef2bf-6be9-48c4-bc16-37c86a697011</t>
  </si>
  <si>
    <t>f53ae566-c104-415c-a1f2-4e8e5e814603</t>
  </si>
  <si>
    <t>22bb275c-104e-497a-b1eb-227b79c9a40b</t>
  </si>
  <si>
    <t>7ce95fbf-f28c-4734-b710-35650d1be437</t>
  </si>
  <si>
    <t>f96cf079-d1d5-42bb-9878-4865d631dd13</t>
  </si>
  <si>
    <t>87d56579-1f8f-477f-a0bf-ab16a504a431</t>
  </si>
  <si>
    <t>f640922d-1951-4e52-8d07-58299a016cf0</t>
  </si>
  <si>
    <t>7f4f807a-f985-419c-820c-17ecfd0e613a</t>
  </si>
  <si>
    <t>32eb81b5-af6f-44d3-bc33-4de00ebe132d</t>
  </si>
  <si>
    <t>79b9c555-5d7f-401d-8ac8-a13fb0c5c1cf</t>
  </si>
  <si>
    <t>d105d2bf-fcf9-44c6-b086-51c0d096dbb4</t>
  </si>
  <si>
    <t>42608df0-d58d-440c-8038-cc4f2352733f</t>
  </si>
  <si>
    <t>557d44b5-24ef-4176-a0bc-33f51ec3c62a</t>
  </si>
  <si>
    <t>6119cd5f-25ae-468c-a4c8-0e86ce0da93f</t>
  </si>
  <si>
    <t>01e0e04b-2235-4fb9-8fb9-973653881bd7</t>
  </si>
  <si>
    <t>a92b4d05-6e6e-435e-b8ab-ed160c1a0671</t>
  </si>
  <si>
    <t>8eedeb3b-2b2f-4fbf-8c78-78d95da51319</t>
  </si>
  <si>
    <t>0de1d06b-e229-4173-ae8f-a5e2602c629a</t>
  </si>
  <si>
    <t>7dd16f76-9942-47b6-ae7f-fe82db8b862c</t>
  </si>
  <si>
    <t>96fa01b4-dcd1-4b01-bff4-4c52bc6e55bf</t>
  </si>
  <si>
    <t>674799d1-2e7f-485b-bec5-b874a7d43a30</t>
  </si>
  <si>
    <t>e11b6d38-05be-4524-9735-a838b05d752b</t>
  </si>
  <si>
    <t>9efe5bf3-7810-450a-a05a-4dc4ad997e2a</t>
  </si>
  <si>
    <t>9e0064ca-ef2e-4133-92b6-baae9a0fbab5</t>
  </si>
  <si>
    <t>88a98e69-9e49-4d28-98d7-1e0b1bce6138</t>
  </si>
  <si>
    <t>bf9da4d1-f789-4552-93e8-3b529290ed7d</t>
  </si>
  <si>
    <t>93ffabf9-401d-4998-ba07-69b25693af8f</t>
  </si>
  <si>
    <t>7798c7b5-2c45-40bb-b512-c35124084997</t>
  </si>
  <si>
    <t>0cf9f5e9-d094-49c5-a870-c736b66720a1</t>
  </si>
  <si>
    <t>1d3013fb-2d20-4f30-b937-1df99dafb903</t>
  </si>
  <si>
    <t>fc43da7e-fdb4-4950-924d-1dea2738ae4c</t>
  </si>
  <si>
    <t>e832c2fc-cd6b-419d-8c4c-e3c2a995c0da</t>
  </si>
  <si>
    <t>d4d09568-7425-484c-876a-0d23fbd58db7</t>
  </si>
  <si>
    <t>bad0e971-e8d5-4e75-979b-1663960b5f7f</t>
  </si>
  <si>
    <t>d670c278-b9ea-43fc-b638-8a136c66a9d0</t>
  </si>
  <si>
    <t>9064a593-c430-4ce4-be40-2fce743f1440</t>
  </si>
  <si>
    <t>3513193b-7a3b-4f79-8c6c-0fdeec771f7c</t>
  </si>
  <si>
    <t>b906246e-44aa-441f-85c5-fc2aa946b0cb</t>
  </si>
  <si>
    <t>05b8250f-403e-455e-8588-acfd28455970</t>
  </si>
  <si>
    <t>43fb462c-015a-4412-ab1e-61798120a503</t>
  </si>
  <si>
    <t>5e9407b5-aba7-4f9b-a6ce-7c7d5b22d0c1</t>
  </si>
  <si>
    <t>079d4971-f869-4eb4-9d75-a43a98c3df95</t>
  </si>
  <si>
    <t>1e25499f-f040-4626-b6d9-a923812d8aa1</t>
  </si>
  <si>
    <t>1ce4b8f6-4a3b-433e-b6df-03b90ab10530</t>
  </si>
  <si>
    <t>04c15b59-8639-4ca1-a09c-b3cdf6cd26e9</t>
  </si>
  <si>
    <t>9c9bcf2e-647a-4b9f-a950-dbec36feafd2</t>
  </si>
  <si>
    <t>b7b3766d-a554-4590-930c-4fac22ad5609</t>
  </si>
  <si>
    <t>a7bce00c-ce93-4774-b7aa-19c634036995</t>
  </si>
  <si>
    <t>22576ce0-1d98-41da-818e-272c0718c042</t>
  </si>
  <si>
    <t>0d2a0b24-a292-4470-b7b3-ef99948c12ed</t>
  </si>
  <si>
    <t>682fdf52-1ebf-4d53-a4b0-141a586bd183</t>
  </si>
  <si>
    <t>7e3cf4e1-5524-4c58-9e6f-181025287358</t>
  </si>
  <si>
    <t>7dc4b049-4b46-484c-8424-bdcc319c961a</t>
  </si>
  <si>
    <t>778255d3-5584-4006-8e97-c9256d319ebe</t>
  </si>
  <si>
    <t>c2228620-0aeb-4528-9afb-6c5acf3a4584</t>
  </si>
  <si>
    <t>c9fe7a97-ae87-4846-99cc-dffc804d029e</t>
  </si>
  <si>
    <t>70b56f5e-a3c0-404d-99d8-7aa2814b5a4d</t>
  </si>
  <si>
    <t>95fb8941-2b7c-429c-a1d6-d142fcebae4b</t>
  </si>
  <si>
    <t>d0eea795-1f4e-4edb-9bd6-d37816cef777</t>
  </si>
  <si>
    <t>c8778c91-31b9-4288-8522-0fc97992be4e</t>
  </si>
  <si>
    <t>21a219c6-4cd0-4da5-aea7-20e42999e21a</t>
  </si>
  <si>
    <t>5561ccd8-e146-49f5-8565-f3592b99c120</t>
  </si>
  <si>
    <t>702ab0a5-683f-47fa-b391-95acd2d54a89</t>
  </si>
  <si>
    <t>1f1887b9-f6a0-4e02-bdde-ca416a4c59ed</t>
  </si>
  <si>
    <t>4441c4ff-a006-4c5a-98d4-31e630b35f3c</t>
  </si>
  <si>
    <t>f74ff24c-51f6-475d-bf10-78327965060f</t>
  </si>
  <si>
    <t>fb637754-0acb-469f-adc6-8f653eb28048</t>
  </si>
  <si>
    <t>82c7d813-e397-4de4-8100-fc27da80fd7f</t>
  </si>
  <si>
    <t>0f1b36d1-4484-445c-b533-065818d12a59</t>
  </si>
  <si>
    <t>3bd93596-85f5-4e95-bd11-1c6f0b3cd87d</t>
  </si>
  <si>
    <t>a5d3af2e-027f-4ff1-811c-5b08b95aa234</t>
  </si>
  <si>
    <t>2d38083f-cfad-40b3-8343-c572f3d841d8</t>
  </si>
  <si>
    <t>a954f81c-754f-4b5b-bf48-510a882ae1e6</t>
  </si>
  <si>
    <t>94efcb70-ed00-4597-ad2b-cb64e70c3fac</t>
  </si>
  <si>
    <t>6e4d182d-a3ce-4477-bc55-af71b882893a</t>
  </si>
  <si>
    <t>135cfb15-52a8-4e74-8383-7a65f8c1bd7c</t>
  </si>
  <si>
    <t>c013d89c-ded5-477f-a7a1-82f17a4bc821</t>
  </si>
  <si>
    <t>d202349e-dd45-42e7-84a9-fa604082763f</t>
  </si>
  <si>
    <t>fd689478-3167-465d-b35c-2f2238dec6b1</t>
  </si>
  <si>
    <t>f05696ed-c46f-44f2-9356-17a9b6de2f88</t>
  </si>
  <si>
    <t>ef22bb3e-f5d3-495a-9e74-c6589bd524fb</t>
  </si>
  <si>
    <t>4213e867-3c80-4fd0-b3c6-e2541d2c96ed</t>
  </si>
  <si>
    <t>c07e896d-752f-4841-9fa4-aa8c9ed4acf5</t>
  </si>
  <si>
    <t>faaf8bca-8e08-486c-8968-51c445f22219</t>
  </si>
  <si>
    <t>1abb50cc-2669-4928-88c7-d4ab9d4c4481</t>
  </si>
  <si>
    <t>ebcedfc0-ae7b-4860-ad1e-3546b9425f43</t>
  </si>
  <si>
    <t>0e09d94c-15d8-4621-bb91-7439249d7087</t>
  </si>
  <si>
    <t>ac7d370b-5d58-4576-b476-0b9bc78e8750</t>
  </si>
  <si>
    <t>4b38a420-d599-48b2-9b49-b4d3ddfa370b</t>
  </si>
  <si>
    <t>068d3ec3-4558-4ce6-9c85-06f657b6bd3f</t>
  </si>
  <si>
    <t>ca2c759f-eb04-494f-8fc1-cd125bf44244</t>
  </si>
  <si>
    <t>04bde8d7-e8ac-4858-811e-4d2ed879f3b2</t>
  </si>
  <si>
    <t>731179a6-acc0-4d35-8dff-4ab8a6a427d0</t>
  </si>
  <si>
    <t>ea275892-9e6a-4ea7-bff4-2fd8e8b52e9a</t>
  </si>
  <si>
    <t>a2405e26-4977-4666-96f0-555b63ef33f5</t>
  </si>
  <si>
    <t>3585efe7-1d69-4db5-ac08-839a0e8df609</t>
  </si>
  <si>
    <t>9fd6430d-c973-4120-8dc5-d4f4bd8b2973</t>
  </si>
  <si>
    <t>535accfb-6771-4dc9-98aa-94a627c9d53a</t>
  </si>
  <si>
    <t>e90ac329-d5ca-425a-8ee5-e4d465f17cf1</t>
  </si>
  <si>
    <t>a69c4c3d-1d84-4a11-afbf-096c2d9d4746</t>
  </si>
  <si>
    <t>089923b3-af5c-4e4d-a9ae-44fdc09c96ed</t>
  </si>
  <si>
    <t>bb281009-8f9e-4de8-a2be-18ead738858e</t>
  </si>
  <si>
    <t>4faf647b-445b-40e8-a4cc-322e3c0cf8c1</t>
  </si>
  <si>
    <t>5e0c466c-778c-4fc4-959f-c9c585c28e03</t>
  </si>
  <si>
    <t>10fb9dda-dcb6-4f56-a21a-48efd69b6947</t>
  </si>
  <si>
    <t>43a2287a-3941-451d-9039-112f75a510ab</t>
  </si>
  <si>
    <t>bedcd2ac-2dd8-4df1-85c4-3b099174e2e3</t>
  </si>
  <si>
    <t>8196b73c-db52-4aed-b976-cbaa245c008b</t>
  </si>
  <si>
    <t>c97606a8-478f-4114-aca0-fa17084ef4b3</t>
  </si>
  <si>
    <t>08bcd88f-9bc2-4463-bc5f-498b5a3e6c27</t>
  </si>
  <si>
    <t>9f0232a1-f6d5-4ab9-bdb4-8258c05c7d63</t>
  </si>
  <si>
    <t>19e36af2-7843-4b27-9fd1-32169a2da1fa</t>
  </si>
  <si>
    <t>1d9e1a86-6cb4-4b0e-8c0b-8e4aad38184f</t>
  </si>
  <si>
    <t>e4c81362-e709-4351-aab3-69e8a590ef40</t>
  </si>
  <si>
    <t>b62a8e36-a7a1-434b-bc18-f55f6d0569c5</t>
  </si>
  <si>
    <t>0ec75c65-a599-4e39-8878-3455437f38d3</t>
  </si>
  <si>
    <t>4f9ba8fb-4fe1-4c92-996a-313e16e6a939</t>
  </si>
  <si>
    <t>15dd5aab-02a9-4353-b946-129f72a1560b</t>
  </si>
  <si>
    <t>db495161-ed07-4cd1-82d4-50a9e4c8c5c0</t>
  </si>
  <si>
    <t>bb9475e9-1a35-46a1-908e-0fcbca2b075d</t>
  </si>
  <si>
    <t>bab5dc46-e42e-406c-bcde-6ec042c2379b</t>
  </si>
  <si>
    <t>3be193c1-71c9-4feb-8146-f7c113153a5e</t>
  </si>
  <si>
    <t>067df9b8-5818-4c62-b69c-7d52b011a2ee</t>
  </si>
  <si>
    <t>e096d116-d8cc-473d-aca9-e8f785e96471</t>
  </si>
  <si>
    <t>a354f784-6051-47cd-9266-f9f76ae17cf9</t>
  </si>
  <si>
    <t>1d46a6b0-f972-4e84-b7e5-53c37d927a82</t>
  </si>
  <si>
    <t>30c6845d-fcd3-4100-be4a-6939a129e80d</t>
  </si>
  <si>
    <t>ad1f7c5d-8ae0-47c9-b206-7c8815ae90c8</t>
  </si>
  <si>
    <t>d2e9c9a4-1ffa-4197-a19a-bfc1ba75e82e</t>
  </si>
  <si>
    <t>789a8aba-0b46-435e-a7a7-903883ab845d</t>
  </si>
  <si>
    <t>4cadb250-9598-41b1-9aa5-b69f7c146ac3</t>
  </si>
  <si>
    <t>110faa05-b3a5-4946-93c0-4d7e014cf3d4</t>
  </si>
  <si>
    <t>8408aa81-381c-4653-ad47-eff2475f2fe6</t>
  </si>
  <si>
    <t>846071b8-3512-4c74-8ce2-29621445a8e0</t>
  </si>
  <si>
    <t>aee0bad7-f0d3-4485-af23-b9e4dfa52fd4</t>
  </si>
  <si>
    <t>85c2635d-3904-4955-b4fe-1467211e58d9</t>
  </si>
  <si>
    <t>8a651951-8fd2-431e-968d-ed0041ad09cd</t>
  </si>
  <si>
    <t>33a5ffac-c883-407a-9910-f24995588d22</t>
  </si>
  <si>
    <t>5f236990-4ea0-4f3d-bad9-81da221f49ab</t>
  </si>
  <si>
    <t>66fb3011-2fb9-4506-8854-e332308091c2</t>
  </si>
  <si>
    <t>de3fea5a-0bac-47ec-8304-83c1f89f049e</t>
  </si>
  <si>
    <t>f88695e3-3887-4837-b06e-44545116971b</t>
  </si>
  <si>
    <t>25786b48-b57f-43d4-8a62-b852aa91d6eb</t>
  </si>
  <si>
    <t>d01b5f38-e5e2-424a-bf0f-65f51fc1d64c</t>
  </si>
  <si>
    <t>c480d2b5-7843-47fb-94c0-9f40c6c3d562</t>
  </si>
  <si>
    <t>5cd95d80-f5f2-405a-b630-3b517d652c66</t>
  </si>
  <si>
    <t>249f226e-b40a-41f9-93a2-32a9504d7dd9</t>
  </si>
  <si>
    <t>207f3314-e691-4165-9db7-11d5209f16b8</t>
  </si>
  <si>
    <t>485e76bb-675c-4eb5-b1e2-82a4934adc5f</t>
  </si>
  <si>
    <t>d6e2c3f2-1b15-47fc-a1db-49862399a770</t>
  </si>
  <si>
    <t>daddb68f-42a4-46d6-aa0a-39a8dec340f8</t>
  </si>
  <si>
    <t>001b5926-1113-493d-80a4-f09012f2f43b</t>
  </si>
  <si>
    <t>fe3f068b-304f-4982-adbc-b2d992a4dfba</t>
  </si>
  <si>
    <t>534a8d77-57a7-4b82-a0ff-f55952dc55b1</t>
  </si>
  <si>
    <t>30918cb9-5f0f-453f-a5ce-88069390debc</t>
  </si>
  <si>
    <t>c2d3c910-2a29-4ae5-9f49-238b32cd2b34</t>
  </si>
  <si>
    <t>4bac5430-7ecd-45e2-99ba-f2c89c88edce</t>
  </si>
  <si>
    <t>01758428-1a21-4640-8f6c-36c669b35b03</t>
  </si>
  <si>
    <t>f6b290df-1d8b-42d8-9aac-5b19f94e441f</t>
  </si>
  <si>
    <t>1e1a8c33-1975-4586-b9e5-62c598f1ec78</t>
  </si>
  <si>
    <t>d2a0a7b8-a6c8-47cc-832f-000b87721bca</t>
  </si>
  <si>
    <t>5f2c7678-c330-4a6e-ab6b-2aa6446621e5</t>
  </si>
  <si>
    <t>f67de85d-948d-472f-ac82-35eeddb732b1</t>
  </si>
  <si>
    <t>c86cc60f-22f1-4233-829a-59d67a049bc7</t>
  </si>
  <si>
    <t>dbf49e6b-5487-4076-ad57-58e87c51afdc</t>
  </si>
  <si>
    <t>e67ca5f6-85c4-44d9-b257-120a96520964</t>
  </si>
  <si>
    <t>a50f0102-dae4-47af-b71f-bbe15439c86b</t>
  </si>
  <si>
    <t>e6883a9e-8210-4351-9acd-cd814c82f075</t>
  </si>
  <si>
    <t>df29e495-0935-4eb2-8330-15d416f94131</t>
  </si>
  <si>
    <t>2f4ba72c-20a1-4e4c-be17-4cdcb85aed84</t>
  </si>
  <si>
    <t>7f42c766-a854-4c9c-890e-fe4aa2e468d8</t>
  </si>
  <si>
    <t>a0a99e1e-afe1-4f6a-9435-828c93f0423b</t>
  </si>
  <si>
    <t>d6517555-2524-4794-8793-69011d3f7527</t>
  </si>
  <si>
    <t>302a7a07-2d07-4d15-aa7c-e8000c97f321</t>
  </si>
  <si>
    <t>1ac33b59-9ffa-45ea-bce9-95b004d48235</t>
  </si>
  <si>
    <t>0c77bb21-f163-4c27-b2d7-cd3691c0d932</t>
  </si>
  <si>
    <t>fffbf94b-2308-4687-a8bb-12e0347a511d</t>
  </si>
  <si>
    <t>38c0cb0d-73e5-492d-86ae-af609fdc20f3</t>
  </si>
  <si>
    <t>436e88e3-310d-4e5c-993d-2c984387b918</t>
  </si>
  <si>
    <t>c069c37d-b02d-4509-b039-bf16d73d22fb</t>
  </si>
  <si>
    <t>33208f6c-63b0-473e-ab21-97527b057c83</t>
  </si>
  <si>
    <t>5a2186bb-646a-4b19-8c83-54a103376f3e</t>
  </si>
  <si>
    <t>3710e889-665a-4e74-82b4-84338bbd4ec5</t>
  </si>
  <si>
    <t>ff1360fb-906c-459e-b73c-dbe79d6c0bba</t>
  </si>
  <si>
    <t>4597d5ab-47a9-4d12-80a8-0babe6446f8d</t>
  </si>
  <si>
    <t>54f85781-8e1c-4902-864e-01c6f423bb3c</t>
  </si>
  <si>
    <t>5f1e4fd7-5fd5-4d17-9506-07d94708a5a6</t>
  </si>
  <si>
    <t>3159a3b9-ff3a-4ecd-976b-44e795002c17</t>
  </si>
  <si>
    <t>727a57d8-56dd-4b96-8e01-c0841ed37406</t>
  </si>
  <si>
    <t>1a613704-dbee-4a93-b9d1-7949da2b1aab</t>
  </si>
  <si>
    <t>ce69dec0-1f59-4584-ae9b-509c66fb056a</t>
  </si>
  <si>
    <t>00bdfac1-c682-408a-b6e1-73fdbfd9453c</t>
  </si>
  <si>
    <t>2a4fafb1-ea01-4a1b-aacc-a09cf8eb1040</t>
  </si>
  <si>
    <t>a8725398-953d-4250-af9d-f99ecb96b562</t>
  </si>
  <si>
    <t>3160aa58-0bf6-4e81-a1af-51903f0c0588</t>
  </si>
  <si>
    <t>762e1664-e032-49bd-b40b-6ffc62b9f79d</t>
  </si>
  <si>
    <t>8965ad72-c8b5-478a-879e-8136cdd2b134</t>
  </si>
  <si>
    <t>40d27e9f-dd96-4b7b-b4c1-b9e098c71542</t>
  </si>
  <si>
    <t>e26bf752-9b54-4ad5-95c0-ebfdd1985e6a</t>
  </si>
  <si>
    <t>dbe93e6b-0841-4e21-8651-6e8ecac62efc</t>
  </si>
  <si>
    <t>4d0d9fe7-24e6-423a-909d-9842181b5945</t>
  </si>
  <si>
    <t>6e59af78-eae8-4862-a459-ccb4bb6c9077</t>
  </si>
  <si>
    <t>c0f1eefc-9a25-44f6-bf4b-85d606fd6b15</t>
  </si>
  <si>
    <t>ff85f5f5-218c-4a52-b148-7b8883f635aa</t>
  </si>
  <si>
    <t>17e2425b-34d9-4947-93ef-3f2d2f3ea259</t>
  </si>
  <si>
    <t>c0afed78-fc9f-4375-a3a2-a4e02e01946f</t>
  </si>
  <si>
    <t>299e91ef-64c6-4cde-83d5-49b2c453eeb6</t>
  </si>
  <si>
    <t>8303a039-6a27-43cf-9410-2bb30cd7df1a</t>
  </si>
  <si>
    <t>a6ffb99c-83d7-4249-ad0f-6e34402a52d8</t>
  </si>
  <si>
    <t>e4995385-d038-45d3-8363-db73a27d7469</t>
  </si>
  <si>
    <t>e30087d7-5154-4bed-b206-a5a3a8beb672</t>
  </si>
  <si>
    <t>c2385a8f-375b-4476-b78d-072cd47b996c</t>
  </si>
  <si>
    <t>5a416884-375a-4442-b7c6-b480321dd6fd</t>
  </si>
  <si>
    <t>b35d25da-2139-4003-95ae-4692112104fc</t>
  </si>
  <si>
    <t>4a6f3042-0fd3-47d6-ba34-bac14e81e872</t>
  </si>
  <si>
    <t>e495cf16-e38d-4e9f-900c-2f4a9d00a0bb</t>
  </si>
  <si>
    <t>bdf58108-85ad-4ec0-b613-65576525b913</t>
  </si>
  <si>
    <t>a213aa66-7585-47f8-b1fa-3bd2bc3a1387</t>
  </si>
  <si>
    <t>3853a2be-416d-4b36-ab0f-1e9284166094</t>
  </si>
  <si>
    <t>96c14d7e-0813-4f70-be22-9198e307cc5d</t>
  </si>
  <si>
    <t>9cac0e48-698a-4808-9ca9-9601ff0bd4d2</t>
  </si>
  <si>
    <t>b2903ea6-d58c-4ffa-bf43-3e5e6a25ca06</t>
  </si>
  <si>
    <t>edb9036d-95f9-4998-9910-78ba85869dbd</t>
  </si>
  <si>
    <t>ac6eb271-0239-4957-b828-c89508fcfbea</t>
  </si>
  <si>
    <t>9721209e-3147-456f-a2c0-81d23b4cf822</t>
  </si>
  <si>
    <t>f915a366-31c7-4a9e-9042-ca526c771219</t>
  </si>
  <si>
    <t>75532a22-9cd9-492c-8865-fa4ac7da2ec8</t>
  </si>
  <si>
    <t>44f3ba44-b95d-4e50-a786-bac4d06f4a43</t>
  </si>
  <si>
    <t>18779bcb-ba2b-41da-b751-e70b812061ec</t>
  </si>
  <si>
    <t>3f32e8c5-615b-4a3b-a864-db2688f7834f</t>
  </si>
  <si>
    <t>7b0ad82d-6571-430e-90f4-906259e0e89c</t>
  </si>
  <si>
    <t>82aeef39-ddb0-40ad-bae1-5c436e0cf042</t>
  </si>
  <si>
    <t>Row Labels</t>
  </si>
  <si>
    <t>Grand Total</t>
  </si>
  <si>
    <t>Sum of churned</t>
  </si>
  <si>
    <t>Count of customer_id</t>
  </si>
  <si>
    <t>Churn Rate</t>
  </si>
  <si>
    <t>Churn rate</t>
  </si>
  <si>
    <t>0-6</t>
  </si>
  <si>
    <t>7-13</t>
  </si>
  <si>
    <t>14-20</t>
  </si>
  <si>
    <t>21-27</t>
  </si>
  <si>
    <t>28-34</t>
  </si>
  <si>
    <t>35-41</t>
  </si>
  <si>
    <t>42-48</t>
  </si>
  <si>
    <t>49-55</t>
  </si>
  <si>
    <t>56-62</t>
  </si>
  <si>
    <t>Last login by Weeks</t>
  </si>
  <si>
    <t>Payment Methods</t>
  </si>
  <si>
    <t>Devices</t>
  </si>
  <si>
    <t>monthly_lost_revenue</t>
  </si>
  <si>
    <t>Sum of monthly_lost_revenue</t>
  </si>
  <si>
    <t>watch_time_group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</si>
</sst>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£-809]* #,##0.00_-;\-[$£-809]* #,##0.00_-;_-[$£-809]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0" fontId="16" fillId="33" borderId="0" xfId="0" applyFont="1" applyFill="1"/>
    <xf numFmtId="9" fontId="0" fillId="34" borderId="0" xfId="1" applyFont="1" applyFill="1"/>
    <xf numFmtId="0" fontId="16" fillId="33" borderId="10" xfId="0" applyFont="1" applyFill="1" applyBorder="1"/>
    <xf numFmtId="9" fontId="0" fillId="34" borderId="10" xfId="1" applyFont="1" applyFill="1" applyBorder="1"/>
    <xf numFmtId="9" fontId="0" fillId="34" borderId="0" xfId="1" applyFont="1" applyFill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modified_netflix_customer_churn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an Saeed" refreshedDate="46272.678962731479" createdVersion="8" refreshedVersion="8" minRefreshableVersion="3" recordCount="5000" xr:uid="{2C034FB4-86D4-40F3-A3BE-827761E2F1CD}">
  <cacheSource type="worksheet">
    <worksheetSource ref="A1:O5001" sheet="modified_netflix_customer_churn" r:id="rId2"/>
  </cacheSource>
  <cacheFields count="16">
    <cacheField name="customer_id" numFmtId="0">
      <sharedItems/>
    </cacheField>
    <cacheField name="age" numFmtId="0">
      <sharedItems containsSemiMixedTypes="0" containsString="0" containsNumber="1" containsInteger="1" minValue="18" maxValue="70"/>
    </cacheField>
    <cacheField name="gender" numFmtId="0">
      <sharedItems/>
    </cacheField>
    <cacheField name="subscription_type" numFmtId="0">
      <sharedItems/>
    </cacheField>
    <cacheField name="watch_hours" numFmtId="0">
      <sharedItems containsSemiMixedTypes="0" containsString="0" containsNumber="1" minValue="0.01" maxValue="110.4"/>
    </cacheField>
    <cacheField name="last_login_days" numFmtId="0">
      <sharedItems containsSemiMixedTypes="0" containsString="0" containsNumber="1" containsInteger="1" minValue="0" maxValue="60" count="61">
        <n v="29"/>
        <n v="19"/>
        <n v="10"/>
        <n v="12"/>
        <n v="13"/>
        <n v="26"/>
        <n v="20"/>
        <n v="56"/>
        <n v="34"/>
        <n v="36"/>
        <n v="38"/>
        <n v="23"/>
        <n v="33"/>
        <n v="7"/>
        <n v="32"/>
        <n v="40"/>
        <n v="27"/>
        <n v="4"/>
        <n v="57"/>
        <n v="43"/>
        <n v="18"/>
        <n v="6"/>
        <n v="55"/>
        <n v="53"/>
        <n v="52"/>
        <n v="0"/>
        <n v="48"/>
        <n v="16"/>
        <n v="35"/>
        <n v="45"/>
        <n v="1"/>
        <n v="15"/>
        <n v="14"/>
        <n v="25"/>
        <n v="50"/>
        <n v="44"/>
        <n v="39"/>
        <n v="24"/>
        <n v="21"/>
        <n v="22"/>
        <n v="11"/>
        <n v="30"/>
        <n v="37"/>
        <n v="31"/>
        <n v="46"/>
        <n v="41"/>
        <n v="2"/>
        <n v="3"/>
        <n v="51"/>
        <n v="9"/>
        <n v="54"/>
        <n v="17"/>
        <n v="49"/>
        <n v="42"/>
        <n v="28"/>
        <n v="59"/>
        <n v="58"/>
        <n v="60"/>
        <n v="47"/>
        <n v="5"/>
        <n v="8"/>
      </sharedItems>
      <fieldGroup base="5">
        <rangePr startNum="0" endNum="60" groupInterval="7"/>
        <groupItems count="11">
          <s v="&lt;0"/>
          <s v="0-6"/>
          <s v="7-13"/>
          <s v="14-20"/>
          <s v="21-27"/>
          <s v="28-34"/>
          <s v="35-41"/>
          <s v="42-48"/>
          <s v="49-55"/>
          <s v="56-62"/>
          <s v="&gt;63"/>
        </groupItems>
      </fieldGroup>
    </cacheField>
    <cacheField name="region" numFmtId="0">
      <sharedItems count="6">
        <s v="Africa"/>
        <s v="Europe"/>
        <s v="Asia"/>
        <s v="Oceania"/>
        <s v="South America"/>
        <s v="North America"/>
      </sharedItems>
    </cacheField>
    <cacheField name="device" numFmtId="0">
      <sharedItems count="5">
        <s v="TV"/>
        <s v="Mobile"/>
        <s v="Laptop"/>
        <s v="Desktop"/>
        <s v="Tablet"/>
      </sharedItems>
    </cacheField>
    <cacheField name="monthly_fee" numFmtId="164">
      <sharedItems containsSemiMixedTypes="0" containsString="0" containsNumber="1" minValue="8.99" maxValue="17.989999999999998"/>
    </cacheField>
    <cacheField name="churned" numFmtId="0">
      <sharedItems containsSemiMixedTypes="0" containsString="0" containsNumber="1" containsInteger="1" minValue="0" maxValue="1"/>
    </cacheField>
    <cacheField name="monthly_lost_revenue" numFmtId="164">
      <sharedItems containsSemiMixedTypes="0" containsString="0" containsNumber="1" minValue="0" maxValue="17.989999999999998"/>
    </cacheField>
    <cacheField name="payment_method" numFmtId="0">
      <sharedItems count="5">
        <s v="Gift Card"/>
        <s v="Crypto"/>
        <s v="Debit Card"/>
        <s v="PayPal"/>
        <s v="Credit Card"/>
      </sharedItems>
    </cacheField>
    <cacheField name="number_of_profiles" numFmtId="0">
      <sharedItems containsSemiMixedTypes="0" containsString="0" containsNumber="1" containsInteger="1" minValue="1" maxValue="5"/>
    </cacheField>
    <cacheField name="avg_watch_time_per_day" numFmtId="0">
      <sharedItems containsSemiMixedTypes="0" containsString="0" containsNumber="1" minValue="0" maxValue="98.42"/>
    </cacheField>
    <cacheField name="favorite_genre" numFmtId="0">
      <sharedItems/>
    </cacheField>
    <cacheField name="churn_rate" numFmtId="0" formula=" 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a9b75100-82a8-427a-a208-72f24052884a"/>
    <n v="51"/>
    <s v="Other"/>
    <s v="Basic"/>
    <n v="14.73"/>
    <x v="0"/>
    <x v="0"/>
    <x v="0"/>
    <n v="8.99"/>
    <n v="1"/>
    <n v="8.99"/>
    <x v="0"/>
    <n v="1"/>
    <n v="0.49"/>
    <s v="Action"/>
  </r>
  <r>
    <s v="49a5dfd9-7e69-4022-a6ad-0a1b9767fb5b"/>
    <n v="47"/>
    <s v="Other"/>
    <s v="Standard"/>
    <n v="0.7"/>
    <x v="1"/>
    <x v="1"/>
    <x v="1"/>
    <n v="13.99"/>
    <n v="1"/>
    <n v="13.99"/>
    <x v="0"/>
    <n v="5"/>
    <n v="0.03"/>
    <s v="Sci-Fi"/>
  </r>
  <r>
    <s v="4d71f6ce-fca9-4ff7-8afa-197ac24de14b"/>
    <n v="27"/>
    <s v="Female"/>
    <s v="Standard"/>
    <n v="16.32"/>
    <x v="2"/>
    <x v="2"/>
    <x v="0"/>
    <n v="13.99"/>
    <n v="0"/>
    <n v="0"/>
    <x v="1"/>
    <n v="2"/>
    <n v="1.48"/>
    <s v="Drama"/>
  </r>
  <r>
    <s v="d3c72c38-631b-4f9e-8a0e-de103cad1a7d"/>
    <n v="53"/>
    <s v="Other"/>
    <s v="Premium"/>
    <n v="4.51"/>
    <x v="3"/>
    <x v="3"/>
    <x v="0"/>
    <n v="17.989999999999998"/>
    <n v="1"/>
    <n v="17.989999999999998"/>
    <x v="1"/>
    <n v="2"/>
    <n v="0.35"/>
    <s v="Horror"/>
  </r>
  <r>
    <s v="4e265c34-103a-4dbb-9553-76c9aa47e946"/>
    <n v="56"/>
    <s v="Other"/>
    <s v="Standard"/>
    <n v="1.89"/>
    <x v="4"/>
    <x v="0"/>
    <x v="1"/>
    <n v="13.99"/>
    <n v="1"/>
    <n v="13.99"/>
    <x v="1"/>
    <n v="2"/>
    <n v="0.13"/>
    <s v="Action"/>
  </r>
  <r>
    <s v="d8079475-5be7-47e9-8782-ceb7ff61395e"/>
    <n v="58"/>
    <s v="Female"/>
    <s v="Standard"/>
    <n v="13.8"/>
    <x v="5"/>
    <x v="3"/>
    <x v="1"/>
    <n v="13.99"/>
    <n v="0"/>
    <n v="0"/>
    <x v="2"/>
    <n v="3"/>
    <n v="0.51"/>
    <s v="Action"/>
  </r>
  <r>
    <s v="8e63450a-13d6-4e83-bbb5-6aebde9152cb"/>
    <n v="48"/>
    <s v="Other"/>
    <s v="Basic"/>
    <n v="13.83"/>
    <x v="6"/>
    <x v="2"/>
    <x v="0"/>
    <n v="8.99"/>
    <n v="0"/>
    <n v="0"/>
    <x v="0"/>
    <n v="5"/>
    <n v="0.66"/>
    <s v="Romance"/>
  </r>
  <r>
    <s v="02387681-8c42-462a-807a-de0168c73b38"/>
    <n v="51"/>
    <s v="Male"/>
    <s v="Basic"/>
    <n v="14.3"/>
    <x v="7"/>
    <x v="1"/>
    <x v="1"/>
    <n v="8.99"/>
    <n v="1"/>
    <n v="8.99"/>
    <x v="0"/>
    <n v="1"/>
    <n v="0.25"/>
    <s v="Action"/>
  </r>
  <r>
    <s v="0bcaad0c-545c-4ee1-85a6-75e165f39361"/>
    <n v="45"/>
    <s v="Other"/>
    <s v="Basic"/>
    <n v="9.98"/>
    <x v="2"/>
    <x v="2"/>
    <x v="1"/>
    <n v="8.99"/>
    <n v="0"/>
    <n v="0"/>
    <x v="3"/>
    <n v="3"/>
    <n v="0.91"/>
    <s v="Romance"/>
  </r>
  <r>
    <s v="eae6439e-8cdf-4258-ab49-c493925b927a"/>
    <n v="32"/>
    <s v="Other"/>
    <s v="Premium"/>
    <n v="2.2200000000000002"/>
    <x v="8"/>
    <x v="1"/>
    <x v="0"/>
    <n v="17.989999999999998"/>
    <n v="1"/>
    <n v="17.989999999999998"/>
    <x v="2"/>
    <n v="1"/>
    <n v="0.06"/>
    <s v="Drama"/>
  </r>
  <r>
    <s v="45a03ce3-26d0-4cd5-a9bd-22d42490b612"/>
    <n v="26"/>
    <s v="Male"/>
    <s v="Premium"/>
    <n v="15.42"/>
    <x v="9"/>
    <x v="2"/>
    <x v="2"/>
    <n v="17.989999999999998"/>
    <n v="0"/>
    <n v="0"/>
    <x v="2"/>
    <n v="4"/>
    <n v="0.42"/>
    <s v="Comedy"/>
  </r>
  <r>
    <s v="9df43ad1-d6ee-44d0-a79b-c8ab444f10bf"/>
    <n v="28"/>
    <s v="Other"/>
    <s v="Standard"/>
    <n v="22.26"/>
    <x v="10"/>
    <x v="4"/>
    <x v="1"/>
    <n v="13.99"/>
    <n v="0"/>
    <n v="0"/>
    <x v="1"/>
    <n v="5"/>
    <n v="0.56999999999999995"/>
    <s v="Horror"/>
  </r>
  <r>
    <s v="4690bf9c-b828-44d3-bdb6-f91b10668288"/>
    <n v="47"/>
    <s v="Other"/>
    <s v="Standard"/>
    <n v="7.92"/>
    <x v="11"/>
    <x v="4"/>
    <x v="0"/>
    <n v="13.99"/>
    <n v="0"/>
    <n v="0"/>
    <x v="1"/>
    <n v="1"/>
    <n v="0.33"/>
    <s v="Sci-Fi"/>
  </r>
  <r>
    <s v="0aac0e54-7d40-4cf2-abe4-45f3ff73f5ff"/>
    <n v="49"/>
    <s v="Female"/>
    <s v="Basic"/>
    <n v="5.26"/>
    <x v="12"/>
    <x v="4"/>
    <x v="1"/>
    <n v="8.99"/>
    <n v="1"/>
    <n v="8.99"/>
    <x v="1"/>
    <n v="3"/>
    <n v="0.15"/>
    <s v="Documentary"/>
  </r>
  <r>
    <s v="e2a75072-5f48-47ed-a533-eb1b0301aad9"/>
    <n v="39"/>
    <s v="Female"/>
    <s v="Basic"/>
    <n v="10.97"/>
    <x v="2"/>
    <x v="3"/>
    <x v="1"/>
    <n v="8.99"/>
    <n v="0"/>
    <n v="0"/>
    <x v="3"/>
    <n v="1"/>
    <n v="1"/>
    <s v="Comedy"/>
  </r>
  <r>
    <s v="25db8257-f409-4acd-81f8-99629fbf15a0"/>
    <n v="32"/>
    <s v="Female"/>
    <s v="Premium"/>
    <n v="40.94"/>
    <x v="13"/>
    <x v="4"/>
    <x v="3"/>
    <n v="17.989999999999998"/>
    <n v="0"/>
    <n v="0"/>
    <x v="1"/>
    <n v="1"/>
    <n v="5.12"/>
    <s v="Action"/>
  </r>
  <r>
    <s v="bf48551e-a8e6-4fd9-bb32-3f798ed84680"/>
    <n v="46"/>
    <s v="Other"/>
    <s v="Premium"/>
    <n v="1.25"/>
    <x v="4"/>
    <x v="1"/>
    <x v="4"/>
    <n v="17.989999999999998"/>
    <n v="1"/>
    <n v="17.989999999999998"/>
    <x v="2"/>
    <n v="3"/>
    <n v="0.09"/>
    <s v="Comedy"/>
  </r>
  <r>
    <s v="3819aaed-bed6-49c8-ab53-0fd9d917e4e1"/>
    <n v="48"/>
    <s v="Female"/>
    <s v="Standard"/>
    <n v="8.1199999999999992"/>
    <x v="14"/>
    <x v="0"/>
    <x v="3"/>
    <n v="13.99"/>
    <n v="1"/>
    <n v="13.99"/>
    <x v="1"/>
    <n v="2"/>
    <n v="0.25"/>
    <s v="Action"/>
  </r>
  <r>
    <s v="e2f28860-44e4-4fc2-a445-014332e7fb11"/>
    <n v="68"/>
    <s v="Female"/>
    <s v="Premium"/>
    <n v="7.67"/>
    <x v="15"/>
    <x v="3"/>
    <x v="4"/>
    <n v="17.989999999999998"/>
    <n v="0"/>
    <n v="0"/>
    <x v="3"/>
    <n v="4"/>
    <n v="0.19"/>
    <s v="Romance"/>
  </r>
  <r>
    <s v="a088d61d-be5a-409e-b943-73b145b358d1"/>
    <n v="21"/>
    <s v="Female"/>
    <s v="Standard"/>
    <n v="15.53"/>
    <x v="16"/>
    <x v="4"/>
    <x v="2"/>
    <n v="13.99"/>
    <n v="0"/>
    <n v="0"/>
    <x v="4"/>
    <n v="1"/>
    <n v="0.55000000000000004"/>
    <s v="Comedy"/>
  </r>
  <r>
    <s v="109cc416-0a22-4c41-93e9-2c7dd24ddd3f"/>
    <n v="60"/>
    <s v="Male"/>
    <s v="Basic"/>
    <n v="31.9"/>
    <x v="17"/>
    <x v="3"/>
    <x v="4"/>
    <n v="8.99"/>
    <n v="0"/>
    <n v="0"/>
    <x v="1"/>
    <n v="2"/>
    <n v="6.38"/>
    <s v="Comedy"/>
  </r>
  <r>
    <s v="a8c8dcff-92d3-4a79-849d-42c6e6bbc7bc"/>
    <n v="70"/>
    <s v="Other"/>
    <s v="Premium"/>
    <n v="7.97"/>
    <x v="18"/>
    <x v="1"/>
    <x v="2"/>
    <n v="17.989999999999998"/>
    <n v="1"/>
    <n v="17.989999999999998"/>
    <x v="0"/>
    <n v="5"/>
    <n v="0.14000000000000001"/>
    <s v="Drama"/>
  </r>
  <r>
    <s v="8071c1be-1197-49a1-aa75-5fb6a6b3087a"/>
    <n v="53"/>
    <s v="Other"/>
    <s v="Standard"/>
    <n v="43.02"/>
    <x v="19"/>
    <x v="4"/>
    <x v="4"/>
    <n v="13.99"/>
    <n v="0"/>
    <n v="0"/>
    <x v="1"/>
    <n v="1"/>
    <n v="0.98"/>
    <s v="Action"/>
  </r>
  <r>
    <s v="98b7c57d-1094-45dd-bb45-d9bb8dff9b83"/>
    <n v="36"/>
    <s v="Other"/>
    <s v="Standard"/>
    <n v="34.6"/>
    <x v="1"/>
    <x v="3"/>
    <x v="4"/>
    <n v="13.99"/>
    <n v="0"/>
    <n v="0"/>
    <x v="1"/>
    <n v="3"/>
    <n v="1.73"/>
    <s v="Action"/>
  </r>
  <r>
    <s v="18be905c-203f-4de2-8e78-ef10061fc57f"/>
    <n v="55"/>
    <s v="Other"/>
    <s v="Basic"/>
    <n v="24.58"/>
    <x v="20"/>
    <x v="2"/>
    <x v="3"/>
    <n v="8.99"/>
    <n v="0"/>
    <n v="0"/>
    <x v="2"/>
    <n v="1"/>
    <n v="1.29"/>
    <s v="Documentary"/>
  </r>
  <r>
    <s v="b7c1bdad-cafb-4586-a15d-fc9ff30a8115"/>
    <n v="45"/>
    <s v="Female"/>
    <s v="Standard"/>
    <n v="7.39"/>
    <x v="21"/>
    <x v="3"/>
    <x v="0"/>
    <n v="13.99"/>
    <n v="0"/>
    <n v="0"/>
    <x v="3"/>
    <n v="1"/>
    <n v="1.06"/>
    <s v="Romance"/>
  </r>
  <r>
    <s v="6e061f35-b1b5-4efe-9e37-f40a14d929b1"/>
    <n v="24"/>
    <s v="Male"/>
    <s v="Premium"/>
    <n v="6.92"/>
    <x v="4"/>
    <x v="0"/>
    <x v="3"/>
    <n v="17.989999999999998"/>
    <n v="0"/>
    <n v="0"/>
    <x v="1"/>
    <n v="2"/>
    <n v="0.49"/>
    <s v="Action"/>
  </r>
  <r>
    <s v="8c2d377b-f6ec-44b5-ae08-3660c4358a93"/>
    <n v="30"/>
    <s v="Other"/>
    <s v="Premium"/>
    <n v="1.37"/>
    <x v="22"/>
    <x v="5"/>
    <x v="1"/>
    <n v="17.989999999999998"/>
    <n v="1"/>
    <n v="17.989999999999998"/>
    <x v="2"/>
    <n v="1"/>
    <n v="0.02"/>
    <s v="Horror"/>
  </r>
  <r>
    <s v="afcc5c55-a3d8-4e2f-ab95-3d34f5e0390d"/>
    <n v="69"/>
    <s v="Female"/>
    <s v="Basic"/>
    <n v="24.56"/>
    <x v="23"/>
    <x v="3"/>
    <x v="2"/>
    <n v="8.99"/>
    <n v="1"/>
    <n v="8.99"/>
    <x v="0"/>
    <n v="1"/>
    <n v="0.45"/>
    <s v="Action"/>
  </r>
  <r>
    <s v="2211b077-0300-4e0c-834c-e7751a45eb96"/>
    <n v="47"/>
    <s v="Other"/>
    <s v="Standard"/>
    <n v="15.87"/>
    <x v="24"/>
    <x v="0"/>
    <x v="2"/>
    <n v="13.99"/>
    <n v="1"/>
    <n v="13.99"/>
    <x v="1"/>
    <n v="1"/>
    <n v="0.3"/>
    <s v="Sci-Fi"/>
  </r>
  <r>
    <s v="8d755725-4f16-4006-bdae-fa3dc9fa2579"/>
    <n v="49"/>
    <s v="Female"/>
    <s v="Standard"/>
    <n v="7.62"/>
    <x v="16"/>
    <x v="2"/>
    <x v="0"/>
    <n v="13.99"/>
    <n v="0"/>
    <n v="0"/>
    <x v="2"/>
    <n v="3"/>
    <n v="0.27"/>
    <s v="Action"/>
  </r>
  <r>
    <s v="c39a5943-fe7c-46ec-8d3c-2a24ab46733b"/>
    <n v="67"/>
    <s v="Male"/>
    <s v="Standard"/>
    <n v="3.05"/>
    <x v="0"/>
    <x v="3"/>
    <x v="4"/>
    <n v="13.99"/>
    <n v="1"/>
    <n v="13.99"/>
    <x v="3"/>
    <n v="1"/>
    <n v="0.1"/>
    <s v="Drama"/>
  </r>
  <r>
    <s v="e62d9bc8-dab9-42e0-b6b2-e8d076fe843b"/>
    <n v="23"/>
    <s v="Female"/>
    <s v="Premium"/>
    <n v="13.31"/>
    <x v="8"/>
    <x v="0"/>
    <x v="1"/>
    <n v="17.989999999999998"/>
    <n v="1"/>
    <n v="17.989999999999998"/>
    <x v="2"/>
    <n v="2"/>
    <n v="0.38"/>
    <s v="Romance"/>
  </r>
  <r>
    <s v="7a89d8b6-28ec-4b0c-9d3b-88e0a5119e3b"/>
    <n v="67"/>
    <s v="Male"/>
    <s v="Basic"/>
    <n v="1.56"/>
    <x v="25"/>
    <x v="3"/>
    <x v="3"/>
    <n v="8.99"/>
    <n v="0"/>
    <n v="0"/>
    <x v="1"/>
    <n v="5"/>
    <n v="1.56"/>
    <s v="Documentary"/>
  </r>
  <r>
    <s v="c8648f0f-0b92-4445-a3a7-5c48711cbc07"/>
    <n v="57"/>
    <s v="Male"/>
    <s v="Premium"/>
    <n v="0.97"/>
    <x v="14"/>
    <x v="4"/>
    <x v="1"/>
    <n v="17.989999999999998"/>
    <n v="1"/>
    <n v="17.989999999999998"/>
    <x v="0"/>
    <n v="2"/>
    <n v="0.03"/>
    <s v="Comedy"/>
  </r>
  <r>
    <s v="ebe928a7-de65-4567-b349-06056b35e6a6"/>
    <n v="55"/>
    <s v="Other"/>
    <s v="Standard"/>
    <n v="21.58"/>
    <x v="26"/>
    <x v="5"/>
    <x v="1"/>
    <n v="13.99"/>
    <n v="0"/>
    <n v="0"/>
    <x v="4"/>
    <n v="5"/>
    <n v="0.44"/>
    <s v="Romance"/>
  </r>
  <r>
    <s v="8b3597af-7da9-405d-9815-60d1e4dbe2e5"/>
    <n v="35"/>
    <s v="Other"/>
    <s v="Standard"/>
    <n v="22.59"/>
    <x v="27"/>
    <x v="1"/>
    <x v="4"/>
    <n v="13.99"/>
    <n v="0"/>
    <n v="0"/>
    <x v="4"/>
    <n v="2"/>
    <n v="1.33"/>
    <s v="Comedy"/>
  </r>
  <r>
    <s v="839ec473-5f41-4a8b-955a-ec14b3a9cad4"/>
    <n v="22"/>
    <s v="Female"/>
    <s v="Standard"/>
    <n v="9.69"/>
    <x v="28"/>
    <x v="2"/>
    <x v="0"/>
    <n v="13.99"/>
    <n v="1"/>
    <n v="13.99"/>
    <x v="1"/>
    <n v="4"/>
    <n v="0.27"/>
    <s v="Documentary"/>
  </r>
  <r>
    <s v="cdf4012d-14b0-41d5-ab40-cc6627fe1e3b"/>
    <n v="34"/>
    <s v="Male"/>
    <s v="Premium"/>
    <n v="12.82"/>
    <x v="29"/>
    <x v="5"/>
    <x v="1"/>
    <n v="17.989999999999998"/>
    <n v="1"/>
    <n v="17.989999999999998"/>
    <x v="3"/>
    <n v="2"/>
    <n v="0.28000000000000003"/>
    <s v="Romance"/>
  </r>
  <r>
    <s v="aa97d1a3-c4ad-4c76-bd2a-56f1b46a753c"/>
    <n v="19"/>
    <s v="Male"/>
    <s v="Standard"/>
    <n v="4.34"/>
    <x v="30"/>
    <x v="2"/>
    <x v="4"/>
    <n v="13.99"/>
    <n v="0"/>
    <n v="0"/>
    <x v="3"/>
    <n v="1"/>
    <n v="2.17"/>
    <s v="Sci-Fi"/>
  </r>
  <r>
    <s v="6ead42f9-86d8-4c66-b2fc-3d791323186d"/>
    <n v="25"/>
    <s v="Female"/>
    <s v="Premium"/>
    <n v="15.95"/>
    <x v="31"/>
    <x v="4"/>
    <x v="2"/>
    <n v="17.989999999999998"/>
    <n v="0"/>
    <n v="0"/>
    <x v="4"/>
    <n v="1"/>
    <n v="1"/>
    <s v="Action"/>
  </r>
  <r>
    <s v="9235d289-6d46-46ba-a48a-1cf4ea18b599"/>
    <n v="49"/>
    <s v="Other"/>
    <s v="Premium"/>
    <n v="2.0499999999999998"/>
    <x v="32"/>
    <x v="5"/>
    <x v="4"/>
    <n v="17.989999999999998"/>
    <n v="0"/>
    <n v="0"/>
    <x v="2"/>
    <n v="5"/>
    <n v="0.14000000000000001"/>
    <s v="Romance"/>
  </r>
  <r>
    <s v="20529e32-d3e7-4cfc-8210-b6468cdbe2a4"/>
    <n v="55"/>
    <s v="Other"/>
    <s v="Premium"/>
    <n v="3.86"/>
    <x v="33"/>
    <x v="1"/>
    <x v="4"/>
    <n v="17.989999999999998"/>
    <n v="1"/>
    <n v="17.989999999999998"/>
    <x v="3"/>
    <n v="3"/>
    <n v="0.15"/>
    <s v="Action"/>
  </r>
  <r>
    <s v="bfe7729e-7d5d-4850-b496-51e891158836"/>
    <n v="36"/>
    <s v="Other"/>
    <s v="Basic"/>
    <n v="1.68"/>
    <x v="2"/>
    <x v="0"/>
    <x v="0"/>
    <n v="8.99"/>
    <n v="1"/>
    <n v="8.99"/>
    <x v="3"/>
    <n v="4"/>
    <n v="0.15"/>
    <s v="Action"/>
  </r>
  <r>
    <s v="783c7652-37b8-4be0-b8bc-fb51bd4b5578"/>
    <n v="27"/>
    <s v="Other"/>
    <s v="Premium"/>
    <n v="46.88"/>
    <x v="7"/>
    <x v="3"/>
    <x v="0"/>
    <n v="17.989999999999998"/>
    <n v="0"/>
    <n v="0"/>
    <x v="1"/>
    <n v="3"/>
    <n v="0.82"/>
    <s v="Drama"/>
  </r>
  <r>
    <s v="2117b36a-9e3e-4077-ac5b-03540bb38461"/>
    <n v="49"/>
    <s v="Male"/>
    <s v="Standard"/>
    <n v="4.22"/>
    <x v="34"/>
    <x v="3"/>
    <x v="3"/>
    <n v="13.99"/>
    <n v="1"/>
    <n v="13.99"/>
    <x v="0"/>
    <n v="2"/>
    <n v="0.08"/>
    <s v="Comedy"/>
  </r>
  <r>
    <s v="ceec2c10-9770-48d1-8366-344fa66195b1"/>
    <n v="54"/>
    <s v="Female"/>
    <s v="Basic"/>
    <n v="26.88"/>
    <x v="35"/>
    <x v="4"/>
    <x v="3"/>
    <n v="8.99"/>
    <n v="0"/>
    <n v="0"/>
    <x v="0"/>
    <n v="3"/>
    <n v="0.6"/>
    <s v="Drama"/>
  </r>
  <r>
    <s v="854b2bfd-6773-413f-b385-02338fa3a316"/>
    <n v="31"/>
    <s v="Female"/>
    <s v="Standard"/>
    <n v="2.23"/>
    <x v="36"/>
    <x v="5"/>
    <x v="1"/>
    <n v="13.99"/>
    <n v="1"/>
    <n v="13.99"/>
    <x v="2"/>
    <n v="5"/>
    <n v="0.06"/>
    <s v="Drama"/>
  </r>
  <r>
    <s v="ee53be31-fb36-41d9-8eb2-1a4c1d976552"/>
    <n v="31"/>
    <s v="Male"/>
    <s v="Premium"/>
    <n v="14.15"/>
    <x v="37"/>
    <x v="4"/>
    <x v="3"/>
    <n v="17.989999999999998"/>
    <n v="0"/>
    <n v="0"/>
    <x v="3"/>
    <n v="5"/>
    <n v="0.56999999999999995"/>
    <s v="Drama"/>
  </r>
  <r>
    <s v="c9c8202c-992c-4e6c-b04f-0e2961ea87cc"/>
    <n v="42"/>
    <s v="Female"/>
    <s v="Basic"/>
    <n v="49.49"/>
    <x v="36"/>
    <x v="1"/>
    <x v="1"/>
    <n v="8.99"/>
    <n v="0"/>
    <n v="0"/>
    <x v="4"/>
    <n v="5"/>
    <n v="1.24"/>
    <s v="Horror"/>
  </r>
  <r>
    <s v="022f9c7a-8276-494a-8629-086ad5e81df1"/>
    <n v="30"/>
    <s v="Male"/>
    <s v="Premium"/>
    <n v="8.7899999999999991"/>
    <x v="38"/>
    <x v="1"/>
    <x v="4"/>
    <n v="17.989999999999998"/>
    <n v="0"/>
    <n v="0"/>
    <x v="1"/>
    <n v="4"/>
    <n v="0.4"/>
    <s v="Comedy"/>
  </r>
  <r>
    <s v="1a0f21b6-454a-4a22-88a8-5045b9d00fa4"/>
    <n v="58"/>
    <s v="Male"/>
    <s v="Standard"/>
    <n v="14.57"/>
    <x v="39"/>
    <x v="5"/>
    <x v="1"/>
    <n v="13.99"/>
    <n v="0"/>
    <n v="0"/>
    <x v="2"/>
    <n v="2"/>
    <n v="0.63"/>
    <s v="Romance"/>
  </r>
  <r>
    <s v="616199ed-33c4-4ff5-9450-251fc608d3a1"/>
    <n v="63"/>
    <s v="Other"/>
    <s v="Standard"/>
    <n v="25.73"/>
    <x v="40"/>
    <x v="0"/>
    <x v="0"/>
    <n v="13.99"/>
    <n v="0"/>
    <n v="0"/>
    <x v="3"/>
    <n v="1"/>
    <n v="2.14"/>
    <s v="Comedy"/>
  </r>
  <r>
    <s v="d1593b1d-ef59-4d4a-a169-5ff338b8baef"/>
    <n v="60"/>
    <s v="Male"/>
    <s v="Standard"/>
    <n v="3.01"/>
    <x v="41"/>
    <x v="2"/>
    <x v="3"/>
    <n v="13.99"/>
    <n v="1"/>
    <n v="13.99"/>
    <x v="0"/>
    <n v="3"/>
    <n v="0.1"/>
    <s v="Documentary"/>
  </r>
  <r>
    <s v="749b69f5-8a24-428a-880c-86057af2a485"/>
    <n v="66"/>
    <s v="Male"/>
    <s v="Basic"/>
    <n v="12.05"/>
    <x v="12"/>
    <x v="4"/>
    <x v="4"/>
    <n v="8.99"/>
    <n v="1"/>
    <n v="8.99"/>
    <x v="3"/>
    <n v="3"/>
    <n v="0.35"/>
    <s v="Drama"/>
  </r>
  <r>
    <s v="a2eab47c-dc4c-427f-88f8-755051b303fb"/>
    <n v="51"/>
    <s v="Female"/>
    <s v="Premium"/>
    <n v="3.7"/>
    <x v="42"/>
    <x v="4"/>
    <x v="1"/>
    <n v="17.989999999999998"/>
    <n v="1"/>
    <n v="17.989999999999998"/>
    <x v="4"/>
    <n v="2"/>
    <n v="0.1"/>
    <s v="Horror"/>
  </r>
  <r>
    <s v="b313f39d-0675-4bef-9b10-573146872adf"/>
    <n v="63"/>
    <s v="Male"/>
    <s v="Premium"/>
    <n v="5.84"/>
    <x v="6"/>
    <x v="3"/>
    <x v="1"/>
    <n v="17.989999999999998"/>
    <n v="0"/>
    <n v="0"/>
    <x v="4"/>
    <n v="1"/>
    <n v="0.28000000000000003"/>
    <s v="Documentary"/>
  </r>
  <r>
    <s v="09a76bc9-4048-4403-8087-a31cdb16556e"/>
    <n v="31"/>
    <s v="Male"/>
    <s v="Basic"/>
    <n v="48.35"/>
    <x v="40"/>
    <x v="3"/>
    <x v="3"/>
    <n v="8.99"/>
    <n v="0"/>
    <n v="0"/>
    <x v="2"/>
    <n v="5"/>
    <n v="4.03"/>
    <s v="Comedy"/>
  </r>
  <r>
    <s v="af9b0f0d-9532-48f2-ad24-bf41faa164a6"/>
    <n v="55"/>
    <s v="Other"/>
    <s v="Standard"/>
    <n v="2.89"/>
    <x v="42"/>
    <x v="5"/>
    <x v="3"/>
    <n v="13.99"/>
    <n v="1"/>
    <n v="13.99"/>
    <x v="2"/>
    <n v="4"/>
    <n v="0.08"/>
    <s v="Action"/>
  </r>
  <r>
    <s v="ec202012-e4bf-4b14-b5fe-4447d8cfb730"/>
    <n v="38"/>
    <s v="Male"/>
    <s v="Premium"/>
    <n v="29.84"/>
    <x v="7"/>
    <x v="4"/>
    <x v="3"/>
    <n v="17.989999999999998"/>
    <n v="0"/>
    <n v="0"/>
    <x v="4"/>
    <n v="4"/>
    <n v="0.52"/>
    <s v="Drama"/>
  </r>
  <r>
    <s v="8c78b61b-0d41-4470-ade0-3ed2e2b36c28"/>
    <n v="65"/>
    <s v="Other"/>
    <s v="Standard"/>
    <n v="19.329999999999998"/>
    <x v="43"/>
    <x v="5"/>
    <x v="3"/>
    <n v="13.99"/>
    <n v="0"/>
    <n v="0"/>
    <x v="4"/>
    <n v="1"/>
    <n v="0.6"/>
    <s v="Comedy"/>
  </r>
  <r>
    <s v="da57899f-77b4-4b23-bcab-700db438f6d1"/>
    <n v="43"/>
    <s v="Female"/>
    <s v="Premium"/>
    <n v="2.5"/>
    <x v="12"/>
    <x v="1"/>
    <x v="0"/>
    <n v="17.989999999999998"/>
    <n v="1"/>
    <n v="17.989999999999998"/>
    <x v="4"/>
    <n v="3"/>
    <n v="7.0000000000000007E-2"/>
    <s v="Action"/>
  </r>
  <r>
    <s v="361aff57-8a5f-4229-b4f5-f52544178dc7"/>
    <n v="63"/>
    <s v="Male"/>
    <s v="Premium"/>
    <n v="6.97"/>
    <x v="43"/>
    <x v="5"/>
    <x v="4"/>
    <n v="17.989999999999998"/>
    <n v="1"/>
    <n v="17.989999999999998"/>
    <x v="1"/>
    <n v="1"/>
    <n v="0.22"/>
    <s v="Romance"/>
  </r>
  <r>
    <s v="900034d1-e7de-4e99-914e-4ad863061834"/>
    <n v="64"/>
    <s v="Female"/>
    <s v="Standard"/>
    <n v="3.66"/>
    <x v="21"/>
    <x v="0"/>
    <x v="1"/>
    <n v="13.99"/>
    <n v="0"/>
    <n v="0"/>
    <x v="3"/>
    <n v="1"/>
    <n v="0.52"/>
    <s v="Romance"/>
  </r>
  <r>
    <s v="6082e011-4f6d-4acb-93f2-3bfefd532880"/>
    <n v="58"/>
    <s v="Female"/>
    <s v="Basic"/>
    <n v="30.85"/>
    <x v="44"/>
    <x v="5"/>
    <x v="1"/>
    <n v="8.99"/>
    <n v="0"/>
    <n v="0"/>
    <x v="2"/>
    <n v="5"/>
    <n v="0.66"/>
    <s v="Action"/>
  </r>
  <r>
    <s v="4c7d404a-ebd5-4881-9fb5-302ad47f2fb8"/>
    <n v="31"/>
    <s v="Male"/>
    <s v="Standard"/>
    <n v="1.77"/>
    <x v="8"/>
    <x v="1"/>
    <x v="0"/>
    <n v="13.99"/>
    <n v="1"/>
    <n v="13.99"/>
    <x v="3"/>
    <n v="3"/>
    <n v="0.05"/>
    <s v="Sci-Fi"/>
  </r>
  <r>
    <s v="33146637-8d6b-4a63-b0be-65c67a894825"/>
    <n v="62"/>
    <s v="Other"/>
    <s v="Standard"/>
    <n v="16.649999999999999"/>
    <x v="45"/>
    <x v="5"/>
    <x v="4"/>
    <n v="13.99"/>
    <n v="1"/>
    <n v="13.99"/>
    <x v="2"/>
    <n v="3"/>
    <n v="0.4"/>
    <s v="Romance"/>
  </r>
  <r>
    <s v="746cea20-f12a-4b78-900d-fe19b5eaf91d"/>
    <n v="35"/>
    <s v="Male"/>
    <s v="Standard"/>
    <n v="25.08"/>
    <x v="46"/>
    <x v="3"/>
    <x v="0"/>
    <n v="13.99"/>
    <n v="0"/>
    <n v="0"/>
    <x v="1"/>
    <n v="5"/>
    <n v="8.36"/>
    <s v="Action"/>
  </r>
  <r>
    <s v="44361538-0ea0-4b91-bef5-4c5af2dc15bd"/>
    <n v="34"/>
    <s v="Other"/>
    <s v="Standard"/>
    <n v="23.2"/>
    <x v="20"/>
    <x v="2"/>
    <x v="4"/>
    <n v="13.99"/>
    <n v="0"/>
    <n v="0"/>
    <x v="2"/>
    <n v="1"/>
    <n v="1.22"/>
    <s v="Comedy"/>
  </r>
  <r>
    <s v="05e8a643-0a5c-4413-ae75-a4dcdccf9c62"/>
    <n v="65"/>
    <s v="Other"/>
    <s v="Premium"/>
    <n v="37.82"/>
    <x v="43"/>
    <x v="3"/>
    <x v="4"/>
    <n v="17.989999999999998"/>
    <n v="0"/>
    <n v="0"/>
    <x v="0"/>
    <n v="3"/>
    <n v="1.18"/>
    <s v="Sci-Fi"/>
  </r>
  <r>
    <s v="85b74247-a98b-47b1-91ba-8b7db3c3662c"/>
    <n v="68"/>
    <s v="Male"/>
    <s v="Standard"/>
    <n v="28.44"/>
    <x v="22"/>
    <x v="1"/>
    <x v="2"/>
    <n v="13.99"/>
    <n v="0"/>
    <n v="0"/>
    <x v="1"/>
    <n v="3"/>
    <n v="0.51"/>
    <s v="Romance"/>
  </r>
  <r>
    <s v="aaf3513b-97c7-46fa-b889-0d78c2ca0be7"/>
    <n v="46"/>
    <s v="Other"/>
    <s v="Standard"/>
    <n v="13.38"/>
    <x v="47"/>
    <x v="4"/>
    <x v="2"/>
    <n v="13.99"/>
    <n v="0"/>
    <n v="0"/>
    <x v="4"/>
    <n v="2"/>
    <n v="3.35"/>
    <s v="Romance"/>
  </r>
  <r>
    <s v="62d2ca00-38a2-4f3b-a517-e212fb24e26e"/>
    <n v="62"/>
    <s v="Female"/>
    <s v="Standard"/>
    <n v="14.8"/>
    <x v="15"/>
    <x v="4"/>
    <x v="1"/>
    <n v="13.99"/>
    <n v="1"/>
    <n v="13.99"/>
    <x v="1"/>
    <n v="5"/>
    <n v="0.36"/>
    <s v="Drama"/>
  </r>
  <r>
    <s v="005b6afc-cff9-432f-ae0e-265d9acb5a59"/>
    <n v="63"/>
    <s v="Other"/>
    <s v="Premium"/>
    <n v="3.39"/>
    <x v="18"/>
    <x v="4"/>
    <x v="1"/>
    <n v="17.989999999999998"/>
    <n v="1"/>
    <n v="17.989999999999998"/>
    <x v="3"/>
    <n v="4"/>
    <n v="0.06"/>
    <s v="Sci-Fi"/>
  </r>
  <r>
    <s v="4dbbc3f7-6ede-48ad-bf36-84c7e9188e3c"/>
    <n v="62"/>
    <s v="Female"/>
    <s v="Premium"/>
    <n v="13.15"/>
    <x v="40"/>
    <x v="3"/>
    <x v="3"/>
    <n v="17.989999999999998"/>
    <n v="0"/>
    <n v="0"/>
    <x v="2"/>
    <n v="1"/>
    <n v="1.1000000000000001"/>
    <s v="Comedy"/>
  </r>
  <r>
    <s v="60559c1a-4093-4379-9e24-d2f033256395"/>
    <n v="41"/>
    <s v="Male"/>
    <s v="Basic"/>
    <n v="15.26"/>
    <x v="38"/>
    <x v="4"/>
    <x v="3"/>
    <n v="8.99"/>
    <n v="0"/>
    <n v="0"/>
    <x v="2"/>
    <n v="5"/>
    <n v="0.69"/>
    <s v="Drama"/>
  </r>
  <r>
    <s v="842cacde-7763-4505-bef1-538dedd13be7"/>
    <n v="27"/>
    <s v="Other"/>
    <s v="Premium"/>
    <n v="79.17"/>
    <x v="3"/>
    <x v="4"/>
    <x v="4"/>
    <n v="17.989999999999998"/>
    <n v="0"/>
    <n v="0"/>
    <x v="2"/>
    <n v="2"/>
    <n v="6.09"/>
    <s v="Drama"/>
  </r>
  <r>
    <s v="73772dd0-a793-479a-a5fa-51423747291a"/>
    <n v="60"/>
    <s v="Female"/>
    <s v="Basic"/>
    <n v="9.1300000000000008"/>
    <x v="19"/>
    <x v="5"/>
    <x v="2"/>
    <n v="8.99"/>
    <n v="1"/>
    <n v="8.99"/>
    <x v="2"/>
    <n v="1"/>
    <n v="0.21"/>
    <s v="Documentary"/>
  </r>
  <r>
    <s v="52aa9ac1-8625-4421-8d2c-3ed00cf83389"/>
    <n v="60"/>
    <s v="Male"/>
    <s v="Premium"/>
    <n v="3.29"/>
    <x v="6"/>
    <x v="2"/>
    <x v="1"/>
    <n v="17.989999999999998"/>
    <n v="1"/>
    <n v="17.989999999999998"/>
    <x v="2"/>
    <n v="2"/>
    <n v="0.16"/>
    <s v="Drama"/>
  </r>
  <r>
    <s v="72452f35-f1ef-4881-a0f6-df6de0351844"/>
    <n v="58"/>
    <s v="Female"/>
    <s v="Standard"/>
    <n v="9.52"/>
    <x v="48"/>
    <x v="1"/>
    <x v="2"/>
    <n v="13.99"/>
    <n v="1"/>
    <n v="13.99"/>
    <x v="3"/>
    <n v="1"/>
    <n v="0.18"/>
    <s v="Sci-Fi"/>
  </r>
  <r>
    <s v="fdf130c6-cd3c-434b-abbf-4645c8ca928d"/>
    <n v="18"/>
    <s v="Male"/>
    <s v="Standard"/>
    <n v="3.56"/>
    <x v="11"/>
    <x v="3"/>
    <x v="4"/>
    <n v="13.99"/>
    <n v="0"/>
    <n v="0"/>
    <x v="2"/>
    <n v="4"/>
    <n v="0.15"/>
    <s v="Horror"/>
  </r>
  <r>
    <s v="f3dd9f07-99ca-4425-8eaa-62f1a949e8b1"/>
    <n v="48"/>
    <s v="Other"/>
    <s v="Premium"/>
    <n v="11.1"/>
    <x v="45"/>
    <x v="0"/>
    <x v="1"/>
    <n v="17.989999999999998"/>
    <n v="1"/>
    <n v="17.989999999999998"/>
    <x v="0"/>
    <n v="5"/>
    <n v="0.26"/>
    <s v="Documentary"/>
  </r>
  <r>
    <s v="f67b2663-cc48-4d48-a855-fc3e1e323a0f"/>
    <n v="26"/>
    <s v="Other"/>
    <s v="Standard"/>
    <n v="23.13"/>
    <x v="16"/>
    <x v="3"/>
    <x v="1"/>
    <n v="13.99"/>
    <n v="0"/>
    <n v="0"/>
    <x v="2"/>
    <n v="2"/>
    <n v="0.83"/>
    <s v="Documentary"/>
  </r>
  <r>
    <s v="da8c00ec-40b0-400a-90b6-ed24b0b37c89"/>
    <n v="21"/>
    <s v="Male"/>
    <s v="Premium"/>
    <n v="9.91"/>
    <x v="16"/>
    <x v="2"/>
    <x v="3"/>
    <n v="17.989999999999998"/>
    <n v="0"/>
    <n v="0"/>
    <x v="2"/>
    <n v="2"/>
    <n v="0.35"/>
    <s v="Sci-Fi"/>
  </r>
  <r>
    <s v="6be0b14c-eaea-4580-b845-457df93bb828"/>
    <n v="46"/>
    <s v="Other"/>
    <s v="Basic"/>
    <n v="6.22"/>
    <x v="9"/>
    <x v="2"/>
    <x v="2"/>
    <n v="8.99"/>
    <n v="1"/>
    <n v="8.99"/>
    <x v="4"/>
    <n v="2"/>
    <n v="0.17"/>
    <s v="Horror"/>
  </r>
  <r>
    <s v="134e6a09-9723-4652-9213-fbfecaa84377"/>
    <n v="62"/>
    <s v="Female"/>
    <s v="Premium"/>
    <n v="0.45"/>
    <x v="6"/>
    <x v="1"/>
    <x v="4"/>
    <n v="17.989999999999998"/>
    <n v="0"/>
    <n v="0"/>
    <x v="2"/>
    <n v="5"/>
    <n v="0.02"/>
    <s v="Sci-Fi"/>
  </r>
  <r>
    <s v="31563b13-7c8d-41c6-bdf2-6a1a554574cd"/>
    <n v="35"/>
    <s v="Female"/>
    <s v="Standard"/>
    <n v="17.53"/>
    <x v="10"/>
    <x v="3"/>
    <x v="2"/>
    <n v="13.99"/>
    <n v="1"/>
    <n v="13.99"/>
    <x v="4"/>
    <n v="1"/>
    <n v="0.45"/>
    <s v="Action"/>
  </r>
  <r>
    <s v="ce40f5f8-42ee-44e2-b754-bd3a626cf48d"/>
    <n v="61"/>
    <s v="Female"/>
    <s v="Standard"/>
    <n v="4.5199999999999996"/>
    <x v="38"/>
    <x v="1"/>
    <x v="4"/>
    <n v="13.99"/>
    <n v="1"/>
    <n v="13.99"/>
    <x v="1"/>
    <n v="2"/>
    <n v="0.21"/>
    <s v="Drama"/>
  </r>
  <r>
    <s v="2682c90e-8e16-4cb6-88ae-1348cd5a62fb"/>
    <n v="37"/>
    <s v="Male"/>
    <s v="Basic"/>
    <n v="9.69"/>
    <x v="37"/>
    <x v="2"/>
    <x v="1"/>
    <n v="8.99"/>
    <n v="0"/>
    <n v="0"/>
    <x v="4"/>
    <n v="4"/>
    <n v="0.39"/>
    <s v="Horror"/>
  </r>
  <r>
    <s v="84cbf173-d71c-49cf-b015-0ea96838663a"/>
    <n v="46"/>
    <s v="Female"/>
    <s v="Standard"/>
    <n v="5.78"/>
    <x v="17"/>
    <x v="2"/>
    <x v="2"/>
    <n v="13.99"/>
    <n v="0"/>
    <n v="0"/>
    <x v="4"/>
    <n v="2"/>
    <n v="1.1599999999999999"/>
    <s v="Sci-Fi"/>
  </r>
  <r>
    <s v="55587cf4-5322-467e-8066-2ac35e023421"/>
    <n v="41"/>
    <s v="Female"/>
    <s v="Premium"/>
    <n v="18.87"/>
    <x v="49"/>
    <x v="1"/>
    <x v="0"/>
    <n v="17.989999999999998"/>
    <n v="0"/>
    <n v="0"/>
    <x v="0"/>
    <n v="3"/>
    <n v="1.89"/>
    <s v="Documentary"/>
  </r>
  <r>
    <s v="72c5f29b-8e0a-4b81-99c2-6db14fd602a6"/>
    <n v="21"/>
    <s v="Female"/>
    <s v="Premium"/>
    <n v="4.8899999999999997"/>
    <x v="47"/>
    <x v="3"/>
    <x v="3"/>
    <n v="17.989999999999998"/>
    <n v="0"/>
    <n v="0"/>
    <x v="2"/>
    <n v="4"/>
    <n v="1.22"/>
    <s v="Sci-Fi"/>
  </r>
  <r>
    <s v="f1e8f248-727d-47f5-92da-d6f7610cfc5b"/>
    <n v="55"/>
    <s v="Female"/>
    <s v="Premium"/>
    <n v="1.66"/>
    <x v="50"/>
    <x v="3"/>
    <x v="0"/>
    <n v="17.989999999999998"/>
    <n v="1"/>
    <n v="17.989999999999998"/>
    <x v="3"/>
    <n v="4"/>
    <n v="0.03"/>
    <s v="Drama"/>
  </r>
  <r>
    <s v="1cb5c1a8-8724-4edc-8255-06b1152f5dea"/>
    <n v="64"/>
    <s v="Female"/>
    <s v="Premium"/>
    <n v="4.42"/>
    <x v="51"/>
    <x v="4"/>
    <x v="2"/>
    <n v="17.989999999999998"/>
    <n v="1"/>
    <n v="17.989999999999998"/>
    <x v="1"/>
    <n v="3"/>
    <n v="0.25"/>
    <s v="Horror"/>
  </r>
  <r>
    <s v="72e27837-1995-4843-8284-fadf89a8cfe8"/>
    <n v="36"/>
    <s v="Other"/>
    <s v="Premium"/>
    <n v="13.38"/>
    <x v="39"/>
    <x v="5"/>
    <x v="1"/>
    <n v="17.989999999999998"/>
    <n v="0"/>
    <n v="0"/>
    <x v="0"/>
    <n v="4"/>
    <n v="0.57999999999999996"/>
    <s v="Documentary"/>
  </r>
  <r>
    <s v="40e78b9f-b88b-4eb9-b6dd-f288901b072d"/>
    <n v="67"/>
    <s v="Female"/>
    <s v="Premium"/>
    <n v="9.8699999999999992"/>
    <x v="21"/>
    <x v="1"/>
    <x v="0"/>
    <n v="17.989999999999998"/>
    <n v="0"/>
    <n v="0"/>
    <x v="3"/>
    <n v="3"/>
    <n v="1.41"/>
    <s v="Action"/>
  </r>
  <r>
    <s v="c82cb034-7c20-47af-901e-91379d90a183"/>
    <n v="23"/>
    <s v="Female"/>
    <s v="Premium"/>
    <n v="23.6"/>
    <x v="7"/>
    <x v="4"/>
    <x v="0"/>
    <n v="17.989999999999998"/>
    <n v="0"/>
    <n v="0"/>
    <x v="3"/>
    <n v="4"/>
    <n v="0.41"/>
    <s v="Sci-Fi"/>
  </r>
  <r>
    <s v="6d9e258d-3110-475f-ac1c-1eba0f56b7e8"/>
    <n v="19"/>
    <s v="Male"/>
    <s v="Basic"/>
    <n v="3.89"/>
    <x v="12"/>
    <x v="5"/>
    <x v="1"/>
    <n v="8.99"/>
    <n v="1"/>
    <n v="8.99"/>
    <x v="4"/>
    <n v="1"/>
    <n v="0.11"/>
    <s v="Romance"/>
  </r>
  <r>
    <s v="a9661b26-d812-406e-a1e2-58f640879a0a"/>
    <n v="20"/>
    <s v="Other"/>
    <s v="Premium"/>
    <n v="3.4"/>
    <x v="12"/>
    <x v="0"/>
    <x v="4"/>
    <n v="17.989999999999998"/>
    <n v="1"/>
    <n v="17.989999999999998"/>
    <x v="1"/>
    <n v="5"/>
    <n v="0.1"/>
    <s v="Drama"/>
  </r>
  <r>
    <s v="747d7b40-97b1-4207-923c-72d5c3e65343"/>
    <n v="50"/>
    <s v="Female"/>
    <s v="Standard"/>
    <n v="3.58"/>
    <x v="50"/>
    <x v="1"/>
    <x v="4"/>
    <n v="13.99"/>
    <n v="1"/>
    <n v="13.99"/>
    <x v="4"/>
    <n v="4"/>
    <n v="7.0000000000000007E-2"/>
    <s v="Romance"/>
  </r>
  <r>
    <s v="8ba94dad-4f0e-4aaf-b8d5-c8b4deb2195b"/>
    <n v="33"/>
    <s v="Other"/>
    <s v="Premium"/>
    <n v="31.11"/>
    <x v="36"/>
    <x v="4"/>
    <x v="1"/>
    <n v="17.989999999999998"/>
    <n v="0"/>
    <n v="0"/>
    <x v="1"/>
    <n v="4"/>
    <n v="0.78"/>
    <s v="Comedy"/>
  </r>
  <r>
    <s v="cd2fbe59-0226-47ac-83f9-3aad8fdd9fd1"/>
    <n v="31"/>
    <s v="Other"/>
    <s v="Premium"/>
    <n v="2.81"/>
    <x v="36"/>
    <x v="1"/>
    <x v="3"/>
    <n v="17.989999999999998"/>
    <n v="1"/>
    <n v="17.989999999999998"/>
    <x v="4"/>
    <n v="5"/>
    <n v="7.0000000000000007E-2"/>
    <s v="Horror"/>
  </r>
  <r>
    <s v="e443c6b3-1d47-4274-b231-23f2ffe08dc9"/>
    <n v="20"/>
    <s v="Male"/>
    <s v="Standard"/>
    <n v="9.8699999999999992"/>
    <x v="0"/>
    <x v="0"/>
    <x v="3"/>
    <n v="13.99"/>
    <n v="0"/>
    <n v="0"/>
    <x v="3"/>
    <n v="3"/>
    <n v="0.33"/>
    <s v="Documentary"/>
  </r>
  <r>
    <s v="7fdace55-3767-41d2-85d3-e43a5eddede6"/>
    <n v="18"/>
    <s v="Female"/>
    <s v="Basic"/>
    <n v="35.520000000000003"/>
    <x v="15"/>
    <x v="4"/>
    <x v="4"/>
    <n v="8.99"/>
    <n v="0"/>
    <n v="0"/>
    <x v="1"/>
    <n v="3"/>
    <n v="0.87"/>
    <s v="Action"/>
  </r>
  <r>
    <s v="85d2824e-34b3-4e81-8e27-d1426f49ae4b"/>
    <n v="31"/>
    <s v="Male"/>
    <s v="Premium"/>
    <n v="4.5999999999999996"/>
    <x v="30"/>
    <x v="4"/>
    <x v="3"/>
    <n v="17.989999999999998"/>
    <n v="0"/>
    <n v="0"/>
    <x v="0"/>
    <n v="1"/>
    <n v="2.2999999999999998"/>
    <s v="Sci-Fi"/>
  </r>
  <r>
    <s v="4b1e6601-b97e-479b-b01c-5228f3c6681e"/>
    <n v="47"/>
    <s v="Other"/>
    <s v="Premium"/>
    <n v="14.24"/>
    <x v="42"/>
    <x v="0"/>
    <x v="4"/>
    <n v="17.989999999999998"/>
    <n v="1"/>
    <n v="17.989999999999998"/>
    <x v="0"/>
    <n v="2"/>
    <n v="0.37"/>
    <s v="Documentary"/>
  </r>
  <r>
    <s v="fa19687b-872c-4163-a900-59f1b4098ed9"/>
    <n v="49"/>
    <s v="Female"/>
    <s v="Basic"/>
    <n v="2.9"/>
    <x v="44"/>
    <x v="2"/>
    <x v="1"/>
    <n v="8.99"/>
    <n v="1"/>
    <n v="8.99"/>
    <x v="2"/>
    <n v="2"/>
    <n v="0.06"/>
    <s v="Horror"/>
  </r>
  <r>
    <s v="90b17b2a-6b37-4913-acb5-70b9a7fb7400"/>
    <n v="30"/>
    <s v="Female"/>
    <s v="Basic"/>
    <n v="24.74"/>
    <x v="51"/>
    <x v="3"/>
    <x v="2"/>
    <n v="8.99"/>
    <n v="0"/>
    <n v="0"/>
    <x v="4"/>
    <n v="5"/>
    <n v="1.37"/>
    <s v="Comedy"/>
  </r>
  <r>
    <s v="f2d0a49a-a99d-440c-8495-66a3e2e4d7f9"/>
    <n v="22"/>
    <s v="Other"/>
    <s v="Basic"/>
    <n v="2.93"/>
    <x v="16"/>
    <x v="2"/>
    <x v="0"/>
    <n v="8.99"/>
    <n v="1"/>
    <n v="8.99"/>
    <x v="0"/>
    <n v="2"/>
    <n v="0.1"/>
    <s v="Sci-Fi"/>
  </r>
  <r>
    <s v="79f6a459-5e71-40e9-831a-8657ed6f160b"/>
    <n v="61"/>
    <s v="Other"/>
    <s v="Standard"/>
    <n v="5.98"/>
    <x v="30"/>
    <x v="5"/>
    <x v="4"/>
    <n v="13.99"/>
    <n v="0"/>
    <n v="0"/>
    <x v="0"/>
    <n v="5"/>
    <n v="2.99"/>
    <s v="Romance"/>
  </r>
  <r>
    <s v="fd3c898e-3bfd-453b-b00e-839eaf2dd443"/>
    <n v="59"/>
    <s v="Other"/>
    <s v="Premium"/>
    <n v="24.59"/>
    <x v="52"/>
    <x v="5"/>
    <x v="3"/>
    <n v="17.989999999999998"/>
    <n v="0"/>
    <n v="0"/>
    <x v="1"/>
    <n v="3"/>
    <n v="0.49"/>
    <s v="Romance"/>
  </r>
  <r>
    <s v="d88332b4-4d6a-49a9-a74c-55a5d43f3785"/>
    <n v="42"/>
    <s v="Male"/>
    <s v="Premium"/>
    <n v="18.170000000000002"/>
    <x v="46"/>
    <x v="4"/>
    <x v="2"/>
    <n v="17.989999999999998"/>
    <n v="0"/>
    <n v="0"/>
    <x v="1"/>
    <n v="4"/>
    <n v="6.06"/>
    <s v="Sci-Fi"/>
  </r>
  <r>
    <s v="ad1d5a11-4a28-49fe-ab0d-9d9708af9ae4"/>
    <n v="21"/>
    <s v="Female"/>
    <s v="Basic"/>
    <n v="13.97"/>
    <x v="32"/>
    <x v="5"/>
    <x v="2"/>
    <n v="8.99"/>
    <n v="0"/>
    <n v="0"/>
    <x v="4"/>
    <n v="3"/>
    <n v="0.93"/>
    <s v="Romance"/>
  </r>
  <r>
    <s v="f5a0302a-6df7-4cad-b563-199ad2af75da"/>
    <n v="35"/>
    <s v="Male"/>
    <s v="Basic"/>
    <n v="4.58"/>
    <x v="53"/>
    <x v="4"/>
    <x v="4"/>
    <n v="8.99"/>
    <n v="1"/>
    <n v="8.99"/>
    <x v="4"/>
    <n v="4"/>
    <n v="0.11"/>
    <s v="Romance"/>
  </r>
  <r>
    <s v="2dab7db6-0652-42aa-9bbd-c685fadca648"/>
    <n v="32"/>
    <s v="Other"/>
    <s v="Basic"/>
    <n v="17.18"/>
    <x v="39"/>
    <x v="0"/>
    <x v="0"/>
    <n v="8.99"/>
    <n v="0"/>
    <n v="0"/>
    <x v="1"/>
    <n v="4"/>
    <n v="0.75"/>
    <s v="Romance"/>
  </r>
  <r>
    <s v="123f622f-26f1-431d-bc19-2219c6e7fc86"/>
    <n v="65"/>
    <s v="Female"/>
    <s v="Premium"/>
    <n v="4.8899999999999997"/>
    <x v="21"/>
    <x v="2"/>
    <x v="0"/>
    <n v="17.989999999999998"/>
    <n v="0"/>
    <n v="0"/>
    <x v="0"/>
    <n v="1"/>
    <n v="0.7"/>
    <s v="Documentary"/>
  </r>
  <r>
    <s v="4b9d865e-50f1-447e-8e49-89d2c6acd3b3"/>
    <n v="59"/>
    <s v="Other"/>
    <s v="Standard"/>
    <n v="6.77"/>
    <x v="39"/>
    <x v="3"/>
    <x v="4"/>
    <n v="13.99"/>
    <n v="0"/>
    <n v="0"/>
    <x v="2"/>
    <n v="1"/>
    <n v="0.28999999999999998"/>
    <s v="Sci-Fi"/>
  </r>
  <r>
    <s v="4891e3c6-f53b-45af-ad62-12572f687302"/>
    <n v="70"/>
    <s v="Other"/>
    <s v="Basic"/>
    <n v="1.28"/>
    <x v="24"/>
    <x v="2"/>
    <x v="1"/>
    <n v="8.99"/>
    <n v="1"/>
    <n v="8.99"/>
    <x v="4"/>
    <n v="5"/>
    <n v="0.02"/>
    <s v="Action"/>
  </r>
  <r>
    <s v="2e3a45b3-b511-42dd-b3e3-e9ce9d182b7a"/>
    <n v="63"/>
    <s v="Male"/>
    <s v="Premium"/>
    <n v="8.5399999999999991"/>
    <x v="48"/>
    <x v="5"/>
    <x v="4"/>
    <n v="17.989999999999998"/>
    <n v="0"/>
    <n v="0"/>
    <x v="4"/>
    <n v="5"/>
    <n v="0.16"/>
    <s v="Documentary"/>
  </r>
  <r>
    <s v="5519a119-ca14-4ca1-9518-40ab23d4ea93"/>
    <n v="29"/>
    <s v="Other"/>
    <s v="Basic"/>
    <n v="17.579999999999998"/>
    <x v="46"/>
    <x v="1"/>
    <x v="3"/>
    <n v="8.99"/>
    <n v="0"/>
    <n v="0"/>
    <x v="3"/>
    <n v="1"/>
    <n v="5.86"/>
    <s v="Action"/>
  </r>
  <r>
    <s v="ccaded82-6e9b-4863-b165-cb90cb39fd26"/>
    <n v="30"/>
    <s v="Other"/>
    <s v="Basic"/>
    <n v="9.2799999999999994"/>
    <x v="35"/>
    <x v="5"/>
    <x v="4"/>
    <n v="8.99"/>
    <n v="1"/>
    <n v="8.99"/>
    <x v="3"/>
    <n v="4"/>
    <n v="0.21"/>
    <s v="Action"/>
  </r>
  <r>
    <s v="52c7f909-500a-4c6d-851d-e504c27ec859"/>
    <n v="52"/>
    <s v="Other"/>
    <s v="Basic"/>
    <n v="6.18"/>
    <x v="45"/>
    <x v="4"/>
    <x v="4"/>
    <n v="8.99"/>
    <n v="1"/>
    <n v="8.99"/>
    <x v="0"/>
    <n v="3"/>
    <n v="0.15"/>
    <s v="Comedy"/>
  </r>
  <r>
    <s v="d019bb17-c284-4b18-b15e-a8625a16d93f"/>
    <n v="49"/>
    <s v="Other"/>
    <s v="Standard"/>
    <n v="5.88"/>
    <x v="15"/>
    <x v="5"/>
    <x v="1"/>
    <n v="13.99"/>
    <n v="1"/>
    <n v="13.99"/>
    <x v="1"/>
    <n v="2"/>
    <n v="0.14000000000000001"/>
    <s v="Action"/>
  </r>
  <r>
    <s v="efe01bcd-e159-4494-a1d3-6e8432a0c269"/>
    <n v="33"/>
    <s v="Male"/>
    <s v="Standard"/>
    <n v="2.86"/>
    <x v="41"/>
    <x v="1"/>
    <x v="4"/>
    <n v="13.99"/>
    <n v="1"/>
    <n v="13.99"/>
    <x v="0"/>
    <n v="5"/>
    <n v="0.09"/>
    <s v="Drama"/>
  </r>
  <r>
    <s v="552fb14c-c171-4f05-895a-61d49233686b"/>
    <n v="22"/>
    <s v="Female"/>
    <s v="Basic"/>
    <n v="3.71"/>
    <x v="54"/>
    <x v="1"/>
    <x v="0"/>
    <n v="8.99"/>
    <n v="1"/>
    <n v="8.99"/>
    <x v="1"/>
    <n v="1"/>
    <n v="0.13"/>
    <s v="Horror"/>
  </r>
  <r>
    <s v="99e08a07-d0de-46c9-997d-1fb9452bea46"/>
    <n v="29"/>
    <s v="Male"/>
    <s v="Basic"/>
    <n v="1.7"/>
    <x v="19"/>
    <x v="4"/>
    <x v="1"/>
    <n v="8.99"/>
    <n v="1"/>
    <n v="8.99"/>
    <x v="2"/>
    <n v="5"/>
    <n v="0.04"/>
    <s v="Horror"/>
  </r>
  <r>
    <s v="45291e8c-5116-4068-9168-545eecfaf691"/>
    <n v="67"/>
    <s v="Female"/>
    <s v="Standard"/>
    <n v="1.02"/>
    <x v="6"/>
    <x v="1"/>
    <x v="2"/>
    <n v="13.99"/>
    <n v="1"/>
    <n v="13.99"/>
    <x v="0"/>
    <n v="1"/>
    <n v="0.05"/>
    <s v="Sci-Fi"/>
  </r>
  <r>
    <s v="00477256-578d-4abd-8ed8-3a5e75539e7a"/>
    <n v="53"/>
    <s v="Female"/>
    <s v="Premium"/>
    <n v="1.36"/>
    <x v="28"/>
    <x v="4"/>
    <x v="1"/>
    <n v="17.989999999999998"/>
    <n v="1"/>
    <n v="17.989999999999998"/>
    <x v="0"/>
    <n v="2"/>
    <n v="0.04"/>
    <s v="Romance"/>
  </r>
  <r>
    <s v="a8f0268f-cb07-4c40-9fde-dbe0f1c737fc"/>
    <n v="40"/>
    <s v="Male"/>
    <s v="Premium"/>
    <n v="12.26"/>
    <x v="47"/>
    <x v="5"/>
    <x v="1"/>
    <n v="17.989999999999998"/>
    <n v="0"/>
    <n v="0"/>
    <x v="2"/>
    <n v="5"/>
    <n v="3.06"/>
    <s v="Romance"/>
  </r>
  <r>
    <s v="3b237337-1044-4e5d-a612-e1a9e5f6eb36"/>
    <n v="56"/>
    <s v="Other"/>
    <s v="Premium"/>
    <n v="1.43"/>
    <x v="27"/>
    <x v="1"/>
    <x v="2"/>
    <n v="17.989999999999998"/>
    <n v="1"/>
    <n v="17.989999999999998"/>
    <x v="2"/>
    <n v="2"/>
    <n v="0.08"/>
    <s v="Action"/>
  </r>
  <r>
    <s v="80e4a598-68b9-48e1-8bc0-4dbfa54d769e"/>
    <n v="35"/>
    <s v="Female"/>
    <s v="Basic"/>
    <n v="26.9"/>
    <x v="52"/>
    <x v="4"/>
    <x v="3"/>
    <n v="8.99"/>
    <n v="0"/>
    <n v="0"/>
    <x v="0"/>
    <n v="2"/>
    <n v="0.54"/>
    <s v="Drama"/>
  </r>
  <r>
    <s v="33563d42-7f51-405c-8328-8cd881128656"/>
    <n v="54"/>
    <s v="Male"/>
    <s v="Basic"/>
    <n v="3.13"/>
    <x v="27"/>
    <x v="3"/>
    <x v="0"/>
    <n v="8.99"/>
    <n v="1"/>
    <n v="8.99"/>
    <x v="4"/>
    <n v="5"/>
    <n v="0.18"/>
    <s v="Drama"/>
  </r>
  <r>
    <s v="4949efaa-be29-41cc-a0ee-683eaa53f442"/>
    <n v="19"/>
    <s v="Other"/>
    <s v="Basic"/>
    <n v="3.72"/>
    <x v="40"/>
    <x v="2"/>
    <x v="3"/>
    <n v="8.99"/>
    <n v="1"/>
    <n v="8.99"/>
    <x v="1"/>
    <n v="5"/>
    <n v="0.31"/>
    <s v="Documentary"/>
  </r>
  <r>
    <s v="4cea2a42-ffdf-49e0-a1c0-5a13b3bdffe3"/>
    <n v="28"/>
    <s v="Male"/>
    <s v="Premium"/>
    <n v="16.170000000000002"/>
    <x v="44"/>
    <x v="0"/>
    <x v="2"/>
    <n v="17.989999999999998"/>
    <n v="1"/>
    <n v="17.989999999999998"/>
    <x v="1"/>
    <n v="4"/>
    <n v="0.34"/>
    <s v="Horror"/>
  </r>
  <r>
    <s v="e301bbbc-80e3-4e8a-9016-545ab980b0cf"/>
    <n v="19"/>
    <s v="Other"/>
    <s v="Basic"/>
    <n v="5.18"/>
    <x v="19"/>
    <x v="1"/>
    <x v="4"/>
    <n v="8.99"/>
    <n v="1"/>
    <n v="8.99"/>
    <x v="3"/>
    <n v="4"/>
    <n v="0.12"/>
    <s v="Horror"/>
  </r>
  <r>
    <s v="5945dc09-1b5b-4511-ac0d-20135699628e"/>
    <n v="34"/>
    <s v="Male"/>
    <s v="Basic"/>
    <n v="1.89"/>
    <x v="55"/>
    <x v="2"/>
    <x v="4"/>
    <n v="8.99"/>
    <n v="1"/>
    <n v="8.99"/>
    <x v="4"/>
    <n v="5"/>
    <n v="0.03"/>
    <s v="Action"/>
  </r>
  <r>
    <s v="69281385-44f2-48fb-abf2-dc483ee5be8b"/>
    <n v="19"/>
    <s v="Male"/>
    <s v="Premium"/>
    <n v="8.0299999999999994"/>
    <x v="30"/>
    <x v="2"/>
    <x v="0"/>
    <n v="17.989999999999998"/>
    <n v="0"/>
    <n v="0"/>
    <x v="0"/>
    <n v="3"/>
    <n v="4.01"/>
    <s v="Drama"/>
  </r>
  <r>
    <s v="844f2522-32e3-4f44-a960-cd0c13881618"/>
    <n v="45"/>
    <s v="Other"/>
    <s v="Basic"/>
    <n v="3.4"/>
    <x v="16"/>
    <x v="5"/>
    <x v="2"/>
    <n v="8.99"/>
    <n v="1"/>
    <n v="8.99"/>
    <x v="1"/>
    <n v="3"/>
    <n v="0.12"/>
    <s v="Sci-Fi"/>
  </r>
  <r>
    <s v="8bc108d0-ddb9-4aa9-8c28-081008f38cb6"/>
    <n v="50"/>
    <s v="Other"/>
    <s v="Basic"/>
    <n v="0.11"/>
    <x v="30"/>
    <x v="4"/>
    <x v="4"/>
    <n v="8.99"/>
    <n v="1"/>
    <n v="8.99"/>
    <x v="0"/>
    <n v="2"/>
    <n v="0.06"/>
    <s v="Sci-Fi"/>
  </r>
  <r>
    <s v="7bb33e01-e208-48b0-9c0b-cd38833b1124"/>
    <n v="47"/>
    <s v="Female"/>
    <s v="Standard"/>
    <n v="40.119999999999997"/>
    <x v="22"/>
    <x v="0"/>
    <x v="3"/>
    <n v="13.99"/>
    <n v="0"/>
    <n v="0"/>
    <x v="3"/>
    <n v="1"/>
    <n v="0.72"/>
    <s v="Action"/>
  </r>
  <r>
    <s v="21f1a30f-ff82-424c-b085-7770795446c1"/>
    <n v="40"/>
    <s v="Female"/>
    <s v="Standard"/>
    <n v="32.880000000000003"/>
    <x v="9"/>
    <x v="4"/>
    <x v="3"/>
    <n v="13.99"/>
    <n v="0"/>
    <n v="0"/>
    <x v="1"/>
    <n v="4"/>
    <n v="0.89"/>
    <s v="Sci-Fi"/>
  </r>
  <r>
    <s v="5fa579a5-f777-4206-98c3-de5d03627c6c"/>
    <n v="41"/>
    <s v="Female"/>
    <s v="Standard"/>
    <n v="6.26"/>
    <x v="27"/>
    <x v="3"/>
    <x v="4"/>
    <n v="13.99"/>
    <n v="0"/>
    <n v="0"/>
    <x v="1"/>
    <n v="4"/>
    <n v="0.37"/>
    <s v="Action"/>
  </r>
  <r>
    <s v="ffdade4e-d794-42ce-a50d-25f0a5729e88"/>
    <n v="48"/>
    <s v="Other"/>
    <s v="Premium"/>
    <n v="16.78"/>
    <x v="46"/>
    <x v="1"/>
    <x v="1"/>
    <n v="17.989999999999998"/>
    <n v="0"/>
    <n v="0"/>
    <x v="3"/>
    <n v="1"/>
    <n v="5.59"/>
    <s v="Drama"/>
  </r>
  <r>
    <s v="e8fda88a-2847-4cb4-b5a0-b7f0c3454405"/>
    <n v="67"/>
    <s v="Other"/>
    <s v="Standard"/>
    <n v="3.29"/>
    <x v="33"/>
    <x v="5"/>
    <x v="4"/>
    <n v="13.99"/>
    <n v="1"/>
    <n v="13.99"/>
    <x v="1"/>
    <n v="1"/>
    <n v="0.13"/>
    <s v="Documentary"/>
  </r>
  <r>
    <s v="e19a5270-f0e0-4586-8893-ca3fabdc2fc8"/>
    <n v="59"/>
    <s v="Female"/>
    <s v="Basic"/>
    <n v="20.11"/>
    <x v="15"/>
    <x v="4"/>
    <x v="3"/>
    <n v="8.99"/>
    <n v="1"/>
    <n v="8.99"/>
    <x v="3"/>
    <n v="2"/>
    <n v="0.49"/>
    <s v="Sci-Fi"/>
  </r>
  <r>
    <s v="46fe1eb8-c6f9-4bd4-8a9a-d91919ed031a"/>
    <n v="60"/>
    <s v="Female"/>
    <s v="Standard"/>
    <n v="19.36"/>
    <x v="29"/>
    <x v="4"/>
    <x v="3"/>
    <n v="13.99"/>
    <n v="1"/>
    <n v="13.99"/>
    <x v="2"/>
    <n v="2"/>
    <n v="0.42"/>
    <s v="Drama"/>
  </r>
  <r>
    <s v="6735d050-2af6-4030-b34f-9687ab1a8914"/>
    <n v="33"/>
    <s v="Male"/>
    <s v="Basic"/>
    <n v="2.27"/>
    <x v="6"/>
    <x v="4"/>
    <x v="3"/>
    <n v="8.99"/>
    <n v="1"/>
    <n v="8.99"/>
    <x v="2"/>
    <n v="3"/>
    <n v="0.11"/>
    <s v="Romance"/>
  </r>
  <r>
    <s v="629a11d7-4bd9-4698-b40f-8638ffd900c7"/>
    <n v="24"/>
    <s v="Female"/>
    <s v="Basic"/>
    <n v="2.42"/>
    <x v="7"/>
    <x v="1"/>
    <x v="4"/>
    <n v="8.99"/>
    <n v="1"/>
    <n v="8.99"/>
    <x v="1"/>
    <n v="3"/>
    <n v="0.04"/>
    <s v="Comedy"/>
  </r>
  <r>
    <s v="39287652-cd55-45d3-99bc-5b4917558f5e"/>
    <n v="23"/>
    <s v="Other"/>
    <s v="Basic"/>
    <n v="10.85"/>
    <x v="4"/>
    <x v="5"/>
    <x v="1"/>
    <n v="8.99"/>
    <n v="0"/>
    <n v="0"/>
    <x v="3"/>
    <n v="3"/>
    <n v="0.78"/>
    <s v="Romance"/>
  </r>
  <r>
    <s v="071f4ab9-b7c8-42b9-9571-dac40f75fe29"/>
    <n v="34"/>
    <s v="Male"/>
    <s v="Premium"/>
    <n v="9.59"/>
    <x v="54"/>
    <x v="1"/>
    <x v="1"/>
    <n v="17.989999999999998"/>
    <n v="0"/>
    <n v="0"/>
    <x v="3"/>
    <n v="4"/>
    <n v="0.33"/>
    <s v="Action"/>
  </r>
  <r>
    <s v="ebfb8aef-3cb5-40e2-9eed-15a73a544d43"/>
    <n v="30"/>
    <s v="Male"/>
    <s v="Premium"/>
    <n v="7.24"/>
    <x v="15"/>
    <x v="2"/>
    <x v="0"/>
    <n v="17.989999999999998"/>
    <n v="0"/>
    <n v="0"/>
    <x v="2"/>
    <n v="5"/>
    <n v="0.18"/>
    <s v="Documentary"/>
  </r>
  <r>
    <s v="1ce9139b-2013-4a00-b77f-fbab1b020a00"/>
    <n v="69"/>
    <s v="Male"/>
    <s v="Standard"/>
    <n v="7.85"/>
    <x v="19"/>
    <x v="1"/>
    <x v="0"/>
    <n v="13.99"/>
    <n v="1"/>
    <n v="13.99"/>
    <x v="0"/>
    <n v="5"/>
    <n v="0.18"/>
    <s v="Action"/>
  </r>
  <r>
    <s v="9fbdd1e9-64e2-41a4-8753-fb3412bea228"/>
    <n v="70"/>
    <s v="Female"/>
    <s v="Basic"/>
    <n v="6.8"/>
    <x v="21"/>
    <x v="5"/>
    <x v="1"/>
    <n v="8.99"/>
    <n v="0"/>
    <n v="0"/>
    <x v="2"/>
    <n v="4"/>
    <n v="0.97"/>
    <s v="Action"/>
  </r>
  <r>
    <s v="76d56597-dfb2-4223-845f-b8ff46b00ccd"/>
    <n v="42"/>
    <s v="Male"/>
    <s v="Premium"/>
    <n v="0.88"/>
    <x v="12"/>
    <x v="3"/>
    <x v="2"/>
    <n v="17.989999999999998"/>
    <n v="1"/>
    <n v="17.989999999999998"/>
    <x v="4"/>
    <n v="1"/>
    <n v="0.03"/>
    <s v="Comedy"/>
  </r>
  <r>
    <s v="7da43629-4c0f-49ff-8bf2-047e7d6ff102"/>
    <n v="34"/>
    <s v="Male"/>
    <s v="Premium"/>
    <n v="12.48"/>
    <x v="23"/>
    <x v="2"/>
    <x v="4"/>
    <n v="17.989999999999998"/>
    <n v="1"/>
    <n v="17.989999999999998"/>
    <x v="0"/>
    <n v="2"/>
    <n v="0.23"/>
    <s v="Comedy"/>
  </r>
  <r>
    <s v="fb2804df-cb81-4735-a73b-15241d47b179"/>
    <n v="51"/>
    <s v="Female"/>
    <s v="Premium"/>
    <n v="2.04"/>
    <x v="21"/>
    <x v="4"/>
    <x v="0"/>
    <n v="17.989999999999998"/>
    <n v="0"/>
    <n v="0"/>
    <x v="2"/>
    <n v="2"/>
    <n v="0.28999999999999998"/>
    <s v="Drama"/>
  </r>
  <r>
    <s v="fd5c0b28-152d-47e2-bc46-c8db8eb99985"/>
    <n v="27"/>
    <s v="Other"/>
    <s v="Premium"/>
    <n v="4.57"/>
    <x v="37"/>
    <x v="0"/>
    <x v="2"/>
    <n v="17.989999999999998"/>
    <n v="1"/>
    <n v="17.989999999999998"/>
    <x v="0"/>
    <n v="4"/>
    <n v="0.18"/>
    <s v="Documentary"/>
  </r>
  <r>
    <s v="54ff35f5-4b7d-4740-a2b3-4755a628e79a"/>
    <n v="19"/>
    <s v="Male"/>
    <s v="Standard"/>
    <n v="19.23"/>
    <x v="6"/>
    <x v="3"/>
    <x v="2"/>
    <n v="13.99"/>
    <n v="0"/>
    <n v="0"/>
    <x v="2"/>
    <n v="3"/>
    <n v="0.92"/>
    <s v="Romance"/>
  </r>
  <r>
    <s v="8af34fa6-55d3-4e2f-bb67-94d27ba89512"/>
    <n v="18"/>
    <s v="Other"/>
    <s v="Standard"/>
    <n v="16.809999999999999"/>
    <x v="7"/>
    <x v="3"/>
    <x v="4"/>
    <n v="13.99"/>
    <n v="1"/>
    <n v="13.99"/>
    <x v="4"/>
    <n v="2"/>
    <n v="0.28999999999999998"/>
    <s v="Drama"/>
  </r>
  <r>
    <s v="4ab4899e-8602-4207-8d66-b1d0037f9061"/>
    <n v="23"/>
    <s v="Other"/>
    <s v="Premium"/>
    <n v="8.17"/>
    <x v="10"/>
    <x v="1"/>
    <x v="3"/>
    <n v="17.989999999999998"/>
    <n v="1"/>
    <n v="17.989999999999998"/>
    <x v="3"/>
    <n v="3"/>
    <n v="0.21"/>
    <s v="Documentary"/>
  </r>
  <r>
    <s v="d0882378-87e1-4f8c-ae52-9b4c6650ed1d"/>
    <n v="23"/>
    <s v="Male"/>
    <s v="Basic"/>
    <n v="7.09"/>
    <x v="14"/>
    <x v="1"/>
    <x v="0"/>
    <n v="8.99"/>
    <n v="1"/>
    <n v="8.99"/>
    <x v="4"/>
    <n v="2"/>
    <n v="0.21"/>
    <s v="Romance"/>
  </r>
  <r>
    <s v="95506f85-ac7c-441f-9653-2ff87e09cf22"/>
    <n v="50"/>
    <s v="Female"/>
    <s v="Premium"/>
    <n v="7.92"/>
    <x v="56"/>
    <x v="2"/>
    <x v="3"/>
    <n v="17.989999999999998"/>
    <n v="1"/>
    <n v="17.989999999999998"/>
    <x v="0"/>
    <n v="4"/>
    <n v="0.13"/>
    <s v="Drama"/>
  </r>
  <r>
    <s v="78f24d23-96c3-46bf-a87a-fb61569fc00b"/>
    <n v="54"/>
    <s v="Other"/>
    <s v="Standard"/>
    <n v="10.1"/>
    <x v="15"/>
    <x v="3"/>
    <x v="0"/>
    <n v="13.99"/>
    <n v="0"/>
    <n v="0"/>
    <x v="3"/>
    <n v="5"/>
    <n v="0.25"/>
    <s v="Horror"/>
  </r>
  <r>
    <s v="3d2a67b3-9cdb-4e45-9066-27e51d45cb66"/>
    <n v="68"/>
    <s v="Female"/>
    <s v="Basic"/>
    <n v="9.07"/>
    <x v="14"/>
    <x v="0"/>
    <x v="0"/>
    <n v="8.99"/>
    <n v="1"/>
    <n v="8.99"/>
    <x v="1"/>
    <n v="3"/>
    <n v="0.27"/>
    <s v="Romance"/>
  </r>
  <r>
    <s v="a8582720-4d1c-4377-8be1-a414bc51938d"/>
    <n v="70"/>
    <s v="Other"/>
    <s v="Basic"/>
    <n v="2.2400000000000002"/>
    <x v="34"/>
    <x v="1"/>
    <x v="2"/>
    <n v="8.99"/>
    <n v="1"/>
    <n v="8.99"/>
    <x v="3"/>
    <n v="5"/>
    <n v="0.04"/>
    <s v="Documentary"/>
  </r>
  <r>
    <s v="6ad7f0b7-91f7-4c49-9d03-085ce4845c8e"/>
    <n v="28"/>
    <s v="Male"/>
    <s v="Basic"/>
    <n v="11.25"/>
    <x v="24"/>
    <x v="1"/>
    <x v="2"/>
    <n v="8.99"/>
    <n v="1"/>
    <n v="8.99"/>
    <x v="3"/>
    <n v="5"/>
    <n v="0.21"/>
    <s v="Action"/>
  </r>
  <r>
    <s v="a9bb3c30-19d3-4f1c-ab31-2749363de6ca"/>
    <n v="37"/>
    <s v="Male"/>
    <s v="Standard"/>
    <n v="31.31"/>
    <x v="23"/>
    <x v="4"/>
    <x v="1"/>
    <n v="13.99"/>
    <n v="0"/>
    <n v="0"/>
    <x v="0"/>
    <n v="1"/>
    <n v="0.57999999999999996"/>
    <s v="Sci-Fi"/>
  </r>
  <r>
    <s v="6517898e-2c6a-4f44-a25a-33272efdc08d"/>
    <n v="51"/>
    <s v="Female"/>
    <s v="Premium"/>
    <n v="8.32"/>
    <x v="26"/>
    <x v="1"/>
    <x v="0"/>
    <n v="17.989999999999998"/>
    <n v="1"/>
    <n v="17.989999999999998"/>
    <x v="4"/>
    <n v="2"/>
    <n v="0.17"/>
    <s v="Horror"/>
  </r>
  <r>
    <s v="ce63b3cf-0d7a-499f-a1d7-5ee3a26a0257"/>
    <n v="18"/>
    <s v="Female"/>
    <s v="Premium"/>
    <n v="6.8"/>
    <x v="6"/>
    <x v="4"/>
    <x v="2"/>
    <n v="17.989999999999998"/>
    <n v="0"/>
    <n v="0"/>
    <x v="4"/>
    <n v="4"/>
    <n v="0.32"/>
    <s v="Drama"/>
  </r>
  <r>
    <s v="5911a679-cdb3-4ccc-8ce8-491fb5a5f538"/>
    <n v="25"/>
    <s v="Female"/>
    <s v="Basic"/>
    <n v="18.399999999999999"/>
    <x v="22"/>
    <x v="2"/>
    <x v="0"/>
    <n v="8.99"/>
    <n v="1"/>
    <n v="8.99"/>
    <x v="2"/>
    <n v="4"/>
    <n v="0.33"/>
    <s v="Drama"/>
  </r>
  <r>
    <s v="8f45c680-7d92-47c2-910e-2e4c69803700"/>
    <n v="33"/>
    <s v="Other"/>
    <s v="Basic"/>
    <n v="44.72"/>
    <x v="13"/>
    <x v="3"/>
    <x v="4"/>
    <n v="8.99"/>
    <n v="0"/>
    <n v="0"/>
    <x v="3"/>
    <n v="4"/>
    <n v="5.59"/>
    <s v="Horror"/>
  </r>
  <r>
    <s v="9141433d-3463-435d-9b27-87d08766f03d"/>
    <n v="30"/>
    <s v="Female"/>
    <s v="Premium"/>
    <n v="3.61"/>
    <x v="19"/>
    <x v="0"/>
    <x v="4"/>
    <n v="17.989999999999998"/>
    <n v="1"/>
    <n v="17.989999999999998"/>
    <x v="3"/>
    <n v="4"/>
    <n v="0.08"/>
    <s v="Comedy"/>
  </r>
  <r>
    <s v="5131e34f-e327-4746-9132-241d79255ecc"/>
    <n v="22"/>
    <s v="Male"/>
    <s v="Premium"/>
    <n v="10.68"/>
    <x v="57"/>
    <x v="0"/>
    <x v="4"/>
    <n v="17.989999999999998"/>
    <n v="0"/>
    <n v="0"/>
    <x v="2"/>
    <n v="5"/>
    <n v="0.18"/>
    <s v="Action"/>
  </r>
  <r>
    <s v="8a93c9a8-86d1-4fb8-9f0f-89ff6671601a"/>
    <n v="40"/>
    <s v="Other"/>
    <s v="Basic"/>
    <n v="8.1300000000000008"/>
    <x v="17"/>
    <x v="3"/>
    <x v="4"/>
    <n v="8.99"/>
    <n v="0"/>
    <n v="0"/>
    <x v="0"/>
    <n v="4"/>
    <n v="1.63"/>
    <s v="Romance"/>
  </r>
  <r>
    <s v="61e92891-b875-4291-8e37-00d10b069367"/>
    <n v="44"/>
    <s v="Male"/>
    <s v="Premium"/>
    <n v="38.18"/>
    <x v="52"/>
    <x v="3"/>
    <x v="0"/>
    <n v="17.989999999999998"/>
    <n v="0"/>
    <n v="0"/>
    <x v="0"/>
    <n v="3"/>
    <n v="0.76"/>
    <s v="Documentary"/>
  </r>
  <r>
    <s v="c96e98a2-6211-4466-9096-6c389ef0143a"/>
    <n v="68"/>
    <s v="Male"/>
    <s v="Basic"/>
    <n v="1.83"/>
    <x v="25"/>
    <x v="0"/>
    <x v="1"/>
    <n v="8.99"/>
    <n v="0"/>
    <n v="0"/>
    <x v="2"/>
    <n v="5"/>
    <n v="1.83"/>
    <s v="Horror"/>
  </r>
  <r>
    <s v="dd0dd66b-b4e4-4077-b128-50039b87c68f"/>
    <n v="24"/>
    <s v="Female"/>
    <s v="Basic"/>
    <n v="47.9"/>
    <x v="38"/>
    <x v="3"/>
    <x v="2"/>
    <n v="8.99"/>
    <n v="0"/>
    <n v="0"/>
    <x v="2"/>
    <n v="4"/>
    <n v="2.1800000000000002"/>
    <s v="Romance"/>
  </r>
  <r>
    <s v="9945eeb5-7747-4c17-a171-35bfde1b29ff"/>
    <n v="34"/>
    <s v="Female"/>
    <s v="Standard"/>
    <n v="3.85"/>
    <x v="22"/>
    <x v="4"/>
    <x v="3"/>
    <n v="13.99"/>
    <n v="1"/>
    <n v="13.99"/>
    <x v="0"/>
    <n v="3"/>
    <n v="7.0000000000000007E-2"/>
    <s v="Romance"/>
  </r>
  <r>
    <s v="e3e9c377-2cb7-4ec4-a85a-f59b9e6f298d"/>
    <n v="62"/>
    <s v="Female"/>
    <s v="Basic"/>
    <n v="1.55"/>
    <x v="51"/>
    <x v="4"/>
    <x v="4"/>
    <n v="8.99"/>
    <n v="1"/>
    <n v="8.99"/>
    <x v="2"/>
    <n v="2"/>
    <n v="0.09"/>
    <s v="Action"/>
  </r>
  <r>
    <s v="01bcc59b-2ffe-4146-9c55-05195c1bfd4f"/>
    <n v="29"/>
    <s v="Female"/>
    <s v="Standard"/>
    <n v="7.46"/>
    <x v="56"/>
    <x v="2"/>
    <x v="4"/>
    <n v="13.99"/>
    <n v="0"/>
    <n v="0"/>
    <x v="4"/>
    <n v="5"/>
    <n v="0.13"/>
    <s v="Drama"/>
  </r>
  <r>
    <s v="66ee8b3e-54d4-47b0-9bdf-a9830a3be6f0"/>
    <n v="62"/>
    <s v="Female"/>
    <s v="Basic"/>
    <n v="6.67"/>
    <x v="58"/>
    <x v="5"/>
    <x v="0"/>
    <n v="8.99"/>
    <n v="1"/>
    <n v="8.99"/>
    <x v="0"/>
    <n v="2"/>
    <n v="0.14000000000000001"/>
    <s v="Documentary"/>
  </r>
  <r>
    <s v="042c6d84-17fa-4c97-a537-dcc1ebfc9b19"/>
    <n v="20"/>
    <s v="Female"/>
    <s v="Premium"/>
    <n v="4.57"/>
    <x v="51"/>
    <x v="4"/>
    <x v="2"/>
    <n v="17.989999999999998"/>
    <n v="1"/>
    <n v="17.989999999999998"/>
    <x v="0"/>
    <n v="1"/>
    <n v="0.25"/>
    <s v="Comedy"/>
  </r>
  <r>
    <s v="37bf780f-45c1-471c-8158-9f211fbf9e0a"/>
    <n v="60"/>
    <s v="Female"/>
    <s v="Standard"/>
    <n v="1.03"/>
    <x v="46"/>
    <x v="2"/>
    <x v="4"/>
    <n v="13.99"/>
    <n v="0"/>
    <n v="0"/>
    <x v="3"/>
    <n v="5"/>
    <n v="0.34"/>
    <s v="Documentary"/>
  </r>
  <r>
    <s v="57bea9bb-8e3b-4a70-831b-89ec71163a30"/>
    <n v="25"/>
    <s v="Other"/>
    <s v="Standard"/>
    <n v="6.71"/>
    <x v="46"/>
    <x v="0"/>
    <x v="4"/>
    <n v="13.99"/>
    <n v="0"/>
    <n v="0"/>
    <x v="4"/>
    <n v="4"/>
    <n v="2.2400000000000002"/>
    <s v="Sci-Fi"/>
  </r>
  <r>
    <s v="ea197301-ecc0-4b24-b3f2-f9c7aa3efccf"/>
    <n v="57"/>
    <s v="Male"/>
    <s v="Standard"/>
    <n v="12.95"/>
    <x v="16"/>
    <x v="5"/>
    <x v="0"/>
    <n v="13.99"/>
    <n v="0"/>
    <n v="0"/>
    <x v="0"/>
    <n v="4"/>
    <n v="0.46"/>
    <s v="Horror"/>
  </r>
  <r>
    <s v="31dab47e-d021-4d4b-8284-98460539ef0a"/>
    <n v="47"/>
    <s v="Male"/>
    <s v="Standard"/>
    <n v="3.92"/>
    <x v="56"/>
    <x v="0"/>
    <x v="4"/>
    <n v="13.99"/>
    <n v="1"/>
    <n v="13.99"/>
    <x v="3"/>
    <n v="5"/>
    <n v="7.0000000000000007E-2"/>
    <s v="Horror"/>
  </r>
  <r>
    <s v="339bd217-4512-4fce-8e0f-a8ee2938f548"/>
    <n v="54"/>
    <s v="Male"/>
    <s v="Basic"/>
    <n v="24.44"/>
    <x v="54"/>
    <x v="5"/>
    <x v="2"/>
    <n v="8.99"/>
    <n v="0"/>
    <n v="0"/>
    <x v="0"/>
    <n v="4"/>
    <n v="0.84"/>
    <s v="Drama"/>
  </r>
  <r>
    <s v="e4696783-b60d-40f9-8556-b6aaca0439bb"/>
    <n v="34"/>
    <s v="Female"/>
    <s v="Standard"/>
    <n v="28.76"/>
    <x v="40"/>
    <x v="5"/>
    <x v="1"/>
    <n v="13.99"/>
    <n v="0"/>
    <n v="0"/>
    <x v="3"/>
    <n v="2"/>
    <n v="2.4"/>
    <s v="Documentary"/>
  </r>
  <r>
    <s v="6131b5ac-7daf-4a54-9f44-63fe0fcca85f"/>
    <n v="52"/>
    <s v="Male"/>
    <s v="Standard"/>
    <n v="1.35"/>
    <x v="13"/>
    <x v="2"/>
    <x v="0"/>
    <n v="13.99"/>
    <n v="1"/>
    <n v="13.99"/>
    <x v="1"/>
    <n v="1"/>
    <n v="0.17"/>
    <s v="Action"/>
  </r>
  <r>
    <s v="c81ba12a-e438-42fc-9d0a-045fb8a0e87a"/>
    <n v="53"/>
    <s v="Other"/>
    <s v="Premium"/>
    <n v="0.25"/>
    <x v="34"/>
    <x v="2"/>
    <x v="4"/>
    <n v="17.989999999999998"/>
    <n v="1"/>
    <n v="17.989999999999998"/>
    <x v="3"/>
    <n v="1"/>
    <n v="0"/>
    <s v="Romance"/>
  </r>
  <r>
    <s v="d9706e06-14bf-475c-aeb6-1eaaf5a3dd1b"/>
    <n v="68"/>
    <s v="Female"/>
    <s v="Premium"/>
    <n v="10.27"/>
    <x v="22"/>
    <x v="5"/>
    <x v="4"/>
    <n v="17.989999999999998"/>
    <n v="0"/>
    <n v="0"/>
    <x v="3"/>
    <n v="4"/>
    <n v="0.18"/>
    <s v="Horror"/>
  </r>
  <r>
    <s v="db2af8cb-89e8-4d68-b1b4-6620a2d5d041"/>
    <n v="68"/>
    <s v="Male"/>
    <s v="Premium"/>
    <n v="52.22"/>
    <x v="17"/>
    <x v="5"/>
    <x v="2"/>
    <n v="17.989999999999998"/>
    <n v="0"/>
    <n v="0"/>
    <x v="0"/>
    <n v="1"/>
    <n v="10.44"/>
    <s v="Romance"/>
  </r>
  <r>
    <s v="b84c61be-3dbf-4706-9ac0-bf2c77b54dde"/>
    <n v="55"/>
    <s v="Other"/>
    <s v="Standard"/>
    <n v="7.61"/>
    <x v="42"/>
    <x v="5"/>
    <x v="1"/>
    <n v="13.99"/>
    <n v="1"/>
    <n v="13.99"/>
    <x v="3"/>
    <n v="1"/>
    <n v="0.2"/>
    <s v="Comedy"/>
  </r>
  <r>
    <s v="29c66269-9ffd-4c33-a193-ce878aadd03e"/>
    <n v="31"/>
    <s v="Male"/>
    <s v="Basic"/>
    <n v="11.05"/>
    <x v="48"/>
    <x v="5"/>
    <x v="0"/>
    <n v="8.99"/>
    <n v="1"/>
    <n v="8.99"/>
    <x v="3"/>
    <n v="1"/>
    <n v="0.21"/>
    <s v="Horror"/>
  </r>
  <r>
    <s v="5515be5c-4926-4e19-abbf-6f2f6c8da2ac"/>
    <n v="30"/>
    <s v="Other"/>
    <s v="Standard"/>
    <n v="17.22"/>
    <x v="59"/>
    <x v="4"/>
    <x v="2"/>
    <n v="13.99"/>
    <n v="0"/>
    <n v="0"/>
    <x v="3"/>
    <n v="1"/>
    <n v="2.87"/>
    <s v="Horror"/>
  </r>
  <r>
    <s v="65967ad4-dae6-45d3-9af8-3897eed4bdfb"/>
    <n v="56"/>
    <s v="Female"/>
    <s v="Premium"/>
    <n v="2.39"/>
    <x v="38"/>
    <x v="4"/>
    <x v="4"/>
    <n v="17.989999999999998"/>
    <n v="1"/>
    <n v="17.989999999999998"/>
    <x v="2"/>
    <n v="2"/>
    <n v="0.11"/>
    <s v="Comedy"/>
  </r>
  <r>
    <s v="ac2f51d0-0824-4f84-b2cd-ab20ec04b858"/>
    <n v="44"/>
    <s v="Other"/>
    <s v="Basic"/>
    <n v="14.91"/>
    <x v="58"/>
    <x v="1"/>
    <x v="3"/>
    <n v="8.99"/>
    <n v="1"/>
    <n v="8.99"/>
    <x v="2"/>
    <n v="5"/>
    <n v="0.31"/>
    <s v="Horror"/>
  </r>
  <r>
    <s v="f1c3c48d-f3d2-4d85-a8c3-f1a96eaacad9"/>
    <n v="64"/>
    <s v="Male"/>
    <s v="Standard"/>
    <n v="13.86"/>
    <x v="13"/>
    <x v="0"/>
    <x v="2"/>
    <n v="13.99"/>
    <n v="0"/>
    <n v="0"/>
    <x v="4"/>
    <n v="3"/>
    <n v="1.73"/>
    <s v="Comedy"/>
  </r>
  <r>
    <s v="2986574c-65fa-40e8-ae90-3c745b045804"/>
    <n v="42"/>
    <s v="Other"/>
    <s v="Basic"/>
    <n v="2.6"/>
    <x v="34"/>
    <x v="4"/>
    <x v="2"/>
    <n v="8.99"/>
    <n v="1"/>
    <n v="8.99"/>
    <x v="4"/>
    <n v="4"/>
    <n v="0.05"/>
    <s v="Romance"/>
  </r>
  <r>
    <s v="533ad58f-7675-4e1f-8a7b-27f64e6ac546"/>
    <n v="18"/>
    <s v="Other"/>
    <s v="Premium"/>
    <n v="17.75"/>
    <x v="49"/>
    <x v="3"/>
    <x v="3"/>
    <n v="17.989999999999998"/>
    <n v="0"/>
    <n v="0"/>
    <x v="0"/>
    <n v="1"/>
    <n v="1.77"/>
    <s v="Comedy"/>
  </r>
  <r>
    <s v="bf84e8d8-05ec-42a0-acea-ef18118399c7"/>
    <n v="56"/>
    <s v="Male"/>
    <s v="Basic"/>
    <n v="8.7100000000000009"/>
    <x v="46"/>
    <x v="2"/>
    <x v="2"/>
    <n v="8.99"/>
    <n v="0"/>
    <n v="0"/>
    <x v="2"/>
    <n v="3"/>
    <n v="2.9"/>
    <s v="Drama"/>
  </r>
  <r>
    <s v="ec781d62-dcea-497b-a9e4-c17263747c67"/>
    <n v="23"/>
    <s v="Male"/>
    <s v="Premium"/>
    <n v="10.39"/>
    <x v="46"/>
    <x v="5"/>
    <x v="0"/>
    <n v="17.989999999999998"/>
    <n v="0"/>
    <n v="0"/>
    <x v="3"/>
    <n v="4"/>
    <n v="3.46"/>
    <s v="Romance"/>
  </r>
  <r>
    <s v="8b81a984-02e2-48aa-9ff5-5f1868dcf643"/>
    <n v="23"/>
    <s v="Female"/>
    <s v="Basic"/>
    <n v="18.25"/>
    <x v="41"/>
    <x v="4"/>
    <x v="1"/>
    <n v="8.99"/>
    <n v="0"/>
    <n v="0"/>
    <x v="1"/>
    <n v="5"/>
    <n v="0.59"/>
    <s v="Documentary"/>
  </r>
  <r>
    <s v="56406333-657b-4c54-8abd-6493fcfb3683"/>
    <n v="65"/>
    <s v="Other"/>
    <s v="Premium"/>
    <n v="20.05"/>
    <x v="38"/>
    <x v="2"/>
    <x v="4"/>
    <n v="17.989999999999998"/>
    <n v="0"/>
    <n v="0"/>
    <x v="1"/>
    <n v="5"/>
    <n v="0.91"/>
    <s v="Documentary"/>
  </r>
  <r>
    <s v="7ce062a1-89ad-45c1-a25a-0b3b4ee4ec72"/>
    <n v="47"/>
    <s v="Other"/>
    <s v="Basic"/>
    <n v="0.39"/>
    <x v="26"/>
    <x v="4"/>
    <x v="4"/>
    <n v="8.99"/>
    <n v="1"/>
    <n v="8.99"/>
    <x v="3"/>
    <n v="5"/>
    <n v="0.01"/>
    <s v="Romance"/>
  </r>
  <r>
    <s v="2febe28b-3c16-4efb-9188-1f37a1c01d82"/>
    <n v="36"/>
    <s v="Female"/>
    <s v="Premium"/>
    <n v="50.98"/>
    <x v="11"/>
    <x v="2"/>
    <x v="1"/>
    <n v="17.989999999999998"/>
    <n v="0"/>
    <n v="0"/>
    <x v="0"/>
    <n v="4"/>
    <n v="2.12"/>
    <s v="Comedy"/>
  </r>
  <r>
    <s v="0480261e-6011-440b-862c-17eb4d5f183f"/>
    <n v="54"/>
    <s v="Other"/>
    <s v="Premium"/>
    <n v="0.56000000000000005"/>
    <x v="41"/>
    <x v="5"/>
    <x v="4"/>
    <n v="17.989999999999998"/>
    <n v="1"/>
    <n v="17.989999999999998"/>
    <x v="2"/>
    <n v="2"/>
    <n v="0.02"/>
    <s v="Horror"/>
  </r>
  <r>
    <s v="5af996e6-33fe-477d-a99e-1c10776fda79"/>
    <n v="56"/>
    <s v="Other"/>
    <s v="Standard"/>
    <n v="1.95"/>
    <x v="54"/>
    <x v="5"/>
    <x v="1"/>
    <n v="13.99"/>
    <n v="1"/>
    <n v="13.99"/>
    <x v="1"/>
    <n v="4"/>
    <n v="7.0000000000000007E-2"/>
    <s v="Romance"/>
  </r>
  <r>
    <s v="dae2da1f-76cb-41c0-b04f-33dc860fcf32"/>
    <n v="34"/>
    <s v="Male"/>
    <s v="Premium"/>
    <n v="70.61"/>
    <x v="10"/>
    <x v="3"/>
    <x v="0"/>
    <n v="17.989999999999998"/>
    <n v="0"/>
    <n v="0"/>
    <x v="4"/>
    <n v="5"/>
    <n v="1.81"/>
    <s v="Comedy"/>
  </r>
  <r>
    <s v="9be09f8c-f7dc-49dd-8c6b-25c8f448d92f"/>
    <n v="70"/>
    <s v="Other"/>
    <s v="Standard"/>
    <n v="8.6999999999999993"/>
    <x v="44"/>
    <x v="2"/>
    <x v="1"/>
    <n v="13.99"/>
    <n v="1"/>
    <n v="13.99"/>
    <x v="4"/>
    <n v="3"/>
    <n v="0.19"/>
    <s v="Action"/>
  </r>
  <r>
    <s v="a15b0804-4a6c-4410-b37f-a4986930e827"/>
    <n v="51"/>
    <s v="Male"/>
    <s v="Basic"/>
    <n v="2.17"/>
    <x v="32"/>
    <x v="0"/>
    <x v="4"/>
    <n v="8.99"/>
    <n v="1"/>
    <n v="8.99"/>
    <x v="2"/>
    <n v="3"/>
    <n v="0.14000000000000001"/>
    <s v="Horror"/>
  </r>
  <r>
    <s v="6354bb8b-9f9d-440d-bcaf-fb281e48866e"/>
    <n v="57"/>
    <s v="Female"/>
    <s v="Basic"/>
    <n v="15.75"/>
    <x v="30"/>
    <x v="1"/>
    <x v="3"/>
    <n v="8.99"/>
    <n v="0"/>
    <n v="0"/>
    <x v="1"/>
    <n v="3"/>
    <n v="7.88"/>
    <s v="Horror"/>
  </r>
  <r>
    <s v="c9c2f14e-1e0f-467a-90f5-e8512a867bf1"/>
    <n v="36"/>
    <s v="Female"/>
    <s v="Basic"/>
    <n v="3.58"/>
    <x v="32"/>
    <x v="5"/>
    <x v="4"/>
    <n v="8.99"/>
    <n v="1"/>
    <n v="8.99"/>
    <x v="3"/>
    <n v="2"/>
    <n v="0.24"/>
    <s v="Romance"/>
  </r>
  <r>
    <s v="73b4ab33-132d-4c64-b52d-c9aa2e2f85d6"/>
    <n v="67"/>
    <s v="Other"/>
    <s v="Standard"/>
    <n v="14.58"/>
    <x v="20"/>
    <x v="1"/>
    <x v="3"/>
    <n v="13.99"/>
    <n v="0"/>
    <n v="0"/>
    <x v="4"/>
    <n v="2"/>
    <n v="0.77"/>
    <s v="Sci-Fi"/>
  </r>
  <r>
    <s v="a03703b4-96da-4fc9-ab23-dc087a013b7d"/>
    <n v="66"/>
    <s v="Other"/>
    <s v="Standard"/>
    <n v="1.42"/>
    <x v="18"/>
    <x v="1"/>
    <x v="2"/>
    <n v="13.99"/>
    <n v="1"/>
    <n v="13.99"/>
    <x v="0"/>
    <n v="3"/>
    <n v="0.02"/>
    <s v="Drama"/>
  </r>
  <r>
    <s v="8e10ed31-6232-49d2-9def-3cb40206c216"/>
    <n v="42"/>
    <s v="Female"/>
    <s v="Basic"/>
    <n v="2.98"/>
    <x v="0"/>
    <x v="2"/>
    <x v="0"/>
    <n v="8.99"/>
    <n v="1"/>
    <n v="8.99"/>
    <x v="1"/>
    <n v="4"/>
    <n v="0.1"/>
    <s v="Comedy"/>
  </r>
  <r>
    <s v="2c8412ce-38b1-4edd-9a05-23df72e6ec65"/>
    <n v="34"/>
    <s v="Female"/>
    <s v="Standard"/>
    <n v="0.68"/>
    <x v="53"/>
    <x v="0"/>
    <x v="3"/>
    <n v="13.99"/>
    <n v="1"/>
    <n v="13.99"/>
    <x v="1"/>
    <n v="2"/>
    <n v="0.02"/>
    <s v="Comedy"/>
  </r>
  <r>
    <s v="06d02ff5-4241-48cf-88cd-83e965c477fa"/>
    <n v="49"/>
    <s v="Other"/>
    <s v="Standard"/>
    <n v="2.2599999999999998"/>
    <x v="43"/>
    <x v="1"/>
    <x v="2"/>
    <n v="13.99"/>
    <n v="1"/>
    <n v="13.99"/>
    <x v="3"/>
    <n v="5"/>
    <n v="7.0000000000000007E-2"/>
    <s v="Comedy"/>
  </r>
  <r>
    <s v="feb1f73a-8cc1-44c9-a58e-83bc8d1fd127"/>
    <n v="66"/>
    <s v="Female"/>
    <s v="Basic"/>
    <n v="6.93"/>
    <x v="58"/>
    <x v="4"/>
    <x v="4"/>
    <n v="8.99"/>
    <n v="1"/>
    <n v="8.99"/>
    <x v="3"/>
    <n v="3"/>
    <n v="0.14000000000000001"/>
    <s v="Sci-Fi"/>
  </r>
  <r>
    <s v="8f511109-28d6-4502-bb4a-02a31d2fd9b1"/>
    <n v="24"/>
    <s v="Female"/>
    <s v="Premium"/>
    <n v="11.67"/>
    <x v="43"/>
    <x v="3"/>
    <x v="1"/>
    <n v="17.989999999999998"/>
    <n v="1"/>
    <n v="17.989999999999998"/>
    <x v="1"/>
    <n v="3"/>
    <n v="0.36"/>
    <s v="Sci-Fi"/>
  </r>
  <r>
    <s v="908d1c29-96cd-4d12-9b7b-6f25c85d46ea"/>
    <n v="49"/>
    <s v="Other"/>
    <s v="Premium"/>
    <n v="5.31"/>
    <x v="36"/>
    <x v="1"/>
    <x v="0"/>
    <n v="17.989999999999998"/>
    <n v="1"/>
    <n v="17.989999999999998"/>
    <x v="4"/>
    <n v="1"/>
    <n v="0.13"/>
    <s v="Comedy"/>
  </r>
  <r>
    <s v="59b1d940-2563-4884-9944-87129d5a5399"/>
    <n v="65"/>
    <s v="Other"/>
    <s v="Standard"/>
    <n v="1.83"/>
    <x v="42"/>
    <x v="0"/>
    <x v="3"/>
    <n v="13.99"/>
    <n v="1"/>
    <n v="13.99"/>
    <x v="4"/>
    <n v="1"/>
    <n v="0.05"/>
    <s v="Comedy"/>
  </r>
  <r>
    <s v="a229903c-f733-4e37-8f53-26759271a27d"/>
    <n v="52"/>
    <s v="Female"/>
    <s v="Standard"/>
    <n v="2.62"/>
    <x v="19"/>
    <x v="4"/>
    <x v="1"/>
    <n v="13.99"/>
    <n v="1"/>
    <n v="13.99"/>
    <x v="0"/>
    <n v="5"/>
    <n v="0.06"/>
    <s v="Documentary"/>
  </r>
  <r>
    <s v="ecd9a401-3be9-4ff9-8b82-7491e8de3376"/>
    <n v="61"/>
    <s v="Other"/>
    <s v="Premium"/>
    <n v="0.85"/>
    <x v="21"/>
    <x v="1"/>
    <x v="0"/>
    <n v="17.989999999999998"/>
    <n v="1"/>
    <n v="17.989999999999998"/>
    <x v="1"/>
    <n v="1"/>
    <n v="0.12"/>
    <s v="Horror"/>
  </r>
  <r>
    <s v="82247ee5-3c0e-45db-b734-31cf92c63a7a"/>
    <n v="50"/>
    <s v="Female"/>
    <s v="Standard"/>
    <n v="5.0199999999999996"/>
    <x v="58"/>
    <x v="0"/>
    <x v="1"/>
    <n v="13.99"/>
    <n v="1"/>
    <n v="13.99"/>
    <x v="1"/>
    <n v="3"/>
    <n v="0.1"/>
    <s v="Horror"/>
  </r>
  <r>
    <s v="8874bf6b-73ab-4361-9955-e6d678400a2f"/>
    <n v="56"/>
    <s v="Other"/>
    <s v="Premium"/>
    <n v="19.809999999999999"/>
    <x v="33"/>
    <x v="2"/>
    <x v="4"/>
    <n v="17.989999999999998"/>
    <n v="0"/>
    <n v="0"/>
    <x v="4"/>
    <n v="4"/>
    <n v="0.76"/>
    <s v="Sci-Fi"/>
  </r>
  <r>
    <s v="41e580ba-a11a-416e-863f-d94f0fcb729e"/>
    <n v="36"/>
    <s v="Other"/>
    <s v="Premium"/>
    <n v="18.47"/>
    <x v="54"/>
    <x v="2"/>
    <x v="4"/>
    <n v="17.989999999999998"/>
    <n v="0"/>
    <n v="0"/>
    <x v="4"/>
    <n v="2"/>
    <n v="0.64"/>
    <s v="Horror"/>
  </r>
  <r>
    <s v="80304332-21c7-4123-9691-ec47680ef521"/>
    <n v="40"/>
    <s v="Female"/>
    <s v="Standard"/>
    <n v="22.52"/>
    <x v="60"/>
    <x v="0"/>
    <x v="2"/>
    <n v="13.99"/>
    <n v="0"/>
    <n v="0"/>
    <x v="3"/>
    <n v="5"/>
    <n v="2.5"/>
    <s v="Comedy"/>
  </r>
  <r>
    <s v="e2bade9e-76ad-4e9c-b851-f15137431ca2"/>
    <n v="23"/>
    <s v="Female"/>
    <s v="Premium"/>
    <n v="11.54"/>
    <x v="54"/>
    <x v="1"/>
    <x v="2"/>
    <n v="17.989999999999998"/>
    <n v="0"/>
    <n v="0"/>
    <x v="0"/>
    <n v="5"/>
    <n v="0.4"/>
    <s v="Sci-Fi"/>
  </r>
  <r>
    <s v="93991bdd-3b61-4167-ba40-807e3fc24cce"/>
    <n v="49"/>
    <s v="Female"/>
    <s v="Basic"/>
    <n v="38.43"/>
    <x v="21"/>
    <x v="3"/>
    <x v="4"/>
    <n v="8.99"/>
    <n v="0"/>
    <n v="0"/>
    <x v="3"/>
    <n v="3"/>
    <n v="5.49"/>
    <s v="Drama"/>
  </r>
  <r>
    <s v="5b14b084-6bd2-4df4-b9c5-8839f9e9680a"/>
    <n v="68"/>
    <s v="Female"/>
    <s v="Standard"/>
    <n v="2.7"/>
    <x v="28"/>
    <x v="2"/>
    <x v="0"/>
    <n v="13.99"/>
    <n v="1"/>
    <n v="13.99"/>
    <x v="2"/>
    <n v="1"/>
    <n v="0.08"/>
    <s v="Documentary"/>
  </r>
  <r>
    <s v="10e3667e-01b2-4340-8f1e-f6eca396f00c"/>
    <n v="52"/>
    <s v="Other"/>
    <s v="Standard"/>
    <n v="1.79"/>
    <x v="10"/>
    <x v="0"/>
    <x v="1"/>
    <n v="13.99"/>
    <n v="1"/>
    <n v="13.99"/>
    <x v="4"/>
    <n v="1"/>
    <n v="0.05"/>
    <s v="Drama"/>
  </r>
  <r>
    <s v="ba539916-0de8-4f60-9b2f-fb07ba7f1193"/>
    <n v="37"/>
    <s v="Male"/>
    <s v="Standard"/>
    <n v="13.86"/>
    <x v="44"/>
    <x v="4"/>
    <x v="2"/>
    <n v="13.99"/>
    <n v="1"/>
    <n v="13.99"/>
    <x v="0"/>
    <n v="3"/>
    <n v="0.28999999999999998"/>
    <s v="Documentary"/>
  </r>
  <r>
    <s v="ae95f50e-1e2f-4f65-874d-0b6bc9427707"/>
    <n v="33"/>
    <s v="Female"/>
    <s v="Basic"/>
    <n v="0.14000000000000001"/>
    <x v="42"/>
    <x v="1"/>
    <x v="0"/>
    <n v="8.99"/>
    <n v="1"/>
    <n v="8.99"/>
    <x v="3"/>
    <n v="5"/>
    <n v="0"/>
    <s v="Sci-Fi"/>
  </r>
  <r>
    <s v="10fa7f05-3ce2-4829-bafa-78e5001ebaa0"/>
    <n v="26"/>
    <s v="Other"/>
    <s v="Premium"/>
    <n v="19.48"/>
    <x v="28"/>
    <x v="3"/>
    <x v="2"/>
    <n v="17.989999999999998"/>
    <n v="0"/>
    <n v="0"/>
    <x v="3"/>
    <n v="5"/>
    <n v="0.54"/>
    <s v="Horror"/>
  </r>
  <r>
    <s v="c92450d6-b3fa-47a1-82ac-ebbf6f022eac"/>
    <n v="37"/>
    <s v="Male"/>
    <s v="Basic"/>
    <n v="4.84"/>
    <x v="33"/>
    <x v="0"/>
    <x v="2"/>
    <n v="8.99"/>
    <n v="1"/>
    <n v="8.99"/>
    <x v="3"/>
    <n v="5"/>
    <n v="0.19"/>
    <s v="Action"/>
  </r>
  <r>
    <s v="bc58e790-61ad-438b-9059-67adee68af43"/>
    <n v="36"/>
    <s v="Other"/>
    <s v="Premium"/>
    <n v="8.6999999999999993"/>
    <x v="29"/>
    <x v="4"/>
    <x v="1"/>
    <n v="17.989999999999998"/>
    <n v="0"/>
    <n v="0"/>
    <x v="3"/>
    <n v="4"/>
    <n v="0.19"/>
    <s v="Drama"/>
  </r>
  <r>
    <s v="a59003ca-fc14-4078-9ed4-d9dbf9d91826"/>
    <n v="61"/>
    <s v="Male"/>
    <s v="Premium"/>
    <n v="19.190000000000001"/>
    <x v="16"/>
    <x v="4"/>
    <x v="1"/>
    <n v="17.989999999999998"/>
    <n v="0"/>
    <n v="0"/>
    <x v="3"/>
    <n v="2"/>
    <n v="0.69"/>
    <s v="Horror"/>
  </r>
  <r>
    <s v="075f3920-d7be-49de-b9a8-04ae797d2806"/>
    <n v="43"/>
    <s v="Male"/>
    <s v="Basic"/>
    <n v="0.53"/>
    <x v="39"/>
    <x v="1"/>
    <x v="0"/>
    <n v="8.99"/>
    <n v="1"/>
    <n v="8.99"/>
    <x v="3"/>
    <n v="1"/>
    <n v="0.02"/>
    <s v="Romance"/>
  </r>
  <r>
    <s v="c562cd9e-2437-4343-afd8-740938a1b59b"/>
    <n v="62"/>
    <s v="Male"/>
    <s v="Basic"/>
    <n v="7.85"/>
    <x v="23"/>
    <x v="1"/>
    <x v="1"/>
    <n v="8.99"/>
    <n v="1"/>
    <n v="8.99"/>
    <x v="3"/>
    <n v="2"/>
    <n v="0.15"/>
    <s v="Romance"/>
  </r>
  <r>
    <s v="e85f81f9-f1c6-4db6-91b8-a68d9a225b14"/>
    <n v="70"/>
    <s v="Other"/>
    <s v="Premium"/>
    <n v="42.5"/>
    <x v="44"/>
    <x v="1"/>
    <x v="2"/>
    <n v="17.989999999999998"/>
    <n v="0"/>
    <n v="0"/>
    <x v="4"/>
    <n v="2"/>
    <n v="0.9"/>
    <s v="Drama"/>
  </r>
  <r>
    <s v="95b61ee7-ccc7-4c12-b422-3518fa9a9de9"/>
    <n v="34"/>
    <s v="Male"/>
    <s v="Standard"/>
    <n v="6.33"/>
    <x v="52"/>
    <x v="1"/>
    <x v="2"/>
    <n v="13.99"/>
    <n v="0"/>
    <n v="0"/>
    <x v="2"/>
    <n v="4"/>
    <n v="0.13"/>
    <s v="Action"/>
  </r>
  <r>
    <s v="9479a993-2027-4f6b-90c3-76082a333411"/>
    <n v="38"/>
    <s v="Female"/>
    <s v="Basic"/>
    <n v="33.5"/>
    <x v="7"/>
    <x v="2"/>
    <x v="2"/>
    <n v="8.99"/>
    <n v="0"/>
    <n v="0"/>
    <x v="3"/>
    <n v="2"/>
    <n v="0.59"/>
    <s v="Action"/>
  </r>
  <r>
    <s v="258fb686-a114-48c9-b4d9-45d0e773064f"/>
    <n v="67"/>
    <s v="Female"/>
    <s v="Basic"/>
    <n v="2.5499999999999998"/>
    <x v="26"/>
    <x v="3"/>
    <x v="2"/>
    <n v="8.99"/>
    <n v="1"/>
    <n v="8.99"/>
    <x v="0"/>
    <n v="2"/>
    <n v="0.05"/>
    <s v="Sci-Fi"/>
  </r>
  <r>
    <s v="dc507aeb-ca76-409a-9ff8-09dd364e0754"/>
    <n v="39"/>
    <s v="Female"/>
    <s v="Premium"/>
    <n v="47.79"/>
    <x v="3"/>
    <x v="5"/>
    <x v="0"/>
    <n v="17.989999999999998"/>
    <n v="0"/>
    <n v="0"/>
    <x v="0"/>
    <n v="1"/>
    <n v="3.68"/>
    <s v="Comedy"/>
  </r>
  <r>
    <s v="ed01a482-affc-4e7f-a7b4-ff9fcde8024a"/>
    <n v="22"/>
    <s v="Other"/>
    <s v="Basic"/>
    <n v="26.28"/>
    <x v="26"/>
    <x v="1"/>
    <x v="0"/>
    <n v="8.99"/>
    <n v="0"/>
    <n v="0"/>
    <x v="1"/>
    <n v="3"/>
    <n v="0.54"/>
    <s v="Sci-Fi"/>
  </r>
  <r>
    <s v="af94b7ff-2542-4364-b5fb-a71e0250ef2d"/>
    <n v="67"/>
    <s v="Male"/>
    <s v="Premium"/>
    <n v="1.04"/>
    <x v="51"/>
    <x v="1"/>
    <x v="1"/>
    <n v="17.989999999999998"/>
    <n v="1"/>
    <n v="17.989999999999998"/>
    <x v="0"/>
    <n v="2"/>
    <n v="0.06"/>
    <s v="Romance"/>
  </r>
  <r>
    <s v="0e678d61-af68-4c15-8870-34aeb9e546de"/>
    <n v="42"/>
    <s v="Female"/>
    <s v="Standard"/>
    <n v="9.91"/>
    <x v="32"/>
    <x v="0"/>
    <x v="3"/>
    <n v="13.99"/>
    <n v="0"/>
    <n v="0"/>
    <x v="1"/>
    <n v="1"/>
    <n v="0.66"/>
    <s v="Comedy"/>
  </r>
  <r>
    <s v="0507202b-60a0-4db0-9d84-d54696712eb1"/>
    <n v="32"/>
    <s v="Other"/>
    <s v="Premium"/>
    <n v="16.39"/>
    <x v="16"/>
    <x v="1"/>
    <x v="3"/>
    <n v="17.989999999999998"/>
    <n v="0"/>
    <n v="0"/>
    <x v="0"/>
    <n v="5"/>
    <n v="0.59"/>
    <s v="Horror"/>
  </r>
  <r>
    <s v="613bfc9a-f30f-416c-802a-2aa9327cfa58"/>
    <n v="36"/>
    <s v="Other"/>
    <s v="Standard"/>
    <n v="32.78"/>
    <x v="48"/>
    <x v="2"/>
    <x v="2"/>
    <n v="13.99"/>
    <n v="0"/>
    <n v="0"/>
    <x v="2"/>
    <n v="5"/>
    <n v="0.63"/>
    <s v="Documentary"/>
  </r>
  <r>
    <s v="77cf8860-f7d9-4320-a1eb-c06c6b3941db"/>
    <n v="35"/>
    <s v="Male"/>
    <s v="Premium"/>
    <n v="1.95"/>
    <x v="24"/>
    <x v="0"/>
    <x v="4"/>
    <n v="17.989999999999998"/>
    <n v="1"/>
    <n v="17.989999999999998"/>
    <x v="4"/>
    <n v="5"/>
    <n v="0.04"/>
    <s v="Drama"/>
  </r>
  <r>
    <s v="fe5de36a-ab2a-40c9-9697-4578c5212b9e"/>
    <n v="49"/>
    <s v="Other"/>
    <s v="Standard"/>
    <n v="5.0199999999999996"/>
    <x v="5"/>
    <x v="4"/>
    <x v="4"/>
    <n v="13.99"/>
    <n v="0"/>
    <n v="0"/>
    <x v="4"/>
    <n v="4"/>
    <n v="0.19"/>
    <s v="Documentary"/>
  </r>
  <r>
    <s v="b512d943-7962-447f-9112-8ff4bf5b2767"/>
    <n v="41"/>
    <s v="Female"/>
    <s v="Basic"/>
    <n v="36.94"/>
    <x v="21"/>
    <x v="0"/>
    <x v="4"/>
    <n v="8.99"/>
    <n v="0"/>
    <n v="0"/>
    <x v="4"/>
    <n v="4"/>
    <n v="5.28"/>
    <s v="Drama"/>
  </r>
  <r>
    <s v="c91b0ee0-8912-4f6a-bad2-32747ee6e7b4"/>
    <n v="48"/>
    <s v="Female"/>
    <s v="Basic"/>
    <n v="1.3"/>
    <x v="46"/>
    <x v="4"/>
    <x v="1"/>
    <n v="8.99"/>
    <n v="1"/>
    <n v="8.99"/>
    <x v="1"/>
    <n v="4"/>
    <n v="0.43"/>
    <s v="Drama"/>
  </r>
  <r>
    <s v="461b021e-97a5-486b-921b-6642c9d3e82a"/>
    <n v="34"/>
    <s v="Male"/>
    <s v="Premium"/>
    <n v="0.33"/>
    <x v="13"/>
    <x v="2"/>
    <x v="4"/>
    <n v="17.989999999999998"/>
    <n v="1"/>
    <n v="17.989999999999998"/>
    <x v="0"/>
    <n v="2"/>
    <n v="0.04"/>
    <s v="Horror"/>
  </r>
  <r>
    <s v="ce433abe-57fd-4e3d-9342-2e73dfda078b"/>
    <n v="28"/>
    <s v="Other"/>
    <s v="Premium"/>
    <n v="5.03"/>
    <x v="55"/>
    <x v="3"/>
    <x v="0"/>
    <n v="17.989999999999998"/>
    <n v="1"/>
    <n v="17.989999999999998"/>
    <x v="1"/>
    <n v="1"/>
    <n v="0.08"/>
    <s v="Drama"/>
  </r>
  <r>
    <s v="8c0e6937-e5a5-4e4b-80e6-734497960ec4"/>
    <n v="61"/>
    <s v="Female"/>
    <s v="Basic"/>
    <n v="1.21"/>
    <x v="43"/>
    <x v="1"/>
    <x v="4"/>
    <n v="8.99"/>
    <n v="1"/>
    <n v="8.99"/>
    <x v="1"/>
    <n v="3"/>
    <n v="0.04"/>
    <s v="Drama"/>
  </r>
  <r>
    <s v="c6b0204e-436a-40a3-8de9-2f3a84d799b7"/>
    <n v="23"/>
    <s v="Other"/>
    <s v="Premium"/>
    <n v="3.51"/>
    <x v="27"/>
    <x v="2"/>
    <x v="3"/>
    <n v="17.989999999999998"/>
    <n v="0"/>
    <n v="0"/>
    <x v="4"/>
    <n v="5"/>
    <n v="0.21"/>
    <s v="Drama"/>
  </r>
  <r>
    <s v="7b0bee97-a383-498d-a1d0-2de7c824ce74"/>
    <n v="30"/>
    <s v="Female"/>
    <s v="Premium"/>
    <n v="3.55"/>
    <x v="29"/>
    <x v="4"/>
    <x v="3"/>
    <n v="17.989999999999998"/>
    <n v="1"/>
    <n v="17.989999999999998"/>
    <x v="0"/>
    <n v="3"/>
    <n v="0.08"/>
    <s v="Romance"/>
  </r>
  <r>
    <s v="5ec455c9-3823-4034-b614-261b8e723d17"/>
    <n v="40"/>
    <s v="Female"/>
    <s v="Basic"/>
    <n v="7.02"/>
    <x v="35"/>
    <x v="0"/>
    <x v="4"/>
    <n v="8.99"/>
    <n v="1"/>
    <n v="8.99"/>
    <x v="0"/>
    <n v="4"/>
    <n v="0.16"/>
    <s v="Horror"/>
  </r>
  <r>
    <s v="95613c6d-17d2-4b03-8c8b-9ebe03768f44"/>
    <n v="18"/>
    <s v="Male"/>
    <s v="Basic"/>
    <n v="15.17"/>
    <x v="54"/>
    <x v="4"/>
    <x v="1"/>
    <n v="8.99"/>
    <n v="0"/>
    <n v="0"/>
    <x v="3"/>
    <n v="3"/>
    <n v="0.52"/>
    <s v="Documentary"/>
  </r>
  <r>
    <s v="8a88927d-a219-4bb5-8f16-acc4c3171dbf"/>
    <n v="47"/>
    <s v="Male"/>
    <s v="Standard"/>
    <n v="17.12"/>
    <x v="39"/>
    <x v="1"/>
    <x v="3"/>
    <n v="13.99"/>
    <n v="0"/>
    <n v="0"/>
    <x v="4"/>
    <n v="1"/>
    <n v="0.74"/>
    <s v="Documentary"/>
  </r>
  <r>
    <s v="d8da3b68-dfd2-48bb-8717-352605346780"/>
    <n v="61"/>
    <s v="Female"/>
    <s v="Basic"/>
    <n v="12.93"/>
    <x v="22"/>
    <x v="3"/>
    <x v="4"/>
    <n v="8.99"/>
    <n v="1"/>
    <n v="8.99"/>
    <x v="2"/>
    <n v="4"/>
    <n v="0.23"/>
    <s v="Sci-Fi"/>
  </r>
  <r>
    <s v="6627f98b-c514-4d31-9be0-73d1f859e0bc"/>
    <n v="50"/>
    <s v="Male"/>
    <s v="Standard"/>
    <n v="7.88"/>
    <x v="19"/>
    <x v="1"/>
    <x v="4"/>
    <n v="13.99"/>
    <n v="1"/>
    <n v="13.99"/>
    <x v="1"/>
    <n v="1"/>
    <n v="0.18"/>
    <s v="Horror"/>
  </r>
  <r>
    <s v="c0361c14-77f2-4833-ae4a-4fe578223f75"/>
    <n v="42"/>
    <s v="Other"/>
    <s v="Basic"/>
    <n v="5.55"/>
    <x v="58"/>
    <x v="1"/>
    <x v="4"/>
    <n v="8.99"/>
    <n v="1"/>
    <n v="8.99"/>
    <x v="0"/>
    <n v="2"/>
    <n v="0.12"/>
    <s v="Drama"/>
  </r>
  <r>
    <s v="8ad4594c-beba-471b-abe6-8071694e4294"/>
    <n v="60"/>
    <s v="Male"/>
    <s v="Basic"/>
    <n v="4.6100000000000003"/>
    <x v="60"/>
    <x v="5"/>
    <x v="1"/>
    <n v="8.99"/>
    <n v="1"/>
    <n v="8.99"/>
    <x v="3"/>
    <n v="3"/>
    <n v="0.51"/>
    <s v="Sci-Fi"/>
  </r>
  <r>
    <s v="2b408c37-307e-4e4b-aa9e-df26fd74e648"/>
    <n v="46"/>
    <s v="Male"/>
    <s v="Basic"/>
    <n v="19.739999999999998"/>
    <x v="6"/>
    <x v="2"/>
    <x v="1"/>
    <n v="8.99"/>
    <n v="0"/>
    <n v="0"/>
    <x v="2"/>
    <n v="1"/>
    <n v="0.94"/>
    <s v="Horror"/>
  </r>
  <r>
    <s v="b943a742-e530-4b1d-a717-b6f72c8eb0df"/>
    <n v="49"/>
    <s v="Other"/>
    <s v="Premium"/>
    <n v="19.670000000000002"/>
    <x v="50"/>
    <x v="1"/>
    <x v="1"/>
    <n v="17.989999999999998"/>
    <n v="0"/>
    <n v="0"/>
    <x v="4"/>
    <n v="5"/>
    <n v="0.36"/>
    <s v="Documentary"/>
  </r>
  <r>
    <s v="86ca5953-8687-4fd4-ad11-0d5d680458a8"/>
    <n v="63"/>
    <s v="Other"/>
    <s v="Premium"/>
    <n v="0.3"/>
    <x v="3"/>
    <x v="2"/>
    <x v="2"/>
    <n v="17.989999999999998"/>
    <n v="1"/>
    <n v="17.989999999999998"/>
    <x v="4"/>
    <n v="2"/>
    <n v="0.02"/>
    <s v="Drama"/>
  </r>
  <r>
    <s v="1e06d863-a4c7-4967-8340-46c14cb445a0"/>
    <n v="41"/>
    <s v="Male"/>
    <s v="Basic"/>
    <n v="7.73"/>
    <x v="43"/>
    <x v="2"/>
    <x v="4"/>
    <n v="8.99"/>
    <n v="1"/>
    <n v="8.99"/>
    <x v="0"/>
    <n v="4"/>
    <n v="0.24"/>
    <s v="Documentary"/>
  </r>
  <r>
    <s v="860a5a69-185b-4aef-8746-502864830574"/>
    <n v="63"/>
    <s v="Male"/>
    <s v="Basic"/>
    <n v="1.03"/>
    <x v="47"/>
    <x v="5"/>
    <x v="4"/>
    <n v="8.99"/>
    <n v="1"/>
    <n v="8.99"/>
    <x v="4"/>
    <n v="5"/>
    <n v="0.26"/>
    <s v="Documentary"/>
  </r>
  <r>
    <s v="fd6488c2-9e1f-4227-9498-0a49f3702153"/>
    <n v="33"/>
    <s v="Male"/>
    <s v="Standard"/>
    <n v="9.93"/>
    <x v="48"/>
    <x v="4"/>
    <x v="4"/>
    <n v="13.99"/>
    <n v="0"/>
    <n v="0"/>
    <x v="2"/>
    <n v="4"/>
    <n v="0.19"/>
    <s v="Romance"/>
  </r>
  <r>
    <s v="0de32e81-bbd2-465d-a0bd-dc9981e9de95"/>
    <n v="51"/>
    <s v="Male"/>
    <s v="Standard"/>
    <n v="2.56"/>
    <x v="23"/>
    <x v="3"/>
    <x v="3"/>
    <n v="13.99"/>
    <n v="1"/>
    <n v="13.99"/>
    <x v="3"/>
    <n v="2"/>
    <n v="0.05"/>
    <s v="Romance"/>
  </r>
  <r>
    <s v="d3d8842a-961b-4951-ad19-f2ce40f0bd6c"/>
    <n v="59"/>
    <s v="Female"/>
    <s v="Standard"/>
    <n v="2.2799999999999998"/>
    <x v="10"/>
    <x v="0"/>
    <x v="3"/>
    <n v="13.99"/>
    <n v="1"/>
    <n v="13.99"/>
    <x v="3"/>
    <n v="3"/>
    <n v="0.06"/>
    <s v="Drama"/>
  </r>
  <r>
    <s v="251b46dc-0342-44cf-8868-ac80695ec9df"/>
    <n v="44"/>
    <s v="Male"/>
    <s v="Standard"/>
    <n v="1.17"/>
    <x v="48"/>
    <x v="4"/>
    <x v="4"/>
    <n v="13.99"/>
    <n v="1"/>
    <n v="13.99"/>
    <x v="4"/>
    <n v="3"/>
    <n v="0.02"/>
    <s v="Romance"/>
  </r>
  <r>
    <s v="10b94520-29d7-4845-917f-98fd0a3bf3e7"/>
    <n v="22"/>
    <s v="Female"/>
    <s v="Premium"/>
    <n v="21.84"/>
    <x v="30"/>
    <x v="3"/>
    <x v="1"/>
    <n v="17.989999999999998"/>
    <n v="0"/>
    <n v="0"/>
    <x v="4"/>
    <n v="1"/>
    <n v="10.92"/>
    <s v="Horror"/>
  </r>
  <r>
    <s v="c73edd98-948a-45a2-bf02-d8556d7771c1"/>
    <n v="25"/>
    <s v="Female"/>
    <s v="Premium"/>
    <n v="10.53"/>
    <x v="12"/>
    <x v="3"/>
    <x v="4"/>
    <n v="17.989999999999998"/>
    <n v="1"/>
    <n v="17.989999999999998"/>
    <x v="2"/>
    <n v="3"/>
    <n v="0.31"/>
    <s v="Sci-Fi"/>
  </r>
  <r>
    <s v="15977af7-baf7-4922-ac0b-06541e0271d3"/>
    <n v="26"/>
    <s v="Male"/>
    <s v="Standard"/>
    <n v="8.43"/>
    <x v="29"/>
    <x v="5"/>
    <x v="2"/>
    <n v="13.99"/>
    <n v="0"/>
    <n v="0"/>
    <x v="2"/>
    <n v="5"/>
    <n v="0.18"/>
    <s v="Comedy"/>
  </r>
  <r>
    <s v="3ca42ba1-9483-49c4-9da0-3261165ecb8e"/>
    <n v="51"/>
    <s v="Other"/>
    <s v="Premium"/>
    <n v="23.55"/>
    <x v="4"/>
    <x v="4"/>
    <x v="0"/>
    <n v="17.989999999999998"/>
    <n v="0"/>
    <n v="0"/>
    <x v="4"/>
    <n v="2"/>
    <n v="1.68"/>
    <s v="Drama"/>
  </r>
  <r>
    <s v="14ab6691-c9c4-479d-b472-b54fad1ea99e"/>
    <n v="46"/>
    <s v="Female"/>
    <s v="Standard"/>
    <n v="41.63"/>
    <x v="44"/>
    <x v="4"/>
    <x v="4"/>
    <n v="13.99"/>
    <n v="0"/>
    <n v="0"/>
    <x v="2"/>
    <n v="4"/>
    <n v="0.89"/>
    <s v="Comedy"/>
  </r>
  <r>
    <s v="32777b99-f320-4575-93f0-635af1cf0b43"/>
    <n v="35"/>
    <s v="Male"/>
    <s v="Premium"/>
    <n v="1.1100000000000001"/>
    <x v="4"/>
    <x v="4"/>
    <x v="1"/>
    <n v="17.989999999999998"/>
    <n v="0"/>
    <n v="0"/>
    <x v="4"/>
    <n v="4"/>
    <n v="0.08"/>
    <s v="Sci-Fi"/>
  </r>
  <r>
    <s v="baee1593-6034-48d7-8a84-7486c56e1563"/>
    <n v="50"/>
    <s v="Female"/>
    <s v="Premium"/>
    <n v="5.41"/>
    <x v="28"/>
    <x v="5"/>
    <x v="3"/>
    <n v="17.989999999999998"/>
    <n v="1"/>
    <n v="17.989999999999998"/>
    <x v="0"/>
    <n v="4"/>
    <n v="0.15"/>
    <s v="Action"/>
  </r>
  <r>
    <s v="b81c0235-959b-4e73-af06-1a55896f1693"/>
    <n v="54"/>
    <s v="Female"/>
    <s v="Standard"/>
    <n v="11.79"/>
    <x v="36"/>
    <x v="2"/>
    <x v="2"/>
    <n v="13.99"/>
    <n v="1"/>
    <n v="13.99"/>
    <x v="2"/>
    <n v="2"/>
    <n v="0.28999999999999998"/>
    <s v="Documentary"/>
  </r>
  <r>
    <s v="314e27f7-020f-48a3-8914-5c0b51f67d00"/>
    <n v="27"/>
    <s v="Male"/>
    <s v="Standard"/>
    <n v="0.39"/>
    <x v="14"/>
    <x v="4"/>
    <x v="2"/>
    <n v="13.99"/>
    <n v="1"/>
    <n v="13.99"/>
    <x v="0"/>
    <n v="4"/>
    <n v="0.01"/>
    <s v="Action"/>
  </r>
  <r>
    <s v="cb507a43-512e-4dec-be49-2489ad065c20"/>
    <n v="18"/>
    <s v="Male"/>
    <s v="Premium"/>
    <n v="0.97"/>
    <x v="49"/>
    <x v="0"/>
    <x v="4"/>
    <n v="17.989999999999998"/>
    <n v="0"/>
    <n v="0"/>
    <x v="2"/>
    <n v="5"/>
    <n v="0.1"/>
    <s v="Sci-Fi"/>
  </r>
  <r>
    <s v="505fa98f-6743-4996-abac-4dfadbf39cef"/>
    <n v="59"/>
    <s v="Female"/>
    <s v="Basic"/>
    <n v="4.16"/>
    <x v="33"/>
    <x v="1"/>
    <x v="4"/>
    <n v="8.99"/>
    <n v="1"/>
    <n v="8.99"/>
    <x v="1"/>
    <n v="2"/>
    <n v="0.16"/>
    <s v="Horror"/>
  </r>
  <r>
    <s v="b7842c18-8a7c-427d-985c-190fa574149d"/>
    <n v="37"/>
    <s v="Male"/>
    <s v="Premium"/>
    <n v="13.91"/>
    <x v="16"/>
    <x v="2"/>
    <x v="2"/>
    <n v="17.989999999999998"/>
    <n v="0"/>
    <n v="0"/>
    <x v="3"/>
    <n v="5"/>
    <n v="0.5"/>
    <s v="Comedy"/>
  </r>
  <r>
    <s v="51efc330-55c5-4b72-98ef-7bb6c3a82162"/>
    <n v="44"/>
    <s v="Female"/>
    <s v="Premium"/>
    <n v="3.73"/>
    <x v="52"/>
    <x v="3"/>
    <x v="0"/>
    <n v="17.989999999999998"/>
    <n v="1"/>
    <n v="17.989999999999998"/>
    <x v="4"/>
    <n v="5"/>
    <n v="7.0000000000000007E-2"/>
    <s v="Drama"/>
  </r>
  <r>
    <s v="d798a26c-3ede-4a44-b16a-a49c50e8f053"/>
    <n v="28"/>
    <s v="Male"/>
    <s v="Standard"/>
    <n v="10.91"/>
    <x v="27"/>
    <x v="5"/>
    <x v="4"/>
    <n v="13.99"/>
    <n v="0"/>
    <n v="0"/>
    <x v="2"/>
    <n v="4"/>
    <n v="0.64"/>
    <s v="Drama"/>
  </r>
  <r>
    <s v="7b5ec85e-2ca0-4c16-a1d2-daa5e187fc5c"/>
    <n v="23"/>
    <s v="Other"/>
    <s v="Premium"/>
    <n v="5.56"/>
    <x v="23"/>
    <x v="1"/>
    <x v="2"/>
    <n v="17.989999999999998"/>
    <n v="1"/>
    <n v="17.989999999999998"/>
    <x v="4"/>
    <n v="1"/>
    <n v="0.1"/>
    <s v="Romance"/>
  </r>
  <r>
    <s v="10424d23-f638-4f9b-b107-3a3fc714ebdb"/>
    <n v="58"/>
    <s v="Other"/>
    <s v="Premium"/>
    <n v="4.04"/>
    <x v="1"/>
    <x v="2"/>
    <x v="1"/>
    <n v="17.989999999999998"/>
    <n v="0"/>
    <n v="0"/>
    <x v="4"/>
    <n v="4"/>
    <n v="0.2"/>
    <s v="Romance"/>
  </r>
  <r>
    <s v="318b785e-376e-47cc-bf21-95b314654f83"/>
    <n v="23"/>
    <s v="Female"/>
    <s v="Standard"/>
    <n v="0.13"/>
    <x v="26"/>
    <x v="1"/>
    <x v="2"/>
    <n v="13.99"/>
    <n v="1"/>
    <n v="13.99"/>
    <x v="1"/>
    <n v="5"/>
    <n v="0"/>
    <s v="Sci-Fi"/>
  </r>
  <r>
    <s v="844f557e-b944-4ca0-aa50-1ce827d8bcb8"/>
    <n v="36"/>
    <s v="Female"/>
    <s v="Basic"/>
    <n v="20.03"/>
    <x v="27"/>
    <x v="0"/>
    <x v="3"/>
    <n v="8.99"/>
    <n v="0"/>
    <n v="0"/>
    <x v="2"/>
    <n v="5"/>
    <n v="1.18"/>
    <s v="Comedy"/>
  </r>
  <r>
    <s v="03e51425-ede3-4da6-9769-2ac43a43a6c8"/>
    <n v="37"/>
    <s v="Other"/>
    <s v="Basic"/>
    <n v="20.45"/>
    <x v="50"/>
    <x v="2"/>
    <x v="3"/>
    <n v="8.99"/>
    <n v="0"/>
    <n v="0"/>
    <x v="2"/>
    <n v="4"/>
    <n v="0.37"/>
    <s v="Action"/>
  </r>
  <r>
    <s v="f18f3f06-7f7a-4860-8d04-5656e811782e"/>
    <n v="48"/>
    <s v="Other"/>
    <s v="Basic"/>
    <n v="4.91"/>
    <x v="30"/>
    <x v="5"/>
    <x v="1"/>
    <n v="8.99"/>
    <n v="1"/>
    <n v="8.99"/>
    <x v="3"/>
    <n v="1"/>
    <n v="2.46"/>
    <s v="Action"/>
  </r>
  <r>
    <s v="6abb7d1e-a927-4b88-a4f6-a995b5c42361"/>
    <n v="23"/>
    <s v="Male"/>
    <s v="Standard"/>
    <n v="28.75"/>
    <x v="6"/>
    <x v="2"/>
    <x v="0"/>
    <n v="13.99"/>
    <n v="0"/>
    <n v="0"/>
    <x v="1"/>
    <n v="2"/>
    <n v="1.37"/>
    <s v="Horror"/>
  </r>
  <r>
    <s v="3aabb525-5a7b-4668-af65-a641a594a772"/>
    <n v="35"/>
    <s v="Other"/>
    <s v="Basic"/>
    <n v="10.43"/>
    <x v="44"/>
    <x v="3"/>
    <x v="1"/>
    <n v="8.99"/>
    <n v="1"/>
    <n v="8.99"/>
    <x v="4"/>
    <n v="4"/>
    <n v="0.22"/>
    <s v="Sci-Fi"/>
  </r>
  <r>
    <s v="4cb69e88-ac09-4383-b583-af8ac1ed8aa7"/>
    <n v="52"/>
    <s v="Other"/>
    <s v="Premium"/>
    <n v="11.5"/>
    <x v="23"/>
    <x v="1"/>
    <x v="0"/>
    <n v="17.989999999999998"/>
    <n v="1"/>
    <n v="17.989999999999998"/>
    <x v="1"/>
    <n v="5"/>
    <n v="0.21"/>
    <s v="Documentary"/>
  </r>
  <r>
    <s v="9eb4965a-d5d7-4223-abf2-4bc3205567d5"/>
    <n v="50"/>
    <s v="Other"/>
    <s v="Standard"/>
    <n v="1.49"/>
    <x v="60"/>
    <x v="2"/>
    <x v="2"/>
    <n v="13.99"/>
    <n v="0"/>
    <n v="0"/>
    <x v="4"/>
    <n v="4"/>
    <n v="0.17"/>
    <s v="Documentary"/>
  </r>
  <r>
    <s v="40c040fc-9b95-4b3b-871a-21ff700d0f77"/>
    <n v="68"/>
    <s v="Male"/>
    <s v="Premium"/>
    <n v="17.559999999999999"/>
    <x v="0"/>
    <x v="2"/>
    <x v="2"/>
    <n v="17.989999999999998"/>
    <n v="0"/>
    <n v="0"/>
    <x v="2"/>
    <n v="4"/>
    <n v="0.59"/>
    <s v="Sci-Fi"/>
  </r>
  <r>
    <s v="83a0d0df-f602-47a7-8f84-ff7b087eb234"/>
    <n v="30"/>
    <s v="Other"/>
    <s v="Premium"/>
    <n v="15.15"/>
    <x v="22"/>
    <x v="4"/>
    <x v="0"/>
    <n v="17.989999999999998"/>
    <n v="1"/>
    <n v="17.989999999999998"/>
    <x v="4"/>
    <n v="3"/>
    <n v="0.27"/>
    <s v="Comedy"/>
  </r>
  <r>
    <s v="5226d599-736b-422f-bf60-186a26fdeaca"/>
    <n v="41"/>
    <s v="Other"/>
    <s v="Basic"/>
    <n v="18.510000000000002"/>
    <x v="60"/>
    <x v="2"/>
    <x v="1"/>
    <n v="8.99"/>
    <n v="0"/>
    <n v="0"/>
    <x v="4"/>
    <n v="2"/>
    <n v="2.06"/>
    <s v="Drama"/>
  </r>
  <r>
    <s v="fa3df7a7-031b-4bc3-ad1c-12c10ebc05f7"/>
    <n v="56"/>
    <s v="Other"/>
    <s v="Basic"/>
    <n v="16.89"/>
    <x v="10"/>
    <x v="1"/>
    <x v="0"/>
    <n v="8.99"/>
    <n v="1"/>
    <n v="8.99"/>
    <x v="2"/>
    <n v="2"/>
    <n v="0.43"/>
    <s v="Horror"/>
  </r>
  <r>
    <s v="330da1e1-f14f-48b1-a950-169e4c02303d"/>
    <n v="19"/>
    <s v="Male"/>
    <s v="Basic"/>
    <n v="0.22"/>
    <x v="38"/>
    <x v="3"/>
    <x v="1"/>
    <n v="8.99"/>
    <n v="1"/>
    <n v="8.99"/>
    <x v="2"/>
    <n v="4"/>
    <n v="0.01"/>
    <s v="Drama"/>
  </r>
  <r>
    <s v="d9536bca-b67a-4e23-88b3-27208462b5f0"/>
    <n v="32"/>
    <s v="Female"/>
    <s v="Standard"/>
    <n v="11.33"/>
    <x v="53"/>
    <x v="1"/>
    <x v="1"/>
    <n v="13.99"/>
    <n v="1"/>
    <n v="13.99"/>
    <x v="4"/>
    <n v="1"/>
    <n v="0.26"/>
    <s v="Sci-Fi"/>
  </r>
  <r>
    <s v="503bb6a2-47c8-4dee-b381-3b5415ad89c9"/>
    <n v="60"/>
    <s v="Other"/>
    <s v="Basic"/>
    <n v="7.79"/>
    <x v="33"/>
    <x v="5"/>
    <x v="0"/>
    <n v="8.99"/>
    <n v="0"/>
    <n v="0"/>
    <x v="2"/>
    <n v="2"/>
    <n v="0.3"/>
    <s v="Drama"/>
  </r>
  <r>
    <s v="ff0a52b7-4a72-4a00-b2b9-926f67c65a15"/>
    <n v="52"/>
    <s v="Male"/>
    <s v="Basic"/>
    <n v="0.12"/>
    <x v="33"/>
    <x v="4"/>
    <x v="1"/>
    <n v="8.99"/>
    <n v="1"/>
    <n v="8.99"/>
    <x v="0"/>
    <n v="4"/>
    <n v="0"/>
    <s v="Documentary"/>
  </r>
  <r>
    <s v="97b76db8-4504-438b-b561-4b8c8976c938"/>
    <n v="70"/>
    <s v="Female"/>
    <s v="Premium"/>
    <n v="1.04"/>
    <x v="42"/>
    <x v="4"/>
    <x v="4"/>
    <n v="17.989999999999998"/>
    <n v="1"/>
    <n v="17.989999999999998"/>
    <x v="3"/>
    <n v="2"/>
    <n v="0.03"/>
    <s v="Horror"/>
  </r>
  <r>
    <s v="f5194307-2cf2-4d42-a353-6ed0142b7dee"/>
    <n v="48"/>
    <s v="Female"/>
    <s v="Premium"/>
    <n v="16.100000000000001"/>
    <x v="6"/>
    <x v="4"/>
    <x v="1"/>
    <n v="17.989999999999998"/>
    <n v="0"/>
    <n v="0"/>
    <x v="0"/>
    <n v="4"/>
    <n v="0.77"/>
    <s v="Romance"/>
  </r>
  <r>
    <s v="bb60c0f0-462a-411c-bd4a-be52a830f801"/>
    <n v="49"/>
    <s v="Other"/>
    <s v="Premium"/>
    <n v="0.65"/>
    <x v="8"/>
    <x v="4"/>
    <x v="2"/>
    <n v="17.989999999999998"/>
    <n v="1"/>
    <n v="17.989999999999998"/>
    <x v="4"/>
    <n v="3"/>
    <n v="0.02"/>
    <s v="Drama"/>
  </r>
  <r>
    <s v="2147d452-2d5c-4618-aaba-e7feb7d322f5"/>
    <n v="52"/>
    <s v="Female"/>
    <s v="Basic"/>
    <n v="0.3"/>
    <x v="38"/>
    <x v="1"/>
    <x v="1"/>
    <n v="8.99"/>
    <n v="1"/>
    <n v="8.99"/>
    <x v="0"/>
    <n v="2"/>
    <n v="0.01"/>
    <s v="Horror"/>
  </r>
  <r>
    <s v="12f4c115-7090-47f6-9450-7f3c5b7ce2ee"/>
    <n v="37"/>
    <s v="Male"/>
    <s v="Standard"/>
    <n v="16.010000000000002"/>
    <x v="40"/>
    <x v="1"/>
    <x v="2"/>
    <n v="13.99"/>
    <n v="0"/>
    <n v="0"/>
    <x v="2"/>
    <n v="4"/>
    <n v="1.33"/>
    <s v="Horror"/>
  </r>
  <r>
    <s v="2f2b96aa-a4b0-47fd-8163-128e7da936ac"/>
    <n v="39"/>
    <s v="Female"/>
    <s v="Basic"/>
    <n v="33.36"/>
    <x v="42"/>
    <x v="4"/>
    <x v="0"/>
    <n v="8.99"/>
    <n v="1"/>
    <n v="8.99"/>
    <x v="1"/>
    <n v="1"/>
    <n v="0.88"/>
    <s v="Sci-Fi"/>
  </r>
  <r>
    <s v="071580bb-2081-42f1-82d9-55d269964fed"/>
    <n v="70"/>
    <s v="Female"/>
    <s v="Basic"/>
    <n v="3.99"/>
    <x v="37"/>
    <x v="0"/>
    <x v="2"/>
    <n v="8.99"/>
    <n v="1"/>
    <n v="8.99"/>
    <x v="0"/>
    <n v="1"/>
    <n v="0.16"/>
    <s v="Horror"/>
  </r>
  <r>
    <s v="49460bf3-2d1f-48a8-abca-b6af133f2803"/>
    <n v="68"/>
    <s v="Male"/>
    <s v="Basic"/>
    <n v="17.260000000000002"/>
    <x v="2"/>
    <x v="4"/>
    <x v="3"/>
    <n v="8.99"/>
    <n v="0"/>
    <n v="0"/>
    <x v="4"/>
    <n v="3"/>
    <n v="1.57"/>
    <s v="Documentary"/>
  </r>
  <r>
    <s v="1cddb6f1-fc2f-4e07-887b-e3703974af83"/>
    <n v="26"/>
    <s v="Other"/>
    <s v="Standard"/>
    <n v="4.6399999999999997"/>
    <x v="13"/>
    <x v="2"/>
    <x v="3"/>
    <n v="13.99"/>
    <n v="1"/>
    <n v="13.99"/>
    <x v="1"/>
    <n v="1"/>
    <n v="0.57999999999999996"/>
    <s v="Comedy"/>
  </r>
  <r>
    <s v="00ed9abb-99cc-4b26-bac4-eab742a14f5a"/>
    <n v="49"/>
    <s v="Female"/>
    <s v="Premium"/>
    <n v="5"/>
    <x v="51"/>
    <x v="3"/>
    <x v="1"/>
    <n v="17.989999999999998"/>
    <n v="0"/>
    <n v="0"/>
    <x v="1"/>
    <n v="1"/>
    <n v="0.28000000000000003"/>
    <s v="Drama"/>
  </r>
  <r>
    <s v="304e77f6-80f7-4820-affe-f288fb212762"/>
    <n v="18"/>
    <s v="Male"/>
    <s v="Premium"/>
    <n v="12.42"/>
    <x v="56"/>
    <x v="5"/>
    <x v="2"/>
    <n v="17.989999999999998"/>
    <n v="1"/>
    <n v="17.989999999999998"/>
    <x v="2"/>
    <n v="3"/>
    <n v="0.21"/>
    <s v="Horror"/>
  </r>
  <r>
    <s v="f1664406-d734-495d-8499-225258ceb44d"/>
    <n v="28"/>
    <s v="Other"/>
    <s v="Basic"/>
    <n v="16.54"/>
    <x v="37"/>
    <x v="4"/>
    <x v="2"/>
    <n v="8.99"/>
    <n v="0"/>
    <n v="0"/>
    <x v="1"/>
    <n v="3"/>
    <n v="0.66"/>
    <s v="Romance"/>
  </r>
  <r>
    <s v="2e7f0f39-fa6e-4eb0-92de-1ec80999427b"/>
    <n v="57"/>
    <s v="Female"/>
    <s v="Premium"/>
    <n v="0.26"/>
    <x v="54"/>
    <x v="1"/>
    <x v="4"/>
    <n v="17.989999999999998"/>
    <n v="1"/>
    <n v="17.989999999999998"/>
    <x v="4"/>
    <n v="2"/>
    <n v="0.01"/>
    <s v="Action"/>
  </r>
  <r>
    <s v="6419436c-0144-4b48-a8be-7a43d909a91d"/>
    <n v="47"/>
    <s v="Female"/>
    <s v="Basic"/>
    <n v="17.940000000000001"/>
    <x v="1"/>
    <x v="3"/>
    <x v="4"/>
    <n v="8.99"/>
    <n v="0"/>
    <n v="0"/>
    <x v="3"/>
    <n v="2"/>
    <n v="0.9"/>
    <s v="Action"/>
  </r>
  <r>
    <s v="407bcc3b-fda7-46f1-ad86-4fb4b4d34e84"/>
    <n v="18"/>
    <s v="Male"/>
    <s v="Standard"/>
    <n v="41.28"/>
    <x v="37"/>
    <x v="1"/>
    <x v="3"/>
    <n v="13.99"/>
    <n v="0"/>
    <n v="0"/>
    <x v="2"/>
    <n v="3"/>
    <n v="1.65"/>
    <s v="Action"/>
  </r>
  <r>
    <s v="0c7c7313-11c4-4127-86d9-7db7dbc296b3"/>
    <n v="48"/>
    <s v="Male"/>
    <s v="Basic"/>
    <n v="3.34"/>
    <x v="30"/>
    <x v="3"/>
    <x v="1"/>
    <n v="8.99"/>
    <n v="1"/>
    <n v="8.99"/>
    <x v="4"/>
    <n v="1"/>
    <n v="1.67"/>
    <s v="Comedy"/>
  </r>
  <r>
    <s v="fb18811c-c703-4f82-8119-20f4341d811e"/>
    <n v="26"/>
    <s v="Female"/>
    <s v="Premium"/>
    <n v="3.13"/>
    <x v="20"/>
    <x v="3"/>
    <x v="2"/>
    <n v="17.989999999999998"/>
    <n v="0"/>
    <n v="0"/>
    <x v="3"/>
    <n v="5"/>
    <n v="0.16"/>
    <s v="Sci-Fi"/>
  </r>
  <r>
    <s v="2ef8917f-008f-4cda-ac07-1c700c111afd"/>
    <n v="24"/>
    <s v="Other"/>
    <s v="Basic"/>
    <n v="3.02"/>
    <x v="38"/>
    <x v="2"/>
    <x v="4"/>
    <n v="8.99"/>
    <n v="1"/>
    <n v="8.99"/>
    <x v="0"/>
    <n v="5"/>
    <n v="0.14000000000000001"/>
    <s v="Comedy"/>
  </r>
  <r>
    <s v="61e9d50e-dbe8-4e0c-99cc-cfd614f9da3c"/>
    <n v="40"/>
    <s v="Other"/>
    <s v="Standard"/>
    <n v="7.82"/>
    <x v="60"/>
    <x v="5"/>
    <x v="4"/>
    <n v="13.99"/>
    <n v="0"/>
    <n v="0"/>
    <x v="4"/>
    <n v="2"/>
    <n v="0.87"/>
    <s v="Documentary"/>
  </r>
  <r>
    <s v="9eb92a08-3a88-47a8-93ed-717e041463d3"/>
    <n v="50"/>
    <s v="Female"/>
    <s v="Basic"/>
    <n v="0.82"/>
    <x v="30"/>
    <x v="5"/>
    <x v="1"/>
    <n v="8.99"/>
    <n v="1"/>
    <n v="8.99"/>
    <x v="3"/>
    <n v="5"/>
    <n v="0.41"/>
    <s v="Drama"/>
  </r>
  <r>
    <s v="4ed3af39-edab-4a77-a166-978bd2fe04c3"/>
    <n v="49"/>
    <s v="Male"/>
    <s v="Basic"/>
    <n v="13.95"/>
    <x v="38"/>
    <x v="3"/>
    <x v="2"/>
    <n v="8.99"/>
    <n v="0"/>
    <n v="0"/>
    <x v="3"/>
    <n v="1"/>
    <n v="0.63"/>
    <s v="Sci-Fi"/>
  </r>
  <r>
    <s v="7325ea2c-d50b-4cd1-aad0-245a0602f7ce"/>
    <n v="55"/>
    <s v="Female"/>
    <s v="Premium"/>
    <n v="41.03"/>
    <x v="29"/>
    <x v="0"/>
    <x v="2"/>
    <n v="17.989999999999998"/>
    <n v="0"/>
    <n v="0"/>
    <x v="2"/>
    <n v="3"/>
    <n v="0.89"/>
    <s v="Documentary"/>
  </r>
  <r>
    <s v="4e354ac7-0a8e-4e95-bea1-a9075202ef61"/>
    <n v="20"/>
    <s v="Female"/>
    <s v="Premium"/>
    <n v="20.62"/>
    <x v="4"/>
    <x v="2"/>
    <x v="0"/>
    <n v="17.989999999999998"/>
    <n v="0"/>
    <n v="0"/>
    <x v="2"/>
    <n v="4"/>
    <n v="1.47"/>
    <s v="Sci-Fi"/>
  </r>
  <r>
    <s v="4857b9de-1edb-4296-b3ad-7a33e68f0c85"/>
    <n v="31"/>
    <s v="Other"/>
    <s v="Basic"/>
    <n v="11.3"/>
    <x v="42"/>
    <x v="4"/>
    <x v="1"/>
    <n v="8.99"/>
    <n v="1"/>
    <n v="8.99"/>
    <x v="3"/>
    <n v="3"/>
    <n v="0.3"/>
    <s v="Romance"/>
  </r>
  <r>
    <s v="d5092d9c-c22a-462c-ab30-88227da4a8bd"/>
    <n v="66"/>
    <s v="Female"/>
    <s v="Premium"/>
    <n v="5.8"/>
    <x v="45"/>
    <x v="3"/>
    <x v="0"/>
    <n v="17.989999999999998"/>
    <n v="1"/>
    <n v="17.989999999999998"/>
    <x v="3"/>
    <n v="2"/>
    <n v="0.14000000000000001"/>
    <s v="Documentary"/>
  </r>
  <r>
    <s v="cae4eb59-460f-4819-82ee-b5ac5de9a5bc"/>
    <n v="58"/>
    <s v="Other"/>
    <s v="Standard"/>
    <n v="24.34"/>
    <x v="43"/>
    <x v="2"/>
    <x v="2"/>
    <n v="13.99"/>
    <n v="0"/>
    <n v="0"/>
    <x v="1"/>
    <n v="1"/>
    <n v="0.76"/>
    <s v="Comedy"/>
  </r>
  <r>
    <s v="45fae5a6-eb08-4eae-9ec0-d6530ad02310"/>
    <n v="54"/>
    <s v="Other"/>
    <s v="Basic"/>
    <n v="7.19"/>
    <x v="7"/>
    <x v="5"/>
    <x v="3"/>
    <n v="8.99"/>
    <n v="1"/>
    <n v="8.99"/>
    <x v="0"/>
    <n v="2"/>
    <n v="0.13"/>
    <s v="Romance"/>
  </r>
  <r>
    <s v="aaf921c3-5870-4508-8814-a72e0cbd10ff"/>
    <n v="40"/>
    <s v="Male"/>
    <s v="Standard"/>
    <n v="13.33"/>
    <x v="37"/>
    <x v="5"/>
    <x v="0"/>
    <n v="13.99"/>
    <n v="0"/>
    <n v="0"/>
    <x v="1"/>
    <n v="3"/>
    <n v="0.53"/>
    <s v="Romance"/>
  </r>
  <r>
    <s v="fbf6539b-a9e0-4443-8cd2-46cc1f1c7f81"/>
    <n v="56"/>
    <s v="Other"/>
    <s v="Premium"/>
    <n v="1.65"/>
    <x v="41"/>
    <x v="0"/>
    <x v="1"/>
    <n v="17.989999999999998"/>
    <n v="1"/>
    <n v="17.989999999999998"/>
    <x v="0"/>
    <n v="4"/>
    <n v="0.05"/>
    <s v="Action"/>
  </r>
  <r>
    <s v="a1683619-5cc2-49c0-9830-26abcf323125"/>
    <n v="34"/>
    <s v="Male"/>
    <s v="Standard"/>
    <n v="10.55"/>
    <x v="50"/>
    <x v="2"/>
    <x v="4"/>
    <n v="13.99"/>
    <n v="0"/>
    <n v="0"/>
    <x v="3"/>
    <n v="5"/>
    <n v="0.19"/>
    <s v="Sci-Fi"/>
  </r>
  <r>
    <s v="8ead4768-c185-45ab-acc0-233037753cf4"/>
    <n v="52"/>
    <s v="Other"/>
    <s v="Premium"/>
    <n v="6.19"/>
    <x v="1"/>
    <x v="2"/>
    <x v="0"/>
    <n v="17.989999999999998"/>
    <n v="0"/>
    <n v="0"/>
    <x v="0"/>
    <n v="3"/>
    <n v="0.31"/>
    <s v="Romance"/>
  </r>
  <r>
    <s v="8ee6ec42-bc06-4390-b152-bbf1c1c0b165"/>
    <n v="45"/>
    <s v="Male"/>
    <s v="Standard"/>
    <n v="9.8699999999999992"/>
    <x v="44"/>
    <x v="1"/>
    <x v="3"/>
    <n v="13.99"/>
    <n v="0"/>
    <n v="0"/>
    <x v="2"/>
    <n v="4"/>
    <n v="0.21"/>
    <s v="Comedy"/>
  </r>
  <r>
    <s v="9d59350b-6bf3-48ad-aa59-d0fc92f66475"/>
    <n v="66"/>
    <s v="Other"/>
    <s v="Premium"/>
    <n v="92.07"/>
    <x v="56"/>
    <x v="5"/>
    <x v="1"/>
    <n v="17.989999999999998"/>
    <n v="0"/>
    <n v="0"/>
    <x v="3"/>
    <n v="3"/>
    <n v="1.56"/>
    <s v="Comedy"/>
  </r>
  <r>
    <s v="463e5585-9dae-4c85-94fd-dd5c15096551"/>
    <n v="49"/>
    <s v="Male"/>
    <s v="Basic"/>
    <n v="2.89"/>
    <x v="27"/>
    <x v="3"/>
    <x v="2"/>
    <n v="8.99"/>
    <n v="1"/>
    <n v="8.99"/>
    <x v="4"/>
    <n v="5"/>
    <n v="0.17"/>
    <s v="Drama"/>
  </r>
  <r>
    <s v="0c8b427b-4b17-4656-9664-805fd9d79d94"/>
    <n v="35"/>
    <s v="Other"/>
    <s v="Standard"/>
    <n v="0.23"/>
    <x v="50"/>
    <x v="2"/>
    <x v="3"/>
    <n v="13.99"/>
    <n v="1"/>
    <n v="13.99"/>
    <x v="0"/>
    <n v="5"/>
    <n v="0"/>
    <s v="Drama"/>
  </r>
  <r>
    <s v="dba7977d-3e9b-444f-9130-e3cf2f18c821"/>
    <n v="65"/>
    <s v="Other"/>
    <s v="Standard"/>
    <n v="0.4"/>
    <x v="26"/>
    <x v="1"/>
    <x v="0"/>
    <n v="13.99"/>
    <n v="1"/>
    <n v="13.99"/>
    <x v="0"/>
    <n v="5"/>
    <n v="0.01"/>
    <s v="Comedy"/>
  </r>
  <r>
    <s v="57c2ede7-538e-4e16-88a3-fdbea0addc45"/>
    <n v="64"/>
    <s v="Other"/>
    <s v="Basic"/>
    <n v="11.05"/>
    <x v="3"/>
    <x v="0"/>
    <x v="2"/>
    <n v="8.99"/>
    <n v="0"/>
    <n v="0"/>
    <x v="1"/>
    <n v="5"/>
    <n v="0.85"/>
    <s v="Action"/>
  </r>
  <r>
    <s v="d6cca673-966d-4c20-b758-19c3510c4219"/>
    <n v="61"/>
    <s v="Male"/>
    <s v="Premium"/>
    <n v="25.26"/>
    <x v="13"/>
    <x v="5"/>
    <x v="4"/>
    <n v="17.989999999999998"/>
    <n v="0"/>
    <n v="0"/>
    <x v="2"/>
    <n v="5"/>
    <n v="3.16"/>
    <s v="Horror"/>
  </r>
  <r>
    <s v="b525f0c4-903c-4313-b1b4-48e7c2ed21fa"/>
    <n v="31"/>
    <s v="Other"/>
    <s v="Premium"/>
    <n v="14.43"/>
    <x v="49"/>
    <x v="0"/>
    <x v="0"/>
    <n v="17.989999999999998"/>
    <n v="0"/>
    <n v="0"/>
    <x v="4"/>
    <n v="5"/>
    <n v="1.44"/>
    <s v="Documentary"/>
  </r>
  <r>
    <s v="7aeed096-1bb8-48ca-9bbc-8961abcf5628"/>
    <n v="56"/>
    <s v="Other"/>
    <s v="Standard"/>
    <n v="10.6"/>
    <x v="22"/>
    <x v="3"/>
    <x v="2"/>
    <n v="13.99"/>
    <n v="1"/>
    <n v="13.99"/>
    <x v="4"/>
    <n v="1"/>
    <n v="0.19"/>
    <s v="Sci-Fi"/>
  </r>
  <r>
    <s v="066c1a91-ea7d-44ec-8d8a-0a7e16d61fad"/>
    <n v="70"/>
    <s v="Female"/>
    <s v="Standard"/>
    <n v="2.4"/>
    <x v="3"/>
    <x v="2"/>
    <x v="3"/>
    <n v="13.99"/>
    <n v="0"/>
    <n v="0"/>
    <x v="3"/>
    <n v="5"/>
    <n v="0.18"/>
    <s v="Comedy"/>
  </r>
  <r>
    <s v="2d9b4222-589e-4c8d-b433-3b6f82c14e4c"/>
    <n v="40"/>
    <s v="Female"/>
    <s v="Standard"/>
    <n v="7.02"/>
    <x v="20"/>
    <x v="0"/>
    <x v="4"/>
    <n v="13.99"/>
    <n v="0"/>
    <n v="0"/>
    <x v="3"/>
    <n v="4"/>
    <n v="0.37"/>
    <s v="Sci-Fi"/>
  </r>
  <r>
    <s v="0bd9e2e0-5f3a-43af-a33e-9b91f849e3df"/>
    <n v="63"/>
    <s v="Male"/>
    <s v="Standard"/>
    <n v="31.54"/>
    <x v="35"/>
    <x v="5"/>
    <x v="0"/>
    <n v="13.99"/>
    <n v="0"/>
    <n v="0"/>
    <x v="1"/>
    <n v="5"/>
    <n v="0.7"/>
    <s v="Drama"/>
  </r>
  <r>
    <s v="f98dfba7-4659-4486-af51-c26bb5812dd7"/>
    <n v="56"/>
    <s v="Other"/>
    <s v="Standard"/>
    <n v="17.440000000000001"/>
    <x v="40"/>
    <x v="3"/>
    <x v="0"/>
    <n v="13.99"/>
    <n v="0"/>
    <n v="0"/>
    <x v="1"/>
    <n v="1"/>
    <n v="1.45"/>
    <s v="Documentary"/>
  </r>
  <r>
    <s v="136dea6e-2ef8-4543-8646-3a53ecf58c37"/>
    <n v="64"/>
    <s v="Male"/>
    <s v="Basic"/>
    <n v="4.74"/>
    <x v="36"/>
    <x v="1"/>
    <x v="1"/>
    <n v="8.99"/>
    <n v="1"/>
    <n v="8.99"/>
    <x v="1"/>
    <n v="3"/>
    <n v="0.12"/>
    <s v="Action"/>
  </r>
  <r>
    <s v="54ba5a09-05cd-4a27-a689-3aacea4bc87a"/>
    <n v="18"/>
    <s v="Male"/>
    <s v="Standard"/>
    <n v="14.18"/>
    <x v="16"/>
    <x v="5"/>
    <x v="4"/>
    <n v="13.99"/>
    <n v="0"/>
    <n v="0"/>
    <x v="1"/>
    <n v="2"/>
    <n v="0.51"/>
    <s v="Drama"/>
  </r>
  <r>
    <s v="dacb6f05-14d5-4f84-891e-c6498f9a27f2"/>
    <n v="60"/>
    <s v="Male"/>
    <s v="Standard"/>
    <n v="7.61"/>
    <x v="60"/>
    <x v="1"/>
    <x v="2"/>
    <n v="13.99"/>
    <n v="0"/>
    <n v="0"/>
    <x v="1"/>
    <n v="5"/>
    <n v="0.85"/>
    <s v="Horror"/>
  </r>
  <r>
    <s v="5ce52697-adf6-410e-9fa4-136a826020d3"/>
    <n v="18"/>
    <s v="Other"/>
    <s v="Basic"/>
    <n v="0.59"/>
    <x v="45"/>
    <x v="2"/>
    <x v="3"/>
    <n v="8.99"/>
    <n v="1"/>
    <n v="8.99"/>
    <x v="2"/>
    <n v="5"/>
    <n v="0.01"/>
    <s v="Horror"/>
  </r>
  <r>
    <s v="73985dc8-731e-4899-93ad-a2fc6dd855b4"/>
    <n v="32"/>
    <s v="Male"/>
    <s v="Standard"/>
    <n v="27.72"/>
    <x v="56"/>
    <x v="5"/>
    <x v="2"/>
    <n v="13.99"/>
    <n v="0"/>
    <n v="0"/>
    <x v="3"/>
    <n v="3"/>
    <n v="0.47"/>
    <s v="Action"/>
  </r>
  <r>
    <s v="65a8b79c-91b9-4e37-8db0-46d6eb08a523"/>
    <n v="34"/>
    <s v="Male"/>
    <s v="Premium"/>
    <n v="26.06"/>
    <x v="54"/>
    <x v="5"/>
    <x v="0"/>
    <n v="17.989999999999998"/>
    <n v="0"/>
    <n v="0"/>
    <x v="2"/>
    <n v="4"/>
    <n v="0.9"/>
    <s v="Drama"/>
  </r>
  <r>
    <s v="54ac9d64-1c06-4c41-af42-cbde0c8b1fb4"/>
    <n v="64"/>
    <s v="Female"/>
    <s v="Standard"/>
    <n v="10.78"/>
    <x v="2"/>
    <x v="3"/>
    <x v="1"/>
    <n v="13.99"/>
    <n v="0"/>
    <n v="0"/>
    <x v="3"/>
    <n v="3"/>
    <n v="0.98"/>
    <s v="Drama"/>
  </r>
  <r>
    <s v="126ecb5d-8652-497f-b5c4-c30d60a9baaa"/>
    <n v="22"/>
    <s v="Female"/>
    <s v="Standard"/>
    <n v="8.07"/>
    <x v="9"/>
    <x v="4"/>
    <x v="2"/>
    <n v="13.99"/>
    <n v="1"/>
    <n v="13.99"/>
    <x v="1"/>
    <n v="2"/>
    <n v="0.22"/>
    <s v="Drama"/>
  </r>
  <r>
    <s v="182a0a12-73f2-430c-ace1-e771d0579b8d"/>
    <n v="39"/>
    <s v="Other"/>
    <s v="Standard"/>
    <n v="5.56"/>
    <x v="58"/>
    <x v="2"/>
    <x v="0"/>
    <n v="13.99"/>
    <n v="1"/>
    <n v="13.99"/>
    <x v="1"/>
    <n v="5"/>
    <n v="0.12"/>
    <s v="Documentary"/>
  </r>
  <r>
    <s v="32fefe2e-b543-4afe-ad6e-c9a54d4b9a47"/>
    <n v="59"/>
    <s v="Other"/>
    <s v="Basic"/>
    <n v="0.27"/>
    <x v="35"/>
    <x v="5"/>
    <x v="2"/>
    <n v="8.99"/>
    <n v="1"/>
    <n v="8.99"/>
    <x v="3"/>
    <n v="5"/>
    <n v="0.01"/>
    <s v="Drama"/>
  </r>
  <r>
    <s v="8a8873b4-5397-44ca-a433-9a870d6876bc"/>
    <n v="68"/>
    <s v="Male"/>
    <s v="Standard"/>
    <n v="44.63"/>
    <x v="23"/>
    <x v="3"/>
    <x v="1"/>
    <n v="13.99"/>
    <n v="0"/>
    <n v="0"/>
    <x v="4"/>
    <n v="5"/>
    <n v="0.83"/>
    <s v="Sci-Fi"/>
  </r>
  <r>
    <s v="a9b1e2d9-7f36-437e-a38b-9339999f2ae3"/>
    <n v="38"/>
    <s v="Male"/>
    <s v="Standard"/>
    <n v="13.61"/>
    <x v="27"/>
    <x v="0"/>
    <x v="3"/>
    <n v="13.99"/>
    <n v="0"/>
    <n v="0"/>
    <x v="3"/>
    <n v="5"/>
    <n v="0.8"/>
    <s v="Horror"/>
  </r>
  <r>
    <s v="fe70faa8-b5c5-4161-8dc8-d3e67b347bbe"/>
    <n v="22"/>
    <s v="Male"/>
    <s v="Premium"/>
    <n v="13.24"/>
    <x v="42"/>
    <x v="1"/>
    <x v="1"/>
    <n v="17.989999999999998"/>
    <n v="0"/>
    <n v="0"/>
    <x v="4"/>
    <n v="5"/>
    <n v="0.35"/>
    <s v="Horror"/>
  </r>
  <r>
    <s v="652a3ef0-a115-4f83-b5bf-451c62ada858"/>
    <n v="41"/>
    <s v="Male"/>
    <s v="Premium"/>
    <n v="4.41"/>
    <x v="7"/>
    <x v="0"/>
    <x v="0"/>
    <n v="17.989999999999998"/>
    <n v="1"/>
    <n v="17.989999999999998"/>
    <x v="0"/>
    <n v="2"/>
    <n v="0.08"/>
    <s v="Horror"/>
  </r>
  <r>
    <s v="335f4a66-cbce-4d08-affb-aa5c6d92ca89"/>
    <n v="36"/>
    <s v="Other"/>
    <s v="Premium"/>
    <n v="12.92"/>
    <x v="32"/>
    <x v="3"/>
    <x v="4"/>
    <n v="17.989999999999998"/>
    <n v="0"/>
    <n v="0"/>
    <x v="0"/>
    <n v="5"/>
    <n v="0.86"/>
    <s v="Sci-Fi"/>
  </r>
  <r>
    <s v="93ea1605-c19e-4faf-8ddb-cd2c4499908c"/>
    <n v="30"/>
    <s v="Male"/>
    <s v="Standard"/>
    <n v="1.29"/>
    <x v="17"/>
    <x v="0"/>
    <x v="0"/>
    <n v="13.99"/>
    <n v="0"/>
    <n v="0"/>
    <x v="4"/>
    <n v="5"/>
    <n v="0.26"/>
    <s v="Action"/>
  </r>
  <r>
    <s v="3fa39771-d81f-4b62-a45d-d864399ac4be"/>
    <n v="57"/>
    <s v="Male"/>
    <s v="Standard"/>
    <n v="2.31"/>
    <x v="0"/>
    <x v="1"/>
    <x v="4"/>
    <n v="13.99"/>
    <n v="1"/>
    <n v="13.99"/>
    <x v="1"/>
    <n v="1"/>
    <n v="0.08"/>
    <s v="Sci-Fi"/>
  </r>
  <r>
    <s v="6701c268-e97f-46a1-891b-a5283d199258"/>
    <n v="54"/>
    <s v="Male"/>
    <s v="Standard"/>
    <n v="8.56"/>
    <x v="12"/>
    <x v="4"/>
    <x v="1"/>
    <n v="13.99"/>
    <n v="1"/>
    <n v="13.99"/>
    <x v="0"/>
    <n v="4"/>
    <n v="0.25"/>
    <s v="Drama"/>
  </r>
  <r>
    <s v="e5b3a35a-183b-4048-9eea-11b59ae5ce5f"/>
    <n v="18"/>
    <s v="Male"/>
    <s v="Standard"/>
    <n v="18.75"/>
    <x v="37"/>
    <x v="4"/>
    <x v="1"/>
    <n v="13.99"/>
    <n v="0"/>
    <n v="0"/>
    <x v="3"/>
    <n v="5"/>
    <n v="0.75"/>
    <s v="Sci-Fi"/>
  </r>
  <r>
    <s v="95e16d3f-1437-48a6-878c-5684ef5f409a"/>
    <n v="46"/>
    <s v="Female"/>
    <s v="Standard"/>
    <n v="0.71"/>
    <x v="5"/>
    <x v="5"/>
    <x v="4"/>
    <n v="13.99"/>
    <n v="1"/>
    <n v="13.99"/>
    <x v="1"/>
    <n v="5"/>
    <n v="0.03"/>
    <s v="Action"/>
  </r>
  <r>
    <s v="d482d990-31c6-4a80-a9f3-f4bc26d671cf"/>
    <n v="38"/>
    <s v="Male"/>
    <s v="Standard"/>
    <n v="18.899999999999999"/>
    <x v="50"/>
    <x v="0"/>
    <x v="4"/>
    <n v="13.99"/>
    <n v="1"/>
    <n v="13.99"/>
    <x v="0"/>
    <n v="4"/>
    <n v="0.34"/>
    <s v="Horror"/>
  </r>
  <r>
    <s v="ad31433b-096b-43e2-b67b-28aac9340c0c"/>
    <n v="48"/>
    <s v="Male"/>
    <s v="Basic"/>
    <n v="6.52"/>
    <x v="8"/>
    <x v="5"/>
    <x v="4"/>
    <n v="8.99"/>
    <n v="1"/>
    <n v="8.99"/>
    <x v="3"/>
    <n v="4"/>
    <n v="0.19"/>
    <s v="Comedy"/>
  </r>
  <r>
    <s v="6a16e21f-e800-42a9-9c0c-3ef09efe57d4"/>
    <n v="25"/>
    <s v="Male"/>
    <s v="Premium"/>
    <n v="23.81"/>
    <x v="55"/>
    <x v="4"/>
    <x v="2"/>
    <n v="17.989999999999998"/>
    <n v="0"/>
    <n v="0"/>
    <x v="2"/>
    <n v="3"/>
    <n v="0.4"/>
    <s v="Comedy"/>
  </r>
  <r>
    <s v="5f976666-0c51-493a-9924-14a17c615b89"/>
    <n v="31"/>
    <s v="Other"/>
    <s v="Premium"/>
    <n v="2.4700000000000002"/>
    <x v="12"/>
    <x v="5"/>
    <x v="1"/>
    <n v="17.989999999999998"/>
    <n v="1"/>
    <n v="17.989999999999998"/>
    <x v="3"/>
    <n v="2"/>
    <n v="7.0000000000000007E-2"/>
    <s v="Sci-Fi"/>
  </r>
  <r>
    <s v="c71d03ad-0974-4365-9d07-44c31a3dd2ca"/>
    <n v="37"/>
    <s v="Female"/>
    <s v="Basic"/>
    <n v="7.59"/>
    <x v="59"/>
    <x v="1"/>
    <x v="3"/>
    <n v="8.99"/>
    <n v="0"/>
    <n v="0"/>
    <x v="1"/>
    <n v="2"/>
    <n v="1.26"/>
    <s v="Drama"/>
  </r>
  <r>
    <s v="b8ca4f83-91e4-4913-bb2a-7af18b9df8a5"/>
    <n v="57"/>
    <s v="Other"/>
    <s v="Basic"/>
    <n v="9.8800000000000008"/>
    <x v="35"/>
    <x v="1"/>
    <x v="1"/>
    <n v="8.99"/>
    <n v="1"/>
    <n v="8.99"/>
    <x v="2"/>
    <n v="3"/>
    <n v="0.22"/>
    <s v="Action"/>
  </r>
  <r>
    <s v="09746f94-c065-41ac-aa70-2c6bd5645554"/>
    <n v="70"/>
    <s v="Other"/>
    <s v="Standard"/>
    <n v="21.33"/>
    <x v="58"/>
    <x v="1"/>
    <x v="4"/>
    <n v="13.99"/>
    <n v="0"/>
    <n v="0"/>
    <x v="2"/>
    <n v="1"/>
    <n v="0.44"/>
    <s v="Sci-Fi"/>
  </r>
  <r>
    <s v="efa03a02-4c30-4ef2-a7ea-5d5f76104688"/>
    <n v="65"/>
    <s v="Male"/>
    <s v="Basic"/>
    <n v="4.2"/>
    <x v="50"/>
    <x v="5"/>
    <x v="1"/>
    <n v="8.99"/>
    <n v="1"/>
    <n v="8.99"/>
    <x v="1"/>
    <n v="4"/>
    <n v="0.08"/>
    <s v="Documentary"/>
  </r>
  <r>
    <s v="b294bf19-b1f0-4b62-ba68-2b8d4d0bb572"/>
    <n v="44"/>
    <s v="Male"/>
    <s v="Premium"/>
    <n v="2.5099999999999998"/>
    <x v="41"/>
    <x v="1"/>
    <x v="1"/>
    <n v="17.989999999999998"/>
    <n v="0"/>
    <n v="0"/>
    <x v="2"/>
    <n v="4"/>
    <n v="0.08"/>
    <s v="Sci-Fi"/>
  </r>
  <r>
    <s v="676427ff-9d86-4bc4-98aa-4904e25ed3ed"/>
    <n v="47"/>
    <s v="Female"/>
    <s v="Premium"/>
    <n v="11.36"/>
    <x v="4"/>
    <x v="4"/>
    <x v="1"/>
    <n v="17.989999999999998"/>
    <n v="0"/>
    <n v="0"/>
    <x v="0"/>
    <n v="1"/>
    <n v="0.81"/>
    <s v="Horror"/>
  </r>
  <r>
    <s v="0a12e979-14a5-4cd3-bb0f-28768f6a1163"/>
    <n v="70"/>
    <s v="Other"/>
    <s v="Premium"/>
    <n v="13.24"/>
    <x v="30"/>
    <x v="0"/>
    <x v="0"/>
    <n v="17.989999999999998"/>
    <n v="0"/>
    <n v="0"/>
    <x v="0"/>
    <n v="5"/>
    <n v="6.62"/>
    <s v="Drama"/>
  </r>
  <r>
    <s v="f27eb411-b0c4-4cad-8568-c071b05101d1"/>
    <n v="55"/>
    <s v="Male"/>
    <s v="Standard"/>
    <n v="7.78"/>
    <x v="13"/>
    <x v="2"/>
    <x v="1"/>
    <n v="13.99"/>
    <n v="0"/>
    <n v="0"/>
    <x v="3"/>
    <n v="3"/>
    <n v="0.97"/>
    <s v="Drama"/>
  </r>
  <r>
    <s v="090c334f-63fc-4946-92ad-a588a7600d25"/>
    <n v="46"/>
    <s v="Male"/>
    <s v="Premium"/>
    <n v="3.18"/>
    <x v="40"/>
    <x v="5"/>
    <x v="0"/>
    <n v="17.989999999999998"/>
    <n v="1"/>
    <n v="17.989999999999998"/>
    <x v="1"/>
    <n v="4"/>
    <n v="0.27"/>
    <s v="Sci-Fi"/>
  </r>
  <r>
    <s v="06a94eb2-a132-4bd9-8737-99c282f2fcc5"/>
    <n v="68"/>
    <s v="Other"/>
    <s v="Premium"/>
    <n v="4.12"/>
    <x v="43"/>
    <x v="1"/>
    <x v="0"/>
    <n v="17.989999999999998"/>
    <n v="1"/>
    <n v="17.989999999999998"/>
    <x v="4"/>
    <n v="5"/>
    <n v="0.13"/>
    <s v="Drama"/>
  </r>
  <r>
    <s v="5c758e8d-16b7-4015-a0fc-7bb34b34879d"/>
    <n v="36"/>
    <s v="Other"/>
    <s v="Basic"/>
    <n v="29.27"/>
    <x v="28"/>
    <x v="1"/>
    <x v="0"/>
    <n v="8.99"/>
    <n v="0"/>
    <n v="0"/>
    <x v="0"/>
    <n v="4"/>
    <n v="0.81"/>
    <s v="Romance"/>
  </r>
  <r>
    <s v="00499449-d818-4965-b170-d6a300fca0fd"/>
    <n v="65"/>
    <s v="Female"/>
    <s v="Premium"/>
    <n v="14.47"/>
    <x v="43"/>
    <x v="4"/>
    <x v="0"/>
    <n v="17.989999999999998"/>
    <n v="0"/>
    <n v="0"/>
    <x v="2"/>
    <n v="5"/>
    <n v="0.45"/>
    <s v="Drama"/>
  </r>
  <r>
    <s v="1d186e14-fe68-41bb-abb3-cf5a3055bdd1"/>
    <n v="50"/>
    <s v="Other"/>
    <s v="Premium"/>
    <n v="13.98"/>
    <x v="7"/>
    <x v="3"/>
    <x v="1"/>
    <n v="17.989999999999998"/>
    <n v="1"/>
    <n v="17.989999999999998"/>
    <x v="1"/>
    <n v="4"/>
    <n v="0.25"/>
    <s v="Horror"/>
  </r>
  <r>
    <s v="d38dd14e-66f0-4a23-8c80-370b4f241ec1"/>
    <n v="38"/>
    <s v="Other"/>
    <s v="Basic"/>
    <n v="14.43"/>
    <x v="27"/>
    <x v="4"/>
    <x v="4"/>
    <n v="8.99"/>
    <n v="0"/>
    <n v="0"/>
    <x v="4"/>
    <n v="1"/>
    <n v="0.85"/>
    <s v="Documentary"/>
  </r>
  <r>
    <s v="aa838ade-266b-42a6-96eb-79d73ce1c63a"/>
    <n v="26"/>
    <s v="Female"/>
    <s v="Premium"/>
    <n v="13.59"/>
    <x v="48"/>
    <x v="3"/>
    <x v="1"/>
    <n v="17.989999999999998"/>
    <n v="1"/>
    <n v="17.989999999999998"/>
    <x v="1"/>
    <n v="2"/>
    <n v="0.26"/>
    <s v="Drama"/>
  </r>
  <r>
    <s v="1abd56c9-1fde-473b-89cd-f9d78879fc10"/>
    <n v="45"/>
    <s v="Male"/>
    <s v="Basic"/>
    <n v="4.59"/>
    <x v="58"/>
    <x v="2"/>
    <x v="2"/>
    <n v="8.99"/>
    <n v="1"/>
    <n v="8.99"/>
    <x v="0"/>
    <n v="1"/>
    <n v="0.1"/>
    <s v="Sci-Fi"/>
  </r>
  <r>
    <s v="d9b3c54f-401e-4ff5-83c5-66c369e26290"/>
    <n v="38"/>
    <s v="Other"/>
    <s v="Premium"/>
    <n v="1.81"/>
    <x v="39"/>
    <x v="2"/>
    <x v="2"/>
    <n v="17.989999999999998"/>
    <n v="1"/>
    <n v="17.989999999999998"/>
    <x v="0"/>
    <n v="4"/>
    <n v="0.08"/>
    <s v="Action"/>
  </r>
  <r>
    <s v="dd4567d9-cc06-4eed-bf3c-44042f1d4e6b"/>
    <n v="41"/>
    <s v="Other"/>
    <s v="Basic"/>
    <n v="12.04"/>
    <x v="14"/>
    <x v="3"/>
    <x v="3"/>
    <n v="8.99"/>
    <n v="1"/>
    <n v="8.99"/>
    <x v="4"/>
    <n v="1"/>
    <n v="0.36"/>
    <s v="Drama"/>
  </r>
  <r>
    <s v="dddfa932-69d3-48e0-81df-8c797829701a"/>
    <n v="70"/>
    <s v="Other"/>
    <s v="Standard"/>
    <n v="4.6900000000000004"/>
    <x v="14"/>
    <x v="2"/>
    <x v="0"/>
    <n v="13.99"/>
    <n v="1"/>
    <n v="13.99"/>
    <x v="2"/>
    <n v="3"/>
    <n v="0.14000000000000001"/>
    <s v="Documentary"/>
  </r>
  <r>
    <s v="5c49d257-0de5-4601-a2ec-ff29a72735ab"/>
    <n v="43"/>
    <s v="Female"/>
    <s v="Premium"/>
    <n v="12.37"/>
    <x v="42"/>
    <x v="1"/>
    <x v="3"/>
    <n v="17.989999999999998"/>
    <n v="1"/>
    <n v="17.989999999999998"/>
    <x v="1"/>
    <n v="3"/>
    <n v="0.33"/>
    <s v="Romance"/>
  </r>
  <r>
    <s v="b34037d6-c10b-4513-9969-2b2578c9e3a8"/>
    <n v="42"/>
    <s v="Female"/>
    <s v="Basic"/>
    <n v="7.27"/>
    <x v="13"/>
    <x v="0"/>
    <x v="2"/>
    <n v="8.99"/>
    <n v="0"/>
    <n v="0"/>
    <x v="1"/>
    <n v="2"/>
    <n v="0.91"/>
    <s v="Romance"/>
  </r>
  <r>
    <s v="31229975-3432-4e6f-9676-3ba672c58f6a"/>
    <n v="48"/>
    <s v="Other"/>
    <s v="Premium"/>
    <n v="26.34"/>
    <x v="15"/>
    <x v="0"/>
    <x v="0"/>
    <n v="17.989999999999998"/>
    <n v="0"/>
    <n v="0"/>
    <x v="1"/>
    <n v="2"/>
    <n v="0.64"/>
    <s v="Romance"/>
  </r>
  <r>
    <s v="6af6fe1b-f71f-4488-b5a0-749e5ffd0add"/>
    <n v="67"/>
    <s v="Male"/>
    <s v="Standard"/>
    <n v="19.48"/>
    <x v="33"/>
    <x v="5"/>
    <x v="1"/>
    <n v="13.99"/>
    <n v="0"/>
    <n v="0"/>
    <x v="2"/>
    <n v="2"/>
    <n v="0.75"/>
    <s v="Drama"/>
  </r>
  <r>
    <s v="b54f35bd-04b4-4772-bccc-c0914906efd2"/>
    <n v="22"/>
    <s v="Other"/>
    <s v="Standard"/>
    <n v="1.04"/>
    <x v="7"/>
    <x v="0"/>
    <x v="3"/>
    <n v="13.99"/>
    <n v="1"/>
    <n v="13.99"/>
    <x v="3"/>
    <n v="3"/>
    <n v="0.02"/>
    <s v="Comedy"/>
  </r>
  <r>
    <s v="7169fc97-817c-4230-9aaf-514d20a0a711"/>
    <n v="33"/>
    <s v="Other"/>
    <s v="Standard"/>
    <n v="59.71"/>
    <x v="22"/>
    <x v="2"/>
    <x v="3"/>
    <n v="13.99"/>
    <n v="0"/>
    <n v="0"/>
    <x v="4"/>
    <n v="5"/>
    <n v="1.07"/>
    <s v="Documentary"/>
  </r>
  <r>
    <s v="b563fad3-459d-424f-b754-d7e38a922faa"/>
    <n v="66"/>
    <s v="Female"/>
    <s v="Premium"/>
    <n v="16.22"/>
    <x v="25"/>
    <x v="1"/>
    <x v="0"/>
    <n v="17.989999999999998"/>
    <n v="0"/>
    <n v="0"/>
    <x v="0"/>
    <n v="2"/>
    <n v="16.22"/>
    <s v="Drama"/>
  </r>
  <r>
    <s v="fbd31429-1b1e-4a66-bcb3-1c571dfe6cd3"/>
    <n v="58"/>
    <s v="Female"/>
    <s v="Standard"/>
    <n v="4.3899999999999997"/>
    <x v="40"/>
    <x v="4"/>
    <x v="1"/>
    <n v="13.99"/>
    <n v="0"/>
    <n v="0"/>
    <x v="2"/>
    <n v="5"/>
    <n v="0.37"/>
    <s v="Romance"/>
  </r>
  <r>
    <s v="6946db19-5d1e-450e-9112-2342b6ebb400"/>
    <n v="20"/>
    <s v="Female"/>
    <s v="Standard"/>
    <n v="13.2"/>
    <x v="7"/>
    <x v="2"/>
    <x v="1"/>
    <n v="13.99"/>
    <n v="1"/>
    <n v="13.99"/>
    <x v="2"/>
    <n v="2"/>
    <n v="0.23"/>
    <s v="Romance"/>
  </r>
  <r>
    <s v="d16217df-4ad4-42ad-95da-3c3c95f09d2b"/>
    <n v="49"/>
    <s v="Female"/>
    <s v="Premium"/>
    <n v="20.88"/>
    <x v="45"/>
    <x v="4"/>
    <x v="0"/>
    <n v="17.989999999999998"/>
    <n v="0"/>
    <n v="0"/>
    <x v="1"/>
    <n v="3"/>
    <n v="0.5"/>
    <s v="Horror"/>
  </r>
  <r>
    <s v="b039fd18-e62f-4ab4-9bae-db1d0eb6872b"/>
    <n v="50"/>
    <s v="Other"/>
    <s v="Basic"/>
    <n v="7.35"/>
    <x v="5"/>
    <x v="5"/>
    <x v="2"/>
    <n v="8.99"/>
    <n v="0"/>
    <n v="0"/>
    <x v="2"/>
    <n v="3"/>
    <n v="0.27"/>
    <s v="Drama"/>
  </r>
  <r>
    <s v="bed23ab3-6714-42a2-a245-7865f95bf8ed"/>
    <n v="43"/>
    <s v="Other"/>
    <s v="Premium"/>
    <n v="86.73"/>
    <x v="5"/>
    <x v="0"/>
    <x v="0"/>
    <n v="17.989999999999998"/>
    <n v="0"/>
    <n v="0"/>
    <x v="2"/>
    <n v="3"/>
    <n v="3.21"/>
    <s v="Romance"/>
  </r>
  <r>
    <s v="0e66bbc5-6d6d-400d-971e-7604323c6e5a"/>
    <n v="65"/>
    <s v="Other"/>
    <s v="Basic"/>
    <n v="3.9"/>
    <x v="32"/>
    <x v="1"/>
    <x v="1"/>
    <n v="8.99"/>
    <n v="1"/>
    <n v="8.99"/>
    <x v="2"/>
    <n v="4"/>
    <n v="0.26"/>
    <s v="Sci-Fi"/>
  </r>
  <r>
    <s v="f0f6032f-1fbc-4115-822e-f85a80af44ba"/>
    <n v="61"/>
    <s v="Male"/>
    <s v="Premium"/>
    <n v="0.42"/>
    <x v="48"/>
    <x v="1"/>
    <x v="0"/>
    <n v="17.989999999999998"/>
    <n v="1"/>
    <n v="17.989999999999998"/>
    <x v="0"/>
    <n v="3"/>
    <n v="0.01"/>
    <s v="Drama"/>
  </r>
  <r>
    <s v="a00452e6-6d9a-4b59-a93d-d52833512ece"/>
    <n v="32"/>
    <s v="Female"/>
    <s v="Standard"/>
    <n v="6.93"/>
    <x v="8"/>
    <x v="4"/>
    <x v="1"/>
    <n v="13.99"/>
    <n v="1"/>
    <n v="13.99"/>
    <x v="1"/>
    <n v="3"/>
    <n v="0.2"/>
    <s v="Comedy"/>
  </r>
  <r>
    <s v="a78cd558-abc4-4205-8f08-aac802c5d896"/>
    <n v="31"/>
    <s v="Male"/>
    <s v="Basic"/>
    <n v="5.18"/>
    <x v="9"/>
    <x v="3"/>
    <x v="4"/>
    <n v="8.99"/>
    <n v="1"/>
    <n v="8.99"/>
    <x v="4"/>
    <n v="1"/>
    <n v="0.14000000000000001"/>
    <s v="Horror"/>
  </r>
  <r>
    <s v="7c183a33-34e5-4c0b-ad55-ffa5702d8d2e"/>
    <n v="42"/>
    <s v="Male"/>
    <s v="Premium"/>
    <n v="8.3699999999999992"/>
    <x v="38"/>
    <x v="1"/>
    <x v="4"/>
    <n v="17.989999999999998"/>
    <n v="0"/>
    <n v="0"/>
    <x v="1"/>
    <n v="3"/>
    <n v="0.38"/>
    <s v="Documentary"/>
  </r>
  <r>
    <s v="48892130-c90f-4efa-80dd-b26c5de70e6b"/>
    <n v="69"/>
    <s v="Other"/>
    <s v="Premium"/>
    <n v="38.020000000000003"/>
    <x v="41"/>
    <x v="1"/>
    <x v="4"/>
    <n v="17.989999999999998"/>
    <n v="0"/>
    <n v="0"/>
    <x v="2"/>
    <n v="3"/>
    <n v="1.23"/>
    <s v="Comedy"/>
  </r>
  <r>
    <s v="d9268020-9d9f-4b1a-a284-87ee535bee3f"/>
    <n v="65"/>
    <s v="Female"/>
    <s v="Premium"/>
    <n v="52.33"/>
    <x v="37"/>
    <x v="1"/>
    <x v="4"/>
    <n v="17.989999999999998"/>
    <n v="0"/>
    <n v="0"/>
    <x v="0"/>
    <n v="5"/>
    <n v="2.09"/>
    <s v="Action"/>
  </r>
  <r>
    <s v="7bbe4107-001f-4bc9-a9b0-c449d046f78b"/>
    <n v="44"/>
    <s v="Male"/>
    <s v="Premium"/>
    <n v="1.83"/>
    <x v="33"/>
    <x v="0"/>
    <x v="0"/>
    <n v="17.989999999999998"/>
    <n v="0"/>
    <n v="0"/>
    <x v="3"/>
    <n v="5"/>
    <n v="7.0000000000000007E-2"/>
    <s v="Comedy"/>
  </r>
  <r>
    <s v="e17a955b-011b-402a-9ee1-58470d595818"/>
    <n v="58"/>
    <s v="Female"/>
    <s v="Basic"/>
    <n v="0.51"/>
    <x v="3"/>
    <x v="2"/>
    <x v="4"/>
    <n v="8.99"/>
    <n v="1"/>
    <n v="8.99"/>
    <x v="3"/>
    <n v="1"/>
    <n v="0.04"/>
    <s v="Action"/>
  </r>
  <r>
    <s v="326aa08e-4b87-4552-ba4b-c12e33b9aadd"/>
    <n v="56"/>
    <s v="Female"/>
    <s v="Basic"/>
    <n v="8.5399999999999991"/>
    <x v="27"/>
    <x v="3"/>
    <x v="4"/>
    <n v="8.99"/>
    <n v="0"/>
    <n v="0"/>
    <x v="1"/>
    <n v="5"/>
    <n v="0.5"/>
    <s v="Action"/>
  </r>
  <r>
    <s v="77998b87-1b1a-4e4d-bbdc-63bc7a33610b"/>
    <n v="40"/>
    <s v="Female"/>
    <s v="Premium"/>
    <n v="8.64"/>
    <x v="28"/>
    <x v="4"/>
    <x v="2"/>
    <n v="17.989999999999998"/>
    <n v="0"/>
    <n v="0"/>
    <x v="2"/>
    <n v="5"/>
    <n v="0.24"/>
    <s v="Romance"/>
  </r>
  <r>
    <s v="0bc35530-60ff-4701-b4a4-82974657d4ab"/>
    <n v="25"/>
    <s v="Female"/>
    <s v="Premium"/>
    <n v="6.38"/>
    <x v="11"/>
    <x v="4"/>
    <x v="0"/>
    <n v="17.989999999999998"/>
    <n v="0"/>
    <n v="0"/>
    <x v="0"/>
    <n v="5"/>
    <n v="0.27"/>
    <s v="Drama"/>
  </r>
  <r>
    <s v="cd662d41-5e22-45b1-a82a-b10b90503d2e"/>
    <n v="28"/>
    <s v="Other"/>
    <s v="Premium"/>
    <n v="7.1"/>
    <x v="40"/>
    <x v="5"/>
    <x v="2"/>
    <n v="17.989999999999998"/>
    <n v="0"/>
    <n v="0"/>
    <x v="1"/>
    <n v="3"/>
    <n v="0.59"/>
    <s v="Horror"/>
  </r>
  <r>
    <s v="9c2ffacf-8752-49e0-ad2c-018b0373d9d3"/>
    <n v="36"/>
    <s v="Male"/>
    <s v="Premium"/>
    <n v="11.31"/>
    <x v="13"/>
    <x v="5"/>
    <x v="0"/>
    <n v="17.989999999999998"/>
    <n v="0"/>
    <n v="0"/>
    <x v="3"/>
    <n v="3"/>
    <n v="1.41"/>
    <s v="Action"/>
  </r>
  <r>
    <s v="4af19fec-91fd-4307-897a-8820d828d965"/>
    <n v="33"/>
    <s v="Other"/>
    <s v="Basic"/>
    <n v="3.84"/>
    <x v="54"/>
    <x v="4"/>
    <x v="1"/>
    <n v="8.99"/>
    <n v="1"/>
    <n v="8.99"/>
    <x v="4"/>
    <n v="3"/>
    <n v="0.13"/>
    <s v="Horror"/>
  </r>
  <r>
    <s v="09900f0a-9376-42db-9958-85c35349ccac"/>
    <n v="21"/>
    <s v="Male"/>
    <s v="Standard"/>
    <n v="10.63"/>
    <x v="17"/>
    <x v="3"/>
    <x v="4"/>
    <n v="13.99"/>
    <n v="0"/>
    <n v="0"/>
    <x v="0"/>
    <n v="1"/>
    <n v="2.13"/>
    <s v="Comedy"/>
  </r>
  <r>
    <s v="2741a884-1629-4cc1-aedb-dd2e1b24bdeb"/>
    <n v="24"/>
    <s v="Female"/>
    <s v="Standard"/>
    <n v="0.02"/>
    <x v="28"/>
    <x v="0"/>
    <x v="4"/>
    <n v="13.99"/>
    <n v="1"/>
    <n v="13.99"/>
    <x v="3"/>
    <n v="3"/>
    <n v="0"/>
    <s v="Documentary"/>
  </r>
  <r>
    <s v="0fa0e024-38a5-4cdf-9595-628ca4218902"/>
    <n v="68"/>
    <s v="Female"/>
    <s v="Premium"/>
    <n v="9.66"/>
    <x v="16"/>
    <x v="0"/>
    <x v="0"/>
    <n v="17.989999999999998"/>
    <n v="0"/>
    <n v="0"/>
    <x v="4"/>
    <n v="5"/>
    <n v="0.35"/>
    <s v="Sci-Fi"/>
  </r>
  <r>
    <s v="1972b144-6f74-4774-87db-a6e90f56b0a3"/>
    <n v="70"/>
    <s v="Female"/>
    <s v="Premium"/>
    <n v="0.36"/>
    <x v="31"/>
    <x v="3"/>
    <x v="0"/>
    <n v="17.989999999999998"/>
    <n v="1"/>
    <n v="17.989999999999998"/>
    <x v="0"/>
    <n v="5"/>
    <n v="0.02"/>
    <s v="Sci-Fi"/>
  </r>
  <r>
    <s v="9bbc806a-c4c0-4de9-8e5e-4f8b28bfa209"/>
    <n v="68"/>
    <s v="Male"/>
    <s v="Basic"/>
    <n v="7.63"/>
    <x v="11"/>
    <x v="5"/>
    <x v="4"/>
    <n v="8.99"/>
    <n v="0"/>
    <n v="0"/>
    <x v="2"/>
    <n v="4"/>
    <n v="0.32"/>
    <s v="Drama"/>
  </r>
  <r>
    <s v="3484396b-3ad3-44fe-8288-9cd8fb629122"/>
    <n v="41"/>
    <s v="Female"/>
    <s v="Standard"/>
    <n v="6.47"/>
    <x v="14"/>
    <x v="0"/>
    <x v="0"/>
    <n v="13.99"/>
    <n v="1"/>
    <n v="13.99"/>
    <x v="0"/>
    <n v="4"/>
    <n v="0.2"/>
    <s v="Drama"/>
  </r>
  <r>
    <s v="307992d3-bd88-4d61-8c0f-8131659b3076"/>
    <n v="58"/>
    <s v="Other"/>
    <s v="Premium"/>
    <n v="26.32"/>
    <x v="20"/>
    <x v="2"/>
    <x v="1"/>
    <n v="17.989999999999998"/>
    <n v="0"/>
    <n v="0"/>
    <x v="3"/>
    <n v="4"/>
    <n v="1.39"/>
    <s v="Documentary"/>
  </r>
  <r>
    <s v="1e6a3b73-f6dd-4bbb-aa8d-b0462877ce4f"/>
    <n v="38"/>
    <s v="Female"/>
    <s v="Standard"/>
    <n v="7.34"/>
    <x v="7"/>
    <x v="1"/>
    <x v="0"/>
    <n v="13.99"/>
    <n v="1"/>
    <n v="13.99"/>
    <x v="0"/>
    <n v="4"/>
    <n v="0.13"/>
    <s v="Romance"/>
  </r>
  <r>
    <s v="5ad16f1b-83c8-45eb-b506-7a1baafdab4f"/>
    <n v="33"/>
    <s v="Male"/>
    <s v="Basic"/>
    <n v="8.19"/>
    <x v="23"/>
    <x v="1"/>
    <x v="0"/>
    <n v="8.99"/>
    <n v="1"/>
    <n v="8.99"/>
    <x v="4"/>
    <n v="1"/>
    <n v="0.15"/>
    <s v="Comedy"/>
  </r>
  <r>
    <s v="f0432d3c-5c75-4cca-b27c-73f92ef194cb"/>
    <n v="19"/>
    <s v="Female"/>
    <s v="Premium"/>
    <n v="11.05"/>
    <x v="59"/>
    <x v="3"/>
    <x v="0"/>
    <n v="17.989999999999998"/>
    <n v="0"/>
    <n v="0"/>
    <x v="0"/>
    <n v="1"/>
    <n v="1.84"/>
    <s v="Romance"/>
  </r>
  <r>
    <s v="8db6b22f-a49a-49a2-a991-901b21d61905"/>
    <n v="65"/>
    <s v="Other"/>
    <s v="Basic"/>
    <n v="1.05"/>
    <x v="48"/>
    <x v="0"/>
    <x v="1"/>
    <n v="8.99"/>
    <n v="1"/>
    <n v="8.99"/>
    <x v="0"/>
    <n v="2"/>
    <n v="0.02"/>
    <s v="Sci-Fi"/>
  </r>
  <r>
    <s v="eac73a53-f46d-4c9a-ab1e-def6c81b670e"/>
    <n v="66"/>
    <s v="Male"/>
    <s v="Standard"/>
    <n v="27.5"/>
    <x v="14"/>
    <x v="0"/>
    <x v="1"/>
    <n v="13.99"/>
    <n v="0"/>
    <n v="0"/>
    <x v="0"/>
    <n v="3"/>
    <n v="0.83"/>
    <s v="Romance"/>
  </r>
  <r>
    <s v="a17ade56-9ee7-4d41-8efd-659350776e44"/>
    <n v="28"/>
    <s v="Male"/>
    <s v="Basic"/>
    <n v="9.85"/>
    <x v="44"/>
    <x v="5"/>
    <x v="3"/>
    <n v="8.99"/>
    <n v="1"/>
    <n v="8.99"/>
    <x v="0"/>
    <n v="5"/>
    <n v="0.21"/>
    <s v="Drama"/>
  </r>
  <r>
    <s v="f81b3026-7189-46a6-8987-bca6172794b3"/>
    <n v="66"/>
    <s v="Female"/>
    <s v="Premium"/>
    <n v="5.22"/>
    <x v="54"/>
    <x v="2"/>
    <x v="3"/>
    <n v="17.989999999999998"/>
    <n v="0"/>
    <n v="0"/>
    <x v="1"/>
    <n v="5"/>
    <n v="0.18"/>
    <s v="Action"/>
  </r>
  <r>
    <s v="b6f7895c-4a09-4e75-82cb-06baf8b2ef29"/>
    <n v="21"/>
    <s v="Female"/>
    <s v="Basic"/>
    <n v="19.14"/>
    <x v="54"/>
    <x v="5"/>
    <x v="3"/>
    <n v="8.99"/>
    <n v="0"/>
    <n v="0"/>
    <x v="1"/>
    <n v="2"/>
    <n v="0.66"/>
    <s v="Comedy"/>
  </r>
  <r>
    <s v="24fa2911-7aa9-42dd-88f8-c1f76ff94cba"/>
    <n v="23"/>
    <s v="Other"/>
    <s v="Basic"/>
    <n v="10.73"/>
    <x v="28"/>
    <x v="1"/>
    <x v="4"/>
    <n v="8.99"/>
    <n v="1"/>
    <n v="8.99"/>
    <x v="4"/>
    <n v="5"/>
    <n v="0.3"/>
    <s v="Comedy"/>
  </r>
  <r>
    <s v="8f6dbb06-4191-4bd6-9147-d9507a3e863b"/>
    <n v="30"/>
    <s v="Male"/>
    <s v="Standard"/>
    <n v="5.0999999999999996"/>
    <x v="49"/>
    <x v="5"/>
    <x v="0"/>
    <n v="13.99"/>
    <n v="0"/>
    <n v="0"/>
    <x v="3"/>
    <n v="5"/>
    <n v="0.51"/>
    <s v="Comedy"/>
  </r>
  <r>
    <s v="03b2b19e-62cd-4c9e-a3ef-51cb27a687df"/>
    <n v="36"/>
    <s v="Other"/>
    <s v="Basic"/>
    <n v="16.649999999999999"/>
    <x v="9"/>
    <x v="3"/>
    <x v="4"/>
    <n v="8.99"/>
    <n v="1"/>
    <n v="8.99"/>
    <x v="2"/>
    <n v="2"/>
    <n v="0.45"/>
    <s v="Documentary"/>
  </r>
  <r>
    <s v="7afcacfb-38f5-4f28-89d6-93b00a26104c"/>
    <n v="32"/>
    <s v="Other"/>
    <s v="Premium"/>
    <n v="45.98"/>
    <x v="29"/>
    <x v="2"/>
    <x v="3"/>
    <n v="17.989999999999998"/>
    <n v="0"/>
    <n v="0"/>
    <x v="1"/>
    <n v="1"/>
    <n v="1"/>
    <s v="Comedy"/>
  </r>
  <r>
    <s v="4a62ea61-7fd3-4f73-9d0f-fea08b4087f7"/>
    <n v="18"/>
    <s v="Male"/>
    <s v="Standard"/>
    <n v="20.65"/>
    <x v="1"/>
    <x v="5"/>
    <x v="4"/>
    <n v="13.99"/>
    <n v="0"/>
    <n v="0"/>
    <x v="1"/>
    <n v="4"/>
    <n v="1.03"/>
    <s v="Sci-Fi"/>
  </r>
  <r>
    <s v="05232fb1-bb8f-4e7e-a2fd-d7c0957a3fd0"/>
    <n v="40"/>
    <s v="Male"/>
    <s v="Basic"/>
    <n v="10.98"/>
    <x v="54"/>
    <x v="4"/>
    <x v="1"/>
    <n v="8.99"/>
    <n v="1"/>
    <n v="8.99"/>
    <x v="2"/>
    <n v="1"/>
    <n v="0.38"/>
    <s v="Action"/>
  </r>
  <r>
    <s v="6e8f06ec-bf9b-4aca-82c9-6dfbf5dc0d77"/>
    <n v="28"/>
    <s v="Male"/>
    <s v="Standard"/>
    <n v="1.78"/>
    <x v="28"/>
    <x v="4"/>
    <x v="1"/>
    <n v="13.99"/>
    <n v="1"/>
    <n v="13.99"/>
    <x v="2"/>
    <n v="3"/>
    <n v="0.05"/>
    <s v="Action"/>
  </r>
  <r>
    <s v="9d09dcf2-0456-4e2b-903f-b9e4ccb40654"/>
    <n v="32"/>
    <s v="Male"/>
    <s v="Premium"/>
    <n v="4.1100000000000003"/>
    <x v="29"/>
    <x v="2"/>
    <x v="2"/>
    <n v="17.989999999999998"/>
    <n v="1"/>
    <n v="17.989999999999998"/>
    <x v="4"/>
    <n v="5"/>
    <n v="0.09"/>
    <s v="Action"/>
  </r>
  <r>
    <s v="15d5126a-b913-491a-ba7c-73ceca42478c"/>
    <n v="20"/>
    <s v="Other"/>
    <s v="Standard"/>
    <n v="21.21"/>
    <x v="25"/>
    <x v="5"/>
    <x v="1"/>
    <n v="13.99"/>
    <n v="0"/>
    <n v="0"/>
    <x v="1"/>
    <n v="2"/>
    <n v="21.21"/>
    <s v="Drama"/>
  </r>
  <r>
    <s v="b48359e4-842d-4aeb-8bd5-9775186a9250"/>
    <n v="67"/>
    <s v="Female"/>
    <s v="Premium"/>
    <n v="15.45"/>
    <x v="44"/>
    <x v="0"/>
    <x v="3"/>
    <n v="17.989999999999998"/>
    <n v="1"/>
    <n v="17.989999999999998"/>
    <x v="0"/>
    <n v="5"/>
    <n v="0.33"/>
    <s v="Comedy"/>
  </r>
  <r>
    <s v="6bb29066-b9f3-4312-b7ed-07c422adda79"/>
    <n v="31"/>
    <s v="Male"/>
    <s v="Premium"/>
    <n v="12"/>
    <x v="46"/>
    <x v="1"/>
    <x v="1"/>
    <n v="17.989999999999998"/>
    <n v="0"/>
    <n v="0"/>
    <x v="4"/>
    <n v="2"/>
    <n v="4"/>
    <s v="Comedy"/>
  </r>
  <r>
    <s v="35f0abfa-dfe5-4081-ae01-cece7e233dd1"/>
    <n v="19"/>
    <s v="Other"/>
    <s v="Premium"/>
    <n v="1.44"/>
    <x v="15"/>
    <x v="4"/>
    <x v="0"/>
    <n v="17.989999999999998"/>
    <n v="1"/>
    <n v="17.989999999999998"/>
    <x v="0"/>
    <n v="5"/>
    <n v="0.04"/>
    <s v="Comedy"/>
  </r>
  <r>
    <s v="60929da4-5915-4610-b737-ba4e7b7fab9a"/>
    <n v="47"/>
    <s v="Other"/>
    <s v="Standard"/>
    <n v="8.67"/>
    <x v="45"/>
    <x v="5"/>
    <x v="2"/>
    <n v="13.99"/>
    <n v="1"/>
    <n v="13.99"/>
    <x v="3"/>
    <n v="2"/>
    <n v="0.21"/>
    <s v="Sci-Fi"/>
  </r>
  <r>
    <s v="5b71d159-108a-4bc4-ad12-604740c7b9f5"/>
    <n v="28"/>
    <s v="Female"/>
    <s v="Premium"/>
    <n v="27.06"/>
    <x v="22"/>
    <x v="5"/>
    <x v="4"/>
    <n v="17.989999999999998"/>
    <n v="0"/>
    <n v="0"/>
    <x v="2"/>
    <n v="4"/>
    <n v="0.48"/>
    <s v="Action"/>
  </r>
  <r>
    <s v="2bcb1598-761e-4e79-bbb3-0a27ee8735ad"/>
    <n v="22"/>
    <s v="Female"/>
    <s v="Premium"/>
    <n v="7.24"/>
    <x v="41"/>
    <x v="3"/>
    <x v="4"/>
    <n v="17.989999999999998"/>
    <n v="0"/>
    <n v="0"/>
    <x v="3"/>
    <n v="2"/>
    <n v="0.23"/>
    <s v="Romance"/>
  </r>
  <r>
    <s v="2c7c944e-7d27-409d-aef6-46659c0fb0c5"/>
    <n v="29"/>
    <s v="Male"/>
    <s v="Premium"/>
    <n v="63.39"/>
    <x v="42"/>
    <x v="5"/>
    <x v="4"/>
    <n v="17.989999999999998"/>
    <n v="0"/>
    <n v="0"/>
    <x v="0"/>
    <n v="4"/>
    <n v="1.67"/>
    <s v="Comedy"/>
  </r>
  <r>
    <s v="6bb3b410-ec41-4958-a6eb-a1109b526c2e"/>
    <n v="63"/>
    <s v="Male"/>
    <s v="Basic"/>
    <n v="1.44"/>
    <x v="5"/>
    <x v="1"/>
    <x v="1"/>
    <n v="8.99"/>
    <n v="1"/>
    <n v="8.99"/>
    <x v="2"/>
    <n v="1"/>
    <n v="0.05"/>
    <s v="Documentary"/>
  </r>
  <r>
    <s v="416a1fd1-5f6d-483d-9fb3-75c6e1f01afb"/>
    <n v="42"/>
    <s v="Other"/>
    <s v="Premium"/>
    <n v="4.26"/>
    <x v="21"/>
    <x v="5"/>
    <x v="4"/>
    <n v="17.989999999999998"/>
    <n v="0"/>
    <n v="0"/>
    <x v="1"/>
    <n v="5"/>
    <n v="0.61"/>
    <s v="Horror"/>
  </r>
  <r>
    <s v="980d0f2a-52e1-4525-94a6-0f04c19414cc"/>
    <n v="68"/>
    <s v="Female"/>
    <s v="Standard"/>
    <n v="15.06"/>
    <x v="6"/>
    <x v="5"/>
    <x v="1"/>
    <n v="13.99"/>
    <n v="0"/>
    <n v="0"/>
    <x v="0"/>
    <n v="1"/>
    <n v="0.72"/>
    <s v="Romance"/>
  </r>
  <r>
    <s v="fa67e175-0a06-4309-b029-013aca420427"/>
    <n v="48"/>
    <s v="Male"/>
    <s v="Standard"/>
    <n v="29.96"/>
    <x v="35"/>
    <x v="1"/>
    <x v="2"/>
    <n v="13.99"/>
    <n v="0"/>
    <n v="0"/>
    <x v="1"/>
    <n v="5"/>
    <n v="0.67"/>
    <s v="Sci-Fi"/>
  </r>
  <r>
    <s v="bec1ae44-944b-454d-afbe-fd5358230b23"/>
    <n v="45"/>
    <s v="Female"/>
    <s v="Premium"/>
    <n v="8.0500000000000007"/>
    <x v="50"/>
    <x v="0"/>
    <x v="0"/>
    <n v="17.989999999999998"/>
    <n v="1"/>
    <n v="17.989999999999998"/>
    <x v="1"/>
    <n v="3"/>
    <n v="0.15"/>
    <s v="Action"/>
  </r>
  <r>
    <s v="52a46829-efc4-48f2-adbf-6a7da898af49"/>
    <n v="57"/>
    <s v="Male"/>
    <s v="Standard"/>
    <n v="3.51"/>
    <x v="34"/>
    <x v="3"/>
    <x v="2"/>
    <n v="13.99"/>
    <n v="1"/>
    <n v="13.99"/>
    <x v="4"/>
    <n v="1"/>
    <n v="7.0000000000000007E-2"/>
    <s v="Documentary"/>
  </r>
  <r>
    <s v="47e821d7-8960-4158-a530-812f1e4649a9"/>
    <n v="63"/>
    <s v="Male"/>
    <s v="Basic"/>
    <n v="2.5099999999999998"/>
    <x v="43"/>
    <x v="1"/>
    <x v="2"/>
    <n v="8.99"/>
    <n v="1"/>
    <n v="8.99"/>
    <x v="2"/>
    <n v="3"/>
    <n v="0.08"/>
    <s v="Comedy"/>
  </r>
  <r>
    <s v="9a51ecb7-e23d-429f-b479-95a6d35fc07d"/>
    <n v="32"/>
    <s v="Female"/>
    <s v="Premium"/>
    <n v="1.8"/>
    <x v="14"/>
    <x v="4"/>
    <x v="1"/>
    <n v="17.989999999999998"/>
    <n v="1"/>
    <n v="17.989999999999998"/>
    <x v="3"/>
    <n v="2"/>
    <n v="0.05"/>
    <s v="Romance"/>
  </r>
  <r>
    <s v="943a4f59-f7b3-406d-90c3-4dfff002c6cc"/>
    <n v="70"/>
    <s v="Male"/>
    <s v="Standard"/>
    <n v="28.32"/>
    <x v="47"/>
    <x v="2"/>
    <x v="4"/>
    <n v="13.99"/>
    <n v="0"/>
    <n v="0"/>
    <x v="2"/>
    <n v="3"/>
    <n v="7.08"/>
    <s v="Action"/>
  </r>
  <r>
    <s v="7519830f-3b2a-42c3-91c4-d440cec4edd4"/>
    <n v="48"/>
    <s v="Female"/>
    <s v="Standard"/>
    <n v="4.1900000000000004"/>
    <x v="25"/>
    <x v="1"/>
    <x v="4"/>
    <n v="13.99"/>
    <n v="0"/>
    <n v="0"/>
    <x v="0"/>
    <n v="2"/>
    <n v="4.1900000000000004"/>
    <s v="Documentary"/>
  </r>
  <r>
    <s v="eab381c2-b6d8-434b-bc0d-a8631c8c5dbe"/>
    <n v="66"/>
    <s v="Other"/>
    <s v="Standard"/>
    <n v="0.76"/>
    <x v="35"/>
    <x v="1"/>
    <x v="4"/>
    <n v="13.99"/>
    <n v="1"/>
    <n v="13.99"/>
    <x v="0"/>
    <n v="2"/>
    <n v="0.02"/>
    <s v="Action"/>
  </r>
  <r>
    <s v="8d11c2a7-db32-4ffa-bd30-00b65f83f249"/>
    <n v="38"/>
    <s v="Male"/>
    <s v="Standard"/>
    <n v="0.61"/>
    <x v="49"/>
    <x v="5"/>
    <x v="1"/>
    <n v="13.99"/>
    <n v="0"/>
    <n v="0"/>
    <x v="4"/>
    <n v="4"/>
    <n v="0.06"/>
    <s v="Documentary"/>
  </r>
  <r>
    <s v="4ef7aca8-5f78-47ac-a29f-e5aba589a6f8"/>
    <n v="67"/>
    <s v="Female"/>
    <s v="Premium"/>
    <n v="27.79"/>
    <x v="54"/>
    <x v="3"/>
    <x v="0"/>
    <n v="17.989999999999998"/>
    <n v="0"/>
    <n v="0"/>
    <x v="1"/>
    <n v="4"/>
    <n v="0.96"/>
    <s v="Action"/>
  </r>
  <r>
    <s v="5629ff24-b786-4812-b0fd-bc82d7af1f45"/>
    <n v="61"/>
    <s v="Female"/>
    <s v="Premium"/>
    <n v="16.13"/>
    <x v="38"/>
    <x v="1"/>
    <x v="4"/>
    <n v="17.989999999999998"/>
    <n v="0"/>
    <n v="0"/>
    <x v="1"/>
    <n v="3"/>
    <n v="0.73"/>
    <s v="Documentary"/>
  </r>
  <r>
    <s v="10bfc352-0f52-44e7-b086-16fb3b7c4834"/>
    <n v="32"/>
    <s v="Other"/>
    <s v="Premium"/>
    <n v="24.87"/>
    <x v="45"/>
    <x v="5"/>
    <x v="4"/>
    <n v="17.989999999999998"/>
    <n v="0"/>
    <n v="0"/>
    <x v="0"/>
    <n v="5"/>
    <n v="0.59"/>
    <s v="Sci-Fi"/>
  </r>
  <r>
    <s v="9440d961-076a-4e3b-bfd3-1faf6b67db3d"/>
    <n v="23"/>
    <s v="Female"/>
    <s v="Standard"/>
    <n v="29.18"/>
    <x v="9"/>
    <x v="3"/>
    <x v="0"/>
    <n v="13.99"/>
    <n v="0"/>
    <n v="0"/>
    <x v="2"/>
    <n v="1"/>
    <n v="0.79"/>
    <s v="Documentary"/>
  </r>
  <r>
    <s v="ffaf5a8f-4a21-4263-b2e6-1661ea990c16"/>
    <n v="30"/>
    <s v="Other"/>
    <s v="Premium"/>
    <n v="11.65"/>
    <x v="38"/>
    <x v="0"/>
    <x v="2"/>
    <n v="17.989999999999998"/>
    <n v="0"/>
    <n v="0"/>
    <x v="4"/>
    <n v="5"/>
    <n v="0.53"/>
    <s v="Romance"/>
  </r>
  <r>
    <s v="ce6a5766-b2c1-47e6-b45e-950bdd6eb6ef"/>
    <n v="23"/>
    <s v="Male"/>
    <s v="Premium"/>
    <n v="6.55"/>
    <x v="16"/>
    <x v="3"/>
    <x v="2"/>
    <n v="17.989999999999998"/>
    <n v="0"/>
    <n v="0"/>
    <x v="3"/>
    <n v="3"/>
    <n v="0.23"/>
    <s v="Romance"/>
  </r>
  <r>
    <s v="b3be52ce-4170-4eac-b249-af6b1475451f"/>
    <n v="20"/>
    <s v="Other"/>
    <s v="Standard"/>
    <n v="0.52"/>
    <x v="0"/>
    <x v="2"/>
    <x v="0"/>
    <n v="13.99"/>
    <n v="1"/>
    <n v="13.99"/>
    <x v="2"/>
    <n v="1"/>
    <n v="0.02"/>
    <s v="Romance"/>
  </r>
  <r>
    <s v="7d8f6a29-0e4d-47f5-8bb5-3b07c5ba02ef"/>
    <n v="40"/>
    <s v="Female"/>
    <s v="Basic"/>
    <n v="7.31"/>
    <x v="47"/>
    <x v="0"/>
    <x v="4"/>
    <n v="8.99"/>
    <n v="0"/>
    <n v="0"/>
    <x v="2"/>
    <n v="1"/>
    <n v="1.83"/>
    <s v="Action"/>
  </r>
  <r>
    <s v="b7d9b624-c891-4639-87e9-a8eafacf6fc5"/>
    <n v="28"/>
    <s v="Female"/>
    <s v="Basic"/>
    <n v="35.03"/>
    <x v="42"/>
    <x v="2"/>
    <x v="3"/>
    <n v="8.99"/>
    <n v="0"/>
    <n v="0"/>
    <x v="4"/>
    <n v="4"/>
    <n v="0.92"/>
    <s v="Comedy"/>
  </r>
  <r>
    <s v="c24a6c5a-5d0d-4590-be69-7316185ba76f"/>
    <n v="24"/>
    <s v="Female"/>
    <s v="Basic"/>
    <n v="9.0299999999999994"/>
    <x v="24"/>
    <x v="4"/>
    <x v="1"/>
    <n v="8.99"/>
    <n v="1"/>
    <n v="8.99"/>
    <x v="1"/>
    <n v="1"/>
    <n v="0.17"/>
    <s v="Documentary"/>
  </r>
  <r>
    <s v="bf0666fc-cc28-486c-8763-e4ae72e567bd"/>
    <n v="54"/>
    <s v="Other"/>
    <s v="Premium"/>
    <n v="14.2"/>
    <x v="21"/>
    <x v="1"/>
    <x v="2"/>
    <n v="17.989999999999998"/>
    <n v="0"/>
    <n v="0"/>
    <x v="1"/>
    <n v="5"/>
    <n v="2.0299999999999998"/>
    <s v="Romance"/>
  </r>
  <r>
    <s v="05806200-9ba0-4323-adfd-4993ce054d36"/>
    <n v="25"/>
    <s v="Female"/>
    <s v="Standard"/>
    <n v="8.01"/>
    <x v="6"/>
    <x v="4"/>
    <x v="2"/>
    <n v="13.99"/>
    <n v="0"/>
    <n v="0"/>
    <x v="4"/>
    <n v="4"/>
    <n v="0.38"/>
    <s v="Sci-Fi"/>
  </r>
  <r>
    <s v="3eed3d0c-0ee6-4e81-8651-dd2585e2228e"/>
    <n v="35"/>
    <s v="Other"/>
    <s v="Basic"/>
    <n v="9.58"/>
    <x v="4"/>
    <x v="5"/>
    <x v="1"/>
    <n v="8.99"/>
    <n v="0"/>
    <n v="0"/>
    <x v="2"/>
    <n v="1"/>
    <n v="0.68"/>
    <s v="Horror"/>
  </r>
  <r>
    <s v="2e50b30b-57f0-4ab7-8aa0-7d1c90049955"/>
    <n v="30"/>
    <s v="Female"/>
    <s v="Basic"/>
    <n v="0.36"/>
    <x v="57"/>
    <x v="0"/>
    <x v="2"/>
    <n v="8.99"/>
    <n v="1"/>
    <n v="8.99"/>
    <x v="2"/>
    <n v="3"/>
    <n v="0.01"/>
    <s v="Drama"/>
  </r>
  <r>
    <s v="801c7969-7d28-4e6b-8276-b4f92da9f3f6"/>
    <n v="36"/>
    <s v="Female"/>
    <s v="Basic"/>
    <n v="22.91"/>
    <x v="25"/>
    <x v="2"/>
    <x v="0"/>
    <n v="8.99"/>
    <n v="0"/>
    <n v="0"/>
    <x v="1"/>
    <n v="1"/>
    <n v="22.91"/>
    <s v="Drama"/>
  </r>
  <r>
    <s v="6298bd59-6893-401d-94e5-a69aa8b48d25"/>
    <n v="68"/>
    <s v="Female"/>
    <s v="Standard"/>
    <n v="18.489999999999998"/>
    <x v="40"/>
    <x v="4"/>
    <x v="1"/>
    <n v="13.99"/>
    <n v="0"/>
    <n v="0"/>
    <x v="0"/>
    <n v="1"/>
    <n v="1.54"/>
    <s v="Drama"/>
  </r>
  <r>
    <s v="a0503463-95d6-4b99-87c3-f473b095717d"/>
    <n v="29"/>
    <s v="Other"/>
    <s v="Basic"/>
    <n v="4.67"/>
    <x v="59"/>
    <x v="4"/>
    <x v="2"/>
    <n v="8.99"/>
    <n v="0"/>
    <n v="0"/>
    <x v="3"/>
    <n v="3"/>
    <n v="0.78"/>
    <s v="Sci-Fi"/>
  </r>
  <r>
    <s v="13477d55-06b1-4d0e-a170-4047512eb6c6"/>
    <n v="39"/>
    <s v="Female"/>
    <s v="Premium"/>
    <n v="17.14"/>
    <x v="47"/>
    <x v="2"/>
    <x v="1"/>
    <n v="17.989999999999998"/>
    <n v="0"/>
    <n v="0"/>
    <x v="4"/>
    <n v="5"/>
    <n v="4.29"/>
    <s v="Comedy"/>
  </r>
  <r>
    <s v="f807418c-659b-40b0-9741-5045480e70d4"/>
    <n v="61"/>
    <s v="Female"/>
    <s v="Premium"/>
    <n v="26.79"/>
    <x v="8"/>
    <x v="0"/>
    <x v="0"/>
    <n v="17.989999999999998"/>
    <n v="0"/>
    <n v="0"/>
    <x v="4"/>
    <n v="4"/>
    <n v="0.77"/>
    <s v="Sci-Fi"/>
  </r>
  <r>
    <s v="35634eef-1966-4d15-992c-7486e67a53c4"/>
    <n v="56"/>
    <s v="Female"/>
    <s v="Basic"/>
    <n v="0.97"/>
    <x v="12"/>
    <x v="2"/>
    <x v="1"/>
    <n v="8.99"/>
    <n v="1"/>
    <n v="8.99"/>
    <x v="2"/>
    <n v="4"/>
    <n v="0.03"/>
    <s v="Horror"/>
  </r>
  <r>
    <s v="da7b0235-ccf2-4fc3-8244-cfd2258370ec"/>
    <n v="61"/>
    <s v="Other"/>
    <s v="Premium"/>
    <n v="0.25"/>
    <x v="30"/>
    <x v="5"/>
    <x v="3"/>
    <n v="17.989999999999998"/>
    <n v="0"/>
    <n v="0"/>
    <x v="3"/>
    <n v="2"/>
    <n v="0.12"/>
    <s v="Sci-Fi"/>
  </r>
  <r>
    <s v="b27b7e7d-38bd-4baa-9fd2-cf2aae9c5bd5"/>
    <n v="22"/>
    <s v="Other"/>
    <s v="Basic"/>
    <n v="13.16"/>
    <x v="21"/>
    <x v="1"/>
    <x v="4"/>
    <n v="8.99"/>
    <n v="0"/>
    <n v="0"/>
    <x v="2"/>
    <n v="4"/>
    <n v="1.88"/>
    <s v="Comedy"/>
  </r>
  <r>
    <s v="9fa9433e-9b38-4a44-9a82-5c6014630867"/>
    <n v="49"/>
    <s v="Female"/>
    <s v="Basic"/>
    <n v="4.49"/>
    <x v="18"/>
    <x v="4"/>
    <x v="4"/>
    <n v="8.99"/>
    <n v="1"/>
    <n v="8.99"/>
    <x v="1"/>
    <n v="5"/>
    <n v="0.08"/>
    <s v="Documentary"/>
  </r>
  <r>
    <s v="cf7bca4d-00b0-48ef-930e-f08e2422f3d0"/>
    <n v="21"/>
    <s v="Other"/>
    <s v="Premium"/>
    <n v="6.28"/>
    <x v="47"/>
    <x v="4"/>
    <x v="2"/>
    <n v="17.989999999999998"/>
    <n v="0"/>
    <n v="0"/>
    <x v="1"/>
    <n v="4"/>
    <n v="1.57"/>
    <s v="Documentary"/>
  </r>
  <r>
    <s v="a34a0408-ee59-4b6d-ac53-33dd131ba1f2"/>
    <n v="58"/>
    <s v="Female"/>
    <s v="Basic"/>
    <n v="16.809999999999999"/>
    <x v="30"/>
    <x v="1"/>
    <x v="0"/>
    <n v="8.99"/>
    <n v="0"/>
    <n v="0"/>
    <x v="0"/>
    <n v="2"/>
    <n v="8.4"/>
    <s v="Horror"/>
  </r>
  <r>
    <s v="d38a661a-9fbe-4961-90d8-0e8100b13965"/>
    <n v="59"/>
    <s v="Other"/>
    <s v="Premium"/>
    <n v="28.38"/>
    <x v="24"/>
    <x v="0"/>
    <x v="4"/>
    <n v="17.989999999999998"/>
    <n v="0"/>
    <n v="0"/>
    <x v="3"/>
    <n v="4"/>
    <n v="0.54"/>
    <s v="Drama"/>
  </r>
  <r>
    <s v="f6655409-3486-469e-aa75-61a674188c36"/>
    <n v="32"/>
    <s v="Male"/>
    <s v="Basic"/>
    <n v="3.87"/>
    <x v="14"/>
    <x v="4"/>
    <x v="0"/>
    <n v="8.99"/>
    <n v="1"/>
    <n v="8.99"/>
    <x v="4"/>
    <n v="2"/>
    <n v="0.12"/>
    <s v="Drama"/>
  </r>
  <r>
    <s v="c08bf813-a733-48df-9388-00b25842fe2b"/>
    <n v="56"/>
    <s v="Other"/>
    <s v="Premium"/>
    <n v="1.28"/>
    <x v="39"/>
    <x v="0"/>
    <x v="3"/>
    <n v="17.989999999999998"/>
    <n v="0"/>
    <n v="0"/>
    <x v="3"/>
    <n v="5"/>
    <n v="0.06"/>
    <s v="Action"/>
  </r>
  <r>
    <s v="cc539484-c58e-4f2a-8d71-499afab22937"/>
    <n v="45"/>
    <s v="Male"/>
    <s v="Premium"/>
    <n v="3.31"/>
    <x v="8"/>
    <x v="3"/>
    <x v="4"/>
    <n v="17.989999999999998"/>
    <n v="1"/>
    <n v="17.989999999999998"/>
    <x v="0"/>
    <n v="2"/>
    <n v="0.09"/>
    <s v="Drama"/>
  </r>
  <r>
    <s v="ece38646-24dc-4bb9-9aa4-c5f22592d6ad"/>
    <n v="66"/>
    <s v="Male"/>
    <s v="Premium"/>
    <n v="22.68"/>
    <x v="34"/>
    <x v="1"/>
    <x v="2"/>
    <n v="17.989999999999998"/>
    <n v="0"/>
    <n v="0"/>
    <x v="3"/>
    <n v="4"/>
    <n v="0.44"/>
    <s v="Documentary"/>
  </r>
  <r>
    <s v="727582cf-31c0-4f90-bfa3-931b71f80ea4"/>
    <n v="33"/>
    <s v="Female"/>
    <s v="Premium"/>
    <n v="11.02"/>
    <x v="39"/>
    <x v="0"/>
    <x v="0"/>
    <n v="17.989999999999998"/>
    <n v="0"/>
    <n v="0"/>
    <x v="0"/>
    <n v="4"/>
    <n v="0.48"/>
    <s v="Drama"/>
  </r>
  <r>
    <s v="e2716bd9-d203-499c-8788-c8a7f8b192a9"/>
    <n v="36"/>
    <s v="Other"/>
    <s v="Premium"/>
    <n v="23.5"/>
    <x v="30"/>
    <x v="3"/>
    <x v="2"/>
    <n v="17.989999999999998"/>
    <n v="0"/>
    <n v="0"/>
    <x v="3"/>
    <n v="1"/>
    <n v="11.75"/>
    <s v="Action"/>
  </r>
  <r>
    <s v="012128df-8b33-420d-89d1-4716b755bda8"/>
    <n v="54"/>
    <s v="Male"/>
    <s v="Basic"/>
    <n v="5.47"/>
    <x v="9"/>
    <x v="4"/>
    <x v="1"/>
    <n v="8.99"/>
    <n v="1"/>
    <n v="8.99"/>
    <x v="4"/>
    <n v="1"/>
    <n v="0.15"/>
    <s v="Comedy"/>
  </r>
  <r>
    <s v="aaaf0816-0f3c-4a93-8bbc-ace15d6cf5db"/>
    <n v="61"/>
    <s v="Male"/>
    <s v="Standard"/>
    <n v="21.36"/>
    <x v="36"/>
    <x v="2"/>
    <x v="4"/>
    <n v="13.99"/>
    <n v="0"/>
    <n v="0"/>
    <x v="2"/>
    <n v="3"/>
    <n v="0.53"/>
    <s v="Comedy"/>
  </r>
  <r>
    <s v="f3f3ef4b-6dfa-4504-a0df-68572435dd73"/>
    <n v="53"/>
    <s v="Male"/>
    <s v="Standard"/>
    <n v="16.62"/>
    <x v="35"/>
    <x v="0"/>
    <x v="0"/>
    <n v="13.99"/>
    <n v="0"/>
    <n v="0"/>
    <x v="3"/>
    <n v="5"/>
    <n v="0.37"/>
    <s v="Drama"/>
  </r>
  <r>
    <s v="3a6e044f-361e-4c4a-be44-67ce2b5fddd5"/>
    <n v="55"/>
    <s v="Female"/>
    <s v="Standard"/>
    <n v="8.26"/>
    <x v="14"/>
    <x v="0"/>
    <x v="2"/>
    <n v="13.99"/>
    <n v="0"/>
    <n v="0"/>
    <x v="3"/>
    <n v="4"/>
    <n v="0.25"/>
    <s v="Drama"/>
  </r>
  <r>
    <s v="12248975-1f7f-458f-b21e-c3a45986b4c0"/>
    <n v="42"/>
    <s v="Female"/>
    <s v="Basic"/>
    <n v="8.5"/>
    <x v="14"/>
    <x v="2"/>
    <x v="3"/>
    <n v="8.99"/>
    <n v="1"/>
    <n v="8.99"/>
    <x v="3"/>
    <n v="2"/>
    <n v="0.26"/>
    <s v="Comedy"/>
  </r>
  <r>
    <s v="de73097b-d6cb-4862-9308-ed129859bccb"/>
    <n v="22"/>
    <s v="Male"/>
    <s v="Premium"/>
    <n v="8.84"/>
    <x v="24"/>
    <x v="1"/>
    <x v="3"/>
    <n v="17.989999999999998"/>
    <n v="1"/>
    <n v="17.989999999999998"/>
    <x v="4"/>
    <n v="2"/>
    <n v="0.17"/>
    <s v="Comedy"/>
  </r>
  <r>
    <s v="7c48c4cc-32c0-436b-aa5d-da2cb1509f93"/>
    <n v="19"/>
    <s v="Female"/>
    <s v="Premium"/>
    <n v="6.49"/>
    <x v="8"/>
    <x v="5"/>
    <x v="4"/>
    <n v="17.989999999999998"/>
    <n v="1"/>
    <n v="17.989999999999998"/>
    <x v="0"/>
    <n v="1"/>
    <n v="0.19"/>
    <s v="Romance"/>
  </r>
  <r>
    <s v="11f37912-99c6-41fe-ac0c-48dd0930a4b4"/>
    <n v="20"/>
    <s v="Male"/>
    <s v="Standard"/>
    <n v="8.4700000000000006"/>
    <x v="23"/>
    <x v="5"/>
    <x v="0"/>
    <n v="13.99"/>
    <n v="1"/>
    <n v="13.99"/>
    <x v="0"/>
    <n v="2"/>
    <n v="0.16"/>
    <s v="Horror"/>
  </r>
  <r>
    <s v="3b400433-a639-4fe3-a458-dbbb865f8261"/>
    <n v="36"/>
    <s v="Other"/>
    <s v="Standard"/>
    <n v="31.46"/>
    <x v="58"/>
    <x v="3"/>
    <x v="3"/>
    <n v="13.99"/>
    <n v="0"/>
    <n v="0"/>
    <x v="3"/>
    <n v="3"/>
    <n v="0.66"/>
    <s v="Comedy"/>
  </r>
  <r>
    <s v="ca6a16c5-d79c-40a5-949f-ba4b2a45993d"/>
    <n v="40"/>
    <s v="Male"/>
    <s v="Standard"/>
    <n v="13.4"/>
    <x v="52"/>
    <x v="0"/>
    <x v="1"/>
    <n v="13.99"/>
    <n v="1"/>
    <n v="13.99"/>
    <x v="1"/>
    <n v="1"/>
    <n v="0.27"/>
    <s v="Documentary"/>
  </r>
  <r>
    <s v="d80a7642-b629-4ca4-b51d-91600ae5d0a5"/>
    <n v="37"/>
    <s v="Female"/>
    <s v="Basic"/>
    <n v="7.36"/>
    <x v="10"/>
    <x v="3"/>
    <x v="2"/>
    <n v="8.99"/>
    <n v="1"/>
    <n v="8.99"/>
    <x v="2"/>
    <n v="2"/>
    <n v="0.19"/>
    <s v="Romance"/>
  </r>
  <r>
    <s v="fea2691a-fc62-4a68-b155-bd95ecf587de"/>
    <n v="21"/>
    <s v="Male"/>
    <s v="Basic"/>
    <n v="5.0999999999999996"/>
    <x v="23"/>
    <x v="1"/>
    <x v="4"/>
    <n v="8.99"/>
    <n v="1"/>
    <n v="8.99"/>
    <x v="3"/>
    <n v="3"/>
    <n v="0.09"/>
    <s v="Documentary"/>
  </r>
  <r>
    <s v="d8127bf4-b7ea-4cf8-81ce-270df2f38163"/>
    <n v="20"/>
    <s v="Female"/>
    <s v="Premium"/>
    <n v="4.3899999999999997"/>
    <x v="12"/>
    <x v="3"/>
    <x v="1"/>
    <n v="17.989999999999998"/>
    <n v="1"/>
    <n v="17.989999999999998"/>
    <x v="0"/>
    <n v="1"/>
    <n v="0.13"/>
    <s v="Horror"/>
  </r>
  <r>
    <s v="7d980d04-b321-432f-b415-ce55969de68a"/>
    <n v="35"/>
    <s v="Female"/>
    <s v="Standard"/>
    <n v="8.39"/>
    <x v="25"/>
    <x v="0"/>
    <x v="0"/>
    <n v="13.99"/>
    <n v="0"/>
    <n v="0"/>
    <x v="4"/>
    <n v="2"/>
    <n v="8.39"/>
    <s v="Comedy"/>
  </r>
  <r>
    <s v="928dc2a2-8361-4e04-bfef-dcade10168eb"/>
    <n v="31"/>
    <s v="Other"/>
    <s v="Basic"/>
    <n v="5.12"/>
    <x v="3"/>
    <x v="5"/>
    <x v="0"/>
    <n v="8.99"/>
    <n v="0"/>
    <n v="0"/>
    <x v="2"/>
    <n v="5"/>
    <n v="0.39"/>
    <s v="Action"/>
  </r>
  <r>
    <s v="3a5bfad8-d098-4418-bdbb-d15c889a2389"/>
    <n v="63"/>
    <s v="Female"/>
    <s v="Standard"/>
    <n v="1.33"/>
    <x v="0"/>
    <x v="2"/>
    <x v="2"/>
    <n v="13.99"/>
    <n v="1"/>
    <n v="13.99"/>
    <x v="4"/>
    <n v="3"/>
    <n v="0.04"/>
    <s v="Horror"/>
  </r>
  <r>
    <s v="cd918584-dbe4-43ee-8ee4-f35dcf029de4"/>
    <n v="21"/>
    <s v="Female"/>
    <s v="Standard"/>
    <n v="3.88"/>
    <x v="25"/>
    <x v="0"/>
    <x v="1"/>
    <n v="13.99"/>
    <n v="0"/>
    <n v="0"/>
    <x v="1"/>
    <n v="1"/>
    <n v="3.88"/>
    <s v="Action"/>
  </r>
  <r>
    <s v="784bbf74-1bec-42e8-805d-d0a12579432c"/>
    <n v="28"/>
    <s v="Male"/>
    <s v="Standard"/>
    <n v="19.03"/>
    <x v="51"/>
    <x v="1"/>
    <x v="2"/>
    <n v="13.99"/>
    <n v="0"/>
    <n v="0"/>
    <x v="0"/>
    <n v="2"/>
    <n v="1.06"/>
    <s v="Drama"/>
  </r>
  <r>
    <s v="e76c1166-9bcf-4959-a627-863f1c621434"/>
    <n v="61"/>
    <s v="Other"/>
    <s v="Standard"/>
    <n v="4.08"/>
    <x v="28"/>
    <x v="3"/>
    <x v="1"/>
    <n v="13.99"/>
    <n v="1"/>
    <n v="13.99"/>
    <x v="0"/>
    <n v="3"/>
    <n v="0.11"/>
    <s v="Sci-Fi"/>
  </r>
  <r>
    <s v="3ed28f9d-f5ec-4a13-afb8-d65fe7f58ab3"/>
    <n v="62"/>
    <s v="Other"/>
    <s v="Premium"/>
    <n v="4.3099999999999996"/>
    <x v="58"/>
    <x v="2"/>
    <x v="1"/>
    <n v="17.989999999999998"/>
    <n v="1"/>
    <n v="17.989999999999998"/>
    <x v="2"/>
    <n v="5"/>
    <n v="0.09"/>
    <s v="Action"/>
  </r>
  <r>
    <s v="c0df8988-6625-4beb-8955-1a12520bd8c5"/>
    <n v="38"/>
    <s v="Female"/>
    <s v="Premium"/>
    <n v="1.18"/>
    <x v="17"/>
    <x v="0"/>
    <x v="1"/>
    <n v="17.989999999999998"/>
    <n v="0"/>
    <n v="0"/>
    <x v="2"/>
    <n v="3"/>
    <n v="0.24"/>
    <s v="Action"/>
  </r>
  <r>
    <s v="14b07c0b-a32b-4f96-a236-6992f512fd8e"/>
    <n v="33"/>
    <s v="Other"/>
    <s v="Premium"/>
    <n v="1.81"/>
    <x v="6"/>
    <x v="5"/>
    <x v="4"/>
    <n v="17.989999999999998"/>
    <n v="1"/>
    <n v="17.989999999999998"/>
    <x v="1"/>
    <n v="2"/>
    <n v="0.09"/>
    <s v="Comedy"/>
  </r>
  <r>
    <s v="eec5fa1c-5a41-448a-b4f8-46e7e258acc3"/>
    <n v="49"/>
    <s v="Female"/>
    <s v="Standard"/>
    <n v="11.06"/>
    <x v="34"/>
    <x v="1"/>
    <x v="4"/>
    <n v="13.99"/>
    <n v="1"/>
    <n v="13.99"/>
    <x v="3"/>
    <n v="3"/>
    <n v="0.22"/>
    <s v="Documentary"/>
  </r>
  <r>
    <s v="bf910ef4-cb21-4375-a624-e57cc2e4c293"/>
    <n v="26"/>
    <s v="Other"/>
    <s v="Basic"/>
    <n v="0.06"/>
    <x v="46"/>
    <x v="4"/>
    <x v="0"/>
    <n v="8.99"/>
    <n v="1"/>
    <n v="8.99"/>
    <x v="4"/>
    <n v="4"/>
    <n v="0.02"/>
    <s v="Action"/>
  </r>
  <r>
    <s v="fed18198-3eef-444c-825e-068b5729aac9"/>
    <n v="70"/>
    <s v="Other"/>
    <s v="Premium"/>
    <n v="22.22"/>
    <x v="59"/>
    <x v="1"/>
    <x v="0"/>
    <n v="17.989999999999998"/>
    <n v="0"/>
    <n v="0"/>
    <x v="4"/>
    <n v="2"/>
    <n v="3.7"/>
    <s v="Romance"/>
  </r>
  <r>
    <s v="7a2c4939-7e7b-4ada-8f61-e09737ba40b3"/>
    <n v="39"/>
    <s v="Male"/>
    <s v="Standard"/>
    <n v="8.99"/>
    <x v="14"/>
    <x v="2"/>
    <x v="0"/>
    <n v="13.99"/>
    <n v="1"/>
    <n v="13.99"/>
    <x v="0"/>
    <n v="3"/>
    <n v="0.27"/>
    <s v="Documentary"/>
  </r>
  <r>
    <s v="ef372c4a-20ae-4373-a2db-12a114ee5e2b"/>
    <n v="28"/>
    <s v="Male"/>
    <s v="Standard"/>
    <n v="20.309999999999999"/>
    <x v="15"/>
    <x v="3"/>
    <x v="2"/>
    <n v="13.99"/>
    <n v="0"/>
    <n v="0"/>
    <x v="0"/>
    <n v="1"/>
    <n v="0.5"/>
    <s v="Action"/>
  </r>
  <r>
    <s v="a91bb5e4-a577-4365-8bc6-3a306dcc8dd0"/>
    <n v="61"/>
    <s v="Other"/>
    <s v="Basic"/>
    <n v="0.65"/>
    <x v="37"/>
    <x v="3"/>
    <x v="4"/>
    <n v="8.99"/>
    <n v="1"/>
    <n v="8.99"/>
    <x v="2"/>
    <n v="5"/>
    <n v="0.03"/>
    <s v="Horror"/>
  </r>
  <r>
    <s v="0f372dc7-03c2-4955-88bd-4b78deb7bdc1"/>
    <n v="44"/>
    <s v="Female"/>
    <s v="Basic"/>
    <n v="55.55"/>
    <x v="51"/>
    <x v="0"/>
    <x v="3"/>
    <n v="8.99"/>
    <n v="0"/>
    <n v="0"/>
    <x v="2"/>
    <n v="2"/>
    <n v="3.09"/>
    <s v="Romance"/>
  </r>
  <r>
    <s v="f5dda56c-7406-4db7-90ed-e6738e422b8f"/>
    <n v="30"/>
    <s v="Male"/>
    <s v="Premium"/>
    <n v="13.28"/>
    <x v="35"/>
    <x v="4"/>
    <x v="1"/>
    <n v="17.989999999999998"/>
    <n v="0"/>
    <n v="0"/>
    <x v="3"/>
    <n v="4"/>
    <n v="0.3"/>
    <s v="Romance"/>
  </r>
  <r>
    <s v="04c8618d-f34e-4885-b587-6d6b324603b7"/>
    <n v="61"/>
    <s v="Female"/>
    <s v="Premium"/>
    <n v="7.11"/>
    <x v="12"/>
    <x v="3"/>
    <x v="0"/>
    <n v="17.989999999999998"/>
    <n v="1"/>
    <n v="17.989999999999998"/>
    <x v="3"/>
    <n v="3"/>
    <n v="0.21"/>
    <s v="Horror"/>
  </r>
  <r>
    <s v="6732052d-d079-4067-a288-4c23e1a599b9"/>
    <n v="27"/>
    <s v="Male"/>
    <s v="Standard"/>
    <n v="20.21"/>
    <x v="18"/>
    <x v="3"/>
    <x v="4"/>
    <n v="13.99"/>
    <n v="0"/>
    <n v="0"/>
    <x v="1"/>
    <n v="2"/>
    <n v="0.35"/>
    <s v="Horror"/>
  </r>
  <r>
    <s v="f3786d5d-fa50-4225-a34c-c869fe92149d"/>
    <n v="43"/>
    <s v="Male"/>
    <s v="Premium"/>
    <n v="4.6399999999999997"/>
    <x v="13"/>
    <x v="3"/>
    <x v="4"/>
    <n v="17.989999999999998"/>
    <n v="0"/>
    <n v="0"/>
    <x v="2"/>
    <n v="5"/>
    <n v="0.57999999999999996"/>
    <s v="Documentary"/>
  </r>
  <r>
    <s v="4ac8c08a-cb1c-41d8-8834-7f4d43160ca5"/>
    <n v="31"/>
    <s v="Female"/>
    <s v="Premium"/>
    <n v="2.08"/>
    <x v="60"/>
    <x v="4"/>
    <x v="3"/>
    <n v="17.989999999999998"/>
    <n v="1"/>
    <n v="17.989999999999998"/>
    <x v="4"/>
    <n v="3"/>
    <n v="0.23"/>
    <s v="Romance"/>
  </r>
  <r>
    <s v="1c45723e-c679-4557-874e-17971854aea4"/>
    <n v="59"/>
    <s v="Other"/>
    <s v="Standard"/>
    <n v="25.47"/>
    <x v="14"/>
    <x v="5"/>
    <x v="3"/>
    <n v="13.99"/>
    <n v="0"/>
    <n v="0"/>
    <x v="2"/>
    <n v="4"/>
    <n v="0.77"/>
    <s v="Sci-Fi"/>
  </r>
  <r>
    <s v="ed2e6d14-1ec8-4f3a-8a09-10311a97e7db"/>
    <n v="27"/>
    <s v="Other"/>
    <s v="Premium"/>
    <n v="4.0199999999999996"/>
    <x v="45"/>
    <x v="4"/>
    <x v="1"/>
    <n v="17.989999999999998"/>
    <n v="1"/>
    <n v="17.989999999999998"/>
    <x v="4"/>
    <n v="1"/>
    <n v="0.1"/>
    <s v="Documentary"/>
  </r>
  <r>
    <s v="23511a64-59ce-4cc2-bc00-c4fe31339534"/>
    <n v="29"/>
    <s v="Other"/>
    <s v="Standard"/>
    <n v="31.52"/>
    <x v="3"/>
    <x v="1"/>
    <x v="4"/>
    <n v="13.99"/>
    <n v="0"/>
    <n v="0"/>
    <x v="2"/>
    <n v="3"/>
    <n v="2.42"/>
    <s v="Drama"/>
  </r>
  <r>
    <s v="23800c7b-cb6d-46c8-b966-bbb20f9b0ca5"/>
    <n v="61"/>
    <s v="Female"/>
    <s v="Standard"/>
    <n v="0.76"/>
    <x v="39"/>
    <x v="0"/>
    <x v="0"/>
    <n v="13.99"/>
    <n v="0"/>
    <n v="0"/>
    <x v="2"/>
    <n v="5"/>
    <n v="0.03"/>
    <s v="Drama"/>
  </r>
  <r>
    <s v="458036e4-1c6f-42b8-819f-e453f97ba7b1"/>
    <n v="62"/>
    <s v="Male"/>
    <s v="Basic"/>
    <n v="6.84"/>
    <x v="47"/>
    <x v="0"/>
    <x v="3"/>
    <n v="8.99"/>
    <n v="0"/>
    <n v="0"/>
    <x v="1"/>
    <n v="2"/>
    <n v="1.71"/>
    <s v="Comedy"/>
  </r>
  <r>
    <s v="fe65b1ac-55dc-4d8e-a802-5867af17f8ea"/>
    <n v="56"/>
    <s v="Other"/>
    <s v="Basic"/>
    <n v="1.72"/>
    <x v="2"/>
    <x v="5"/>
    <x v="1"/>
    <n v="8.99"/>
    <n v="1"/>
    <n v="8.99"/>
    <x v="2"/>
    <n v="2"/>
    <n v="0.16"/>
    <s v="Horror"/>
  </r>
  <r>
    <s v="00139d09-c969-4136-987c-6e7d30f41cc0"/>
    <n v="59"/>
    <s v="Female"/>
    <s v="Standard"/>
    <n v="19.34"/>
    <x v="33"/>
    <x v="5"/>
    <x v="0"/>
    <n v="13.99"/>
    <n v="0"/>
    <n v="0"/>
    <x v="1"/>
    <n v="3"/>
    <n v="0.74"/>
    <s v="Sci-Fi"/>
  </r>
  <r>
    <s v="682d7f24-bf51-4e54-a2d2-2e25a3e17b61"/>
    <n v="33"/>
    <s v="Female"/>
    <s v="Standard"/>
    <n v="1.33"/>
    <x v="47"/>
    <x v="0"/>
    <x v="4"/>
    <n v="13.99"/>
    <n v="0"/>
    <n v="0"/>
    <x v="3"/>
    <n v="5"/>
    <n v="0.33"/>
    <s v="Documentary"/>
  </r>
  <r>
    <s v="6004a0a1-5334-4dc7-8cd6-6ad98aa442e7"/>
    <n v="41"/>
    <s v="Female"/>
    <s v="Standard"/>
    <n v="23.03"/>
    <x v="34"/>
    <x v="1"/>
    <x v="0"/>
    <n v="13.99"/>
    <n v="0"/>
    <n v="0"/>
    <x v="4"/>
    <n v="3"/>
    <n v="0.45"/>
    <s v="Drama"/>
  </r>
  <r>
    <s v="9732c8a3-1080-422b-92c6-ecb2c1f838f3"/>
    <n v="54"/>
    <s v="Female"/>
    <s v="Standard"/>
    <n v="21.67"/>
    <x v="20"/>
    <x v="0"/>
    <x v="0"/>
    <n v="13.99"/>
    <n v="0"/>
    <n v="0"/>
    <x v="0"/>
    <n v="3"/>
    <n v="1.1399999999999999"/>
    <s v="Romance"/>
  </r>
  <r>
    <s v="2d356c69-fcbe-4a5d-af62-c41e1944a95b"/>
    <n v="34"/>
    <s v="Female"/>
    <s v="Basic"/>
    <n v="27.09"/>
    <x v="49"/>
    <x v="3"/>
    <x v="0"/>
    <n v="8.99"/>
    <n v="0"/>
    <n v="0"/>
    <x v="2"/>
    <n v="1"/>
    <n v="2.71"/>
    <s v="Documentary"/>
  </r>
  <r>
    <s v="e9b22aff-6ec8-4298-8d8a-74084c1bac83"/>
    <n v="41"/>
    <s v="Male"/>
    <s v="Premium"/>
    <n v="22.75"/>
    <x v="39"/>
    <x v="1"/>
    <x v="0"/>
    <n v="17.989999999999998"/>
    <n v="0"/>
    <n v="0"/>
    <x v="0"/>
    <n v="2"/>
    <n v="0.99"/>
    <s v="Horror"/>
  </r>
  <r>
    <s v="ab588e4b-6d23-4746-a5d3-2380dd359f2c"/>
    <n v="38"/>
    <s v="Other"/>
    <s v="Basic"/>
    <n v="4.55"/>
    <x v="20"/>
    <x v="0"/>
    <x v="0"/>
    <n v="8.99"/>
    <n v="1"/>
    <n v="8.99"/>
    <x v="4"/>
    <n v="5"/>
    <n v="0.24"/>
    <s v="Drama"/>
  </r>
  <r>
    <s v="9c254e1c-5ae4-470d-9db9-79fd55092590"/>
    <n v="42"/>
    <s v="Male"/>
    <s v="Basic"/>
    <n v="0.79"/>
    <x v="20"/>
    <x v="4"/>
    <x v="2"/>
    <n v="8.99"/>
    <n v="1"/>
    <n v="8.99"/>
    <x v="3"/>
    <n v="4"/>
    <n v="0.04"/>
    <s v="Action"/>
  </r>
  <r>
    <s v="68111b31-0aa4-40ac-a612-5001e2891b73"/>
    <n v="45"/>
    <s v="Female"/>
    <s v="Premium"/>
    <n v="0.91"/>
    <x v="13"/>
    <x v="4"/>
    <x v="1"/>
    <n v="17.989999999999998"/>
    <n v="1"/>
    <n v="17.989999999999998"/>
    <x v="1"/>
    <n v="5"/>
    <n v="0.11"/>
    <s v="Horror"/>
  </r>
  <r>
    <s v="44fec6f1-73e6-4d9c-93d3-ec91313a4eb8"/>
    <n v="66"/>
    <s v="Female"/>
    <s v="Standard"/>
    <n v="4.63"/>
    <x v="5"/>
    <x v="1"/>
    <x v="4"/>
    <n v="13.99"/>
    <n v="0"/>
    <n v="0"/>
    <x v="3"/>
    <n v="5"/>
    <n v="0.17"/>
    <s v="Action"/>
  </r>
  <r>
    <s v="2ad44ab8-c58d-4228-80f8-57d658a25d04"/>
    <n v="31"/>
    <s v="Other"/>
    <s v="Basic"/>
    <n v="5.4"/>
    <x v="17"/>
    <x v="1"/>
    <x v="3"/>
    <n v="8.99"/>
    <n v="0"/>
    <n v="0"/>
    <x v="4"/>
    <n v="5"/>
    <n v="1.08"/>
    <s v="Romance"/>
  </r>
  <r>
    <s v="157af3fa-dccb-4aba-a47f-a1d91c5426fe"/>
    <n v="64"/>
    <s v="Female"/>
    <s v="Premium"/>
    <n v="18.21"/>
    <x v="38"/>
    <x v="1"/>
    <x v="3"/>
    <n v="17.989999999999998"/>
    <n v="0"/>
    <n v="0"/>
    <x v="3"/>
    <n v="4"/>
    <n v="0.83"/>
    <s v="Drama"/>
  </r>
  <r>
    <s v="a5275893-fc09-4f77-a4bb-7fcb11fbb042"/>
    <n v="37"/>
    <s v="Other"/>
    <s v="Premium"/>
    <n v="1.99"/>
    <x v="4"/>
    <x v="2"/>
    <x v="4"/>
    <n v="17.989999999999998"/>
    <n v="0"/>
    <n v="0"/>
    <x v="2"/>
    <n v="4"/>
    <n v="0.14000000000000001"/>
    <s v="Horror"/>
  </r>
  <r>
    <s v="04549d24-8090-4c9f-bfd2-d5f77c7dba5e"/>
    <n v="60"/>
    <s v="Female"/>
    <s v="Premium"/>
    <n v="5.68"/>
    <x v="41"/>
    <x v="3"/>
    <x v="2"/>
    <n v="17.989999999999998"/>
    <n v="0"/>
    <n v="0"/>
    <x v="2"/>
    <n v="3"/>
    <n v="0.18"/>
    <s v="Romance"/>
  </r>
  <r>
    <s v="4d4d4e8d-a8e6-44a5-bc8d-e6585696d1b7"/>
    <n v="51"/>
    <s v="Male"/>
    <s v="Standard"/>
    <n v="41.24"/>
    <x v="10"/>
    <x v="5"/>
    <x v="1"/>
    <n v="13.99"/>
    <n v="0"/>
    <n v="0"/>
    <x v="4"/>
    <n v="5"/>
    <n v="1.06"/>
    <s v="Comedy"/>
  </r>
  <r>
    <s v="d700d121-5896-4474-915e-9c163bdf9c32"/>
    <n v="18"/>
    <s v="Male"/>
    <s v="Standard"/>
    <n v="7.4"/>
    <x v="20"/>
    <x v="5"/>
    <x v="1"/>
    <n v="13.99"/>
    <n v="0"/>
    <n v="0"/>
    <x v="4"/>
    <n v="2"/>
    <n v="0.39"/>
    <s v="Romance"/>
  </r>
  <r>
    <s v="aae17cd4-a7ca-4820-844d-a03761fa27af"/>
    <n v="45"/>
    <s v="Male"/>
    <s v="Standard"/>
    <n v="13.13"/>
    <x v="59"/>
    <x v="2"/>
    <x v="3"/>
    <n v="13.99"/>
    <n v="0"/>
    <n v="0"/>
    <x v="1"/>
    <n v="5"/>
    <n v="2.19"/>
    <s v="Drama"/>
  </r>
  <r>
    <s v="afa62629-6f9b-48a2-956f-68fdd66e2982"/>
    <n v="69"/>
    <s v="Other"/>
    <s v="Basic"/>
    <n v="21.91"/>
    <x v="37"/>
    <x v="2"/>
    <x v="3"/>
    <n v="8.99"/>
    <n v="0"/>
    <n v="0"/>
    <x v="2"/>
    <n v="5"/>
    <n v="0.88"/>
    <s v="Action"/>
  </r>
  <r>
    <s v="d85bd9b4-0564-435a-bd8c-7599b9076257"/>
    <n v="67"/>
    <s v="Male"/>
    <s v="Standard"/>
    <n v="9.57"/>
    <x v="59"/>
    <x v="1"/>
    <x v="1"/>
    <n v="13.99"/>
    <n v="0"/>
    <n v="0"/>
    <x v="1"/>
    <n v="5"/>
    <n v="1.59"/>
    <s v="Action"/>
  </r>
  <r>
    <s v="b042695c-e2c1-4f68-ab2d-3446f8f65967"/>
    <n v="44"/>
    <s v="Female"/>
    <s v="Standard"/>
    <n v="0.78"/>
    <x v="47"/>
    <x v="5"/>
    <x v="1"/>
    <n v="13.99"/>
    <n v="0"/>
    <n v="0"/>
    <x v="4"/>
    <n v="3"/>
    <n v="0.2"/>
    <s v="Drama"/>
  </r>
  <r>
    <s v="d04d1f2d-ed98-4ffe-b4f8-05678d9903a2"/>
    <n v="43"/>
    <s v="Male"/>
    <s v="Standard"/>
    <n v="31.73"/>
    <x v="8"/>
    <x v="2"/>
    <x v="0"/>
    <n v="13.99"/>
    <n v="0"/>
    <n v="0"/>
    <x v="4"/>
    <n v="3"/>
    <n v="0.91"/>
    <s v="Horror"/>
  </r>
  <r>
    <s v="1d65e890-ed62-468a-b0cd-153ad70cf2d4"/>
    <n v="49"/>
    <s v="Female"/>
    <s v="Premium"/>
    <n v="4.26"/>
    <x v="15"/>
    <x v="0"/>
    <x v="1"/>
    <n v="17.989999999999998"/>
    <n v="1"/>
    <n v="17.989999999999998"/>
    <x v="4"/>
    <n v="3"/>
    <n v="0.1"/>
    <s v="Comedy"/>
  </r>
  <r>
    <s v="d0483b77-f8ff-4535-9c53-9ee919409583"/>
    <n v="57"/>
    <s v="Female"/>
    <s v="Premium"/>
    <n v="21.15"/>
    <x v="19"/>
    <x v="4"/>
    <x v="2"/>
    <n v="17.989999999999998"/>
    <n v="0"/>
    <n v="0"/>
    <x v="4"/>
    <n v="2"/>
    <n v="0.48"/>
    <s v="Comedy"/>
  </r>
  <r>
    <s v="a525393b-868f-4f37-a301-565e5472a982"/>
    <n v="59"/>
    <s v="Female"/>
    <s v="Standard"/>
    <n v="9.77"/>
    <x v="59"/>
    <x v="0"/>
    <x v="0"/>
    <n v="13.99"/>
    <n v="0"/>
    <n v="0"/>
    <x v="1"/>
    <n v="4"/>
    <n v="1.63"/>
    <s v="Comedy"/>
  </r>
  <r>
    <s v="53b18dce-bb9a-4e83-a4ab-bfb367144160"/>
    <n v="28"/>
    <s v="Female"/>
    <s v="Premium"/>
    <n v="3.02"/>
    <x v="17"/>
    <x v="0"/>
    <x v="3"/>
    <n v="17.989999999999998"/>
    <n v="0"/>
    <n v="0"/>
    <x v="2"/>
    <n v="2"/>
    <n v="0.6"/>
    <s v="Action"/>
  </r>
  <r>
    <s v="766eaa1d-56f8-441e-a9f0-e8626a5f4d40"/>
    <n v="58"/>
    <s v="Other"/>
    <s v="Premium"/>
    <n v="1.05"/>
    <x v="56"/>
    <x v="4"/>
    <x v="2"/>
    <n v="17.989999999999998"/>
    <n v="1"/>
    <n v="17.989999999999998"/>
    <x v="1"/>
    <n v="1"/>
    <n v="0.02"/>
    <s v="Comedy"/>
  </r>
  <r>
    <s v="470675d5-5cf6-4a4c-974d-38ba18e0d875"/>
    <n v="47"/>
    <s v="Female"/>
    <s v="Basic"/>
    <n v="8.2200000000000006"/>
    <x v="17"/>
    <x v="0"/>
    <x v="0"/>
    <n v="8.99"/>
    <n v="0"/>
    <n v="0"/>
    <x v="0"/>
    <n v="2"/>
    <n v="1.64"/>
    <s v="Action"/>
  </r>
  <r>
    <s v="9086d806-dcb7-4c64-9714-765f6a0303c6"/>
    <n v="22"/>
    <s v="Female"/>
    <s v="Premium"/>
    <n v="0.97"/>
    <x v="4"/>
    <x v="3"/>
    <x v="2"/>
    <n v="17.989999999999998"/>
    <n v="1"/>
    <n v="17.989999999999998"/>
    <x v="3"/>
    <n v="2"/>
    <n v="7.0000000000000007E-2"/>
    <s v="Action"/>
  </r>
  <r>
    <s v="0d6dae1e-d44c-425b-abf5-371bb1a033db"/>
    <n v="44"/>
    <s v="Other"/>
    <s v="Premium"/>
    <n v="1.41"/>
    <x v="12"/>
    <x v="4"/>
    <x v="2"/>
    <n v="17.989999999999998"/>
    <n v="1"/>
    <n v="17.989999999999998"/>
    <x v="4"/>
    <n v="1"/>
    <n v="0.04"/>
    <s v="Documentary"/>
  </r>
  <r>
    <s v="b72d9a7d-7c15-4521-8a90-479596bff39d"/>
    <n v="22"/>
    <s v="Other"/>
    <s v="Standard"/>
    <n v="46.56"/>
    <x v="47"/>
    <x v="1"/>
    <x v="1"/>
    <n v="13.99"/>
    <n v="0"/>
    <n v="0"/>
    <x v="3"/>
    <n v="3"/>
    <n v="11.64"/>
    <s v="Comedy"/>
  </r>
  <r>
    <s v="7f34876f-d31e-4c36-be90-691335b33844"/>
    <n v="22"/>
    <s v="Other"/>
    <s v="Standard"/>
    <n v="12.77"/>
    <x v="12"/>
    <x v="5"/>
    <x v="3"/>
    <n v="13.99"/>
    <n v="1"/>
    <n v="13.99"/>
    <x v="4"/>
    <n v="2"/>
    <n v="0.38"/>
    <s v="Sci-Fi"/>
  </r>
  <r>
    <s v="f7add970-dc85-4c29-90e7-cdb047f52746"/>
    <n v="62"/>
    <s v="Male"/>
    <s v="Basic"/>
    <n v="12.66"/>
    <x v="53"/>
    <x v="2"/>
    <x v="0"/>
    <n v="8.99"/>
    <n v="1"/>
    <n v="8.99"/>
    <x v="2"/>
    <n v="2"/>
    <n v="0.28999999999999998"/>
    <s v="Action"/>
  </r>
  <r>
    <s v="51edbf12-a8ef-4848-9be8-b5baeb8adab7"/>
    <n v="67"/>
    <s v="Male"/>
    <s v="Standard"/>
    <n v="12.02"/>
    <x v="6"/>
    <x v="2"/>
    <x v="0"/>
    <n v="13.99"/>
    <n v="0"/>
    <n v="0"/>
    <x v="4"/>
    <n v="1"/>
    <n v="0.56999999999999995"/>
    <s v="Sci-Fi"/>
  </r>
  <r>
    <s v="8f8e95b6-5be4-47ed-a018-6976631fbe71"/>
    <n v="44"/>
    <s v="Male"/>
    <s v="Basic"/>
    <n v="6.67"/>
    <x v="33"/>
    <x v="0"/>
    <x v="4"/>
    <n v="8.99"/>
    <n v="0"/>
    <n v="0"/>
    <x v="1"/>
    <n v="5"/>
    <n v="0.26"/>
    <s v="Drama"/>
  </r>
  <r>
    <s v="b15d15eb-0dda-409b-90c8-211757521f5d"/>
    <n v="58"/>
    <s v="Male"/>
    <s v="Standard"/>
    <n v="7.36"/>
    <x v="20"/>
    <x v="3"/>
    <x v="2"/>
    <n v="13.99"/>
    <n v="0"/>
    <n v="0"/>
    <x v="0"/>
    <n v="4"/>
    <n v="0.39"/>
    <s v="Romance"/>
  </r>
  <r>
    <s v="4f808be4-e7f6-424a-87e8-61497b1afee7"/>
    <n v="50"/>
    <s v="Male"/>
    <s v="Basic"/>
    <n v="3.28"/>
    <x v="55"/>
    <x v="0"/>
    <x v="4"/>
    <n v="8.99"/>
    <n v="1"/>
    <n v="8.99"/>
    <x v="0"/>
    <n v="3"/>
    <n v="0.05"/>
    <s v="Documentary"/>
  </r>
  <r>
    <s v="ab429cc1-b1b1-4a7c-9a14-38212b83747d"/>
    <n v="69"/>
    <s v="Female"/>
    <s v="Premium"/>
    <n v="3.94"/>
    <x v="10"/>
    <x v="3"/>
    <x v="2"/>
    <n v="17.989999999999998"/>
    <n v="1"/>
    <n v="17.989999999999998"/>
    <x v="3"/>
    <n v="2"/>
    <n v="0.1"/>
    <s v="Sci-Fi"/>
  </r>
  <r>
    <s v="cf74b30a-3f9e-4db8-afbd-cb920c58390e"/>
    <n v="70"/>
    <s v="Other"/>
    <s v="Standard"/>
    <n v="9.1"/>
    <x v="27"/>
    <x v="1"/>
    <x v="4"/>
    <n v="13.99"/>
    <n v="0"/>
    <n v="0"/>
    <x v="0"/>
    <n v="2"/>
    <n v="0.54"/>
    <s v="Sci-Fi"/>
  </r>
  <r>
    <s v="ff95f3be-2385-4aca-b331-f385759179bb"/>
    <n v="50"/>
    <s v="Male"/>
    <s v="Premium"/>
    <n v="4.2699999999999996"/>
    <x v="34"/>
    <x v="2"/>
    <x v="1"/>
    <n v="17.989999999999998"/>
    <n v="1"/>
    <n v="17.989999999999998"/>
    <x v="4"/>
    <n v="3"/>
    <n v="0.08"/>
    <s v="Documentary"/>
  </r>
  <r>
    <s v="de93cbf9-0851-4c5b-826f-939b565c632e"/>
    <n v="66"/>
    <s v="Male"/>
    <s v="Premium"/>
    <n v="9.17"/>
    <x v="54"/>
    <x v="2"/>
    <x v="2"/>
    <n v="17.989999999999998"/>
    <n v="0"/>
    <n v="0"/>
    <x v="2"/>
    <n v="2"/>
    <n v="0.32"/>
    <s v="Horror"/>
  </r>
  <r>
    <s v="72fa5202-e5c7-4ac9-9974-05157876aa57"/>
    <n v="59"/>
    <s v="Female"/>
    <s v="Standard"/>
    <n v="26.45"/>
    <x v="22"/>
    <x v="3"/>
    <x v="2"/>
    <n v="13.99"/>
    <n v="0"/>
    <n v="0"/>
    <x v="3"/>
    <n v="4"/>
    <n v="0.47"/>
    <s v="Comedy"/>
  </r>
  <r>
    <s v="68d59730-6ec5-4fe3-8c1a-8f3b7e60c047"/>
    <n v="62"/>
    <s v="Other"/>
    <s v="Premium"/>
    <n v="7.16"/>
    <x v="59"/>
    <x v="5"/>
    <x v="3"/>
    <n v="17.989999999999998"/>
    <n v="0"/>
    <n v="0"/>
    <x v="0"/>
    <n v="5"/>
    <n v="1.19"/>
    <s v="Romance"/>
  </r>
  <r>
    <s v="0b9e8972-a536-4e1c-8f0d-62e22d801f63"/>
    <n v="51"/>
    <s v="Female"/>
    <s v="Basic"/>
    <n v="4.74"/>
    <x v="16"/>
    <x v="0"/>
    <x v="4"/>
    <n v="8.99"/>
    <n v="1"/>
    <n v="8.99"/>
    <x v="3"/>
    <n v="3"/>
    <n v="0.17"/>
    <s v="Drama"/>
  </r>
  <r>
    <s v="67155e14-7779-4ff6-9536-1fa72821c3ab"/>
    <n v="51"/>
    <s v="Female"/>
    <s v="Basic"/>
    <n v="23.59"/>
    <x v="49"/>
    <x v="4"/>
    <x v="0"/>
    <n v="8.99"/>
    <n v="0"/>
    <n v="0"/>
    <x v="2"/>
    <n v="3"/>
    <n v="2.36"/>
    <s v="Documentary"/>
  </r>
  <r>
    <s v="38948c93-2299-4dc1-9bcf-aadfdbde8079"/>
    <n v="44"/>
    <s v="Male"/>
    <s v="Premium"/>
    <n v="18.920000000000002"/>
    <x v="25"/>
    <x v="3"/>
    <x v="4"/>
    <n v="17.989999999999998"/>
    <n v="0"/>
    <n v="0"/>
    <x v="1"/>
    <n v="4"/>
    <n v="18.920000000000002"/>
    <s v="Romance"/>
  </r>
  <r>
    <s v="e9bacc45-dde8-4b72-bfbc-2466280d785a"/>
    <n v="53"/>
    <s v="Male"/>
    <s v="Premium"/>
    <n v="0.77"/>
    <x v="38"/>
    <x v="4"/>
    <x v="2"/>
    <n v="17.989999999999998"/>
    <n v="1"/>
    <n v="17.989999999999998"/>
    <x v="1"/>
    <n v="3"/>
    <n v="0.04"/>
    <s v="Sci-Fi"/>
  </r>
  <r>
    <s v="139a0e01-29df-48c9-bdad-fa7801585dea"/>
    <n v="31"/>
    <s v="Female"/>
    <s v="Standard"/>
    <n v="0.96"/>
    <x v="22"/>
    <x v="5"/>
    <x v="2"/>
    <n v="13.99"/>
    <n v="1"/>
    <n v="13.99"/>
    <x v="1"/>
    <n v="3"/>
    <n v="0.02"/>
    <s v="Action"/>
  </r>
  <r>
    <s v="04f5830d-14f7-4ba4-916d-8485f464808a"/>
    <n v="41"/>
    <s v="Female"/>
    <s v="Basic"/>
    <n v="40.64"/>
    <x v="43"/>
    <x v="0"/>
    <x v="2"/>
    <n v="8.99"/>
    <n v="0"/>
    <n v="0"/>
    <x v="0"/>
    <n v="2"/>
    <n v="1.27"/>
    <s v="Action"/>
  </r>
  <r>
    <s v="40f087fd-eaa5-407c-8b81-41d6795a73ac"/>
    <n v="49"/>
    <s v="Female"/>
    <s v="Standard"/>
    <n v="0.59"/>
    <x v="17"/>
    <x v="0"/>
    <x v="3"/>
    <n v="13.99"/>
    <n v="1"/>
    <n v="13.99"/>
    <x v="4"/>
    <n v="1"/>
    <n v="0.12"/>
    <s v="Comedy"/>
  </r>
  <r>
    <s v="51866f33-a26b-4c0e-8aa0-a8d5c11bbfd1"/>
    <n v="30"/>
    <s v="Female"/>
    <s v="Basic"/>
    <n v="17.02"/>
    <x v="0"/>
    <x v="0"/>
    <x v="3"/>
    <n v="8.99"/>
    <n v="0"/>
    <n v="0"/>
    <x v="0"/>
    <n v="3"/>
    <n v="0.56999999999999995"/>
    <s v="Comedy"/>
  </r>
  <r>
    <s v="49ac3b2b-bdf7-499a-8549-1a66ff5934a5"/>
    <n v="22"/>
    <s v="Other"/>
    <s v="Premium"/>
    <n v="2.61"/>
    <x v="2"/>
    <x v="1"/>
    <x v="0"/>
    <n v="17.989999999999998"/>
    <n v="0"/>
    <n v="0"/>
    <x v="3"/>
    <n v="4"/>
    <n v="0.24"/>
    <s v="Sci-Fi"/>
  </r>
  <r>
    <s v="0f0a0838-f17e-4151-be3a-174c1df1d1c7"/>
    <n v="53"/>
    <s v="Other"/>
    <s v="Basic"/>
    <n v="23.5"/>
    <x v="6"/>
    <x v="4"/>
    <x v="1"/>
    <n v="8.99"/>
    <n v="0"/>
    <n v="0"/>
    <x v="0"/>
    <n v="4"/>
    <n v="1.1200000000000001"/>
    <s v="Documentary"/>
  </r>
  <r>
    <s v="6611dcd9-93b5-4a43-a351-cd9570bd8d8d"/>
    <n v="24"/>
    <s v="Female"/>
    <s v="Basic"/>
    <n v="7.5"/>
    <x v="17"/>
    <x v="4"/>
    <x v="4"/>
    <n v="8.99"/>
    <n v="0"/>
    <n v="0"/>
    <x v="2"/>
    <n v="2"/>
    <n v="1.5"/>
    <s v="Romance"/>
  </r>
  <r>
    <s v="6ee480c7-c4c3-4dcd-abbc-d46b49f0b6dd"/>
    <n v="62"/>
    <s v="Other"/>
    <s v="Standard"/>
    <n v="23.97"/>
    <x v="57"/>
    <x v="0"/>
    <x v="3"/>
    <n v="13.99"/>
    <n v="1"/>
    <n v="13.99"/>
    <x v="1"/>
    <n v="1"/>
    <n v="0.39"/>
    <s v="Horror"/>
  </r>
  <r>
    <s v="0d1c4623-a498-47e4-acb2-bb5d73f9baff"/>
    <n v="43"/>
    <s v="Male"/>
    <s v="Basic"/>
    <n v="9.58"/>
    <x v="4"/>
    <x v="3"/>
    <x v="3"/>
    <n v="8.99"/>
    <n v="0"/>
    <n v="0"/>
    <x v="2"/>
    <n v="4"/>
    <n v="0.68"/>
    <s v="Drama"/>
  </r>
  <r>
    <s v="ca65ce5d-63ec-4006-86ab-32fb0feda982"/>
    <n v="47"/>
    <s v="Male"/>
    <s v="Premium"/>
    <n v="19.68"/>
    <x v="55"/>
    <x v="4"/>
    <x v="3"/>
    <n v="17.989999999999998"/>
    <n v="1"/>
    <n v="17.989999999999998"/>
    <x v="1"/>
    <n v="2"/>
    <n v="0.33"/>
    <s v="Horror"/>
  </r>
  <r>
    <s v="997c57f8-f1c1-4b92-a9ff-717d6df18df6"/>
    <n v="57"/>
    <s v="Female"/>
    <s v="Basic"/>
    <n v="6.14"/>
    <x v="0"/>
    <x v="4"/>
    <x v="3"/>
    <n v="8.99"/>
    <n v="0"/>
    <n v="0"/>
    <x v="3"/>
    <n v="2"/>
    <n v="0.2"/>
    <s v="Documentary"/>
  </r>
  <r>
    <s v="4a42dedb-08aa-4609-84cf-5b06eae21153"/>
    <n v="56"/>
    <s v="Other"/>
    <s v="Premium"/>
    <n v="13.15"/>
    <x v="21"/>
    <x v="0"/>
    <x v="1"/>
    <n v="17.989999999999998"/>
    <n v="0"/>
    <n v="0"/>
    <x v="4"/>
    <n v="2"/>
    <n v="1.88"/>
    <s v="Horror"/>
  </r>
  <r>
    <s v="101e7c6b-4f18-42d0-9626-5f5fd3bbd2e7"/>
    <n v="62"/>
    <s v="Female"/>
    <s v="Premium"/>
    <n v="4.34"/>
    <x v="29"/>
    <x v="0"/>
    <x v="3"/>
    <n v="17.989999999999998"/>
    <n v="1"/>
    <n v="17.989999999999998"/>
    <x v="0"/>
    <n v="3"/>
    <n v="0.09"/>
    <s v="Drama"/>
  </r>
  <r>
    <s v="7e292c54-b2c4-497a-b05b-00d61d2b824d"/>
    <n v="44"/>
    <s v="Male"/>
    <s v="Premium"/>
    <n v="3.95"/>
    <x v="5"/>
    <x v="2"/>
    <x v="3"/>
    <n v="17.989999999999998"/>
    <n v="1"/>
    <n v="17.989999999999998"/>
    <x v="0"/>
    <n v="4"/>
    <n v="0.15"/>
    <s v="Action"/>
  </r>
  <r>
    <s v="ad9d7de3-a095-4576-931f-7e06480c9b78"/>
    <n v="45"/>
    <s v="Male"/>
    <s v="Basic"/>
    <n v="2.73"/>
    <x v="16"/>
    <x v="2"/>
    <x v="1"/>
    <n v="8.99"/>
    <n v="1"/>
    <n v="8.99"/>
    <x v="2"/>
    <n v="3"/>
    <n v="0.1"/>
    <s v="Drama"/>
  </r>
  <r>
    <s v="916a5696-c195-4934-bddc-ef0b43ec800b"/>
    <n v="20"/>
    <s v="Male"/>
    <s v="Basic"/>
    <n v="0.67"/>
    <x v="55"/>
    <x v="5"/>
    <x v="0"/>
    <n v="8.99"/>
    <n v="1"/>
    <n v="8.99"/>
    <x v="3"/>
    <n v="4"/>
    <n v="0.01"/>
    <s v="Horror"/>
  </r>
  <r>
    <s v="e3e4232d-f726-423d-80bc-e293587b52d9"/>
    <n v="44"/>
    <s v="Female"/>
    <s v="Basic"/>
    <n v="6.71"/>
    <x v="15"/>
    <x v="2"/>
    <x v="1"/>
    <n v="8.99"/>
    <n v="1"/>
    <n v="8.99"/>
    <x v="1"/>
    <n v="1"/>
    <n v="0.16"/>
    <s v="Sci-Fi"/>
  </r>
  <r>
    <s v="a32ab2df-8cda-4673-9acf-c0a20e99522e"/>
    <n v="36"/>
    <s v="Female"/>
    <s v="Basic"/>
    <n v="14.33"/>
    <x v="35"/>
    <x v="4"/>
    <x v="2"/>
    <n v="8.99"/>
    <n v="1"/>
    <n v="8.99"/>
    <x v="0"/>
    <n v="2"/>
    <n v="0.32"/>
    <s v="Drama"/>
  </r>
  <r>
    <s v="0dc3af4d-e69a-4efc-ab80-757bf616d4b7"/>
    <n v="55"/>
    <s v="Other"/>
    <s v="Standard"/>
    <n v="11.62"/>
    <x v="48"/>
    <x v="4"/>
    <x v="3"/>
    <n v="13.99"/>
    <n v="0"/>
    <n v="0"/>
    <x v="3"/>
    <n v="4"/>
    <n v="0.22"/>
    <s v="Documentary"/>
  </r>
  <r>
    <s v="15bf4f39-0a66-4d87-a298-8f53c4e0f27d"/>
    <n v="35"/>
    <s v="Male"/>
    <s v="Standard"/>
    <n v="16.34"/>
    <x v="36"/>
    <x v="2"/>
    <x v="3"/>
    <n v="13.99"/>
    <n v="1"/>
    <n v="13.99"/>
    <x v="0"/>
    <n v="2"/>
    <n v="0.41"/>
    <s v="Documentary"/>
  </r>
  <r>
    <s v="9ab81da7-21f5-4a76-9bd4-10a78fe5ae0a"/>
    <n v="53"/>
    <s v="Male"/>
    <s v="Premium"/>
    <n v="16.53"/>
    <x v="19"/>
    <x v="1"/>
    <x v="1"/>
    <n v="17.989999999999998"/>
    <n v="1"/>
    <n v="17.989999999999998"/>
    <x v="0"/>
    <n v="1"/>
    <n v="0.38"/>
    <s v="Romance"/>
  </r>
  <r>
    <s v="145a8f1f-3c7d-4dd1-b0d4-858bea81ce6f"/>
    <n v="42"/>
    <s v="Other"/>
    <s v="Standard"/>
    <n v="0.68"/>
    <x v="34"/>
    <x v="0"/>
    <x v="1"/>
    <n v="13.99"/>
    <n v="1"/>
    <n v="13.99"/>
    <x v="0"/>
    <n v="4"/>
    <n v="0.01"/>
    <s v="Sci-Fi"/>
  </r>
  <r>
    <s v="ef94ff72-ab34-4be0-9fdb-525daa2c114c"/>
    <n v="60"/>
    <s v="Male"/>
    <s v="Basic"/>
    <n v="20.83"/>
    <x v="19"/>
    <x v="1"/>
    <x v="1"/>
    <n v="8.99"/>
    <n v="1"/>
    <n v="8.99"/>
    <x v="0"/>
    <n v="5"/>
    <n v="0.47"/>
    <s v="Documentary"/>
  </r>
  <r>
    <s v="f022ca06-c211-4695-9187-4a67a9f811da"/>
    <n v="53"/>
    <s v="Other"/>
    <s v="Standard"/>
    <n v="7.0000000000000007E-2"/>
    <x v="34"/>
    <x v="5"/>
    <x v="3"/>
    <n v="13.99"/>
    <n v="1"/>
    <n v="13.99"/>
    <x v="3"/>
    <n v="3"/>
    <n v="0"/>
    <s v="Action"/>
  </r>
  <r>
    <s v="5bdfbdcf-ab7b-41da-b1d5-51f819eb66dc"/>
    <n v="52"/>
    <s v="Female"/>
    <s v="Basic"/>
    <n v="22.21"/>
    <x v="50"/>
    <x v="3"/>
    <x v="0"/>
    <n v="8.99"/>
    <n v="1"/>
    <n v="8.99"/>
    <x v="4"/>
    <n v="1"/>
    <n v="0.4"/>
    <s v="Romance"/>
  </r>
  <r>
    <s v="900f7a72-5fd2-448b-b8fa-a24862c7766f"/>
    <n v="32"/>
    <s v="Male"/>
    <s v="Standard"/>
    <n v="8.26"/>
    <x v="36"/>
    <x v="2"/>
    <x v="2"/>
    <n v="13.99"/>
    <n v="1"/>
    <n v="13.99"/>
    <x v="0"/>
    <n v="1"/>
    <n v="0.21"/>
    <s v="Drama"/>
  </r>
  <r>
    <s v="63f4e2e6-f646-430e-9f39-89f270669dc4"/>
    <n v="54"/>
    <s v="Other"/>
    <s v="Premium"/>
    <n v="13.49"/>
    <x v="17"/>
    <x v="0"/>
    <x v="2"/>
    <n v="17.989999999999998"/>
    <n v="0"/>
    <n v="0"/>
    <x v="2"/>
    <n v="1"/>
    <n v="2.7"/>
    <s v="Action"/>
  </r>
  <r>
    <s v="2c840d2c-acbe-4a46-8e80-99489a4c1622"/>
    <n v="54"/>
    <s v="Male"/>
    <s v="Premium"/>
    <n v="11.38"/>
    <x v="43"/>
    <x v="2"/>
    <x v="1"/>
    <n v="17.989999999999998"/>
    <n v="0"/>
    <n v="0"/>
    <x v="4"/>
    <n v="4"/>
    <n v="0.36"/>
    <s v="Horror"/>
  </r>
  <r>
    <s v="6c5c94d3-ceba-42ba-8361-235b50a755d9"/>
    <n v="66"/>
    <s v="Other"/>
    <s v="Basic"/>
    <n v="21.29"/>
    <x v="13"/>
    <x v="0"/>
    <x v="4"/>
    <n v="8.99"/>
    <n v="0"/>
    <n v="0"/>
    <x v="1"/>
    <n v="5"/>
    <n v="2.66"/>
    <s v="Romance"/>
  </r>
  <r>
    <s v="f43dbc00-267c-4582-8a48-c51c960178ab"/>
    <n v="49"/>
    <s v="Female"/>
    <s v="Basic"/>
    <n v="10.87"/>
    <x v="32"/>
    <x v="4"/>
    <x v="4"/>
    <n v="8.99"/>
    <n v="0"/>
    <n v="0"/>
    <x v="4"/>
    <n v="5"/>
    <n v="0.72"/>
    <s v="Sci-Fi"/>
  </r>
  <r>
    <s v="0e3bcd74-c73f-4979-a929-487d0ee88e20"/>
    <n v="63"/>
    <s v="Female"/>
    <s v="Standard"/>
    <n v="41.15"/>
    <x v="49"/>
    <x v="4"/>
    <x v="2"/>
    <n v="13.99"/>
    <n v="0"/>
    <n v="0"/>
    <x v="3"/>
    <n v="2"/>
    <n v="4.12"/>
    <s v="Romance"/>
  </r>
  <r>
    <s v="5db9fb65-b73d-48b1-b112-619d9ff3cbac"/>
    <n v="62"/>
    <s v="Other"/>
    <s v="Standard"/>
    <n v="11.96"/>
    <x v="26"/>
    <x v="3"/>
    <x v="4"/>
    <n v="13.99"/>
    <n v="1"/>
    <n v="13.99"/>
    <x v="0"/>
    <n v="3"/>
    <n v="0.24"/>
    <s v="Drama"/>
  </r>
  <r>
    <s v="ee277a8f-6580-47ff-b15d-bd4c472f7c33"/>
    <n v="40"/>
    <s v="Female"/>
    <s v="Standard"/>
    <n v="0.68"/>
    <x v="42"/>
    <x v="0"/>
    <x v="2"/>
    <n v="13.99"/>
    <n v="1"/>
    <n v="13.99"/>
    <x v="2"/>
    <n v="3"/>
    <n v="0.02"/>
    <s v="Horror"/>
  </r>
  <r>
    <s v="2af0fa44-a495-4ed8-b750-e29f5ae68251"/>
    <n v="24"/>
    <s v="Female"/>
    <s v="Standard"/>
    <n v="5.56"/>
    <x v="14"/>
    <x v="1"/>
    <x v="2"/>
    <n v="13.99"/>
    <n v="1"/>
    <n v="13.99"/>
    <x v="3"/>
    <n v="1"/>
    <n v="0.17"/>
    <s v="Drama"/>
  </r>
  <r>
    <s v="36cad62c-bef7-4f24-bc63-6a45179bbe5f"/>
    <n v="36"/>
    <s v="Other"/>
    <s v="Premium"/>
    <n v="11.87"/>
    <x v="59"/>
    <x v="5"/>
    <x v="0"/>
    <n v="17.989999999999998"/>
    <n v="0"/>
    <n v="0"/>
    <x v="0"/>
    <n v="4"/>
    <n v="1.98"/>
    <s v="Comedy"/>
  </r>
  <r>
    <s v="5db1bdfc-a507-4f07-baad-908aeb6de81a"/>
    <n v="57"/>
    <s v="Other"/>
    <s v="Premium"/>
    <n v="0.97"/>
    <x v="24"/>
    <x v="0"/>
    <x v="3"/>
    <n v="17.989999999999998"/>
    <n v="1"/>
    <n v="17.989999999999998"/>
    <x v="4"/>
    <n v="1"/>
    <n v="0.02"/>
    <s v="Drama"/>
  </r>
  <r>
    <s v="98b942f7-194b-40aa-95ab-66f412de5d19"/>
    <n v="48"/>
    <s v="Female"/>
    <s v="Basic"/>
    <n v="17.68"/>
    <x v="58"/>
    <x v="3"/>
    <x v="4"/>
    <n v="8.99"/>
    <n v="1"/>
    <n v="8.99"/>
    <x v="3"/>
    <n v="3"/>
    <n v="0.37"/>
    <s v="Romance"/>
  </r>
  <r>
    <s v="cc99892d-23de-44d2-a63f-f8ac9fab69fe"/>
    <n v="27"/>
    <s v="Other"/>
    <s v="Basic"/>
    <n v="16.36"/>
    <x v="60"/>
    <x v="2"/>
    <x v="0"/>
    <n v="8.99"/>
    <n v="0"/>
    <n v="0"/>
    <x v="0"/>
    <n v="1"/>
    <n v="1.82"/>
    <s v="Drama"/>
  </r>
  <r>
    <s v="478cb287-75dd-4ed3-99f0-bcc5877f308a"/>
    <n v="22"/>
    <s v="Other"/>
    <s v="Standard"/>
    <n v="5.42"/>
    <x v="30"/>
    <x v="2"/>
    <x v="3"/>
    <n v="13.99"/>
    <n v="0"/>
    <n v="0"/>
    <x v="2"/>
    <n v="2"/>
    <n v="2.71"/>
    <s v="Action"/>
  </r>
  <r>
    <s v="2dee33b5-2a32-4b1e-b663-e4e941113df5"/>
    <n v="42"/>
    <s v="Other"/>
    <s v="Premium"/>
    <n v="3.6"/>
    <x v="46"/>
    <x v="3"/>
    <x v="0"/>
    <n v="17.989999999999998"/>
    <n v="0"/>
    <n v="0"/>
    <x v="4"/>
    <n v="1"/>
    <n v="1.2"/>
    <s v="Action"/>
  </r>
  <r>
    <s v="ff81933a-fb48-42d3-9358-c1aba9255e95"/>
    <n v="68"/>
    <s v="Female"/>
    <s v="Standard"/>
    <n v="0.34"/>
    <x v="45"/>
    <x v="5"/>
    <x v="1"/>
    <n v="13.99"/>
    <n v="1"/>
    <n v="13.99"/>
    <x v="3"/>
    <n v="4"/>
    <n v="0.01"/>
    <s v="Action"/>
  </r>
  <r>
    <s v="901270ae-4cad-4cb8-b501-fa015ea5c5f3"/>
    <n v="61"/>
    <s v="Male"/>
    <s v="Basic"/>
    <n v="47.74"/>
    <x v="7"/>
    <x v="1"/>
    <x v="1"/>
    <n v="8.99"/>
    <n v="0"/>
    <n v="0"/>
    <x v="1"/>
    <n v="2"/>
    <n v="0.84"/>
    <s v="Documentary"/>
  </r>
  <r>
    <s v="a6a0e427-fde3-4051-bced-8486d4bd1883"/>
    <n v="40"/>
    <s v="Male"/>
    <s v="Standard"/>
    <n v="9.61"/>
    <x v="36"/>
    <x v="3"/>
    <x v="3"/>
    <n v="13.99"/>
    <n v="1"/>
    <n v="13.99"/>
    <x v="2"/>
    <n v="2"/>
    <n v="0.24"/>
    <s v="Documentary"/>
  </r>
  <r>
    <s v="96e2f6c6-657d-4d48-82c0-b2e87060fe56"/>
    <n v="25"/>
    <s v="Other"/>
    <s v="Standard"/>
    <n v="6.11"/>
    <x v="25"/>
    <x v="2"/>
    <x v="2"/>
    <n v="13.99"/>
    <n v="0"/>
    <n v="0"/>
    <x v="4"/>
    <n v="1"/>
    <n v="6.11"/>
    <s v="Drama"/>
  </r>
  <r>
    <s v="cd276040-08db-4333-90c5-7b14e4af20ae"/>
    <n v="69"/>
    <s v="Other"/>
    <s v="Premium"/>
    <n v="0.74"/>
    <x v="26"/>
    <x v="3"/>
    <x v="4"/>
    <n v="17.989999999999998"/>
    <n v="1"/>
    <n v="17.989999999999998"/>
    <x v="3"/>
    <n v="3"/>
    <n v="0.02"/>
    <s v="Documentary"/>
  </r>
  <r>
    <s v="1137c41e-fb4a-4d4b-a92a-075de068f94a"/>
    <n v="50"/>
    <s v="Other"/>
    <s v="Standard"/>
    <n v="8.77"/>
    <x v="53"/>
    <x v="5"/>
    <x v="4"/>
    <n v="13.99"/>
    <n v="1"/>
    <n v="13.99"/>
    <x v="3"/>
    <n v="2"/>
    <n v="0.2"/>
    <s v="Action"/>
  </r>
  <r>
    <s v="d012e665-05a5-454d-bc1c-4eb7f132dc77"/>
    <n v="64"/>
    <s v="Male"/>
    <s v="Basic"/>
    <n v="1.02"/>
    <x v="27"/>
    <x v="5"/>
    <x v="0"/>
    <n v="8.99"/>
    <n v="1"/>
    <n v="8.99"/>
    <x v="0"/>
    <n v="4"/>
    <n v="0.06"/>
    <s v="Sci-Fi"/>
  </r>
  <r>
    <s v="5b39d054-a85a-472a-9c6b-6ca36f9c6f4c"/>
    <n v="64"/>
    <s v="Female"/>
    <s v="Premium"/>
    <n v="6.71"/>
    <x v="53"/>
    <x v="5"/>
    <x v="0"/>
    <n v="17.989999999999998"/>
    <n v="0"/>
    <n v="0"/>
    <x v="3"/>
    <n v="5"/>
    <n v="0.16"/>
    <s v="Documentary"/>
  </r>
  <r>
    <s v="627b1b93-2178-4157-8e76-b8b8326e8694"/>
    <n v="54"/>
    <s v="Male"/>
    <s v="Standard"/>
    <n v="9.7799999999999994"/>
    <x v="7"/>
    <x v="0"/>
    <x v="1"/>
    <n v="13.99"/>
    <n v="0"/>
    <n v="0"/>
    <x v="2"/>
    <n v="5"/>
    <n v="0.17"/>
    <s v="Documentary"/>
  </r>
  <r>
    <s v="7c5015d6-cb4d-4738-9d1d-7f49dbee59c4"/>
    <n v="28"/>
    <s v="Female"/>
    <s v="Basic"/>
    <n v="2.97"/>
    <x v="11"/>
    <x v="1"/>
    <x v="4"/>
    <n v="8.99"/>
    <n v="1"/>
    <n v="8.99"/>
    <x v="4"/>
    <n v="5"/>
    <n v="0.12"/>
    <s v="Romance"/>
  </r>
  <r>
    <s v="eac45018-321f-4108-b08c-70f09651748c"/>
    <n v="62"/>
    <s v="Female"/>
    <s v="Premium"/>
    <n v="4.75"/>
    <x v="25"/>
    <x v="4"/>
    <x v="1"/>
    <n v="17.989999999999998"/>
    <n v="0"/>
    <n v="0"/>
    <x v="0"/>
    <n v="2"/>
    <n v="4.75"/>
    <s v="Comedy"/>
  </r>
  <r>
    <s v="e2bb3e3f-6995-4d56-8ada-5b22730b7d50"/>
    <n v="48"/>
    <s v="Other"/>
    <s v="Premium"/>
    <n v="0.71"/>
    <x v="37"/>
    <x v="0"/>
    <x v="1"/>
    <n v="17.989999999999998"/>
    <n v="1"/>
    <n v="17.989999999999998"/>
    <x v="3"/>
    <n v="2"/>
    <n v="0.03"/>
    <s v="Sci-Fi"/>
  </r>
  <r>
    <s v="91f223fb-6d17-463e-96e6-dc72621732c3"/>
    <n v="29"/>
    <s v="Female"/>
    <s v="Premium"/>
    <n v="54.65"/>
    <x v="52"/>
    <x v="0"/>
    <x v="4"/>
    <n v="17.989999999999998"/>
    <n v="0"/>
    <n v="0"/>
    <x v="2"/>
    <n v="5"/>
    <n v="1.0900000000000001"/>
    <s v="Comedy"/>
  </r>
  <r>
    <s v="73e2fabe-cd9f-47cd-91c1-fa7d54a00851"/>
    <n v="53"/>
    <s v="Female"/>
    <s v="Standard"/>
    <n v="1.49"/>
    <x v="32"/>
    <x v="5"/>
    <x v="3"/>
    <n v="13.99"/>
    <n v="1"/>
    <n v="13.99"/>
    <x v="0"/>
    <n v="2"/>
    <n v="0.1"/>
    <s v="Action"/>
  </r>
  <r>
    <s v="e9c0dcf8-d2f5-45de-8296-71b278906386"/>
    <n v="42"/>
    <s v="Other"/>
    <s v="Standard"/>
    <n v="1.1100000000000001"/>
    <x v="32"/>
    <x v="3"/>
    <x v="1"/>
    <n v="13.99"/>
    <n v="1"/>
    <n v="13.99"/>
    <x v="0"/>
    <n v="2"/>
    <n v="7.0000000000000007E-2"/>
    <s v="Drama"/>
  </r>
  <r>
    <s v="09ff548d-7103-467d-b2bb-e7185dae56c3"/>
    <n v="19"/>
    <s v="Other"/>
    <s v="Premium"/>
    <n v="7.32"/>
    <x v="36"/>
    <x v="5"/>
    <x v="0"/>
    <n v="17.989999999999998"/>
    <n v="0"/>
    <n v="0"/>
    <x v="4"/>
    <n v="4"/>
    <n v="0.18"/>
    <s v="Documentary"/>
  </r>
  <r>
    <s v="72bb60bf-c49d-4cc3-86c2-8cd3f6be1ce5"/>
    <n v="26"/>
    <s v="Male"/>
    <s v="Standard"/>
    <n v="1.71"/>
    <x v="24"/>
    <x v="0"/>
    <x v="1"/>
    <n v="13.99"/>
    <n v="1"/>
    <n v="13.99"/>
    <x v="4"/>
    <n v="2"/>
    <n v="0.03"/>
    <s v="Drama"/>
  </r>
  <r>
    <s v="c8065254-8741-4265-84d7-b72ddf02f2f5"/>
    <n v="61"/>
    <s v="Female"/>
    <s v="Standard"/>
    <n v="6.53"/>
    <x v="32"/>
    <x v="2"/>
    <x v="0"/>
    <n v="13.99"/>
    <n v="0"/>
    <n v="0"/>
    <x v="4"/>
    <n v="3"/>
    <n v="0.44"/>
    <s v="Sci-Fi"/>
  </r>
  <r>
    <s v="bb486791-58b7-43c1-a079-b5388eb2615a"/>
    <n v="19"/>
    <s v="Male"/>
    <s v="Standard"/>
    <n v="15.85"/>
    <x v="19"/>
    <x v="3"/>
    <x v="3"/>
    <n v="13.99"/>
    <n v="1"/>
    <n v="13.99"/>
    <x v="0"/>
    <n v="2"/>
    <n v="0.36"/>
    <s v="Comedy"/>
  </r>
  <r>
    <s v="cd6292f9-f9aa-4d53-83d2-e1a38238cf1e"/>
    <n v="46"/>
    <s v="Female"/>
    <s v="Standard"/>
    <n v="7.59"/>
    <x v="47"/>
    <x v="3"/>
    <x v="2"/>
    <n v="13.99"/>
    <n v="0"/>
    <n v="0"/>
    <x v="1"/>
    <n v="3"/>
    <n v="1.9"/>
    <s v="Comedy"/>
  </r>
  <r>
    <s v="6dc6596e-60e8-414b-a3b5-c2bca64bb68f"/>
    <n v="63"/>
    <s v="Female"/>
    <s v="Standard"/>
    <n v="16.91"/>
    <x v="6"/>
    <x v="5"/>
    <x v="3"/>
    <n v="13.99"/>
    <n v="0"/>
    <n v="0"/>
    <x v="0"/>
    <n v="1"/>
    <n v="0.81"/>
    <s v="Horror"/>
  </r>
  <r>
    <s v="7ad15795-15cf-443a-9272-439388f8af25"/>
    <n v="56"/>
    <s v="Female"/>
    <s v="Premium"/>
    <n v="24.68"/>
    <x v="49"/>
    <x v="1"/>
    <x v="1"/>
    <n v="17.989999999999998"/>
    <n v="0"/>
    <n v="0"/>
    <x v="4"/>
    <n v="1"/>
    <n v="2.4700000000000002"/>
    <s v="Drama"/>
  </r>
  <r>
    <s v="52ff69f9-64ce-456d-a1b9-2494c4b9bdc8"/>
    <n v="18"/>
    <s v="Other"/>
    <s v="Standard"/>
    <n v="1.62"/>
    <x v="6"/>
    <x v="2"/>
    <x v="1"/>
    <n v="13.99"/>
    <n v="1"/>
    <n v="13.99"/>
    <x v="1"/>
    <n v="1"/>
    <n v="0.08"/>
    <s v="Documentary"/>
  </r>
  <r>
    <s v="57d8b5cf-f8ef-4b53-9b81-ce894a52f74e"/>
    <n v="59"/>
    <s v="Female"/>
    <s v="Premium"/>
    <n v="16.39"/>
    <x v="15"/>
    <x v="2"/>
    <x v="2"/>
    <n v="17.989999999999998"/>
    <n v="0"/>
    <n v="0"/>
    <x v="2"/>
    <n v="5"/>
    <n v="0.4"/>
    <s v="Horror"/>
  </r>
  <r>
    <s v="29a921ff-1567-4ba6-87c0-585ba15fcac7"/>
    <n v="39"/>
    <s v="Female"/>
    <s v="Basic"/>
    <n v="1.28"/>
    <x v="29"/>
    <x v="0"/>
    <x v="0"/>
    <n v="8.99"/>
    <n v="1"/>
    <n v="8.99"/>
    <x v="0"/>
    <n v="5"/>
    <n v="0.03"/>
    <s v="Horror"/>
  </r>
  <r>
    <s v="c350d5a0-fef7-4281-b752-42162d72bd05"/>
    <n v="33"/>
    <s v="Female"/>
    <s v="Premium"/>
    <n v="25.15"/>
    <x v="25"/>
    <x v="5"/>
    <x v="0"/>
    <n v="17.989999999999998"/>
    <n v="0"/>
    <n v="0"/>
    <x v="1"/>
    <n v="1"/>
    <n v="25.15"/>
    <s v="Comedy"/>
  </r>
  <r>
    <s v="af3557aa-86d0-4ab8-9ea1-28312fef7900"/>
    <n v="19"/>
    <s v="Female"/>
    <s v="Basic"/>
    <n v="8.01"/>
    <x v="58"/>
    <x v="1"/>
    <x v="4"/>
    <n v="8.99"/>
    <n v="1"/>
    <n v="8.99"/>
    <x v="2"/>
    <n v="2"/>
    <n v="0.17"/>
    <s v="Sci-Fi"/>
  </r>
  <r>
    <s v="d96a205c-59e2-44e0-a5f6-de58c25eb3b1"/>
    <n v="27"/>
    <s v="Female"/>
    <s v="Standard"/>
    <n v="4.07"/>
    <x v="53"/>
    <x v="5"/>
    <x v="3"/>
    <n v="13.99"/>
    <n v="1"/>
    <n v="13.99"/>
    <x v="1"/>
    <n v="5"/>
    <n v="0.09"/>
    <s v="Drama"/>
  </r>
  <r>
    <s v="4c77f75f-2b1e-4d25-b652-6047d04741d4"/>
    <n v="70"/>
    <s v="Male"/>
    <s v="Basic"/>
    <n v="15.81"/>
    <x v="35"/>
    <x v="0"/>
    <x v="4"/>
    <n v="8.99"/>
    <n v="1"/>
    <n v="8.99"/>
    <x v="1"/>
    <n v="1"/>
    <n v="0.35"/>
    <s v="Documentary"/>
  </r>
  <r>
    <s v="58b46654-4b27-4247-ba09-49536ac95586"/>
    <n v="64"/>
    <s v="Male"/>
    <s v="Standard"/>
    <n v="30.64"/>
    <x v="34"/>
    <x v="4"/>
    <x v="2"/>
    <n v="13.99"/>
    <n v="0"/>
    <n v="0"/>
    <x v="3"/>
    <n v="3"/>
    <n v="0.6"/>
    <s v="Comedy"/>
  </r>
  <r>
    <s v="39bad655-5f49-40ce-addd-c69cc6742a25"/>
    <n v="66"/>
    <s v="Other"/>
    <s v="Basic"/>
    <n v="8.0299999999999994"/>
    <x v="13"/>
    <x v="0"/>
    <x v="1"/>
    <n v="8.99"/>
    <n v="0"/>
    <n v="0"/>
    <x v="1"/>
    <n v="4"/>
    <n v="1"/>
    <s v="Horror"/>
  </r>
  <r>
    <s v="4b8b75ad-626f-4201-aaa3-6b1c4935f342"/>
    <n v="63"/>
    <s v="Other"/>
    <s v="Premium"/>
    <n v="15.63"/>
    <x v="39"/>
    <x v="4"/>
    <x v="3"/>
    <n v="17.989999999999998"/>
    <n v="0"/>
    <n v="0"/>
    <x v="1"/>
    <n v="2"/>
    <n v="0.68"/>
    <s v="Documentary"/>
  </r>
  <r>
    <s v="52b32e23-e4d9-4aa8-bdb6-3d8116bc98aa"/>
    <n v="48"/>
    <s v="Female"/>
    <s v="Basic"/>
    <n v="0.23"/>
    <x v="42"/>
    <x v="1"/>
    <x v="1"/>
    <n v="8.99"/>
    <n v="1"/>
    <n v="8.99"/>
    <x v="4"/>
    <n v="2"/>
    <n v="0.01"/>
    <s v="Action"/>
  </r>
  <r>
    <s v="fdd237ec-8cfb-4dc9-94a8-e378c84e1c09"/>
    <n v="57"/>
    <s v="Male"/>
    <s v="Basic"/>
    <n v="12.33"/>
    <x v="17"/>
    <x v="4"/>
    <x v="3"/>
    <n v="8.99"/>
    <n v="0"/>
    <n v="0"/>
    <x v="1"/>
    <n v="2"/>
    <n v="2.4700000000000002"/>
    <s v="Drama"/>
  </r>
  <r>
    <s v="74352c11-1327-4522-b04e-09375d2ae60a"/>
    <n v="25"/>
    <s v="Female"/>
    <s v="Premium"/>
    <n v="4.43"/>
    <x v="40"/>
    <x v="2"/>
    <x v="0"/>
    <n v="17.989999999999998"/>
    <n v="0"/>
    <n v="0"/>
    <x v="4"/>
    <n v="5"/>
    <n v="0.37"/>
    <s v="Romance"/>
  </r>
  <r>
    <s v="c49e2f08-2711-434a-86ce-a14869024d33"/>
    <n v="25"/>
    <s v="Male"/>
    <s v="Basic"/>
    <n v="2.39"/>
    <x v="60"/>
    <x v="1"/>
    <x v="2"/>
    <n v="8.99"/>
    <n v="1"/>
    <n v="8.99"/>
    <x v="4"/>
    <n v="1"/>
    <n v="0.27"/>
    <s v="Horror"/>
  </r>
  <r>
    <s v="e0f60ffb-2b43-4da0-a550-7567557da37e"/>
    <n v="55"/>
    <s v="Female"/>
    <s v="Premium"/>
    <n v="16.829999999999998"/>
    <x v="27"/>
    <x v="0"/>
    <x v="1"/>
    <n v="17.989999999999998"/>
    <n v="0"/>
    <n v="0"/>
    <x v="3"/>
    <n v="4"/>
    <n v="0.99"/>
    <s v="Documentary"/>
  </r>
  <r>
    <s v="0a7b5a2a-3292-409a-a758-5c93b920813c"/>
    <n v="65"/>
    <s v="Male"/>
    <s v="Premium"/>
    <n v="20.18"/>
    <x v="17"/>
    <x v="3"/>
    <x v="1"/>
    <n v="17.989999999999998"/>
    <n v="0"/>
    <n v="0"/>
    <x v="1"/>
    <n v="4"/>
    <n v="4.04"/>
    <s v="Drama"/>
  </r>
  <r>
    <s v="df17acd4-8698-461e-9cc7-1ac06d763fbc"/>
    <n v="47"/>
    <s v="Male"/>
    <s v="Premium"/>
    <n v="3.88"/>
    <x v="23"/>
    <x v="5"/>
    <x v="1"/>
    <n v="17.989999999999998"/>
    <n v="1"/>
    <n v="17.989999999999998"/>
    <x v="1"/>
    <n v="5"/>
    <n v="7.0000000000000007E-2"/>
    <s v="Documentary"/>
  </r>
  <r>
    <s v="52281669-df74-44a5-a392-2be8c8a0147c"/>
    <n v="43"/>
    <s v="Male"/>
    <s v="Standard"/>
    <n v="8.99"/>
    <x v="23"/>
    <x v="5"/>
    <x v="2"/>
    <n v="13.99"/>
    <n v="1"/>
    <n v="13.99"/>
    <x v="1"/>
    <n v="1"/>
    <n v="0.17"/>
    <s v="Action"/>
  </r>
  <r>
    <s v="ebdb9ce1-02bf-4681-b86c-a11d237ab90b"/>
    <n v="34"/>
    <s v="Other"/>
    <s v="Standard"/>
    <n v="12.65"/>
    <x v="46"/>
    <x v="4"/>
    <x v="2"/>
    <n v="13.99"/>
    <n v="0"/>
    <n v="0"/>
    <x v="2"/>
    <n v="4"/>
    <n v="4.22"/>
    <s v="Documentary"/>
  </r>
  <r>
    <s v="7f79fa2f-18f5-4f95-8b69-b22fc667f4f4"/>
    <n v="24"/>
    <s v="Female"/>
    <s v="Basic"/>
    <n v="25.78"/>
    <x v="60"/>
    <x v="1"/>
    <x v="2"/>
    <n v="8.99"/>
    <n v="0"/>
    <n v="0"/>
    <x v="4"/>
    <n v="3"/>
    <n v="2.86"/>
    <s v="Horror"/>
  </r>
  <r>
    <s v="f19ee025-d5a8-41e3-9a40-78a71e473891"/>
    <n v="50"/>
    <s v="Female"/>
    <s v="Standard"/>
    <n v="0.27"/>
    <x v="43"/>
    <x v="4"/>
    <x v="4"/>
    <n v="13.99"/>
    <n v="1"/>
    <n v="13.99"/>
    <x v="1"/>
    <n v="1"/>
    <n v="0.01"/>
    <s v="Romance"/>
  </r>
  <r>
    <s v="ebb4aac9-1770-4e76-be32-0a6990073795"/>
    <n v="28"/>
    <s v="Male"/>
    <s v="Basic"/>
    <n v="29.12"/>
    <x v="43"/>
    <x v="0"/>
    <x v="4"/>
    <n v="8.99"/>
    <n v="0"/>
    <n v="0"/>
    <x v="3"/>
    <n v="4"/>
    <n v="0.91"/>
    <s v="Documentary"/>
  </r>
  <r>
    <s v="210b00a5-c07d-401b-8396-3eaba615e20f"/>
    <n v="56"/>
    <s v="Female"/>
    <s v="Premium"/>
    <n v="2.98"/>
    <x v="36"/>
    <x v="1"/>
    <x v="2"/>
    <n v="17.989999999999998"/>
    <n v="1"/>
    <n v="17.989999999999998"/>
    <x v="3"/>
    <n v="3"/>
    <n v="7.0000000000000007E-2"/>
    <s v="Comedy"/>
  </r>
  <r>
    <s v="00bcd65f-ca17-43af-b1a3-c0e310d52966"/>
    <n v="42"/>
    <s v="Male"/>
    <s v="Standard"/>
    <n v="1.65"/>
    <x v="45"/>
    <x v="0"/>
    <x v="1"/>
    <n v="13.99"/>
    <n v="1"/>
    <n v="13.99"/>
    <x v="3"/>
    <n v="3"/>
    <n v="0.04"/>
    <s v="Action"/>
  </r>
  <r>
    <s v="570a21e1-bc72-482a-b2f3-afea983390f0"/>
    <n v="46"/>
    <s v="Other"/>
    <s v="Premium"/>
    <n v="5.98"/>
    <x v="43"/>
    <x v="2"/>
    <x v="2"/>
    <n v="17.989999999999998"/>
    <n v="1"/>
    <n v="17.989999999999998"/>
    <x v="3"/>
    <n v="1"/>
    <n v="0.19"/>
    <s v="Comedy"/>
  </r>
  <r>
    <s v="1ad47f3a-f860-4c98-81a5-8616344abafe"/>
    <n v="62"/>
    <s v="Male"/>
    <s v="Premium"/>
    <n v="29.21"/>
    <x v="30"/>
    <x v="4"/>
    <x v="1"/>
    <n v="17.989999999999998"/>
    <n v="0"/>
    <n v="0"/>
    <x v="0"/>
    <n v="1"/>
    <n v="14.61"/>
    <s v="Documentary"/>
  </r>
  <r>
    <s v="b82b1e9c-2120-4d5d-ab97-6d871eded035"/>
    <n v="20"/>
    <s v="Other"/>
    <s v="Premium"/>
    <n v="11.58"/>
    <x v="35"/>
    <x v="0"/>
    <x v="2"/>
    <n v="17.989999999999998"/>
    <n v="1"/>
    <n v="17.989999999999998"/>
    <x v="1"/>
    <n v="4"/>
    <n v="0.26"/>
    <s v="Drama"/>
  </r>
  <r>
    <s v="6800590b-a6fe-40ed-81d1-201693007a0a"/>
    <n v="24"/>
    <s v="Other"/>
    <s v="Standard"/>
    <n v="40.81"/>
    <x v="15"/>
    <x v="1"/>
    <x v="2"/>
    <n v="13.99"/>
    <n v="0"/>
    <n v="0"/>
    <x v="2"/>
    <n v="4"/>
    <n v="1"/>
    <s v="Action"/>
  </r>
  <r>
    <s v="5e4d2986-6750-4833-84d7-bf79f53e92ae"/>
    <n v="62"/>
    <s v="Other"/>
    <s v="Standard"/>
    <n v="5.63"/>
    <x v="5"/>
    <x v="2"/>
    <x v="0"/>
    <n v="13.99"/>
    <n v="0"/>
    <n v="0"/>
    <x v="4"/>
    <n v="3"/>
    <n v="0.21"/>
    <s v="Romance"/>
  </r>
  <r>
    <s v="047cacb4-85d1-4fb9-82ef-e68ce12afd11"/>
    <n v="26"/>
    <s v="Female"/>
    <s v="Standard"/>
    <n v="1.84"/>
    <x v="31"/>
    <x v="2"/>
    <x v="1"/>
    <n v="13.99"/>
    <n v="1"/>
    <n v="13.99"/>
    <x v="0"/>
    <n v="5"/>
    <n v="0.12"/>
    <s v="Action"/>
  </r>
  <r>
    <s v="054bfc20-e65d-4fd8-a9d4-5cf77eefe836"/>
    <n v="58"/>
    <s v="Male"/>
    <s v="Standard"/>
    <n v="2.11"/>
    <x v="59"/>
    <x v="5"/>
    <x v="0"/>
    <n v="13.99"/>
    <n v="1"/>
    <n v="13.99"/>
    <x v="4"/>
    <n v="1"/>
    <n v="0.35"/>
    <s v="Action"/>
  </r>
  <r>
    <s v="9d45d604-6975-4a0c-9de6-0c1fb839c3e3"/>
    <n v="62"/>
    <s v="Other"/>
    <s v="Basic"/>
    <n v="1.1599999999999999"/>
    <x v="46"/>
    <x v="4"/>
    <x v="0"/>
    <n v="8.99"/>
    <n v="1"/>
    <n v="8.99"/>
    <x v="3"/>
    <n v="2"/>
    <n v="0.39"/>
    <s v="Horror"/>
  </r>
  <r>
    <s v="a02d6ab0-2fda-47eb-8656-158beb0200a4"/>
    <n v="70"/>
    <s v="Female"/>
    <s v="Premium"/>
    <n v="11.06"/>
    <x v="10"/>
    <x v="3"/>
    <x v="2"/>
    <n v="17.989999999999998"/>
    <n v="1"/>
    <n v="17.989999999999998"/>
    <x v="0"/>
    <n v="1"/>
    <n v="0.28000000000000003"/>
    <s v="Drama"/>
  </r>
  <r>
    <s v="adf86f47-e169-492e-9ec6-d2fed5212796"/>
    <n v="25"/>
    <s v="Female"/>
    <s v="Basic"/>
    <n v="23.19"/>
    <x v="55"/>
    <x v="5"/>
    <x v="3"/>
    <n v="8.99"/>
    <n v="0"/>
    <n v="0"/>
    <x v="2"/>
    <n v="5"/>
    <n v="0.39"/>
    <s v="Sci-Fi"/>
  </r>
  <r>
    <s v="e614db81-6994-48a8-a374-e5aa644e85e0"/>
    <n v="36"/>
    <s v="Female"/>
    <s v="Premium"/>
    <n v="22.1"/>
    <x v="15"/>
    <x v="4"/>
    <x v="0"/>
    <n v="17.989999999999998"/>
    <n v="0"/>
    <n v="0"/>
    <x v="1"/>
    <n v="4"/>
    <n v="0.54"/>
    <s v="Documentary"/>
  </r>
  <r>
    <s v="00cadb17-dcde-4cbc-ae45-068cd811df59"/>
    <n v="37"/>
    <s v="Female"/>
    <s v="Basic"/>
    <n v="6.47"/>
    <x v="38"/>
    <x v="5"/>
    <x v="1"/>
    <n v="8.99"/>
    <n v="1"/>
    <n v="8.99"/>
    <x v="0"/>
    <n v="3"/>
    <n v="0.28999999999999998"/>
    <s v="Action"/>
  </r>
  <r>
    <s v="bbd4f7df-e4dc-4f51-b4ff-473eaf1005ee"/>
    <n v="52"/>
    <s v="Female"/>
    <s v="Premium"/>
    <n v="6.28"/>
    <x v="35"/>
    <x v="5"/>
    <x v="3"/>
    <n v="17.989999999999998"/>
    <n v="1"/>
    <n v="17.989999999999998"/>
    <x v="1"/>
    <n v="1"/>
    <n v="0.14000000000000001"/>
    <s v="Romance"/>
  </r>
  <r>
    <s v="1f80abbd-35a7-4d62-b292-d31fa23c9f5f"/>
    <n v="38"/>
    <s v="Female"/>
    <s v="Basic"/>
    <n v="3.49"/>
    <x v="50"/>
    <x v="2"/>
    <x v="4"/>
    <n v="8.99"/>
    <n v="1"/>
    <n v="8.99"/>
    <x v="3"/>
    <n v="5"/>
    <n v="0.06"/>
    <s v="Horror"/>
  </r>
  <r>
    <s v="19f66e59-f164-47f1-b788-4b1762db226b"/>
    <n v="36"/>
    <s v="Female"/>
    <s v="Basic"/>
    <n v="0.99"/>
    <x v="37"/>
    <x v="0"/>
    <x v="2"/>
    <n v="8.99"/>
    <n v="1"/>
    <n v="8.99"/>
    <x v="2"/>
    <n v="3"/>
    <n v="0.04"/>
    <s v="Comedy"/>
  </r>
  <r>
    <s v="f7b78561-9d8b-4712-b3f3-238569b95f4b"/>
    <n v="47"/>
    <s v="Male"/>
    <s v="Premium"/>
    <n v="1.57"/>
    <x v="36"/>
    <x v="3"/>
    <x v="3"/>
    <n v="17.989999999999998"/>
    <n v="1"/>
    <n v="17.989999999999998"/>
    <x v="4"/>
    <n v="5"/>
    <n v="0.04"/>
    <s v="Horror"/>
  </r>
  <r>
    <s v="a2ac0be9-2264-4582-9d74-96dcc0c869f8"/>
    <n v="29"/>
    <s v="Male"/>
    <s v="Premium"/>
    <n v="12.32"/>
    <x v="52"/>
    <x v="2"/>
    <x v="1"/>
    <n v="17.989999999999998"/>
    <n v="0"/>
    <n v="0"/>
    <x v="3"/>
    <n v="5"/>
    <n v="0.25"/>
    <s v="Horror"/>
  </r>
  <r>
    <s v="2bb0265f-8add-4083-aed9-1e94748be77b"/>
    <n v="27"/>
    <s v="Other"/>
    <s v="Premium"/>
    <n v="0.69"/>
    <x v="36"/>
    <x v="4"/>
    <x v="2"/>
    <n v="17.989999999999998"/>
    <n v="1"/>
    <n v="17.989999999999998"/>
    <x v="2"/>
    <n v="5"/>
    <n v="0.02"/>
    <s v="Sci-Fi"/>
  </r>
  <r>
    <s v="cfd014c4-3952-4b99-b2f1-76ed56da8964"/>
    <n v="70"/>
    <s v="Other"/>
    <s v="Premium"/>
    <n v="7.15"/>
    <x v="16"/>
    <x v="2"/>
    <x v="3"/>
    <n v="17.989999999999998"/>
    <n v="0"/>
    <n v="0"/>
    <x v="4"/>
    <n v="3"/>
    <n v="0.26"/>
    <s v="Sci-Fi"/>
  </r>
  <r>
    <s v="93460e1b-34b6-4586-8289-48a6f91e18fb"/>
    <n v="55"/>
    <s v="Other"/>
    <s v="Standard"/>
    <n v="2.59"/>
    <x v="50"/>
    <x v="1"/>
    <x v="3"/>
    <n v="13.99"/>
    <n v="1"/>
    <n v="13.99"/>
    <x v="0"/>
    <n v="3"/>
    <n v="0.05"/>
    <s v="Sci-Fi"/>
  </r>
  <r>
    <s v="3e46a9e8-ebcc-4569-b534-d1beeb525aa5"/>
    <n v="33"/>
    <s v="Other"/>
    <s v="Premium"/>
    <n v="25.28"/>
    <x v="14"/>
    <x v="2"/>
    <x v="2"/>
    <n v="17.989999999999998"/>
    <n v="0"/>
    <n v="0"/>
    <x v="2"/>
    <n v="3"/>
    <n v="0.77"/>
    <s v="Sci-Fi"/>
  </r>
  <r>
    <s v="6175ecf8-a860-463c-90e5-277f36609637"/>
    <n v="22"/>
    <s v="Other"/>
    <s v="Premium"/>
    <n v="13.68"/>
    <x v="26"/>
    <x v="5"/>
    <x v="0"/>
    <n v="17.989999999999998"/>
    <n v="1"/>
    <n v="17.989999999999998"/>
    <x v="3"/>
    <n v="3"/>
    <n v="0.28000000000000003"/>
    <s v="Comedy"/>
  </r>
  <r>
    <s v="3be271a0-02dd-41ad-bed5-3fdeb3a08266"/>
    <n v="44"/>
    <s v="Other"/>
    <s v="Premium"/>
    <n v="18.75"/>
    <x v="35"/>
    <x v="2"/>
    <x v="3"/>
    <n v="17.989999999999998"/>
    <n v="0"/>
    <n v="0"/>
    <x v="3"/>
    <n v="5"/>
    <n v="0.42"/>
    <s v="Action"/>
  </r>
  <r>
    <s v="3860d316-c068-488e-84ff-747868b9365f"/>
    <n v="20"/>
    <s v="Other"/>
    <s v="Premium"/>
    <n v="9.24"/>
    <x v="12"/>
    <x v="5"/>
    <x v="0"/>
    <n v="17.989999999999998"/>
    <n v="1"/>
    <n v="17.989999999999998"/>
    <x v="0"/>
    <n v="5"/>
    <n v="0.27"/>
    <s v="Drama"/>
  </r>
  <r>
    <s v="22cb4dd5-d158-4dd6-a49d-e8723fadc557"/>
    <n v="69"/>
    <s v="Male"/>
    <s v="Premium"/>
    <n v="0.52"/>
    <x v="53"/>
    <x v="4"/>
    <x v="3"/>
    <n v="17.989999999999998"/>
    <n v="1"/>
    <n v="17.989999999999998"/>
    <x v="0"/>
    <n v="3"/>
    <n v="0.01"/>
    <s v="Action"/>
  </r>
  <r>
    <s v="48a57226-1b00-4e56-b555-2cf66bc4b9a7"/>
    <n v="23"/>
    <s v="Male"/>
    <s v="Standard"/>
    <n v="4.46"/>
    <x v="37"/>
    <x v="0"/>
    <x v="1"/>
    <n v="13.99"/>
    <n v="1"/>
    <n v="13.99"/>
    <x v="0"/>
    <n v="3"/>
    <n v="0.18"/>
    <s v="Documentary"/>
  </r>
  <r>
    <s v="50693056-61ef-4ad9-977c-6eaeb1ec5f72"/>
    <n v="24"/>
    <s v="Female"/>
    <s v="Premium"/>
    <n v="9.94"/>
    <x v="8"/>
    <x v="5"/>
    <x v="2"/>
    <n v="17.989999999999998"/>
    <n v="1"/>
    <n v="17.989999999999998"/>
    <x v="4"/>
    <n v="2"/>
    <n v="0.28000000000000003"/>
    <s v="Drama"/>
  </r>
  <r>
    <s v="6acac882-0bc1-4196-bb12-05ac39dc229c"/>
    <n v="36"/>
    <s v="Other"/>
    <s v="Standard"/>
    <n v="25.82"/>
    <x v="47"/>
    <x v="0"/>
    <x v="1"/>
    <n v="13.99"/>
    <n v="0"/>
    <n v="0"/>
    <x v="3"/>
    <n v="1"/>
    <n v="6.46"/>
    <s v="Comedy"/>
  </r>
  <r>
    <s v="afa322d5-a185-42a6-8cc2-76bcd432403e"/>
    <n v="29"/>
    <s v="Female"/>
    <s v="Premium"/>
    <n v="1.22"/>
    <x v="33"/>
    <x v="2"/>
    <x v="2"/>
    <n v="17.989999999999998"/>
    <n v="0"/>
    <n v="0"/>
    <x v="3"/>
    <n v="5"/>
    <n v="0.05"/>
    <s v="Comedy"/>
  </r>
  <r>
    <s v="aa982946-1b7d-4315-8b81-9b19bb6cc8c8"/>
    <n v="34"/>
    <s v="Other"/>
    <s v="Standard"/>
    <n v="6.49"/>
    <x v="21"/>
    <x v="4"/>
    <x v="1"/>
    <n v="13.99"/>
    <n v="0"/>
    <n v="0"/>
    <x v="4"/>
    <n v="1"/>
    <n v="0.93"/>
    <s v="Comedy"/>
  </r>
  <r>
    <s v="642cffb6-ab5c-4931-b947-cfa60413b560"/>
    <n v="39"/>
    <s v="Other"/>
    <s v="Standard"/>
    <n v="8.6300000000000008"/>
    <x v="60"/>
    <x v="3"/>
    <x v="1"/>
    <n v="13.99"/>
    <n v="0"/>
    <n v="0"/>
    <x v="2"/>
    <n v="4"/>
    <n v="0.96"/>
    <s v="Romance"/>
  </r>
  <r>
    <s v="09904ad7-d9db-45a3-ba9f-220cfe88a333"/>
    <n v="44"/>
    <s v="Female"/>
    <s v="Standard"/>
    <n v="22.85"/>
    <x v="30"/>
    <x v="4"/>
    <x v="4"/>
    <n v="13.99"/>
    <n v="0"/>
    <n v="0"/>
    <x v="4"/>
    <n v="3"/>
    <n v="11.43"/>
    <s v="Comedy"/>
  </r>
  <r>
    <s v="2c564e41-545b-44a4-bb03-6a827657ea51"/>
    <n v="43"/>
    <s v="Female"/>
    <s v="Basic"/>
    <n v="5.59"/>
    <x v="14"/>
    <x v="1"/>
    <x v="0"/>
    <n v="8.99"/>
    <n v="1"/>
    <n v="8.99"/>
    <x v="2"/>
    <n v="4"/>
    <n v="0.17"/>
    <s v="Documentary"/>
  </r>
  <r>
    <s v="ee076784-8841-4531-be9c-ca0b916c309a"/>
    <n v="35"/>
    <s v="Male"/>
    <s v="Standard"/>
    <n v="11.93"/>
    <x v="29"/>
    <x v="1"/>
    <x v="3"/>
    <n v="13.99"/>
    <n v="1"/>
    <n v="13.99"/>
    <x v="0"/>
    <n v="1"/>
    <n v="0.26"/>
    <s v="Documentary"/>
  </r>
  <r>
    <s v="3382730c-46bb-40d1-92de-55f346dda22a"/>
    <n v="26"/>
    <s v="Male"/>
    <s v="Premium"/>
    <n v="3.24"/>
    <x v="18"/>
    <x v="1"/>
    <x v="4"/>
    <n v="17.989999999999998"/>
    <n v="1"/>
    <n v="17.989999999999998"/>
    <x v="3"/>
    <n v="3"/>
    <n v="0.06"/>
    <s v="Sci-Fi"/>
  </r>
  <r>
    <s v="06b5b5a3-f995-47a2-af2f-86b9cfbb42ef"/>
    <n v="66"/>
    <s v="Male"/>
    <s v="Basic"/>
    <n v="25.03"/>
    <x v="27"/>
    <x v="5"/>
    <x v="0"/>
    <n v="8.99"/>
    <n v="0"/>
    <n v="0"/>
    <x v="4"/>
    <n v="3"/>
    <n v="1.47"/>
    <s v="Action"/>
  </r>
  <r>
    <s v="e6e1e9a3-8bb0-4ebc-a469-fc1581b6d59d"/>
    <n v="66"/>
    <s v="Other"/>
    <s v="Premium"/>
    <n v="6.11"/>
    <x v="49"/>
    <x v="1"/>
    <x v="4"/>
    <n v="17.989999999999998"/>
    <n v="0"/>
    <n v="0"/>
    <x v="1"/>
    <n v="4"/>
    <n v="0.61"/>
    <s v="Drama"/>
  </r>
  <r>
    <s v="7ee9fa15-81b6-4b1b-a841-eec8b03d8b1e"/>
    <n v="29"/>
    <s v="Male"/>
    <s v="Basic"/>
    <n v="24.18"/>
    <x v="55"/>
    <x v="0"/>
    <x v="2"/>
    <n v="8.99"/>
    <n v="1"/>
    <n v="8.99"/>
    <x v="4"/>
    <n v="1"/>
    <n v="0.4"/>
    <s v="Documentary"/>
  </r>
  <r>
    <s v="babe5601-7e34-47ad-bcb1-0ab32ede5cef"/>
    <n v="20"/>
    <s v="Male"/>
    <s v="Standard"/>
    <n v="7.19"/>
    <x v="5"/>
    <x v="5"/>
    <x v="0"/>
    <n v="13.99"/>
    <n v="0"/>
    <n v="0"/>
    <x v="3"/>
    <n v="4"/>
    <n v="0.27"/>
    <s v="Action"/>
  </r>
  <r>
    <s v="7d921bf8-61ef-4609-a46e-96d832d0d04e"/>
    <n v="52"/>
    <s v="Male"/>
    <s v="Premium"/>
    <n v="2.73"/>
    <x v="29"/>
    <x v="5"/>
    <x v="0"/>
    <n v="17.989999999999998"/>
    <n v="1"/>
    <n v="17.989999999999998"/>
    <x v="1"/>
    <n v="5"/>
    <n v="0.06"/>
    <s v="Horror"/>
  </r>
  <r>
    <s v="8042c4ad-3a4a-4994-b81e-8ae09199076c"/>
    <n v="41"/>
    <s v="Male"/>
    <s v="Standard"/>
    <n v="28.13"/>
    <x v="53"/>
    <x v="3"/>
    <x v="1"/>
    <n v="13.99"/>
    <n v="0"/>
    <n v="0"/>
    <x v="4"/>
    <n v="2"/>
    <n v="0.65"/>
    <s v="Documentary"/>
  </r>
  <r>
    <s v="39f699b0-d6db-4b6d-9c15-b8bbc716ce34"/>
    <n v="38"/>
    <s v="Male"/>
    <s v="Basic"/>
    <n v="15.32"/>
    <x v="7"/>
    <x v="1"/>
    <x v="1"/>
    <n v="8.99"/>
    <n v="1"/>
    <n v="8.99"/>
    <x v="1"/>
    <n v="2"/>
    <n v="0.27"/>
    <s v="Action"/>
  </r>
  <r>
    <s v="f28413c0-e4fb-4469-a595-c23e39036e09"/>
    <n v="18"/>
    <s v="Other"/>
    <s v="Basic"/>
    <n v="2.75"/>
    <x v="19"/>
    <x v="3"/>
    <x v="2"/>
    <n v="8.99"/>
    <n v="1"/>
    <n v="8.99"/>
    <x v="0"/>
    <n v="5"/>
    <n v="0.06"/>
    <s v="Romance"/>
  </r>
  <r>
    <s v="a62473b8-5d94-4b05-a6b5-bddfa59478c6"/>
    <n v="28"/>
    <s v="Female"/>
    <s v="Standard"/>
    <n v="4.67"/>
    <x v="59"/>
    <x v="3"/>
    <x v="1"/>
    <n v="13.99"/>
    <n v="0"/>
    <n v="0"/>
    <x v="1"/>
    <n v="2"/>
    <n v="0.78"/>
    <s v="Drama"/>
  </r>
  <r>
    <s v="395e2c15-2abb-4a29-8f8c-06118a5539e2"/>
    <n v="19"/>
    <s v="Female"/>
    <s v="Standard"/>
    <n v="3.36"/>
    <x v="16"/>
    <x v="5"/>
    <x v="2"/>
    <n v="13.99"/>
    <n v="1"/>
    <n v="13.99"/>
    <x v="2"/>
    <n v="1"/>
    <n v="0.12"/>
    <s v="Action"/>
  </r>
  <r>
    <s v="f779a2cd-cb9d-445f-b0f7-2af6c1a514c0"/>
    <n v="56"/>
    <s v="Male"/>
    <s v="Basic"/>
    <n v="5.03"/>
    <x v="39"/>
    <x v="2"/>
    <x v="3"/>
    <n v="8.99"/>
    <n v="0"/>
    <n v="0"/>
    <x v="2"/>
    <n v="4"/>
    <n v="0.22"/>
    <s v="Horror"/>
  </r>
  <r>
    <s v="4d040be6-2b36-4f59-ba9c-b92c8c683a5f"/>
    <n v="34"/>
    <s v="Male"/>
    <s v="Basic"/>
    <n v="53.98"/>
    <x v="2"/>
    <x v="5"/>
    <x v="4"/>
    <n v="8.99"/>
    <n v="0"/>
    <n v="0"/>
    <x v="1"/>
    <n v="5"/>
    <n v="4.91"/>
    <s v="Documentary"/>
  </r>
  <r>
    <s v="3406522e-fd20-4c37-aeab-1690d6b7cb51"/>
    <n v="58"/>
    <s v="Female"/>
    <s v="Standard"/>
    <n v="23.39"/>
    <x v="24"/>
    <x v="2"/>
    <x v="4"/>
    <n v="13.99"/>
    <n v="0"/>
    <n v="0"/>
    <x v="4"/>
    <n v="1"/>
    <n v="0.44"/>
    <s v="Comedy"/>
  </r>
  <r>
    <s v="dd3b38cd-3856-47f9-8f69-4bdf268983eb"/>
    <n v="63"/>
    <s v="Female"/>
    <s v="Premium"/>
    <n v="7.04"/>
    <x v="44"/>
    <x v="1"/>
    <x v="1"/>
    <n v="17.989999999999998"/>
    <n v="1"/>
    <n v="17.989999999999998"/>
    <x v="0"/>
    <n v="4"/>
    <n v="0.15"/>
    <s v="Romance"/>
  </r>
  <r>
    <s v="746cb060-c9f1-432e-91cc-cb1b57ddb1c0"/>
    <n v="66"/>
    <s v="Male"/>
    <s v="Premium"/>
    <n v="32.06"/>
    <x v="48"/>
    <x v="2"/>
    <x v="3"/>
    <n v="17.989999999999998"/>
    <n v="0"/>
    <n v="0"/>
    <x v="2"/>
    <n v="4"/>
    <n v="0.62"/>
    <s v="Drama"/>
  </r>
  <r>
    <s v="432fa974-2a36-4f64-af1e-770e03b9385f"/>
    <n v="37"/>
    <s v="Other"/>
    <s v="Premium"/>
    <n v="28.08"/>
    <x v="33"/>
    <x v="5"/>
    <x v="0"/>
    <n v="17.989999999999998"/>
    <n v="0"/>
    <n v="0"/>
    <x v="4"/>
    <n v="4"/>
    <n v="1.08"/>
    <s v="Horror"/>
  </r>
  <r>
    <s v="d74666ec-7b7b-4f1a-8776-0a17a1152f47"/>
    <n v="21"/>
    <s v="Male"/>
    <s v="Basic"/>
    <n v="23.95"/>
    <x v="34"/>
    <x v="5"/>
    <x v="2"/>
    <n v="8.99"/>
    <n v="1"/>
    <n v="8.99"/>
    <x v="2"/>
    <n v="3"/>
    <n v="0.47"/>
    <s v="Sci-Fi"/>
  </r>
  <r>
    <s v="84e4f9a0-f16b-4b00-ba64-a1dc667f9350"/>
    <n v="44"/>
    <s v="Male"/>
    <s v="Premium"/>
    <n v="20.32"/>
    <x v="44"/>
    <x v="3"/>
    <x v="2"/>
    <n v="17.989999999999998"/>
    <n v="0"/>
    <n v="0"/>
    <x v="2"/>
    <n v="3"/>
    <n v="0.43"/>
    <s v="Horror"/>
  </r>
  <r>
    <s v="a756e8d5-a9c2-4520-8f06-1e13159bd0c0"/>
    <n v="66"/>
    <s v="Other"/>
    <s v="Standard"/>
    <n v="0.77"/>
    <x v="9"/>
    <x v="0"/>
    <x v="0"/>
    <n v="13.99"/>
    <n v="1"/>
    <n v="13.99"/>
    <x v="1"/>
    <n v="4"/>
    <n v="0.02"/>
    <s v="Drama"/>
  </r>
  <r>
    <s v="7514941b-007c-44ea-90ee-4ae0690f013d"/>
    <n v="56"/>
    <s v="Male"/>
    <s v="Standard"/>
    <n v="2.95"/>
    <x v="24"/>
    <x v="1"/>
    <x v="4"/>
    <n v="13.99"/>
    <n v="1"/>
    <n v="13.99"/>
    <x v="0"/>
    <n v="1"/>
    <n v="0.06"/>
    <s v="Drama"/>
  </r>
  <r>
    <s v="0f22beb8-1281-4aca-bfaa-17235c7fb5d5"/>
    <n v="21"/>
    <s v="Male"/>
    <s v="Basic"/>
    <n v="11.85"/>
    <x v="8"/>
    <x v="3"/>
    <x v="1"/>
    <n v="8.99"/>
    <n v="1"/>
    <n v="8.99"/>
    <x v="4"/>
    <n v="4"/>
    <n v="0.34"/>
    <s v="Drama"/>
  </r>
  <r>
    <s v="48f68f53-a7ef-4736-91a4-28ba10e80c58"/>
    <n v="49"/>
    <s v="Other"/>
    <s v="Premium"/>
    <n v="9.61"/>
    <x v="16"/>
    <x v="4"/>
    <x v="0"/>
    <n v="17.989999999999998"/>
    <n v="0"/>
    <n v="0"/>
    <x v="3"/>
    <n v="3"/>
    <n v="0.34"/>
    <s v="Horror"/>
  </r>
  <r>
    <s v="5f41a538-a9ef-457b-8022-57fd9cebc8d4"/>
    <n v="28"/>
    <s v="Male"/>
    <s v="Premium"/>
    <n v="49.34"/>
    <x v="43"/>
    <x v="3"/>
    <x v="0"/>
    <n v="17.989999999999998"/>
    <n v="0"/>
    <n v="0"/>
    <x v="0"/>
    <n v="1"/>
    <n v="1.54"/>
    <s v="Horror"/>
  </r>
  <r>
    <s v="c16c6ac0-11d2-496c-b9a3-2117f5d8e0db"/>
    <n v="62"/>
    <s v="Male"/>
    <s v="Standard"/>
    <n v="3.02"/>
    <x v="27"/>
    <x v="1"/>
    <x v="0"/>
    <n v="13.99"/>
    <n v="1"/>
    <n v="13.99"/>
    <x v="2"/>
    <n v="2"/>
    <n v="0.18"/>
    <s v="Drama"/>
  </r>
  <r>
    <s v="34e13cb5-2657-4148-ac24-be078c809d92"/>
    <n v="67"/>
    <s v="Female"/>
    <s v="Premium"/>
    <n v="2.02"/>
    <x v="24"/>
    <x v="3"/>
    <x v="1"/>
    <n v="17.989999999999998"/>
    <n v="1"/>
    <n v="17.989999999999998"/>
    <x v="3"/>
    <n v="2"/>
    <n v="0.04"/>
    <s v="Action"/>
  </r>
  <r>
    <s v="ed148da8-e51d-4504-b40a-e358f6e8238a"/>
    <n v="47"/>
    <s v="Female"/>
    <s v="Standard"/>
    <n v="9.7799999999999994"/>
    <x v="20"/>
    <x v="2"/>
    <x v="4"/>
    <n v="13.99"/>
    <n v="0"/>
    <n v="0"/>
    <x v="1"/>
    <n v="3"/>
    <n v="0.51"/>
    <s v="Comedy"/>
  </r>
  <r>
    <s v="d89f54d3-882d-4cfc-96c5-b5f0ddbb9915"/>
    <n v="57"/>
    <s v="Female"/>
    <s v="Premium"/>
    <n v="4.3899999999999997"/>
    <x v="57"/>
    <x v="5"/>
    <x v="0"/>
    <n v="17.989999999999998"/>
    <n v="1"/>
    <n v="17.989999999999998"/>
    <x v="1"/>
    <n v="3"/>
    <n v="7.0000000000000007E-2"/>
    <s v="Horror"/>
  </r>
  <r>
    <s v="f76a2802-20d0-4772-b6cc-f7e2a95d6384"/>
    <n v="43"/>
    <s v="Other"/>
    <s v="Basic"/>
    <n v="0.59"/>
    <x v="40"/>
    <x v="1"/>
    <x v="1"/>
    <n v="8.99"/>
    <n v="1"/>
    <n v="8.99"/>
    <x v="2"/>
    <n v="3"/>
    <n v="0.05"/>
    <s v="Drama"/>
  </r>
  <r>
    <s v="6c75691c-3ea5-49b5-92a9-894b2bd420be"/>
    <n v="24"/>
    <s v="Male"/>
    <s v="Basic"/>
    <n v="1.68"/>
    <x v="30"/>
    <x v="5"/>
    <x v="2"/>
    <n v="8.99"/>
    <n v="1"/>
    <n v="8.99"/>
    <x v="4"/>
    <n v="1"/>
    <n v="0.84"/>
    <s v="Sci-Fi"/>
  </r>
  <r>
    <s v="286d0a50-0c08-4d40-b50a-38cfbdc3b8fb"/>
    <n v="34"/>
    <s v="Female"/>
    <s v="Premium"/>
    <n v="1.58"/>
    <x v="13"/>
    <x v="3"/>
    <x v="0"/>
    <n v="17.989999999999998"/>
    <n v="1"/>
    <n v="17.989999999999998"/>
    <x v="0"/>
    <n v="1"/>
    <n v="0.2"/>
    <s v="Comedy"/>
  </r>
  <r>
    <s v="bb2ec39d-5eeb-478a-b763-0a2528ec4d7b"/>
    <n v="39"/>
    <s v="Female"/>
    <s v="Standard"/>
    <n v="67.05"/>
    <x v="37"/>
    <x v="3"/>
    <x v="1"/>
    <n v="13.99"/>
    <n v="0"/>
    <n v="0"/>
    <x v="3"/>
    <n v="2"/>
    <n v="2.68"/>
    <s v="Romance"/>
  </r>
  <r>
    <s v="ed93decf-e627-4873-a2f9-8b6bf0d7dce3"/>
    <n v="60"/>
    <s v="Female"/>
    <s v="Basic"/>
    <n v="1.07"/>
    <x v="47"/>
    <x v="3"/>
    <x v="4"/>
    <n v="8.99"/>
    <n v="1"/>
    <n v="8.99"/>
    <x v="4"/>
    <n v="3"/>
    <n v="0.27"/>
    <s v="Romance"/>
  </r>
  <r>
    <s v="bd27bcd3-feaa-4a06-a98f-c4f3d61de505"/>
    <n v="66"/>
    <s v="Other"/>
    <s v="Premium"/>
    <n v="1.85"/>
    <x v="18"/>
    <x v="4"/>
    <x v="4"/>
    <n v="17.989999999999998"/>
    <n v="1"/>
    <n v="17.989999999999998"/>
    <x v="2"/>
    <n v="3"/>
    <n v="0.03"/>
    <s v="Action"/>
  </r>
  <r>
    <s v="178d73ec-7742-4f67-894c-2fe27601cf8b"/>
    <n v="29"/>
    <s v="Male"/>
    <s v="Premium"/>
    <n v="16.420000000000002"/>
    <x v="17"/>
    <x v="3"/>
    <x v="4"/>
    <n v="17.989999999999998"/>
    <n v="0"/>
    <n v="0"/>
    <x v="4"/>
    <n v="3"/>
    <n v="3.28"/>
    <s v="Drama"/>
  </r>
  <r>
    <s v="68203b4f-6e76-442b-863a-29eca29cc26b"/>
    <n v="35"/>
    <s v="Female"/>
    <s v="Basic"/>
    <n v="11.85"/>
    <x v="18"/>
    <x v="5"/>
    <x v="0"/>
    <n v="8.99"/>
    <n v="1"/>
    <n v="8.99"/>
    <x v="0"/>
    <n v="3"/>
    <n v="0.2"/>
    <s v="Documentary"/>
  </r>
  <r>
    <s v="f4af1dff-3131-49eb-a195-0cb169bf9ed4"/>
    <n v="36"/>
    <s v="Other"/>
    <s v="Premium"/>
    <n v="24.09"/>
    <x v="9"/>
    <x v="3"/>
    <x v="2"/>
    <n v="17.989999999999998"/>
    <n v="0"/>
    <n v="0"/>
    <x v="4"/>
    <n v="5"/>
    <n v="0.65"/>
    <s v="Drama"/>
  </r>
  <r>
    <s v="9d6dfd4a-f437-4d78-b291-dc00556b9e40"/>
    <n v="46"/>
    <s v="Other"/>
    <s v="Basic"/>
    <n v="14.53"/>
    <x v="1"/>
    <x v="4"/>
    <x v="1"/>
    <n v="8.99"/>
    <n v="0"/>
    <n v="0"/>
    <x v="1"/>
    <n v="4"/>
    <n v="0.73"/>
    <s v="Romance"/>
  </r>
  <r>
    <s v="ab1d244f-8750-47b1-8a61-cf8bce66c0fb"/>
    <n v="58"/>
    <s v="Female"/>
    <s v="Standard"/>
    <n v="2.4"/>
    <x v="40"/>
    <x v="5"/>
    <x v="1"/>
    <n v="13.99"/>
    <n v="0"/>
    <n v="0"/>
    <x v="3"/>
    <n v="5"/>
    <n v="0.2"/>
    <s v="Documentary"/>
  </r>
  <r>
    <s v="0eeed5d2-c02e-4f29-bfc4-85a0f21bed79"/>
    <n v="18"/>
    <s v="Female"/>
    <s v="Premium"/>
    <n v="0.17"/>
    <x v="27"/>
    <x v="5"/>
    <x v="3"/>
    <n v="17.989999999999998"/>
    <n v="0"/>
    <n v="0"/>
    <x v="2"/>
    <n v="5"/>
    <n v="0.01"/>
    <s v="Horror"/>
  </r>
  <r>
    <s v="31e1a27e-d7f3-48a6-b560-60963b7ae366"/>
    <n v="60"/>
    <s v="Male"/>
    <s v="Premium"/>
    <n v="8.42"/>
    <x v="55"/>
    <x v="5"/>
    <x v="1"/>
    <n v="17.989999999999998"/>
    <n v="1"/>
    <n v="17.989999999999998"/>
    <x v="2"/>
    <n v="2"/>
    <n v="0.14000000000000001"/>
    <s v="Sci-Fi"/>
  </r>
  <r>
    <s v="08875185-f2ab-42e7-ae3e-5945341e5bb7"/>
    <n v="39"/>
    <s v="Female"/>
    <s v="Standard"/>
    <n v="20.87"/>
    <x v="55"/>
    <x v="1"/>
    <x v="0"/>
    <n v="13.99"/>
    <n v="0"/>
    <n v="0"/>
    <x v="4"/>
    <n v="1"/>
    <n v="0.35"/>
    <s v="Romance"/>
  </r>
  <r>
    <s v="bb3dc1e7-e1f4-4010-b227-3af57309c626"/>
    <n v="65"/>
    <s v="Female"/>
    <s v="Standard"/>
    <n v="2.75"/>
    <x v="9"/>
    <x v="1"/>
    <x v="2"/>
    <n v="13.99"/>
    <n v="1"/>
    <n v="13.99"/>
    <x v="3"/>
    <n v="2"/>
    <n v="7.0000000000000007E-2"/>
    <s v="Romance"/>
  </r>
  <r>
    <s v="51ac7c84-3653-4bd2-8f22-6f6cace9b98b"/>
    <n v="38"/>
    <s v="Other"/>
    <s v="Basic"/>
    <n v="10.25"/>
    <x v="53"/>
    <x v="1"/>
    <x v="3"/>
    <n v="8.99"/>
    <n v="1"/>
    <n v="8.99"/>
    <x v="3"/>
    <n v="2"/>
    <n v="0.24"/>
    <s v="Action"/>
  </r>
  <r>
    <s v="99f7b4c6-5aea-49ad-b746-6e145c979d52"/>
    <n v="20"/>
    <s v="Male"/>
    <s v="Basic"/>
    <n v="1.98"/>
    <x v="29"/>
    <x v="5"/>
    <x v="3"/>
    <n v="8.99"/>
    <n v="1"/>
    <n v="8.99"/>
    <x v="3"/>
    <n v="4"/>
    <n v="0.04"/>
    <s v="Romance"/>
  </r>
  <r>
    <s v="dd11f0f0-3644-48e2-b20c-bca7038b3028"/>
    <n v="27"/>
    <s v="Female"/>
    <s v="Basic"/>
    <n v="7.37"/>
    <x v="31"/>
    <x v="5"/>
    <x v="0"/>
    <n v="8.99"/>
    <n v="0"/>
    <n v="0"/>
    <x v="3"/>
    <n v="2"/>
    <n v="0.46"/>
    <s v="Documentary"/>
  </r>
  <r>
    <s v="6c369c84-7138-451a-98d8-8dd3d2d2b4f2"/>
    <n v="58"/>
    <s v="Female"/>
    <s v="Premium"/>
    <n v="13.35"/>
    <x v="20"/>
    <x v="4"/>
    <x v="0"/>
    <n v="17.989999999999998"/>
    <n v="0"/>
    <n v="0"/>
    <x v="4"/>
    <n v="5"/>
    <n v="0.7"/>
    <s v="Sci-Fi"/>
  </r>
  <r>
    <s v="2726ac92-319f-4aac-bf5a-89ce36e291fe"/>
    <n v="39"/>
    <s v="Male"/>
    <s v="Standard"/>
    <n v="1.97"/>
    <x v="23"/>
    <x v="2"/>
    <x v="1"/>
    <n v="13.99"/>
    <n v="1"/>
    <n v="13.99"/>
    <x v="2"/>
    <n v="2"/>
    <n v="0.04"/>
    <s v="Drama"/>
  </r>
  <r>
    <s v="a31f2dc4-a9a6-4a19-80d9-8dabb6a104e0"/>
    <n v="26"/>
    <s v="Other"/>
    <s v="Basic"/>
    <n v="12.57"/>
    <x v="41"/>
    <x v="2"/>
    <x v="1"/>
    <n v="8.99"/>
    <n v="1"/>
    <n v="8.99"/>
    <x v="0"/>
    <n v="3"/>
    <n v="0.41"/>
    <s v="Action"/>
  </r>
  <r>
    <s v="76a4093f-a297-45cf-a672-8c52d4743545"/>
    <n v="25"/>
    <s v="Other"/>
    <s v="Premium"/>
    <n v="12.4"/>
    <x v="18"/>
    <x v="2"/>
    <x v="1"/>
    <n v="17.989999999999998"/>
    <n v="1"/>
    <n v="17.989999999999998"/>
    <x v="0"/>
    <n v="5"/>
    <n v="0.21"/>
    <s v="Action"/>
  </r>
  <r>
    <s v="38d00f7e-c7ba-4cd5-b1fd-fd704cb0502d"/>
    <n v="56"/>
    <s v="Female"/>
    <s v="Standard"/>
    <n v="23.82"/>
    <x v="22"/>
    <x v="4"/>
    <x v="2"/>
    <n v="13.99"/>
    <n v="0"/>
    <n v="0"/>
    <x v="2"/>
    <n v="5"/>
    <n v="0.43"/>
    <s v="Documentary"/>
  </r>
  <r>
    <s v="f337bc34-f6bf-4cf4-a559-4b79ae8ec658"/>
    <n v="49"/>
    <s v="Female"/>
    <s v="Premium"/>
    <n v="2.74"/>
    <x v="44"/>
    <x v="2"/>
    <x v="0"/>
    <n v="17.989999999999998"/>
    <n v="1"/>
    <n v="17.989999999999998"/>
    <x v="4"/>
    <n v="5"/>
    <n v="0.06"/>
    <s v="Horror"/>
  </r>
  <r>
    <s v="18e0afd1-09c2-4c33-8069-4f2aff4d1f3d"/>
    <n v="70"/>
    <s v="Other"/>
    <s v="Premium"/>
    <n v="13.11"/>
    <x v="55"/>
    <x v="0"/>
    <x v="2"/>
    <n v="17.989999999999998"/>
    <n v="1"/>
    <n v="17.989999999999998"/>
    <x v="0"/>
    <n v="2"/>
    <n v="0.22"/>
    <s v="Drama"/>
  </r>
  <r>
    <s v="43e26139-b60e-4374-99a0-4e6c798438de"/>
    <n v="21"/>
    <s v="Male"/>
    <s v="Standard"/>
    <n v="12.25"/>
    <x v="4"/>
    <x v="1"/>
    <x v="0"/>
    <n v="13.99"/>
    <n v="0"/>
    <n v="0"/>
    <x v="4"/>
    <n v="1"/>
    <n v="0.88"/>
    <s v="Action"/>
  </r>
  <r>
    <s v="f80ed925-6951-4cf0-8372-8424d7b6af02"/>
    <n v="26"/>
    <s v="Other"/>
    <s v="Basic"/>
    <n v="12.29"/>
    <x v="43"/>
    <x v="2"/>
    <x v="4"/>
    <n v="8.99"/>
    <n v="1"/>
    <n v="8.99"/>
    <x v="0"/>
    <n v="3"/>
    <n v="0.38"/>
    <s v="Action"/>
  </r>
  <r>
    <s v="bad8a04e-c0c9-4084-b4b7-069072424e68"/>
    <n v="33"/>
    <s v="Female"/>
    <s v="Standard"/>
    <n v="27.72"/>
    <x v="53"/>
    <x v="1"/>
    <x v="1"/>
    <n v="13.99"/>
    <n v="0"/>
    <n v="0"/>
    <x v="2"/>
    <n v="4"/>
    <n v="0.64"/>
    <s v="Action"/>
  </r>
  <r>
    <s v="b4cc7509-0f49-4213-82c3-be547ead38e7"/>
    <n v="29"/>
    <s v="Other"/>
    <s v="Basic"/>
    <n v="13.77"/>
    <x v="37"/>
    <x v="0"/>
    <x v="1"/>
    <n v="8.99"/>
    <n v="0"/>
    <n v="0"/>
    <x v="2"/>
    <n v="4"/>
    <n v="0.55000000000000004"/>
    <s v="Drama"/>
  </r>
  <r>
    <s v="1059ec7d-1182-4b81-98fc-3fa73374a98f"/>
    <n v="70"/>
    <s v="Other"/>
    <s v="Basic"/>
    <n v="4.88"/>
    <x v="49"/>
    <x v="1"/>
    <x v="0"/>
    <n v="8.99"/>
    <n v="1"/>
    <n v="8.99"/>
    <x v="3"/>
    <n v="1"/>
    <n v="0.49"/>
    <s v="Drama"/>
  </r>
  <r>
    <s v="80ee7450-f22a-4f0f-b081-c978a5a5b347"/>
    <n v="48"/>
    <s v="Female"/>
    <s v="Standard"/>
    <n v="10.98"/>
    <x v="35"/>
    <x v="2"/>
    <x v="4"/>
    <n v="13.99"/>
    <n v="1"/>
    <n v="13.99"/>
    <x v="1"/>
    <n v="1"/>
    <n v="0.24"/>
    <s v="Drama"/>
  </r>
  <r>
    <s v="e02106ca-0101-4adc-963b-9bdfc6e6877c"/>
    <n v="20"/>
    <s v="Male"/>
    <s v="Basic"/>
    <n v="17.03"/>
    <x v="58"/>
    <x v="1"/>
    <x v="1"/>
    <n v="8.99"/>
    <n v="1"/>
    <n v="8.99"/>
    <x v="4"/>
    <n v="2"/>
    <n v="0.35"/>
    <s v="Documentary"/>
  </r>
  <r>
    <s v="b2c52c4f-2ca8-4719-b798-32128b9009ba"/>
    <n v="40"/>
    <s v="Female"/>
    <s v="Basic"/>
    <n v="33.549999999999997"/>
    <x v="59"/>
    <x v="0"/>
    <x v="1"/>
    <n v="8.99"/>
    <n v="0"/>
    <n v="0"/>
    <x v="3"/>
    <n v="1"/>
    <n v="5.59"/>
    <s v="Horror"/>
  </r>
  <r>
    <s v="def12ba1-ee3f-4059-a620-05d7d523636c"/>
    <n v="53"/>
    <s v="Female"/>
    <s v="Basic"/>
    <n v="4.01"/>
    <x v="52"/>
    <x v="5"/>
    <x v="3"/>
    <n v="8.99"/>
    <n v="1"/>
    <n v="8.99"/>
    <x v="1"/>
    <n v="2"/>
    <n v="0.08"/>
    <s v="Action"/>
  </r>
  <r>
    <s v="eb0cd898-3b91-46fc-9d23-8bb53d4297c4"/>
    <n v="56"/>
    <s v="Male"/>
    <s v="Premium"/>
    <n v="8.1999999999999993"/>
    <x v="1"/>
    <x v="1"/>
    <x v="0"/>
    <n v="17.989999999999998"/>
    <n v="0"/>
    <n v="0"/>
    <x v="3"/>
    <n v="2"/>
    <n v="0.41"/>
    <s v="Comedy"/>
  </r>
  <r>
    <s v="fc76c95d-6886-4993-bc12-adbfcd4cdac0"/>
    <n v="43"/>
    <s v="Other"/>
    <s v="Premium"/>
    <n v="4.17"/>
    <x v="44"/>
    <x v="4"/>
    <x v="1"/>
    <n v="17.989999999999998"/>
    <n v="1"/>
    <n v="17.989999999999998"/>
    <x v="4"/>
    <n v="1"/>
    <n v="0.09"/>
    <s v="Comedy"/>
  </r>
  <r>
    <s v="4641b78c-9f54-43b3-8f33-809da152aba2"/>
    <n v="36"/>
    <s v="Other"/>
    <s v="Basic"/>
    <n v="14.63"/>
    <x v="24"/>
    <x v="4"/>
    <x v="3"/>
    <n v="8.99"/>
    <n v="1"/>
    <n v="8.99"/>
    <x v="1"/>
    <n v="1"/>
    <n v="0.28000000000000003"/>
    <s v="Horror"/>
  </r>
  <r>
    <s v="3829a8ad-947c-4e70-906d-bf4bbdf0fe60"/>
    <n v="54"/>
    <s v="Male"/>
    <s v="Standard"/>
    <n v="19.260000000000002"/>
    <x v="2"/>
    <x v="0"/>
    <x v="1"/>
    <n v="13.99"/>
    <n v="0"/>
    <n v="0"/>
    <x v="2"/>
    <n v="5"/>
    <n v="1.75"/>
    <s v="Comedy"/>
  </r>
  <r>
    <s v="021af9d9-2fff-4a33-b2c4-710ad6f3f85c"/>
    <n v="64"/>
    <s v="Other"/>
    <s v="Basic"/>
    <n v="4.8"/>
    <x v="44"/>
    <x v="3"/>
    <x v="2"/>
    <n v="8.99"/>
    <n v="1"/>
    <n v="8.99"/>
    <x v="4"/>
    <n v="1"/>
    <n v="0.1"/>
    <s v="Romance"/>
  </r>
  <r>
    <s v="0194ee30-cde8-47fd-9568-22e20b2c80dc"/>
    <n v="28"/>
    <s v="Female"/>
    <s v="Basic"/>
    <n v="12.82"/>
    <x v="58"/>
    <x v="5"/>
    <x v="4"/>
    <n v="8.99"/>
    <n v="1"/>
    <n v="8.99"/>
    <x v="4"/>
    <n v="1"/>
    <n v="0.27"/>
    <s v="Action"/>
  </r>
  <r>
    <s v="29836151-75b3-437c-8395-299b962d9f0d"/>
    <n v="52"/>
    <s v="Male"/>
    <s v="Premium"/>
    <n v="8.34"/>
    <x v="38"/>
    <x v="0"/>
    <x v="0"/>
    <n v="17.989999999999998"/>
    <n v="0"/>
    <n v="0"/>
    <x v="3"/>
    <n v="2"/>
    <n v="0.38"/>
    <s v="Sci-Fi"/>
  </r>
  <r>
    <s v="5f63adf1-cf70-4f07-8351-63fe77c15857"/>
    <n v="50"/>
    <s v="Male"/>
    <s v="Standard"/>
    <n v="4.17"/>
    <x v="35"/>
    <x v="3"/>
    <x v="4"/>
    <n v="13.99"/>
    <n v="1"/>
    <n v="13.99"/>
    <x v="0"/>
    <n v="1"/>
    <n v="0.09"/>
    <s v="Documentary"/>
  </r>
  <r>
    <s v="70b0ba0c-2333-4ae5-9860-ec22b91ffc93"/>
    <n v="61"/>
    <s v="Other"/>
    <s v="Standard"/>
    <n v="3.49"/>
    <x v="11"/>
    <x v="5"/>
    <x v="2"/>
    <n v="13.99"/>
    <n v="1"/>
    <n v="13.99"/>
    <x v="2"/>
    <n v="1"/>
    <n v="0.15"/>
    <s v="Romance"/>
  </r>
  <r>
    <s v="53ce20da-acf5-45f6-bb0c-958c360dbad6"/>
    <n v="70"/>
    <s v="Other"/>
    <s v="Premium"/>
    <n v="9.1300000000000008"/>
    <x v="34"/>
    <x v="4"/>
    <x v="2"/>
    <n v="17.989999999999998"/>
    <n v="1"/>
    <n v="17.989999999999998"/>
    <x v="2"/>
    <n v="3"/>
    <n v="0.18"/>
    <s v="Horror"/>
  </r>
  <r>
    <s v="a36c6729-b90c-4514-92d8-4a98a66bfff4"/>
    <n v="43"/>
    <s v="Male"/>
    <s v="Premium"/>
    <n v="4.17"/>
    <x v="37"/>
    <x v="4"/>
    <x v="2"/>
    <n v="17.989999999999998"/>
    <n v="1"/>
    <n v="17.989999999999998"/>
    <x v="1"/>
    <n v="4"/>
    <n v="0.17"/>
    <s v="Romance"/>
  </r>
  <r>
    <s v="193ffca7-6d19-4f3c-85e5-9e8b9f7e160e"/>
    <n v="62"/>
    <s v="Male"/>
    <s v="Premium"/>
    <n v="0.28000000000000003"/>
    <x v="38"/>
    <x v="3"/>
    <x v="4"/>
    <n v="17.989999999999998"/>
    <n v="0"/>
    <n v="0"/>
    <x v="3"/>
    <n v="5"/>
    <n v="0.01"/>
    <s v="Action"/>
  </r>
  <r>
    <s v="0146854f-d5a1-4ee7-a28c-69b5af885934"/>
    <n v="26"/>
    <s v="Female"/>
    <s v="Standard"/>
    <n v="3.82"/>
    <x v="32"/>
    <x v="4"/>
    <x v="0"/>
    <n v="13.99"/>
    <n v="1"/>
    <n v="13.99"/>
    <x v="1"/>
    <n v="2"/>
    <n v="0.25"/>
    <s v="Drama"/>
  </r>
  <r>
    <s v="fbbbb16f-2d7f-4b68-b601-13da986cdcef"/>
    <n v="63"/>
    <s v="Male"/>
    <s v="Premium"/>
    <n v="32.75"/>
    <x v="41"/>
    <x v="4"/>
    <x v="3"/>
    <n v="17.989999999999998"/>
    <n v="0"/>
    <n v="0"/>
    <x v="4"/>
    <n v="1"/>
    <n v="1.06"/>
    <s v="Horror"/>
  </r>
  <r>
    <s v="da21d05b-cec0-405d-a7d3-3dad478f3bcf"/>
    <n v="38"/>
    <s v="Male"/>
    <s v="Premium"/>
    <n v="1.05"/>
    <x v="37"/>
    <x v="3"/>
    <x v="2"/>
    <n v="17.989999999999998"/>
    <n v="0"/>
    <n v="0"/>
    <x v="2"/>
    <n v="4"/>
    <n v="0.04"/>
    <s v="Sci-Fi"/>
  </r>
  <r>
    <s v="0f125ed8-866a-4f58-acd3-f981c2d910c4"/>
    <n v="50"/>
    <s v="Other"/>
    <s v="Basic"/>
    <n v="29.04"/>
    <x v="26"/>
    <x v="4"/>
    <x v="0"/>
    <n v="8.99"/>
    <n v="0"/>
    <n v="0"/>
    <x v="4"/>
    <n v="4"/>
    <n v="0.59"/>
    <s v="Romance"/>
  </r>
  <r>
    <s v="5736a841-06be-4e91-a475-fdeae4dbb161"/>
    <n v="49"/>
    <s v="Male"/>
    <s v="Standard"/>
    <n v="4.67"/>
    <x v="26"/>
    <x v="5"/>
    <x v="2"/>
    <n v="13.99"/>
    <n v="1"/>
    <n v="13.99"/>
    <x v="2"/>
    <n v="5"/>
    <n v="0.1"/>
    <s v="Horror"/>
  </r>
  <r>
    <s v="2088ff07-56ed-49a3-8824-6b0f5577b9eb"/>
    <n v="38"/>
    <s v="Other"/>
    <s v="Basic"/>
    <n v="16.27"/>
    <x v="37"/>
    <x v="0"/>
    <x v="3"/>
    <n v="8.99"/>
    <n v="0"/>
    <n v="0"/>
    <x v="0"/>
    <n v="2"/>
    <n v="0.65"/>
    <s v="Romance"/>
  </r>
  <r>
    <s v="534f289f-35c5-4314-973b-1b0c9ed473db"/>
    <n v="23"/>
    <s v="Male"/>
    <s v="Basic"/>
    <n v="4.6399999999999997"/>
    <x v="22"/>
    <x v="1"/>
    <x v="0"/>
    <n v="8.99"/>
    <n v="1"/>
    <n v="8.99"/>
    <x v="4"/>
    <n v="1"/>
    <n v="0.08"/>
    <s v="Documentary"/>
  </r>
  <r>
    <s v="976212fe-e88c-4118-a57c-8c828ce17f0c"/>
    <n v="46"/>
    <s v="Male"/>
    <s v="Premium"/>
    <n v="8.7799999999999994"/>
    <x v="4"/>
    <x v="2"/>
    <x v="4"/>
    <n v="17.989999999999998"/>
    <n v="0"/>
    <n v="0"/>
    <x v="3"/>
    <n v="4"/>
    <n v="0.63"/>
    <s v="Action"/>
  </r>
  <r>
    <s v="8f5e0f72-3edf-4a03-bdb4-44a26f91077b"/>
    <n v="44"/>
    <s v="Male"/>
    <s v="Basic"/>
    <n v="9"/>
    <x v="12"/>
    <x v="4"/>
    <x v="0"/>
    <n v="8.99"/>
    <n v="1"/>
    <n v="8.99"/>
    <x v="1"/>
    <n v="1"/>
    <n v="0.26"/>
    <s v="Action"/>
  </r>
  <r>
    <s v="e9e8258f-3f5b-4bbf-99a7-59b4c88125e6"/>
    <n v="36"/>
    <s v="Female"/>
    <s v="Standard"/>
    <n v="9.1999999999999993"/>
    <x v="13"/>
    <x v="3"/>
    <x v="3"/>
    <n v="13.99"/>
    <n v="0"/>
    <n v="0"/>
    <x v="2"/>
    <n v="2"/>
    <n v="1.1499999999999999"/>
    <s v="Action"/>
  </r>
  <r>
    <s v="51fad2bb-5e3b-45bc-8424-6e7331d255ae"/>
    <n v="23"/>
    <s v="Female"/>
    <s v="Basic"/>
    <n v="8.26"/>
    <x v="12"/>
    <x v="1"/>
    <x v="3"/>
    <n v="8.99"/>
    <n v="1"/>
    <n v="8.99"/>
    <x v="0"/>
    <n v="5"/>
    <n v="0.24"/>
    <s v="Horror"/>
  </r>
  <r>
    <s v="7b770d53-7ea7-4ad9-9fa9-17d09f8e857c"/>
    <n v="34"/>
    <s v="Other"/>
    <s v="Premium"/>
    <n v="35.200000000000003"/>
    <x v="32"/>
    <x v="1"/>
    <x v="4"/>
    <n v="17.989999999999998"/>
    <n v="0"/>
    <n v="0"/>
    <x v="1"/>
    <n v="3"/>
    <n v="2.35"/>
    <s v="Romance"/>
  </r>
  <r>
    <s v="16359306-8225-4f9c-a0f6-446f18067c00"/>
    <n v="62"/>
    <s v="Female"/>
    <s v="Premium"/>
    <n v="1.1200000000000001"/>
    <x v="19"/>
    <x v="2"/>
    <x v="0"/>
    <n v="17.989999999999998"/>
    <n v="1"/>
    <n v="17.989999999999998"/>
    <x v="0"/>
    <n v="4"/>
    <n v="0.03"/>
    <s v="Comedy"/>
  </r>
  <r>
    <s v="27bb1f44-8d9c-4424-a509-1510f95fa759"/>
    <n v="24"/>
    <s v="Other"/>
    <s v="Standard"/>
    <n v="10.67"/>
    <x v="54"/>
    <x v="2"/>
    <x v="4"/>
    <n v="13.99"/>
    <n v="0"/>
    <n v="0"/>
    <x v="3"/>
    <n v="1"/>
    <n v="0.37"/>
    <s v="Horror"/>
  </r>
  <r>
    <s v="30999e0c-ada1-4174-89b6-d820cfca282a"/>
    <n v="36"/>
    <s v="Male"/>
    <s v="Standard"/>
    <n v="14.29"/>
    <x v="17"/>
    <x v="0"/>
    <x v="1"/>
    <n v="13.99"/>
    <n v="0"/>
    <n v="0"/>
    <x v="4"/>
    <n v="4"/>
    <n v="2.86"/>
    <s v="Sci-Fi"/>
  </r>
  <r>
    <s v="473f971c-2a0c-48c2-aaaf-b4cdfca5aff3"/>
    <n v="33"/>
    <s v="Female"/>
    <s v="Standard"/>
    <n v="18.329999999999998"/>
    <x v="26"/>
    <x v="3"/>
    <x v="1"/>
    <n v="13.99"/>
    <n v="1"/>
    <n v="13.99"/>
    <x v="2"/>
    <n v="1"/>
    <n v="0.37"/>
    <s v="Comedy"/>
  </r>
  <r>
    <s v="46e95e2c-14c7-45ef-a0a8-b5f76f9e5d75"/>
    <n v="58"/>
    <s v="Female"/>
    <s v="Basic"/>
    <n v="3.57"/>
    <x v="6"/>
    <x v="5"/>
    <x v="2"/>
    <n v="8.99"/>
    <n v="1"/>
    <n v="8.99"/>
    <x v="0"/>
    <n v="2"/>
    <n v="0.17"/>
    <s v="Documentary"/>
  </r>
  <r>
    <s v="bb0b842b-0a9e-4351-8f7c-89365dde8a9d"/>
    <n v="20"/>
    <s v="Other"/>
    <s v="Basic"/>
    <n v="15.54"/>
    <x v="37"/>
    <x v="2"/>
    <x v="3"/>
    <n v="8.99"/>
    <n v="0"/>
    <n v="0"/>
    <x v="2"/>
    <n v="3"/>
    <n v="0.62"/>
    <s v="Sci-Fi"/>
  </r>
  <r>
    <s v="8c0c7d2b-cefb-48b1-a633-c1c84c36c057"/>
    <n v="20"/>
    <s v="Female"/>
    <s v="Basic"/>
    <n v="10.28"/>
    <x v="19"/>
    <x v="4"/>
    <x v="2"/>
    <n v="8.99"/>
    <n v="1"/>
    <n v="8.99"/>
    <x v="3"/>
    <n v="2"/>
    <n v="0.23"/>
    <s v="Action"/>
  </r>
  <r>
    <s v="64485bba-7db6-4f9a-a22b-5cfec1cd2ee2"/>
    <n v="33"/>
    <s v="Female"/>
    <s v="Premium"/>
    <n v="2.2000000000000002"/>
    <x v="15"/>
    <x v="4"/>
    <x v="3"/>
    <n v="17.989999999999998"/>
    <n v="1"/>
    <n v="17.989999999999998"/>
    <x v="0"/>
    <n v="4"/>
    <n v="0.05"/>
    <s v="Documentary"/>
  </r>
  <r>
    <s v="e674d937-9114-4f7c-887a-1cd491c643c6"/>
    <n v="30"/>
    <s v="Other"/>
    <s v="Basic"/>
    <n v="0.52"/>
    <x v="17"/>
    <x v="2"/>
    <x v="0"/>
    <n v="8.99"/>
    <n v="1"/>
    <n v="8.99"/>
    <x v="3"/>
    <n v="2"/>
    <n v="0.1"/>
    <s v="Sci-Fi"/>
  </r>
  <r>
    <s v="2d1ea53f-d9bb-453f-b8be-88dfc36df0a3"/>
    <n v="59"/>
    <s v="Male"/>
    <s v="Standard"/>
    <n v="7.52"/>
    <x v="25"/>
    <x v="1"/>
    <x v="0"/>
    <n v="13.99"/>
    <n v="0"/>
    <n v="0"/>
    <x v="3"/>
    <n v="4"/>
    <n v="7.52"/>
    <s v="Action"/>
  </r>
  <r>
    <s v="75ef07c7-3ac8-4c14-b9d3-2ce79a3865b7"/>
    <n v="54"/>
    <s v="Male"/>
    <s v="Standard"/>
    <n v="18.96"/>
    <x v="20"/>
    <x v="3"/>
    <x v="4"/>
    <n v="13.99"/>
    <n v="0"/>
    <n v="0"/>
    <x v="1"/>
    <n v="3"/>
    <n v="1"/>
    <s v="Documentary"/>
  </r>
  <r>
    <s v="0b11ab87-551c-42d8-a5a4-1cd7ff98386f"/>
    <n v="47"/>
    <s v="Male"/>
    <s v="Premium"/>
    <n v="6.33"/>
    <x v="49"/>
    <x v="2"/>
    <x v="2"/>
    <n v="17.989999999999998"/>
    <n v="0"/>
    <n v="0"/>
    <x v="0"/>
    <n v="4"/>
    <n v="0.63"/>
    <s v="Documentary"/>
  </r>
  <r>
    <s v="a5ecf5f2-452b-4dcd-873b-342c6094c012"/>
    <n v="59"/>
    <s v="Other"/>
    <s v="Basic"/>
    <n v="20.13"/>
    <x v="21"/>
    <x v="0"/>
    <x v="1"/>
    <n v="8.99"/>
    <n v="0"/>
    <n v="0"/>
    <x v="4"/>
    <n v="1"/>
    <n v="2.88"/>
    <s v="Drama"/>
  </r>
  <r>
    <s v="25ca4e8b-4fed-408f-9f94-607529cdd07b"/>
    <n v="24"/>
    <s v="Female"/>
    <s v="Basic"/>
    <n v="6.73"/>
    <x v="27"/>
    <x v="0"/>
    <x v="1"/>
    <n v="8.99"/>
    <n v="0"/>
    <n v="0"/>
    <x v="1"/>
    <n v="4"/>
    <n v="0.4"/>
    <s v="Comedy"/>
  </r>
  <r>
    <s v="5f9af2fd-06c8-4c9e-b327-4830dab0361d"/>
    <n v="24"/>
    <s v="Other"/>
    <s v="Standard"/>
    <n v="21.53"/>
    <x v="18"/>
    <x v="5"/>
    <x v="4"/>
    <n v="13.99"/>
    <n v="0"/>
    <n v="0"/>
    <x v="1"/>
    <n v="3"/>
    <n v="0.37"/>
    <s v="Drama"/>
  </r>
  <r>
    <s v="fa1f7eb9-e6fd-41f7-943e-1186499aeb8b"/>
    <n v="53"/>
    <s v="Other"/>
    <s v="Standard"/>
    <n v="8.85"/>
    <x v="47"/>
    <x v="3"/>
    <x v="1"/>
    <n v="13.99"/>
    <n v="0"/>
    <n v="0"/>
    <x v="0"/>
    <n v="1"/>
    <n v="2.21"/>
    <s v="Sci-Fi"/>
  </r>
  <r>
    <s v="b88b733e-5ac8-46f5-9137-05b8f9e59898"/>
    <n v="57"/>
    <s v="Male"/>
    <s v="Standard"/>
    <n v="0.15"/>
    <x v="36"/>
    <x v="0"/>
    <x v="4"/>
    <n v="13.99"/>
    <n v="1"/>
    <n v="13.99"/>
    <x v="2"/>
    <n v="3"/>
    <n v="0"/>
    <s v="Comedy"/>
  </r>
  <r>
    <s v="57e7b754-6ed5-43f6-804d-140bef82a2d7"/>
    <n v="66"/>
    <s v="Female"/>
    <s v="Basic"/>
    <n v="0.27"/>
    <x v="15"/>
    <x v="0"/>
    <x v="2"/>
    <n v="8.99"/>
    <n v="1"/>
    <n v="8.99"/>
    <x v="4"/>
    <n v="1"/>
    <n v="0.01"/>
    <s v="Sci-Fi"/>
  </r>
  <r>
    <s v="60dadbe4-fa7a-4c2d-a577-69aed385c0d0"/>
    <n v="24"/>
    <s v="Male"/>
    <s v="Standard"/>
    <n v="7.75"/>
    <x v="0"/>
    <x v="1"/>
    <x v="4"/>
    <n v="13.99"/>
    <n v="0"/>
    <n v="0"/>
    <x v="2"/>
    <n v="5"/>
    <n v="0.26"/>
    <s v="Horror"/>
  </r>
  <r>
    <s v="aeef9f76-67de-4dc1-ae73-8f625fe165cd"/>
    <n v="28"/>
    <s v="Other"/>
    <s v="Premium"/>
    <n v="6.79"/>
    <x v="50"/>
    <x v="3"/>
    <x v="4"/>
    <n v="17.989999999999998"/>
    <n v="1"/>
    <n v="17.989999999999998"/>
    <x v="3"/>
    <n v="1"/>
    <n v="0.12"/>
    <s v="Horror"/>
  </r>
  <r>
    <s v="6adc1db8-fe9f-4bec-9cb1-018123ce1b08"/>
    <n v="29"/>
    <s v="Male"/>
    <s v="Premium"/>
    <n v="21.53"/>
    <x v="9"/>
    <x v="0"/>
    <x v="0"/>
    <n v="17.989999999999998"/>
    <n v="0"/>
    <n v="0"/>
    <x v="4"/>
    <n v="5"/>
    <n v="0.57999999999999996"/>
    <s v="Sci-Fi"/>
  </r>
  <r>
    <s v="45e3d341-d04b-4276-99dc-9fc89496e4b9"/>
    <n v="45"/>
    <s v="Male"/>
    <s v="Premium"/>
    <n v="13.88"/>
    <x v="5"/>
    <x v="5"/>
    <x v="3"/>
    <n v="17.989999999999998"/>
    <n v="0"/>
    <n v="0"/>
    <x v="1"/>
    <n v="1"/>
    <n v="0.51"/>
    <s v="Documentary"/>
  </r>
  <r>
    <s v="c6ac02c8-fe12-46b3-a1ae-fd7f7ba481f9"/>
    <n v="50"/>
    <s v="Other"/>
    <s v="Premium"/>
    <n v="0.32"/>
    <x v="28"/>
    <x v="1"/>
    <x v="3"/>
    <n v="17.989999999999998"/>
    <n v="1"/>
    <n v="17.989999999999998"/>
    <x v="2"/>
    <n v="2"/>
    <n v="0.01"/>
    <s v="Comedy"/>
  </r>
  <r>
    <s v="a3a126f7-1a28-4a66-9a60-6a60f8411e89"/>
    <n v="23"/>
    <s v="Female"/>
    <s v="Standard"/>
    <n v="2.2799999999999998"/>
    <x v="44"/>
    <x v="3"/>
    <x v="4"/>
    <n v="13.99"/>
    <n v="1"/>
    <n v="13.99"/>
    <x v="3"/>
    <n v="1"/>
    <n v="0.05"/>
    <s v="Horror"/>
  </r>
  <r>
    <s v="276c1104-d5fd-4930-8d5d-35956891c4fb"/>
    <n v="68"/>
    <s v="Female"/>
    <s v="Basic"/>
    <n v="0.27"/>
    <x v="17"/>
    <x v="3"/>
    <x v="4"/>
    <n v="8.99"/>
    <n v="1"/>
    <n v="8.99"/>
    <x v="1"/>
    <n v="2"/>
    <n v="0.05"/>
    <s v="Horror"/>
  </r>
  <r>
    <s v="83cc815b-5d92-4695-a2a2-dacb964e209f"/>
    <n v="25"/>
    <s v="Male"/>
    <s v="Basic"/>
    <n v="6.05"/>
    <x v="57"/>
    <x v="5"/>
    <x v="1"/>
    <n v="8.99"/>
    <n v="1"/>
    <n v="8.99"/>
    <x v="2"/>
    <n v="3"/>
    <n v="0.1"/>
    <s v="Sci-Fi"/>
  </r>
  <r>
    <s v="b985d6de-295a-4ecd-9353-4e9357c6c9dc"/>
    <n v="68"/>
    <s v="Other"/>
    <s v="Premium"/>
    <n v="1.66"/>
    <x v="53"/>
    <x v="5"/>
    <x v="1"/>
    <n v="17.989999999999998"/>
    <n v="1"/>
    <n v="17.989999999999998"/>
    <x v="0"/>
    <n v="4"/>
    <n v="0.04"/>
    <s v="Documentary"/>
  </r>
  <r>
    <s v="b8f85415-9ec9-4b9b-be60-a88f1b6ecbdd"/>
    <n v="23"/>
    <s v="Other"/>
    <s v="Basic"/>
    <n v="4.01"/>
    <x v="16"/>
    <x v="2"/>
    <x v="4"/>
    <n v="8.99"/>
    <n v="1"/>
    <n v="8.99"/>
    <x v="1"/>
    <n v="2"/>
    <n v="0.14000000000000001"/>
    <s v="Romance"/>
  </r>
  <r>
    <s v="c3f8acfa-5b6c-4778-994d-0b27b839f52e"/>
    <n v="27"/>
    <s v="Female"/>
    <s v="Premium"/>
    <n v="6.01"/>
    <x v="59"/>
    <x v="1"/>
    <x v="1"/>
    <n v="17.989999999999998"/>
    <n v="0"/>
    <n v="0"/>
    <x v="0"/>
    <n v="1"/>
    <n v="1"/>
    <s v="Horror"/>
  </r>
  <r>
    <s v="cb415cf6-759a-40bc-873b-1abec0c9b5ec"/>
    <n v="62"/>
    <s v="Other"/>
    <s v="Basic"/>
    <n v="15.54"/>
    <x v="48"/>
    <x v="2"/>
    <x v="1"/>
    <n v="8.99"/>
    <n v="1"/>
    <n v="8.99"/>
    <x v="3"/>
    <n v="4"/>
    <n v="0.3"/>
    <s v="Sci-Fi"/>
  </r>
  <r>
    <s v="c6028128-8d31-4b45-90a7-4422386e8649"/>
    <n v="28"/>
    <s v="Male"/>
    <s v="Premium"/>
    <n v="5.32"/>
    <x v="33"/>
    <x v="0"/>
    <x v="2"/>
    <n v="17.989999999999998"/>
    <n v="0"/>
    <n v="0"/>
    <x v="2"/>
    <n v="4"/>
    <n v="0.2"/>
    <s v="Horror"/>
  </r>
  <r>
    <s v="24828084-41fa-4b71-a36f-4575ccbe0ca8"/>
    <n v="45"/>
    <s v="Other"/>
    <s v="Standard"/>
    <n v="7.03"/>
    <x v="46"/>
    <x v="0"/>
    <x v="2"/>
    <n v="13.99"/>
    <n v="0"/>
    <n v="0"/>
    <x v="3"/>
    <n v="2"/>
    <n v="2.34"/>
    <s v="Drama"/>
  </r>
  <r>
    <s v="fa639f8f-0453-46e1-93c3-ed22f0d0dff9"/>
    <n v="22"/>
    <s v="Female"/>
    <s v="Basic"/>
    <n v="5.42"/>
    <x v="25"/>
    <x v="0"/>
    <x v="3"/>
    <n v="8.99"/>
    <n v="0"/>
    <n v="0"/>
    <x v="3"/>
    <n v="1"/>
    <n v="5.42"/>
    <s v="Action"/>
  </r>
  <r>
    <s v="7f047317-dfff-44b6-b4fc-4d3b7493da6b"/>
    <n v="66"/>
    <s v="Other"/>
    <s v="Basic"/>
    <n v="5.33"/>
    <x v="9"/>
    <x v="0"/>
    <x v="1"/>
    <n v="8.99"/>
    <n v="1"/>
    <n v="8.99"/>
    <x v="4"/>
    <n v="2"/>
    <n v="0.14000000000000001"/>
    <s v="Romance"/>
  </r>
  <r>
    <s v="a1f99ca8-0b8f-4c59-a52e-4eb2ea8d4bf6"/>
    <n v="49"/>
    <s v="Other"/>
    <s v="Standard"/>
    <n v="2.86"/>
    <x v="41"/>
    <x v="1"/>
    <x v="4"/>
    <n v="13.99"/>
    <n v="1"/>
    <n v="13.99"/>
    <x v="4"/>
    <n v="3"/>
    <n v="0.09"/>
    <s v="Drama"/>
  </r>
  <r>
    <s v="d8e3d413-9b2b-47ee-96b7-c1de8ba78a74"/>
    <n v="37"/>
    <s v="Other"/>
    <s v="Standard"/>
    <n v="11.76"/>
    <x v="51"/>
    <x v="3"/>
    <x v="3"/>
    <n v="13.99"/>
    <n v="0"/>
    <n v="0"/>
    <x v="1"/>
    <n v="3"/>
    <n v="0.65"/>
    <s v="Comedy"/>
  </r>
  <r>
    <s v="6f47f4c7-63e3-49c7-8e37-bbb0af66e9eb"/>
    <n v="60"/>
    <s v="Male"/>
    <s v="Standard"/>
    <n v="36.159999999999997"/>
    <x v="53"/>
    <x v="5"/>
    <x v="0"/>
    <n v="13.99"/>
    <n v="0"/>
    <n v="0"/>
    <x v="0"/>
    <n v="5"/>
    <n v="0.84"/>
    <s v="Drama"/>
  </r>
  <r>
    <s v="f18bb534-3003-4858-95d7-fdf908fc7432"/>
    <n v="64"/>
    <s v="Male"/>
    <s v="Basic"/>
    <n v="0.27"/>
    <x v="52"/>
    <x v="4"/>
    <x v="1"/>
    <n v="8.99"/>
    <n v="1"/>
    <n v="8.99"/>
    <x v="1"/>
    <n v="4"/>
    <n v="0.01"/>
    <s v="Horror"/>
  </r>
  <r>
    <s v="91c78112-b9eb-48ad-9fca-29f6197be2d7"/>
    <n v="21"/>
    <s v="Other"/>
    <s v="Standard"/>
    <n v="8.08"/>
    <x v="27"/>
    <x v="3"/>
    <x v="2"/>
    <n v="13.99"/>
    <n v="0"/>
    <n v="0"/>
    <x v="1"/>
    <n v="4"/>
    <n v="0.48"/>
    <s v="Action"/>
  </r>
  <r>
    <s v="c34baf8c-d65c-4aaa-9602-2bb9efaa4f6c"/>
    <n v="45"/>
    <s v="Female"/>
    <s v="Basic"/>
    <n v="7.13"/>
    <x v="60"/>
    <x v="3"/>
    <x v="1"/>
    <n v="8.99"/>
    <n v="0"/>
    <n v="0"/>
    <x v="4"/>
    <n v="3"/>
    <n v="0.79"/>
    <s v="Horror"/>
  </r>
  <r>
    <s v="0ef9124e-50c5-411b-b436-edacd29199a8"/>
    <n v="47"/>
    <s v="Female"/>
    <s v="Standard"/>
    <n v="4.13"/>
    <x v="41"/>
    <x v="4"/>
    <x v="4"/>
    <n v="13.99"/>
    <n v="1"/>
    <n v="13.99"/>
    <x v="0"/>
    <n v="2"/>
    <n v="0.13"/>
    <s v="Horror"/>
  </r>
  <r>
    <s v="8f74fb47-9bcc-4ec6-a9d8-5e795ef2235d"/>
    <n v="60"/>
    <s v="Female"/>
    <s v="Premium"/>
    <n v="12.6"/>
    <x v="12"/>
    <x v="1"/>
    <x v="3"/>
    <n v="17.989999999999998"/>
    <n v="1"/>
    <n v="17.989999999999998"/>
    <x v="0"/>
    <n v="2"/>
    <n v="0.37"/>
    <s v="Sci-Fi"/>
  </r>
  <r>
    <s v="60fbb4af-309d-4a37-93b2-20c05286ac2f"/>
    <n v="60"/>
    <s v="Other"/>
    <s v="Standard"/>
    <n v="0.62"/>
    <x v="26"/>
    <x v="0"/>
    <x v="0"/>
    <n v="13.99"/>
    <n v="1"/>
    <n v="13.99"/>
    <x v="1"/>
    <n v="4"/>
    <n v="0.01"/>
    <s v="Documentary"/>
  </r>
  <r>
    <s v="d5ebd5d0-4ce3-4120-9c8a-d01de6e00ba5"/>
    <n v="28"/>
    <s v="Male"/>
    <s v="Standard"/>
    <n v="2.6"/>
    <x v="29"/>
    <x v="1"/>
    <x v="2"/>
    <n v="13.99"/>
    <n v="1"/>
    <n v="13.99"/>
    <x v="4"/>
    <n v="2"/>
    <n v="0.06"/>
    <s v="Sci-Fi"/>
  </r>
  <r>
    <s v="e2fa23ce-0f5d-44a2-8cec-b14660947d11"/>
    <n v="25"/>
    <s v="Female"/>
    <s v="Standard"/>
    <n v="3.17"/>
    <x v="14"/>
    <x v="1"/>
    <x v="3"/>
    <n v="13.99"/>
    <n v="1"/>
    <n v="13.99"/>
    <x v="2"/>
    <n v="5"/>
    <n v="0.1"/>
    <s v="Documentary"/>
  </r>
  <r>
    <s v="a28580ec-90be-4f6d-ab87-619d8f0679b0"/>
    <n v="19"/>
    <s v="Other"/>
    <s v="Standard"/>
    <n v="3.16"/>
    <x v="19"/>
    <x v="3"/>
    <x v="1"/>
    <n v="13.99"/>
    <n v="1"/>
    <n v="13.99"/>
    <x v="0"/>
    <n v="1"/>
    <n v="7.0000000000000007E-2"/>
    <s v="Horror"/>
  </r>
  <r>
    <s v="d9a89da8-9188-4be1-9fa4-6ff8394bce3a"/>
    <n v="25"/>
    <s v="Female"/>
    <s v="Premium"/>
    <n v="0.64"/>
    <x v="14"/>
    <x v="2"/>
    <x v="2"/>
    <n v="17.989999999999998"/>
    <n v="1"/>
    <n v="17.989999999999998"/>
    <x v="0"/>
    <n v="4"/>
    <n v="0.02"/>
    <s v="Romance"/>
  </r>
  <r>
    <s v="658cf3cd-4370-4794-8745-77395b791c00"/>
    <n v="58"/>
    <s v="Female"/>
    <s v="Standard"/>
    <n v="5.63"/>
    <x v="17"/>
    <x v="0"/>
    <x v="0"/>
    <n v="13.99"/>
    <n v="0"/>
    <n v="0"/>
    <x v="0"/>
    <n v="5"/>
    <n v="1.1299999999999999"/>
    <s v="Documentary"/>
  </r>
  <r>
    <s v="384e7ce5-f382-45e9-91da-8d4e24b9a392"/>
    <n v="31"/>
    <s v="Female"/>
    <s v="Premium"/>
    <n v="20.73"/>
    <x v="57"/>
    <x v="4"/>
    <x v="4"/>
    <n v="17.989999999999998"/>
    <n v="0"/>
    <n v="0"/>
    <x v="0"/>
    <n v="4"/>
    <n v="0.34"/>
    <s v="Sci-Fi"/>
  </r>
  <r>
    <s v="a6b50d35-9ec1-4952-bc1a-4db4877d1b7c"/>
    <n v="54"/>
    <s v="Female"/>
    <s v="Standard"/>
    <n v="6.26"/>
    <x v="58"/>
    <x v="4"/>
    <x v="3"/>
    <n v="13.99"/>
    <n v="1"/>
    <n v="13.99"/>
    <x v="4"/>
    <n v="2"/>
    <n v="0.13"/>
    <s v="Drama"/>
  </r>
  <r>
    <s v="609e52d2-62e8-428d-b9fa-f2fb77dd62cb"/>
    <n v="65"/>
    <s v="Female"/>
    <s v="Standard"/>
    <n v="34.39"/>
    <x v="1"/>
    <x v="2"/>
    <x v="0"/>
    <n v="13.99"/>
    <n v="0"/>
    <n v="0"/>
    <x v="4"/>
    <n v="3"/>
    <n v="1.72"/>
    <s v="Romance"/>
  </r>
  <r>
    <s v="2a70df84-b707-4ccb-b3ac-56b6ccc32347"/>
    <n v="26"/>
    <s v="Female"/>
    <s v="Premium"/>
    <n v="7.33"/>
    <x v="41"/>
    <x v="3"/>
    <x v="2"/>
    <n v="17.989999999999998"/>
    <n v="0"/>
    <n v="0"/>
    <x v="0"/>
    <n v="1"/>
    <n v="0.24"/>
    <s v="Sci-Fi"/>
  </r>
  <r>
    <s v="8372f52f-257c-4f58-ae67-dfa618516600"/>
    <n v="32"/>
    <s v="Other"/>
    <s v="Basic"/>
    <n v="1.96"/>
    <x v="52"/>
    <x v="5"/>
    <x v="2"/>
    <n v="8.99"/>
    <n v="1"/>
    <n v="8.99"/>
    <x v="3"/>
    <n v="4"/>
    <n v="0.04"/>
    <s v="Documentary"/>
  </r>
  <r>
    <s v="d6ad8dcd-7d77-4c28-8a3b-fe698c0f7794"/>
    <n v="32"/>
    <s v="Male"/>
    <s v="Basic"/>
    <n v="8.25"/>
    <x v="55"/>
    <x v="0"/>
    <x v="0"/>
    <n v="8.99"/>
    <n v="1"/>
    <n v="8.99"/>
    <x v="3"/>
    <n v="4"/>
    <n v="0.14000000000000001"/>
    <s v="Action"/>
  </r>
  <r>
    <s v="2d77b990-4c9b-4602-b2cc-3635194e1daf"/>
    <n v="52"/>
    <s v="Male"/>
    <s v="Standard"/>
    <n v="28.47"/>
    <x v="31"/>
    <x v="1"/>
    <x v="2"/>
    <n v="13.99"/>
    <n v="0"/>
    <n v="0"/>
    <x v="4"/>
    <n v="1"/>
    <n v="1.78"/>
    <s v="Drama"/>
  </r>
  <r>
    <s v="aaa3844f-e33c-4ea6-b92d-35a5ceec248a"/>
    <n v="67"/>
    <s v="Male"/>
    <s v="Basic"/>
    <n v="1.74"/>
    <x v="17"/>
    <x v="1"/>
    <x v="1"/>
    <n v="8.99"/>
    <n v="1"/>
    <n v="8.99"/>
    <x v="0"/>
    <n v="2"/>
    <n v="0.35"/>
    <s v="Action"/>
  </r>
  <r>
    <s v="277577cb-b4e0-41ca-9c88-2456d7f2ba36"/>
    <n v="37"/>
    <s v="Male"/>
    <s v="Basic"/>
    <n v="21.82"/>
    <x v="15"/>
    <x v="1"/>
    <x v="4"/>
    <n v="8.99"/>
    <n v="0"/>
    <n v="0"/>
    <x v="4"/>
    <n v="2"/>
    <n v="0.53"/>
    <s v="Drama"/>
  </r>
  <r>
    <s v="3cdce0fe-8109-4092-9d06-4746c152516c"/>
    <n v="68"/>
    <s v="Female"/>
    <s v="Premium"/>
    <n v="13.41"/>
    <x v="28"/>
    <x v="5"/>
    <x v="1"/>
    <n v="17.989999999999998"/>
    <n v="1"/>
    <n v="17.989999999999998"/>
    <x v="1"/>
    <n v="1"/>
    <n v="0.37"/>
    <s v="Action"/>
  </r>
  <r>
    <s v="7c88ae82-dad4-4bb3-8e01-e587c43395ab"/>
    <n v="38"/>
    <s v="Other"/>
    <s v="Standard"/>
    <n v="3.39"/>
    <x v="28"/>
    <x v="4"/>
    <x v="3"/>
    <n v="13.99"/>
    <n v="1"/>
    <n v="13.99"/>
    <x v="2"/>
    <n v="1"/>
    <n v="0.09"/>
    <s v="Drama"/>
  </r>
  <r>
    <s v="e07c609b-0ad2-4f99-bc35-b91288003b2e"/>
    <n v="61"/>
    <s v="Female"/>
    <s v="Premium"/>
    <n v="54.86"/>
    <x v="16"/>
    <x v="0"/>
    <x v="1"/>
    <n v="17.989999999999998"/>
    <n v="0"/>
    <n v="0"/>
    <x v="0"/>
    <n v="2"/>
    <n v="1.96"/>
    <s v="Documentary"/>
  </r>
  <r>
    <s v="d786a211-3e93-4204-8b1d-e10f595bf093"/>
    <n v="40"/>
    <s v="Female"/>
    <s v="Basic"/>
    <n v="23.97"/>
    <x v="26"/>
    <x v="4"/>
    <x v="3"/>
    <n v="8.99"/>
    <n v="0"/>
    <n v="0"/>
    <x v="2"/>
    <n v="5"/>
    <n v="0.49"/>
    <s v="Action"/>
  </r>
  <r>
    <s v="6928de64-4465-4a01-9208-9597cdf58bf8"/>
    <n v="56"/>
    <s v="Male"/>
    <s v="Basic"/>
    <n v="3.29"/>
    <x v="56"/>
    <x v="1"/>
    <x v="1"/>
    <n v="8.99"/>
    <n v="1"/>
    <n v="8.99"/>
    <x v="2"/>
    <n v="1"/>
    <n v="0.06"/>
    <s v="Action"/>
  </r>
  <r>
    <s v="d1bae981-3ea1-432e-b791-65c33a5310cc"/>
    <n v="68"/>
    <s v="Other"/>
    <s v="Basic"/>
    <n v="2.2799999999999998"/>
    <x v="57"/>
    <x v="5"/>
    <x v="4"/>
    <n v="8.99"/>
    <n v="1"/>
    <n v="8.99"/>
    <x v="2"/>
    <n v="2"/>
    <n v="0.04"/>
    <s v="Documentary"/>
  </r>
  <r>
    <s v="d5085dca-434a-4eab-91d5-9a0085af79d2"/>
    <n v="54"/>
    <s v="Other"/>
    <s v="Standard"/>
    <n v="0.37"/>
    <x v="36"/>
    <x v="5"/>
    <x v="4"/>
    <n v="13.99"/>
    <n v="1"/>
    <n v="13.99"/>
    <x v="4"/>
    <n v="4"/>
    <n v="0.01"/>
    <s v="Sci-Fi"/>
  </r>
  <r>
    <s v="c51c0139-d70e-4eb5-89a0-fb7553e33b4a"/>
    <n v="32"/>
    <s v="Other"/>
    <s v="Premium"/>
    <n v="14"/>
    <x v="35"/>
    <x v="1"/>
    <x v="2"/>
    <n v="17.989999999999998"/>
    <n v="1"/>
    <n v="17.989999999999998"/>
    <x v="2"/>
    <n v="1"/>
    <n v="0.31"/>
    <s v="Sci-Fi"/>
  </r>
  <r>
    <s v="01c5033b-b19f-4074-a2c2-a1ece7235af7"/>
    <n v="59"/>
    <s v="Female"/>
    <s v="Standard"/>
    <n v="5.26"/>
    <x v="59"/>
    <x v="0"/>
    <x v="2"/>
    <n v="13.99"/>
    <n v="0"/>
    <n v="0"/>
    <x v="1"/>
    <n v="1"/>
    <n v="0.88"/>
    <s v="Documentary"/>
  </r>
  <r>
    <s v="4ce5cf41-1115-4423-ad64-807b0d57c5d7"/>
    <n v="24"/>
    <s v="Other"/>
    <s v="Standard"/>
    <n v="18.29"/>
    <x v="24"/>
    <x v="5"/>
    <x v="4"/>
    <n v="13.99"/>
    <n v="0"/>
    <n v="0"/>
    <x v="3"/>
    <n v="4"/>
    <n v="0.35"/>
    <s v="Comedy"/>
  </r>
  <r>
    <s v="f332b1a7-8ece-44df-8237-bbc843e979b5"/>
    <n v="21"/>
    <s v="Female"/>
    <s v="Standard"/>
    <n v="0.74"/>
    <x v="27"/>
    <x v="2"/>
    <x v="3"/>
    <n v="13.99"/>
    <n v="0"/>
    <n v="0"/>
    <x v="4"/>
    <n v="5"/>
    <n v="0.04"/>
    <s v="Romance"/>
  </r>
  <r>
    <s v="1f9510bb-4838-49ae-83dd-4331a0f59f22"/>
    <n v="66"/>
    <s v="Other"/>
    <s v="Standard"/>
    <n v="29.93"/>
    <x v="44"/>
    <x v="0"/>
    <x v="1"/>
    <n v="13.99"/>
    <n v="0"/>
    <n v="0"/>
    <x v="4"/>
    <n v="5"/>
    <n v="0.64"/>
    <s v="Sci-Fi"/>
  </r>
  <r>
    <s v="9a31b543-8464-42d2-ab0b-4d9568ebe947"/>
    <n v="26"/>
    <s v="Other"/>
    <s v="Premium"/>
    <n v="3.77"/>
    <x v="24"/>
    <x v="0"/>
    <x v="0"/>
    <n v="17.989999999999998"/>
    <n v="1"/>
    <n v="17.989999999999998"/>
    <x v="1"/>
    <n v="4"/>
    <n v="7.0000000000000007E-2"/>
    <s v="Comedy"/>
  </r>
  <r>
    <s v="7b7213e4-5ca8-4625-b1d2-f73605f5ca06"/>
    <n v="51"/>
    <s v="Other"/>
    <s v="Basic"/>
    <n v="15.14"/>
    <x v="51"/>
    <x v="5"/>
    <x v="3"/>
    <n v="8.99"/>
    <n v="0"/>
    <n v="0"/>
    <x v="0"/>
    <n v="4"/>
    <n v="0.84"/>
    <s v="Documentary"/>
  </r>
  <r>
    <s v="94520f48-96a9-4b36-a6ee-5cfd9ec9143b"/>
    <n v="18"/>
    <s v="Other"/>
    <s v="Basic"/>
    <n v="0.67"/>
    <x v="40"/>
    <x v="2"/>
    <x v="2"/>
    <n v="8.99"/>
    <n v="1"/>
    <n v="8.99"/>
    <x v="0"/>
    <n v="4"/>
    <n v="0.06"/>
    <s v="Documentary"/>
  </r>
  <r>
    <s v="f258f8f6-080b-4ef1-8884-c508456b9694"/>
    <n v="29"/>
    <s v="Male"/>
    <s v="Premium"/>
    <n v="9.2200000000000006"/>
    <x v="21"/>
    <x v="4"/>
    <x v="2"/>
    <n v="17.989999999999998"/>
    <n v="0"/>
    <n v="0"/>
    <x v="2"/>
    <n v="4"/>
    <n v="1.32"/>
    <s v="Drama"/>
  </r>
  <r>
    <s v="acee18e9-c039-434c-9c7b-8a2bb81bf19f"/>
    <n v="58"/>
    <s v="Female"/>
    <s v="Premium"/>
    <n v="4.41"/>
    <x v="36"/>
    <x v="3"/>
    <x v="2"/>
    <n v="17.989999999999998"/>
    <n v="1"/>
    <n v="17.989999999999998"/>
    <x v="3"/>
    <n v="5"/>
    <n v="0.11"/>
    <s v="Documentary"/>
  </r>
  <r>
    <s v="6e346808-c15b-472c-ab5a-83cc8f70c8cb"/>
    <n v="54"/>
    <s v="Male"/>
    <s v="Standard"/>
    <n v="3.47"/>
    <x v="43"/>
    <x v="1"/>
    <x v="2"/>
    <n v="13.99"/>
    <n v="1"/>
    <n v="13.99"/>
    <x v="1"/>
    <n v="5"/>
    <n v="0.11"/>
    <s v="Sci-Fi"/>
  </r>
  <r>
    <s v="786dbd2b-3739-4c1b-946b-6c101f827832"/>
    <n v="61"/>
    <s v="Female"/>
    <s v="Basic"/>
    <n v="6.52"/>
    <x v="5"/>
    <x v="0"/>
    <x v="0"/>
    <n v="8.99"/>
    <n v="0"/>
    <n v="0"/>
    <x v="4"/>
    <n v="4"/>
    <n v="0.24"/>
    <s v="Horror"/>
  </r>
  <r>
    <s v="1c44e21b-8dc4-4deb-b0a5-67556fbdf4a2"/>
    <n v="24"/>
    <s v="Other"/>
    <s v="Premium"/>
    <n v="18.309999999999999"/>
    <x v="29"/>
    <x v="5"/>
    <x v="2"/>
    <n v="17.989999999999998"/>
    <n v="1"/>
    <n v="17.989999999999998"/>
    <x v="2"/>
    <n v="1"/>
    <n v="0.4"/>
    <s v="Sci-Fi"/>
  </r>
  <r>
    <s v="a300bc71-2231-406c-953c-92a9a5ecbd89"/>
    <n v="57"/>
    <s v="Male"/>
    <s v="Premium"/>
    <n v="4.08"/>
    <x v="16"/>
    <x v="1"/>
    <x v="0"/>
    <n v="17.989999999999998"/>
    <n v="1"/>
    <n v="17.989999999999998"/>
    <x v="4"/>
    <n v="1"/>
    <n v="0.15"/>
    <s v="Horror"/>
  </r>
  <r>
    <s v="4c1eec06-5abb-4b67-a976-0a1b307004ce"/>
    <n v="41"/>
    <s v="Female"/>
    <s v="Premium"/>
    <n v="0.43"/>
    <x v="46"/>
    <x v="3"/>
    <x v="1"/>
    <n v="17.989999999999998"/>
    <n v="0"/>
    <n v="0"/>
    <x v="0"/>
    <n v="5"/>
    <n v="0.14000000000000001"/>
    <s v="Horror"/>
  </r>
  <r>
    <s v="7dab1ac1-07b0-43d7-a665-63d71f903c49"/>
    <n v="28"/>
    <s v="Female"/>
    <s v="Basic"/>
    <n v="46.68"/>
    <x v="2"/>
    <x v="2"/>
    <x v="3"/>
    <n v="8.99"/>
    <n v="0"/>
    <n v="0"/>
    <x v="3"/>
    <n v="1"/>
    <n v="4.24"/>
    <s v="Sci-Fi"/>
  </r>
  <r>
    <s v="d66b7151-9251-4e63-8bac-8784764de25b"/>
    <n v="64"/>
    <s v="Other"/>
    <s v="Basic"/>
    <n v="3.84"/>
    <x v="10"/>
    <x v="0"/>
    <x v="4"/>
    <n v="8.99"/>
    <n v="1"/>
    <n v="8.99"/>
    <x v="4"/>
    <n v="1"/>
    <n v="0.1"/>
    <s v="Documentary"/>
  </r>
  <r>
    <s v="d7fe9858-9131-4293-9ab0-88f6275949f8"/>
    <n v="26"/>
    <s v="Male"/>
    <s v="Basic"/>
    <n v="30.34"/>
    <x v="53"/>
    <x v="2"/>
    <x v="2"/>
    <n v="8.99"/>
    <n v="0"/>
    <n v="0"/>
    <x v="4"/>
    <n v="5"/>
    <n v="0.71"/>
    <s v="Horror"/>
  </r>
  <r>
    <s v="3f1a1195-8bb2-439e-8b0b-09b02dacda0d"/>
    <n v="30"/>
    <s v="Female"/>
    <s v="Standard"/>
    <n v="8.01"/>
    <x v="15"/>
    <x v="2"/>
    <x v="2"/>
    <n v="13.99"/>
    <n v="1"/>
    <n v="13.99"/>
    <x v="1"/>
    <n v="2"/>
    <n v="0.2"/>
    <s v="Romance"/>
  </r>
  <r>
    <s v="861019e6-124d-4a7b-8c20-0ea5f85f4b04"/>
    <n v="18"/>
    <s v="Female"/>
    <s v="Basic"/>
    <n v="20.25"/>
    <x v="49"/>
    <x v="4"/>
    <x v="4"/>
    <n v="8.99"/>
    <n v="0"/>
    <n v="0"/>
    <x v="0"/>
    <n v="3"/>
    <n v="2.02"/>
    <s v="Romance"/>
  </r>
  <r>
    <s v="0caa27d1-1f18-4fa5-97ce-a1656248d78e"/>
    <n v="20"/>
    <s v="Other"/>
    <s v="Standard"/>
    <n v="18.309999999999999"/>
    <x v="45"/>
    <x v="3"/>
    <x v="2"/>
    <n v="13.99"/>
    <n v="1"/>
    <n v="13.99"/>
    <x v="4"/>
    <n v="1"/>
    <n v="0.44"/>
    <s v="Romance"/>
  </r>
  <r>
    <s v="e2acf824-f42f-4e3b-b767-2d1a38910ce4"/>
    <n v="61"/>
    <s v="Male"/>
    <s v="Standard"/>
    <n v="6.79"/>
    <x v="27"/>
    <x v="2"/>
    <x v="3"/>
    <n v="13.99"/>
    <n v="0"/>
    <n v="0"/>
    <x v="0"/>
    <n v="5"/>
    <n v="0.4"/>
    <s v="Comedy"/>
  </r>
  <r>
    <s v="c9a4793a-ad86-4111-9021-3b66af99fbfb"/>
    <n v="68"/>
    <s v="Other"/>
    <s v="Basic"/>
    <n v="2.48"/>
    <x v="25"/>
    <x v="2"/>
    <x v="4"/>
    <n v="8.99"/>
    <n v="0"/>
    <n v="0"/>
    <x v="4"/>
    <n v="3"/>
    <n v="2.48"/>
    <s v="Horror"/>
  </r>
  <r>
    <s v="704af732-4f2c-47bd-8005-51eaee71c3bb"/>
    <n v="59"/>
    <s v="Other"/>
    <s v="Premium"/>
    <n v="1.1200000000000001"/>
    <x v="4"/>
    <x v="5"/>
    <x v="4"/>
    <n v="17.989999999999998"/>
    <n v="1"/>
    <n v="17.989999999999998"/>
    <x v="1"/>
    <n v="2"/>
    <n v="0.08"/>
    <s v="Drama"/>
  </r>
  <r>
    <s v="a6439c47-77e6-4c51-b834-0f66b0f1a239"/>
    <n v="48"/>
    <s v="Female"/>
    <s v="Premium"/>
    <n v="9.65"/>
    <x v="57"/>
    <x v="3"/>
    <x v="2"/>
    <n v="17.989999999999998"/>
    <n v="1"/>
    <n v="17.989999999999998"/>
    <x v="0"/>
    <n v="4"/>
    <n v="0.16"/>
    <s v="Drama"/>
  </r>
  <r>
    <s v="9344e6e8-32e7-4867-a514-a51882b6ab16"/>
    <n v="40"/>
    <s v="Other"/>
    <s v="Premium"/>
    <n v="1.2"/>
    <x v="13"/>
    <x v="0"/>
    <x v="4"/>
    <n v="17.989999999999998"/>
    <n v="1"/>
    <n v="17.989999999999998"/>
    <x v="3"/>
    <n v="1"/>
    <n v="0.15"/>
    <s v="Action"/>
  </r>
  <r>
    <s v="02629028-5476-4dad-b44b-0c284f757874"/>
    <n v="56"/>
    <s v="Female"/>
    <s v="Basic"/>
    <n v="2.23"/>
    <x v="5"/>
    <x v="0"/>
    <x v="4"/>
    <n v="8.99"/>
    <n v="1"/>
    <n v="8.99"/>
    <x v="4"/>
    <n v="5"/>
    <n v="0.08"/>
    <s v="Documentary"/>
  </r>
  <r>
    <s v="9e919388-ff51-4cf3-a822-a64ebac6a825"/>
    <n v="27"/>
    <s v="Other"/>
    <s v="Standard"/>
    <n v="22.68"/>
    <x v="29"/>
    <x v="5"/>
    <x v="2"/>
    <n v="13.99"/>
    <n v="0"/>
    <n v="0"/>
    <x v="1"/>
    <n v="3"/>
    <n v="0.49"/>
    <s v="Sci-Fi"/>
  </r>
  <r>
    <s v="af47b2dd-417b-4542-8f5f-34d5f6940e36"/>
    <n v="46"/>
    <s v="Female"/>
    <s v="Standard"/>
    <n v="19.63"/>
    <x v="41"/>
    <x v="5"/>
    <x v="1"/>
    <n v="13.99"/>
    <n v="0"/>
    <n v="0"/>
    <x v="4"/>
    <n v="1"/>
    <n v="0.63"/>
    <s v="Comedy"/>
  </r>
  <r>
    <s v="4403409b-c5ff-4f1d-85b6-d7d26093f6a3"/>
    <n v="43"/>
    <s v="Female"/>
    <s v="Basic"/>
    <n v="0.69"/>
    <x v="36"/>
    <x v="4"/>
    <x v="2"/>
    <n v="8.99"/>
    <n v="1"/>
    <n v="8.99"/>
    <x v="2"/>
    <n v="1"/>
    <n v="0.02"/>
    <s v="Action"/>
  </r>
  <r>
    <s v="c46da64b-c643-414b-9c74-f9c9cfd93905"/>
    <n v="21"/>
    <s v="Other"/>
    <s v="Standard"/>
    <n v="2.5099999999999998"/>
    <x v="1"/>
    <x v="4"/>
    <x v="1"/>
    <n v="13.99"/>
    <n v="1"/>
    <n v="13.99"/>
    <x v="1"/>
    <n v="2"/>
    <n v="0.13"/>
    <s v="Drama"/>
  </r>
  <r>
    <s v="c1d847e8-da01-4f2c-ad47-5ca849b92f6d"/>
    <n v="23"/>
    <s v="Other"/>
    <s v="Basic"/>
    <n v="5.62"/>
    <x v="49"/>
    <x v="0"/>
    <x v="4"/>
    <n v="8.99"/>
    <n v="0"/>
    <n v="0"/>
    <x v="0"/>
    <n v="4"/>
    <n v="0.56000000000000005"/>
    <s v="Documentary"/>
  </r>
  <r>
    <s v="beba695f-a5c0-4418-a080-59fc806ea0c6"/>
    <n v="58"/>
    <s v="Other"/>
    <s v="Basic"/>
    <n v="6.01"/>
    <x v="3"/>
    <x v="5"/>
    <x v="3"/>
    <n v="8.99"/>
    <n v="0"/>
    <n v="0"/>
    <x v="2"/>
    <n v="2"/>
    <n v="0.46"/>
    <s v="Comedy"/>
  </r>
  <r>
    <s v="722ad842-9f84-4f22-ba03-ec58ac6c23da"/>
    <n v="65"/>
    <s v="Other"/>
    <s v="Premium"/>
    <n v="2.42"/>
    <x v="26"/>
    <x v="0"/>
    <x v="3"/>
    <n v="17.989999999999998"/>
    <n v="1"/>
    <n v="17.989999999999998"/>
    <x v="0"/>
    <n v="2"/>
    <n v="0.05"/>
    <s v="Comedy"/>
  </r>
  <r>
    <s v="6ca95308-1b7d-40a9-a8ff-fc292007d82f"/>
    <n v="54"/>
    <s v="Female"/>
    <s v="Standard"/>
    <n v="8.41"/>
    <x v="22"/>
    <x v="5"/>
    <x v="1"/>
    <n v="13.99"/>
    <n v="1"/>
    <n v="13.99"/>
    <x v="1"/>
    <n v="4"/>
    <n v="0.15"/>
    <s v="Sci-Fi"/>
  </r>
  <r>
    <s v="615e7406-59c1-43a1-a7c2-21eebf7b480b"/>
    <n v="31"/>
    <s v="Male"/>
    <s v="Basic"/>
    <n v="4.58"/>
    <x v="5"/>
    <x v="5"/>
    <x v="3"/>
    <n v="8.99"/>
    <n v="1"/>
    <n v="8.99"/>
    <x v="3"/>
    <n v="2"/>
    <n v="0.17"/>
    <s v="Action"/>
  </r>
  <r>
    <s v="6165db84-db8d-46ac-b332-1c3c11a6a0d0"/>
    <n v="20"/>
    <s v="Female"/>
    <s v="Premium"/>
    <n v="9.4600000000000009"/>
    <x v="28"/>
    <x v="5"/>
    <x v="1"/>
    <n v="17.989999999999998"/>
    <n v="1"/>
    <n v="17.989999999999998"/>
    <x v="1"/>
    <n v="2"/>
    <n v="0.26"/>
    <s v="Sci-Fi"/>
  </r>
  <r>
    <s v="e4a0a6b2-3105-4153-8233-36a82a6f9b11"/>
    <n v="54"/>
    <s v="Female"/>
    <s v="Premium"/>
    <n v="11.96"/>
    <x v="42"/>
    <x v="3"/>
    <x v="3"/>
    <n v="17.989999999999998"/>
    <n v="1"/>
    <n v="17.989999999999998"/>
    <x v="0"/>
    <n v="3"/>
    <n v="0.31"/>
    <s v="Romance"/>
  </r>
  <r>
    <s v="2d92d684-bf9c-4dbf-a3ee-f28d0a610007"/>
    <n v="57"/>
    <s v="Other"/>
    <s v="Premium"/>
    <n v="10.029999999999999"/>
    <x v="38"/>
    <x v="0"/>
    <x v="4"/>
    <n v="17.989999999999998"/>
    <n v="0"/>
    <n v="0"/>
    <x v="4"/>
    <n v="2"/>
    <n v="0.46"/>
    <s v="Horror"/>
  </r>
  <r>
    <s v="09861433-8978-4198-a3f3-51e0cbe5b9a0"/>
    <n v="40"/>
    <s v="Other"/>
    <s v="Standard"/>
    <n v="14.34"/>
    <x v="31"/>
    <x v="5"/>
    <x v="3"/>
    <n v="13.99"/>
    <n v="0"/>
    <n v="0"/>
    <x v="2"/>
    <n v="1"/>
    <n v="0.9"/>
    <s v="Sci-Fi"/>
  </r>
  <r>
    <s v="32f4e267-4894-4705-9abb-d834e5c51501"/>
    <n v="65"/>
    <s v="Other"/>
    <s v="Premium"/>
    <n v="0.47"/>
    <x v="33"/>
    <x v="2"/>
    <x v="0"/>
    <n v="17.989999999999998"/>
    <n v="1"/>
    <n v="17.989999999999998"/>
    <x v="2"/>
    <n v="3"/>
    <n v="0.02"/>
    <s v="Drama"/>
  </r>
  <r>
    <s v="a566dd67-1290-4278-8cc9-fd29e99a7aa6"/>
    <n v="21"/>
    <s v="Male"/>
    <s v="Premium"/>
    <n v="1.3"/>
    <x v="4"/>
    <x v="3"/>
    <x v="4"/>
    <n v="17.989999999999998"/>
    <n v="1"/>
    <n v="17.989999999999998"/>
    <x v="3"/>
    <n v="2"/>
    <n v="0.09"/>
    <s v="Documentary"/>
  </r>
  <r>
    <s v="ad8ed552-77c0-494b-a820-0ff9eb72124d"/>
    <n v="60"/>
    <s v="Other"/>
    <s v="Basic"/>
    <n v="9.7100000000000009"/>
    <x v="44"/>
    <x v="5"/>
    <x v="4"/>
    <n v="8.99"/>
    <n v="1"/>
    <n v="8.99"/>
    <x v="2"/>
    <n v="5"/>
    <n v="0.21"/>
    <s v="Action"/>
  </r>
  <r>
    <s v="3497e92a-d299-4252-b5e1-b77c3424dd97"/>
    <n v="38"/>
    <s v="Other"/>
    <s v="Premium"/>
    <n v="20.79"/>
    <x v="38"/>
    <x v="2"/>
    <x v="0"/>
    <n v="17.989999999999998"/>
    <n v="0"/>
    <n v="0"/>
    <x v="4"/>
    <n v="4"/>
    <n v="0.94"/>
    <s v="Horror"/>
  </r>
  <r>
    <s v="cc89e609-6ccc-496f-b4ae-de53496d3706"/>
    <n v="57"/>
    <s v="Other"/>
    <s v="Standard"/>
    <n v="31.69"/>
    <x v="20"/>
    <x v="1"/>
    <x v="1"/>
    <n v="13.99"/>
    <n v="0"/>
    <n v="0"/>
    <x v="3"/>
    <n v="4"/>
    <n v="1.67"/>
    <s v="Sci-Fi"/>
  </r>
  <r>
    <s v="d1abaf68-4ead-452c-9916-921a55246557"/>
    <n v="38"/>
    <s v="Other"/>
    <s v="Basic"/>
    <n v="11.42"/>
    <x v="59"/>
    <x v="4"/>
    <x v="2"/>
    <n v="8.99"/>
    <n v="0"/>
    <n v="0"/>
    <x v="1"/>
    <n v="5"/>
    <n v="1.9"/>
    <s v="Romance"/>
  </r>
  <r>
    <s v="f872f7f1-9736-4b28-a268-51c252774a54"/>
    <n v="43"/>
    <s v="Female"/>
    <s v="Premium"/>
    <n v="17.91"/>
    <x v="5"/>
    <x v="0"/>
    <x v="3"/>
    <n v="17.989999999999998"/>
    <n v="0"/>
    <n v="0"/>
    <x v="0"/>
    <n v="1"/>
    <n v="0.66"/>
    <s v="Action"/>
  </r>
  <r>
    <s v="b86bed59-f60a-4ad4-ad4d-1011bda4d143"/>
    <n v="62"/>
    <s v="Female"/>
    <s v="Premium"/>
    <n v="5.32"/>
    <x v="21"/>
    <x v="2"/>
    <x v="2"/>
    <n v="17.989999999999998"/>
    <n v="0"/>
    <n v="0"/>
    <x v="2"/>
    <n v="5"/>
    <n v="0.76"/>
    <s v="Drama"/>
  </r>
  <r>
    <s v="7f1d805c-7098-481c-aa5a-d4c06ab3b77c"/>
    <n v="27"/>
    <s v="Female"/>
    <s v="Premium"/>
    <n v="23.17"/>
    <x v="9"/>
    <x v="5"/>
    <x v="2"/>
    <n v="17.989999999999998"/>
    <n v="0"/>
    <n v="0"/>
    <x v="2"/>
    <n v="3"/>
    <n v="0.63"/>
    <s v="Drama"/>
  </r>
  <r>
    <s v="a3eeb138-744f-4bfb-87bf-72f794b2290a"/>
    <n v="47"/>
    <s v="Other"/>
    <s v="Premium"/>
    <n v="3.99"/>
    <x v="23"/>
    <x v="0"/>
    <x v="1"/>
    <n v="17.989999999999998"/>
    <n v="1"/>
    <n v="17.989999999999998"/>
    <x v="0"/>
    <n v="2"/>
    <n v="7.0000000000000007E-2"/>
    <s v="Sci-Fi"/>
  </r>
  <r>
    <s v="2a99d3ad-4874-4d00-a714-5e17ab8be70e"/>
    <n v="49"/>
    <s v="Male"/>
    <s v="Basic"/>
    <n v="3.34"/>
    <x v="34"/>
    <x v="0"/>
    <x v="2"/>
    <n v="8.99"/>
    <n v="1"/>
    <n v="8.99"/>
    <x v="4"/>
    <n v="5"/>
    <n v="7.0000000000000007E-2"/>
    <s v="Sci-Fi"/>
  </r>
  <r>
    <s v="871fbc03-cc9a-4915-a0b2-1b53fa2ea19e"/>
    <n v="29"/>
    <s v="Female"/>
    <s v="Basic"/>
    <n v="1.46"/>
    <x v="50"/>
    <x v="1"/>
    <x v="0"/>
    <n v="8.99"/>
    <n v="1"/>
    <n v="8.99"/>
    <x v="1"/>
    <n v="3"/>
    <n v="0.03"/>
    <s v="Sci-Fi"/>
  </r>
  <r>
    <s v="59c9af14-e6e7-42b9-bfc6-1e3f7b529c79"/>
    <n v="41"/>
    <s v="Other"/>
    <s v="Standard"/>
    <n v="12.78"/>
    <x v="26"/>
    <x v="1"/>
    <x v="3"/>
    <n v="13.99"/>
    <n v="1"/>
    <n v="13.99"/>
    <x v="1"/>
    <n v="5"/>
    <n v="0.26"/>
    <s v="Sci-Fi"/>
  </r>
  <r>
    <s v="c8389b66-987e-42cb-a884-a424dd8b6eef"/>
    <n v="29"/>
    <s v="Male"/>
    <s v="Premium"/>
    <n v="7.18"/>
    <x v="11"/>
    <x v="1"/>
    <x v="3"/>
    <n v="17.989999999999998"/>
    <n v="0"/>
    <n v="0"/>
    <x v="2"/>
    <n v="1"/>
    <n v="0.3"/>
    <s v="Horror"/>
  </r>
  <r>
    <s v="f0f2e301-21e8-4b5c-9b1a-69e650630e83"/>
    <n v="55"/>
    <s v="Female"/>
    <s v="Premium"/>
    <n v="12.82"/>
    <x v="58"/>
    <x v="4"/>
    <x v="1"/>
    <n v="17.989999999999998"/>
    <n v="1"/>
    <n v="17.989999999999998"/>
    <x v="0"/>
    <n v="3"/>
    <n v="0.27"/>
    <s v="Horror"/>
  </r>
  <r>
    <s v="2d60c768-c50a-462f-bcbf-e0d5a7715a9c"/>
    <n v="70"/>
    <s v="Female"/>
    <s v="Basic"/>
    <n v="12.97"/>
    <x v="8"/>
    <x v="4"/>
    <x v="2"/>
    <n v="8.99"/>
    <n v="1"/>
    <n v="8.99"/>
    <x v="0"/>
    <n v="5"/>
    <n v="0.37"/>
    <s v="Action"/>
  </r>
  <r>
    <s v="1dedd7bd-4abf-4f4b-8269-f4becf423ce2"/>
    <n v="23"/>
    <s v="Other"/>
    <s v="Basic"/>
    <n v="11.37"/>
    <x v="27"/>
    <x v="0"/>
    <x v="0"/>
    <n v="8.99"/>
    <n v="0"/>
    <n v="0"/>
    <x v="4"/>
    <n v="3"/>
    <n v="0.67"/>
    <s v="Horror"/>
  </r>
  <r>
    <s v="9cfcedf7-e40b-4540-ba12-84d6f04d55d9"/>
    <n v="25"/>
    <s v="Male"/>
    <s v="Premium"/>
    <n v="2.42"/>
    <x v="30"/>
    <x v="5"/>
    <x v="4"/>
    <n v="17.989999999999998"/>
    <n v="0"/>
    <n v="0"/>
    <x v="4"/>
    <n v="5"/>
    <n v="1.21"/>
    <s v="Sci-Fi"/>
  </r>
  <r>
    <s v="29f0d261-6fb7-4413-9e1b-e93d45e073bc"/>
    <n v="59"/>
    <s v="Male"/>
    <s v="Standard"/>
    <n v="22.89"/>
    <x v="10"/>
    <x v="0"/>
    <x v="0"/>
    <n v="13.99"/>
    <n v="0"/>
    <n v="0"/>
    <x v="3"/>
    <n v="4"/>
    <n v="0.59"/>
    <s v="Action"/>
  </r>
  <r>
    <s v="0f6eeb6a-a13b-49df-aa42-65048a3879e7"/>
    <n v="51"/>
    <s v="Other"/>
    <s v="Basic"/>
    <n v="7.53"/>
    <x v="36"/>
    <x v="0"/>
    <x v="1"/>
    <n v="8.99"/>
    <n v="1"/>
    <n v="8.99"/>
    <x v="4"/>
    <n v="3"/>
    <n v="0.19"/>
    <s v="Drama"/>
  </r>
  <r>
    <s v="867083ff-72cc-4bcb-a44f-442d4a12f7bd"/>
    <n v="46"/>
    <s v="Female"/>
    <s v="Standard"/>
    <n v="13.41"/>
    <x v="53"/>
    <x v="3"/>
    <x v="4"/>
    <n v="13.99"/>
    <n v="1"/>
    <n v="13.99"/>
    <x v="1"/>
    <n v="1"/>
    <n v="0.31"/>
    <s v="Drama"/>
  </r>
  <r>
    <s v="b1bc1db4-b670-44f7-a229-9ef130b67a3c"/>
    <n v="27"/>
    <s v="Other"/>
    <s v="Basic"/>
    <n v="6.89"/>
    <x v="21"/>
    <x v="1"/>
    <x v="4"/>
    <n v="8.99"/>
    <n v="0"/>
    <n v="0"/>
    <x v="4"/>
    <n v="5"/>
    <n v="0.98"/>
    <s v="Documentary"/>
  </r>
  <r>
    <s v="91b43c76-8109-4310-9b77-70ff596e5237"/>
    <n v="70"/>
    <s v="Female"/>
    <s v="Basic"/>
    <n v="20.64"/>
    <x v="8"/>
    <x v="0"/>
    <x v="1"/>
    <n v="8.99"/>
    <n v="1"/>
    <n v="8.99"/>
    <x v="1"/>
    <n v="1"/>
    <n v="0.59"/>
    <s v="Sci-Fi"/>
  </r>
  <r>
    <s v="f7ef1fac-89a3-46ec-856c-daadc20d6e44"/>
    <n v="66"/>
    <s v="Male"/>
    <s v="Standard"/>
    <n v="3.11"/>
    <x v="47"/>
    <x v="0"/>
    <x v="0"/>
    <n v="13.99"/>
    <n v="0"/>
    <n v="0"/>
    <x v="3"/>
    <n v="3"/>
    <n v="0.78"/>
    <s v="Comedy"/>
  </r>
  <r>
    <s v="9b063e64-9ae5-4e10-8b25-04d7859ac28c"/>
    <n v="68"/>
    <s v="Male"/>
    <s v="Basic"/>
    <n v="5.37"/>
    <x v="52"/>
    <x v="1"/>
    <x v="3"/>
    <n v="8.99"/>
    <n v="1"/>
    <n v="8.99"/>
    <x v="2"/>
    <n v="3"/>
    <n v="0.11"/>
    <s v="Documentary"/>
  </r>
  <r>
    <s v="250343bf-153a-4ecf-969c-591aae270fc8"/>
    <n v="41"/>
    <s v="Other"/>
    <s v="Premium"/>
    <n v="26.57"/>
    <x v="56"/>
    <x v="1"/>
    <x v="3"/>
    <n v="17.989999999999998"/>
    <n v="0"/>
    <n v="0"/>
    <x v="1"/>
    <n v="3"/>
    <n v="0.45"/>
    <s v="Comedy"/>
  </r>
  <r>
    <s v="3578445b-fdf1-4151-8f2b-22511480c2ef"/>
    <n v="41"/>
    <s v="Male"/>
    <s v="Basic"/>
    <n v="4.32"/>
    <x v="25"/>
    <x v="4"/>
    <x v="4"/>
    <n v="8.99"/>
    <n v="1"/>
    <n v="8.99"/>
    <x v="3"/>
    <n v="1"/>
    <n v="4.32"/>
    <s v="Horror"/>
  </r>
  <r>
    <s v="be23ec59-2fcc-4671-9283-33b1981584f0"/>
    <n v="35"/>
    <s v="Male"/>
    <s v="Premium"/>
    <n v="14.76"/>
    <x v="5"/>
    <x v="4"/>
    <x v="3"/>
    <n v="17.989999999999998"/>
    <n v="0"/>
    <n v="0"/>
    <x v="4"/>
    <n v="4"/>
    <n v="0.55000000000000004"/>
    <s v="Drama"/>
  </r>
  <r>
    <s v="354dd217-2718-4a52-9640-2100fce27845"/>
    <n v="27"/>
    <s v="Female"/>
    <s v="Standard"/>
    <n v="1.77"/>
    <x v="45"/>
    <x v="4"/>
    <x v="1"/>
    <n v="13.99"/>
    <n v="1"/>
    <n v="13.99"/>
    <x v="3"/>
    <n v="2"/>
    <n v="0.04"/>
    <s v="Horror"/>
  </r>
  <r>
    <s v="d9909eed-db58-4db5-b0e4-92b311601ab9"/>
    <n v="44"/>
    <s v="Other"/>
    <s v="Standard"/>
    <n v="2.14"/>
    <x v="17"/>
    <x v="2"/>
    <x v="3"/>
    <n v="13.99"/>
    <n v="1"/>
    <n v="13.99"/>
    <x v="1"/>
    <n v="2"/>
    <n v="0.43"/>
    <s v="Comedy"/>
  </r>
  <r>
    <s v="312afc5f-e59a-4e90-925d-2a8de08ec764"/>
    <n v="38"/>
    <s v="Other"/>
    <s v="Basic"/>
    <n v="53.06"/>
    <x v="22"/>
    <x v="0"/>
    <x v="2"/>
    <n v="8.99"/>
    <n v="0"/>
    <n v="0"/>
    <x v="3"/>
    <n v="4"/>
    <n v="0.95"/>
    <s v="Horror"/>
  </r>
  <r>
    <s v="75fc6d6b-4c43-4682-8151-3ca3b9669fb7"/>
    <n v="18"/>
    <s v="Female"/>
    <s v="Standard"/>
    <n v="1.71"/>
    <x v="52"/>
    <x v="4"/>
    <x v="0"/>
    <n v="13.99"/>
    <n v="1"/>
    <n v="13.99"/>
    <x v="3"/>
    <n v="3"/>
    <n v="0.03"/>
    <s v="Horror"/>
  </r>
  <r>
    <s v="88316c46-ce49-4f56-bed6-ac68ea711acf"/>
    <n v="58"/>
    <s v="Other"/>
    <s v="Premium"/>
    <n v="2.75"/>
    <x v="60"/>
    <x v="4"/>
    <x v="2"/>
    <n v="17.989999999999998"/>
    <n v="0"/>
    <n v="0"/>
    <x v="3"/>
    <n v="4"/>
    <n v="0.31"/>
    <s v="Documentary"/>
  </r>
  <r>
    <s v="301cb0ea-848e-4782-926b-70a7042cd3b8"/>
    <n v="58"/>
    <s v="Male"/>
    <s v="Premium"/>
    <n v="6.28"/>
    <x v="17"/>
    <x v="1"/>
    <x v="4"/>
    <n v="17.989999999999998"/>
    <n v="0"/>
    <n v="0"/>
    <x v="2"/>
    <n v="4"/>
    <n v="1.26"/>
    <s v="Drama"/>
  </r>
  <r>
    <s v="1aa2e994-3eb1-4bd3-88e9-1aa4c4aab306"/>
    <n v="70"/>
    <s v="Male"/>
    <s v="Basic"/>
    <n v="1.24"/>
    <x v="0"/>
    <x v="3"/>
    <x v="2"/>
    <n v="8.99"/>
    <n v="1"/>
    <n v="8.99"/>
    <x v="3"/>
    <n v="1"/>
    <n v="0.04"/>
    <s v="Horror"/>
  </r>
  <r>
    <s v="51c26840-b286-42ef-b074-77c2db6c31f5"/>
    <n v="38"/>
    <s v="Male"/>
    <s v="Basic"/>
    <n v="3.86"/>
    <x v="42"/>
    <x v="4"/>
    <x v="2"/>
    <n v="8.99"/>
    <n v="1"/>
    <n v="8.99"/>
    <x v="3"/>
    <n v="4"/>
    <n v="0.1"/>
    <s v="Romance"/>
  </r>
  <r>
    <s v="24e4bd86-3468-4e68-befb-bd4b6a6676a9"/>
    <n v="58"/>
    <s v="Other"/>
    <s v="Basic"/>
    <n v="14.3"/>
    <x v="19"/>
    <x v="4"/>
    <x v="0"/>
    <n v="8.99"/>
    <n v="1"/>
    <n v="8.99"/>
    <x v="4"/>
    <n v="2"/>
    <n v="0.33"/>
    <s v="Drama"/>
  </r>
  <r>
    <s v="9eca028c-ffdd-4958-9e30-b04a4d3b93bf"/>
    <n v="56"/>
    <s v="Other"/>
    <s v="Basic"/>
    <n v="9.1300000000000008"/>
    <x v="40"/>
    <x v="2"/>
    <x v="3"/>
    <n v="8.99"/>
    <n v="0"/>
    <n v="0"/>
    <x v="2"/>
    <n v="2"/>
    <n v="0.76"/>
    <s v="Romance"/>
  </r>
  <r>
    <s v="3d1d46bb-37e3-4347-84f6-1266325022c0"/>
    <n v="38"/>
    <s v="Female"/>
    <s v="Premium"/>
    <n v="4.12"/>
    <x v="50"/>
    <x v="3"/>
    <x v="4"/>
    <n v="17.989999999999998"/>
    <n v="1"/>
    <n v="17.989999999999998"/>
    <x v="0"/>
    <n v="1"/>
    <n v="7.0000000000000007E-2"/>
    <s v="Romance"/>
  </r>
  <r>
    <s v="054f20d6-02b1-4e8b-845e-85daac125a5a"/>
    <n v="70"/>
    <s v="Other"/>
    <s v="Standard"/>
    <n v="6.17"/>
    <x v="33"/>
    <x v="3"/>
    <x v="1"/>
    <n v="13.99"/>
    <n v="0"/>
    <n v="0"/>
    <x v="4"/>
    <n v="2"/>
    <n v="0.24"/>
    <s v="Drama"/>
  </r>
  <r>
    <s v="965f3ea1-7c9b-4640-bd10-d27c42163c65"/>
    <n v="61"/>
    <s v="Other"/>
    <s v="Premium"/>
    <n v="19.93"/>
    <x v="55"/>
    <x v="5"/>
    <x v="2"/>
    <n v="17.989999999999998"/>
    <n v="1"/>
    <n v="17.989999999999998"/>
    <x v="4"/>
    <n v="1"/>
    <n v="0.33"/>
    <s v="Action"/>
  </r>
  <r>
    <s v="d26df67f-9283-43be-be84-53d211ed7bf4"/>
    <n v="53"/>
    <s v="Female"/>
    <s v="Basic"/>
    <n v="7.94"/>
    <x v="3"/>
    <x v="1"/>
    <x v="1"/>
    <n v="8.99"/>
    <n v="0"/>
    <n v="0"/>
    <x v="3"/>
    <n v="1"/>
    <n v="0.61"/>
    <s v="Documentary"/>
  </r>
  <r>
    <s v="02ca32eb-bc08-4a92-8c39-ea2fe7612be9"/>
    <n v="53"/>
    <s v="Male"/>
    <s v="Premium"/>
    <n v="2.72"/>
    <x v="60"/>
    <x v="2"/>
    <x v="3"/>
    <n v="17.989999999999998"/>
    <n v="1"/>
    <n v="17.989999999999998"/>
    <x v="1"/>
    <n v="1"/>
    <n v="0.3"/>
    <s v="Romance"/>
  </r>
  <r>
    <s v="6bc3b8c6-8beb-4c8d-b43e-6f17e0280063"/>
    <n v="58"/>
    <s v="Female"/>
    <s v="Standard"/>
    <n v="17.989999999999998"/>
    <x v="60"/>
    <x v="4"/>
    <x v="0"/>
    <n v="13.99"/>
    <n v="0"/>
    <n v="0"/>
    <x v="2"/>
    <n v="1"/>
    <n v="2"/>
    <s v="Drama"/>
  </r>
  <r>
    <s v="aa6f379a-ce91-484e-b54e-c1223dd2a9c0"/>
    <n v="19"/>
    <s v="Female"/>
    <s v="Standard"/>
    <n v="0.17"/>
    <x v="8"/>
    <x v="1"/>
    <x v="2"/>
    <n v="13.99"/>
    <n v="1"/>
    <n v="13.99"/>
    <x v="0"/>
    <n v="3"/>
    <n v="0"/>
    <s v="Romance"/>
  </r>
  <r>
    <s v="1d3f0f36-3bb5-407a-a51b-4656e78996aa"/>
    <n v="47"/>
    <s v="Female"/>
    <s v="Basic"/>
    <n v="6.51"/>
    <x v="56"/>
    <x v="2"/>
    <x v="2"/>
    <n v="8.99"/>
    <n v="1"/>
    <n v="8.99"/>
    <x v="0"/>
    <n v="5"/>
    <n v="0.11"/>
    <s v="Documentary"/>
  </r>
  <r>
    <s v="8ab68b44-3c2f-41b6-b3b9-39b79bd94fa8"/>
    <n v="19"/>
    <s v="Other"/>
    <s v="Premium"/>
    <n v="0.24"/>
    <x v="17"/>
    <x v="3"/>
    <x v="3"/>
    <n v="17.989999999999998"/>
    <n v="0"/>
    <n v="0"/>
    <x v="0"/>
    <n v="4"/>
    <n v="0.05"/>
    <s v="Sci-Fi"/>
  </r>
  <r>
    <s v="108167e5-098a-4268-834b-c154d0500827"/>
    <n v="67"/>
    <s v="Other"/>
    <s v="Standard"/>
    <n v="15.34"/>
    <x v="36"/>
    <x v="5"/>
    <x v="2"/>
    <n v="13.99"/>
    <n v="1"/>
    <n v="13.99"/>
    <x v="4"/>
    <n v="2"/>
    <n v="0.38"/>
    <s v="Horror"/>
  </r>
  <r>
    <s v="20c8a7c5-8ed4-4b39-a8f3-244a4679ff09"/>
    <n v="47"/>
    <s v="Female"/>
    <s v="Basic"/>
    <n v="16.29"/>
    <x v="18"/>
    <x v="5"/>
    <x v="4"/>
    <n v="8.99"/>
    <n v="1"/>
    <n v="8.99"/>
    <x v="4"/>
    <n v="3"/>
    <n v="0.28000000000000003"/>
    <s v="Horror"/>
  </r>
  <r>
    <s v="f2f4b958-e361-4c93-afd5-3ce91d7b7165"/>
    <n v="25"/>
    <s v="Other"/>
    <s v="Basic"/>
    <n v="35.36"/>
    <x v="8"/>
    <x v="3"/>
    <x v="4"/>
    <n v="8.99"/>
    <n v="0"/>
    <n v="0"/>
    <x v="1"/>
    <n v="5"/>
    <n v="1.01"/>
    <s v="Sci-Fi"/>
  </r>
  <r>
    <s v="b305a860-7ad9-4d15-b67d-a8c5f7d04158"/>
    <n v="59"/>
    <s v="Female"/>
    <s v="Standard"/>
    <n v="20.89"/>
    <x v="16"/>
    <x v="0"/>
    <x v="2"/>
    <n v="13.99"/>
    <n v="0"/>
    <n v="0"/>
    <x v="2"/>
    <n v="2"/>
    <n v="0.75"/>
    <s v="Horror"/>
  </r>
  <r>
    <s v="6dfa61eb-b7eb-4d9f-979a-252808674892"/>
    <n v="39"/>
    <s v="Other"/>
    <s v="Premium"/>
    <n v="1.83"/>
    <x v="3"/>
    <x v="0"/>
    <x v="1"/>
    <n v="17.989999999999998"/>
    <n v="1"/>
    <n v="17.989999999999998"/>
    <x v="4"/>
    <n v="3"/>
    <n v="0.14000000000000001"/>
    <s v="Romance"/>
  </r>
  <r>
    <s v="58e23f86-3804-49d5-aad4-ddae9767076e"/>
    <n v="27"/>
    <s v="Other"/>
    <s v="Basic"/>
    <n v="65.86"/>
    <x v="15"/>
    <x v="1"/>
    <x v="1"/>
    <n v="8.99"/>
    <n v="0"/>
    <n v="0"/>
    <x v="2"/>
    <n v="5"/>
    <n v="1.61"/>
    <s v="Sci-Fi"/>
  </r>
  <r>
    <s v="d9ab0b45-1fd7-42b4-8cac-954c506f4b0b"/>
    <n v="68"/>
    <s v="Other"/>
    <s v="Premium"/>
    <n v="38.25"/>
    <x v="27"/>
    <x v="4"/>
    <x v="3"/>
    <n v="17.989999999999998"/>
    <n v="0"/>
    <n v="0"/>
    <x v="4"/>
    <n v="3"/>
    <n v="2.25"/>
    <s v="Sci-Fi"/>
  </r>
  <r>
    <s v="92f00f87-ff84-41ee-8555-81009d4b6d10"/>
    <n v="26"/>
    <s v="Other"/>
    <s v="Standard"/>
    <n v="24.14"/>
    <x v="20"/>
    <x v="3"/>
    <x v="2"/>
    <n v="13.99"/>
    <n v="0"/>
    <n v="0"/>
    <x v="2"/>
    <n v="1"/>
    <n v="1.27"/>
    <s v="Horror"/>
  </r>
  <r>
    <s v="8751780d-93c1-4eb9-8905-ec30ecc5cabd"/>
    <n v="49"/>
    <s v="Female"/>
    <s v="Standard"/>
    <n v="10.83"/>
    <x v="7"/>
    <x v="1"/>
    <x v="1"/>
    <n v="13.99"/>
    <n v="1"/>
    <n v="13.99"/>
    <x v="0"/>
    <n v="1"/>
    <n v="0.19"/>
    <s v="Sci-Fi"/>
  </r>
  <r>
    <s v="5e67d8d5-6502-4810-99de-205eff3fa834"/>
    <n v="41"/>
    <s v="Other"/>
    <s v="Basic"/>
    <n v="9.25"/>
    <x v="58"/>
    <x v="3"/>
    <x v="3"/>
    <n v="8.99"/>
    <n v="1"/>
    <n v="8.99"/>
    <x v="2"/>
    <n v="5"/>
    <n v="0.19"/>
    <s v="Drama"/>
  </r>
  <r>
    <s v="337d7132-8164-46fe-9481-78329007a7af"/>
    <n v="27"/>
    <s v="Male"/>
    <s v="Standard"/>
    <n v="0.43"/>
    <x v="16"/>
    <x v="1"/>
    <x v="2"/>
    <n v="13.99"/>
    <n v="1"/>
    <n v="13.99"/>
    <x v="3"/>
    <n v="2"/>
    <n v="0.02"/>
    <s v="Sci-Fi"/>
  </r>
  <r>
    <s v="09b2a1f5-8eed-45d8-b381-b3327cfcd14f"/>
    <n v="20"/>
    <s v="Male"/>
    <s v="Standard"/>
    <n v="41.67"/>
    <x v="35"/>
    <x v="3"/>
    <x v="4"/>
    <n v="13.99"/>
    <n v="0"/>
    <n v="0"/>
    <x v="2"/>
    <n v="2"/>
    <n v="0.93"/>
    <s v="Sci-Fi"/>
  </r>
  <r>
    <s v="3fad7427-ca8a-45c7-8ace-23b3cfa8b921"/>
    <n v="51"/>
    <s v="Other"/>
    <s v="Premium"/>
    <n v="8"/>
    <x v="40"/>
    <x v="4"/>
    <x v="0"/>
    <n v="17.989999999999998"/>
    <n v="0"/>
    <n v="0"/>
    <x v="1"/>
    <n v="1"/>
    <n v="0.67"/>
    <s v="Sci-Fi"/>
  </r>
  <r>
    <s v="18780a36-d9e5-4aa3-ad15-3c6d0fb16344"/>
    <n v="32"/>
    <s v="Other"/>
    <s v="Standard"/>
    <n v="21.32"/>
    <x v="4"/>
    <x v="2"/>
    <x v="4"/>
    <n v="13.99"/>
    <n v="0"/>
    <n v="0"/>
    <x v="1"/>
    <n v="5"/>
    <n v="1.52"/>
    <s v="Sci-Fi"/>
  </r>
  <r>
    <s v="55a3fde3-633f-4391-8622-3375e3fa49b7"/>
    <n v="23"/>
    <s v="Female"/>
    <s v="Standard"/>
    <n v="31.27"/>
    <x v="2"/>
    <x v="3"/>
    <x v="1"/>
    <n v="13.99"/>
    <n v="0"/>
    <n v="0"/>
    <x v="2"/>
    <n v="4"/>
    <n v="2.84"/>
    <s v="Drama"/>
  </r>
  <r>
    <s v="1e9b1aeb-5474-4b08-8588-d736f184d8fe"/>
    <n v="60"/>
    <s v="Male"/>
    <s v="Standard"/>
    <n v="14.57"/>
    <x v="15"/>
    <x v="0"/>
    <x v="0"/>
    <n v="13.99"/>
    <n v="1"/>
    <n v="13.99"/>
    <x v="0"/>
    <n v="4"/>
    <n v="0.36"/>
    <s v="Romance"/>
  </r>
  <r>
    <s v="1f81b811-5888-4bae-83fd-50155e50c4da"/>
    <n v="39"/>
    <s v="Other"/>
    <s v="Standard"/>
    <n v="8.27"/>
    <x v="9"/>
    <x v="4"/>
    <x v="2"/>
    <n v="13.99"/>
    <n v="1"/>
    <n v="13.99"/>
    <x v="0"/>
    <n v="2"/>
    <n v="0.22"/>
    <s v="Documentary"/>
  </r>
  <r>
    <s v="3b6f4e0f-3b8f-43a4-b7cb-806e26bf35d5"/>
    <n v="70"/>
    <s v="Male"/>
    <s v="Basic"/>
    <n v="5.45"/>
    <x v="53"/>
    <x v="4"/>
    <x v="1"/>
    <n v="8.99"/>
    <n v="1"/>
    <n v="8.99"/>
    <x v="0"/>
    <n v="5"/>
    <n v="0.13"/>
    <s v="Drama"/>
  </r>
  <r>
    <s v="6dce1b4d-a8d3-4f5a-94dc-b0fe742371df"/>
    <n v="34"/>
    <s v="Male"/>
    <s v="Standard"/>
    <n v="22.28"/>
    <x v="48"/>
    <x v="4"/>
    <x v="1"/>
    <n v="13.99"/>
    <n v="0"/>
    <n v="0"/>
    <x v="3"/>
    <n v="1"/>
    <n v="0.43"/>
    <s v="Drama"/>
  </r>
  <r>
    <s v="534229c3-8f50-4913-9f38-ceb0de98fa82"/>
    <n v="42"/>
    <s v="Male"/>
    <s v="Basic"/>
    <n v="14.77"/>
    <x v="0"/>
    <x v="1"/>
    <x v="1"/>
    <n v="8.99"/>
    <n v="1"/>
    <n v="8.99"/>
    <x v="0"/>
    <n v="3"/>
    <n v="0.49"/>
    <s v="Horror"/>
  </r>
  <r>
    <s v="ff43bebc-c143-44c4-bc18-643f1fab423c"/>
    <n v="32"/>
    <s v="Female"/>
    <s v="Standard"/>
    <n v="2.34"/>
    <x v="14"/>
    <x v="3"/>
    <x v="1"/>
    <n v="13.99"/>
    <n v="1"/>
    <n v="13.99"/>
    <x v="1"/>
    <n v="5"/>
    <n v="7.0000000000000007E-2"/>
    <s v="Action"/>
  </r>
  <r>
    <s v="eb64992f-d352-47d7-afb7-c03dd58cdba6"/>
    <n v="50"/>
    <s v="Other"/>
    <s v="Premium"/>
    <n v="21.92"/>
    <x v="21"/>
    <x v="2"/>
    <x v="1"/>
    <n v="17.989999999999998"/>
    <n v="0"/>
    <n v="0"/>
    <x v="3"/>
    <n v="1"/>
    <n v="3.13"/>
    <s v="Documentary"/>
  </r>
  <r>
    <s v="15f25fe0-0224-44b0-a150-2afc797b5cd5"/>
    <n v="26"/>
    <s v="Male"/>
    <s v="Standard"/>
    <n v="2.48"/>
    <x v="7"/>
    <x v="2"/>
    <x v="2"/>
    <n v="13.99"/>
    <n v="1"/>
    <n v="13.99"/>
    <x v="4"/>
    <n v="4"/>
    <n v="0.04"/>
    <s v="Documentary"/>
  </r>
  <r>
    <s v="319e82a6-0499-4d27-9f10-f3c05154c3a0"/>
    <n v="29"/>
    <s v="Other"/>
    <s v="Premium"/>
    <n v="16.41"/>
    <x v="33"/>
    <x v="4"/>
    <x v="1"/>
    <n v="17.989999999999998"/>
    <n v="0"/>
    <n v="0"/>
    <x v="3"/>
    <n v="5"/>
    <n v="0.63"/>
    <s v="Drama"/>
  </r>
  <r>
    <s v="60edeb0f-1d93-4636-ad6d-7aafabfe9220"/>
    <n v="60"/>
    <s v="Female"/>
    <s v="Standard"/>
    <n v="9.16"/>
    <x v="42"/>
    <x v="5"/>
    <x v="4"/>
    <n v="13.99"/>
    <n v="1"/>
    <n v="13.99"/>
    <x v="0"/>
    <n v="5"/>
    <n v="0.24"/>
    <s v="Romance"/>
  </r>
  <r>
    <s v="1d13d8f1-ee57-45e2-981a-5ec74bc67f1d"/>
    <n v="58"/>
    <s v="Male"/>
    <s v="Premium"/>
    <n v="11.98"/>
    <x v="45"/>
    <x v="4"/>
    <x v="4"/>
    <n v="17.989999999999998"/>
    <n v="1"/>
    <n v="17.989999999999998"/>
    <x v="1"/>
    <n v="4"/>
    <n v="0.28999999999999998"/>
    <s v="Romance"/>
  </r>
  <r>
    <s v="132eb3c0-beb0-4236-8684-bb3e2fc8cec9"/>
    <n v="55"/>
    <s v="Female"/>
    <s v="Standard"/>
    <n v="14.39"/>
    <x v="50"/>
    <x v="3"/>
    <x v="0"/>
    <n v="13.99"/>
    <n v="1"/>
    <n v="13.99"/>
    <x v="4"/>
    <n v="3"/>
    <n v="0.26"/>
    <s v="Romance"/>
  </r>
  <r>
    <s v="cc7b109f-a26d-466b-aee5-eea0b7709004"/>
    <n v="60"/>
    <s v="Male"/>
    <s v="Premium"/>
    <n v="9.15"/>
    <x v="20"/>
    <x v="3"/>
    <x v="3"/>
    <n v="17.989999999999998"/>
    <n v="0"/>
    <n v="0"/>
    <x v="2"/>
    <n v="1"/>
    <n v="0.48"/>
    <s v="Drama"/>
  </r>
  <r>
    <s v="48b066a3-ba77-444f-ac80-33a8b5921cea"/>
    <n v="24"/>
    <s v="Other"/>
    <s v="Premium"/>
    <n v="2.98"/>
    <x v="40"/>
    <x v="1"/>
    <x v="0"/>
    <n v="17.989999999999998"/>
    <n v="1"/>
    <n v="17.989999999999998"/>
    <x v="3"/>
    <n v="2"/>
    <n v="0.25"/>
    <s v="Drama"/>
  </r>
  <r>
    <s v="892b51bc-17bf-44f1-a629-5ab54394fc90"/>
    <n v="30"/>
    <s v="Male"/>
    <s v="Standard"/>
    <n v="29.21"/>
    <x v="46"/>
    <x v="2"/>
    <x v="1"/>
    <n v="13.99"/>
    <n v="0"/>
    <n v="0"/>
    <x v="3"/>
    <n v="3"/>
    <n v="9.74"/>
    <s v="Romance"/>
  </r>
  <r>
    <s v="e469dd14-2b8e-4054-b091-b7e45361ed5e"/>
    <n v="44"/>
    <s v="Female"/>
    <s v="Premium"/>
    <n v="9.89"/>
    <x v="33"/>
    <x v="4"/>
    <x v="3"/>
    <n v="17.989999999999998"/>
    <n v="0"/>
    <n v="0"/>
    <x v="4"/>
    <n v="4"/>
    <n v="0.38"/>
    <s v="Comedy"/>
  </r>
  <r>
    <s v="72227fe7-9cb6-4220-8596-0bcad0d4d3e4"/>
    <n v="63"/>
    <s v="Other"/>
    <s v="Basic"/>
    <n v="18.77"/>
    <x v="7"/>
    <x v="4"/>
    <x v="1"/>
    <n v="8.99"/>
    <n v="1"/>
    <n v="8.99"/>
    <x v="1"/>
    <n v="2"/>
    <n v="0.33"/>
    <s v="Sci-Fi"/>
  </r>
  <r>
    <s v="53bc3af1-7d15-47c2-a0e0-d07714326d65"/>
    <n v="22"/>
    <s v="Male"/>
    <s v="Standard"/>
    <n v="13.57"/>
    <x v="47"/>
    <x v="3"/>
    <x v="4"/>
    <n v="13.99"/>
    <n v="0"/>
    <n v="0"/>
    <x v="2"/>
    <n v="4"/>
    <n v="3.39"/>
    <s v="Documentary"/>
  </r>
  <r>
    <s v="8cab77af-0730-4c99-abfa-9322d9cd1e3f"/>
    <n v="49"/>
    <s v="Male"/>
    <s v="Standard"/>
    <n v="3.91"/>
    <x v="2"/>
    <x v="3"/>
    <x v="0"/>
    <n v="13.99"/>
    <n v="1"/>
    <n v="13.99"/>
    <x v="0"/>
    <n v="3"/>
    <n v="0.36"/>
    <s v="Romance"/>
  </r>
  <r>
    <s v="6af66e55-75f5-4b4b-8cc6-59f5b1a12687"/>
    <n v="46"/>
    <s v="Other"/>
    <s v="Standard"/>
    <n v="16.420000000000002"/>
    <x v="56"/>
    <x v="0"/>
    <x v="1"/>
    <n v="13.99"/>
    <n v="1"/>
    <n v="13.99"/>
    <x v="2"/>
    <n v="2"/>
    <n v="0.28000000000000003"/>
    <s v="Comedy"/>
  </r>
  <r>
    <s v="74a351ad-a105-47a3-8788-be27f4901415"/>
    <n v="46"/>
    <s v="Female"/>
    <s v="Premium"/>
    <n v="2.09"/>
    <x v="9"/>
    <x v="5"/>
    <x v="1"/>
    <n v="17.989999999999998"/>
    <n v="1"/>
    <n v="17.989999999999998"/>
    <x v="2"/>
    <n v="3"/>
    <n v="0.06"/>
    <s v="Sci-Fi"/>
  </r>
  <r>
    <s v="ebfb6de4-10aa-40fd-8f58-14f5bbe80d7f"/>
    <n v="48"/>
    <s v="Female"/>
    <s v="Basic"/>
    <n v="5.22"/>
    <x v="48"/>
    <x v="1"/>
    <x v="0"/>
    <n v="8.99"/>
    <n v="1"/>
    <n v="8.99"/>
    <x v="0"/>
    <n v="2"/>
    <n v="0.1"/>
    <s v="Documentary"/>
  </r>
  <r>
    <s v="c1dd3024-79ef-48e1-b1f7-420cd63b57bf"/>
    <n v="34"/>
    <s v="Female"/>
    <s v="Standard"/>
    <n v="11.95"/>
    <x v="58"/>
    <x v="4"/>
    <x v="2"/>
    <n v="13.99"/>
    <n v="0"/>
    <n v="0"/>
    <x v="2"/>
    <n v="5"/>
    <n v="0.25"/>
    <s v="Comedy"/>
  </r>
  <r>
    <s v="adb42d2f-cca8-4f85-ba5f-9ce775b0cdb7"/>
    <n v="27"/>
    <s v="Male"/>
    <s v="Standard"/>
    <n v="7.3"/>
    <x v="50"/>
    <x v="4"/>
    <x v="0"/>
    <n v="13.99"/>
    <n v="1"/>
    <n v="13.99"/>
    <x v="4"/>
    <n v="3"/>
    <n v="0.13"/>
    <s v="Action"/>
  </r>
  <r>
    <s v="c44dca13-8b31-45ae-8749-b96c8cc7f207"/>
    <n v="42"/>
    <s v="Other"/>
    <s v="Standard"/>
    <n v="0.45"/>
    <x v="31"/>
    <x v="0"/>
    <x v="2"/>
    <n v="13.99"/>
    <n v="1"/>
    <n v="13.99"/>
    <x v="0"/>
    <n v="5"/>
    <n v="0.03"/>
    <s v="Romance"/>
  </r>
  <r>
    <s v="55b61c53-96bb-4c6e-9ebe-21cb327d2935"/>
    <n v="34"/>
    <s v="Other"/>
    <s v="Premium"/>
    <n v="1.59"/>
    <x v="60"/>
    <x v="4"/>
    <x v="2"/>
    <n v="17.989999999999998"/>
    <n v="1"/>
    <n v="17.989999999999998"/>
    <x v="1"/>
    <n v="5"/>
    <n v="0.18"/>
    <s v="Action"/>
  </r>
  <r>
    <s v="a20e1296-2ca8-4935-9877-ced081fdedd6"/>
    <n v="63"/>
    <s v="Male"/>
    <s v="Standard"/>
    <n v="0.4"/>
    <x v="25"/>
    <x v="5"/>
    <x v="0"/>
    <n v="13.99"/>
    <n v="0"/>
    <n v="0"/>
    <x v="3"/>
    <n v="4"/>
    <n v="0.4"/>
    <s v="Comedy"/>
  </r>
  <r>
    <s v="ed9ece99-238c-42cb-9dec-fd9333218f1a"/>
    <n v="63"/>
    <s v="Other"/>
    <s v="Basic"/>
    <n v="59.23"/>
    <x v="16"/>
    <x v="3"/>
    <x v="3"/>
    <n v="8.99"/>
    <n v="0"/>
    <n v="0"/>
    <x v="2"/>
    <n v="2"/>
    <n v="2.12"/>
    <s v="Comedy"/>
  </r>
  <r>
    <s v="05014de6-4f07-455d-ae29-2ec9600d723c"/>
    <n v="52"/>
    <s v="Other"/>
    <s v="Premium"/>
    <n v="26.94"/>
    <x v="21"/>
    <x v="5"/>
    <x v="3"/>
    <n v="17.989999999999998"/>
    <n v="0"/>
    <n v="0"/>
    <x v="1"/>
    <n v="3"/>
    <n v="3.85"/>
    <s v="Documentary"/>
  </r>
  <r>
    <s v="e0907dc5-05e8-4469-822f-a363ed76009f"/>
    <n v="44"/>
    <s v="Other"/>
    <s v="Premium"/>
    <n v="7.91"/>
    <x v="13"/>
    <x v="4"/>
    <x v="1"/>
    <n v="17.989999999999998"/>
    <n v="0"/>
    <n v="0"/>
    <x v="2"/>
    <n v="1"/>
    <n v="0.99"/>
    <s v="Documentary"/>
  </r>
  <r>
    <s v="7f20a481-fa8a-466a-8003-791225f73ab2"/>
    <n v="32"/>
    <s v="Female"/>
    <s v="Basic"/>
    <n v="8.1199999999999992"/>
    <x v="9"/>
    <x v="3"/>
    <x v="2"/>
    <n v="8.99"/>
    <n v="1"/>
    <n v="8.99"/>
    <x v="2"/>
    <n v="5"/>
    <n v="0.22"/>
    <s v="Drama"/>
  </r>
  <r>
    <s v="ffa3c2de-0887-4b1a-9f2e-f0aaaf5ea2e5"/>
    <n v="28"/>
    <s v="Female"/>
    <s v="Premium"/>
    <n v="4.0999999999999996"/>
    <x v="22"/>
    <x v="3"/>
    <x v="3"/>
    <n v="17.989999999999998"/>
    <n v="1"/>
    <n v="17.989999999999998"/>
    <x v="3"/>
    <n v="2"/>
    <n v="7.0000000000000007E-2"/>
    <s v="Sci-Fi"/>
  </r>
  <r>
    <s v="1c351517-e739-4ef8-a0bf-c188dc68abca"/>
    <n v="39"/>
    <s v="Other"/>
    <s v="Standard"/>
    <n v="23.44"/>
    <x v="39"/>
    <x v="3"/>
    <x v="0"/>
    <n v="13.99"/>
    <n v="0"/>
    <n v="0"/>
    <x v="2"/>
    <n v="5"/>
    <n v="1.02"/>
    <s v="Comedy"/>
  </r>
  <r>
    <s v="a54d2797-8e28-42a3-a8b9-74d42fc1d3bd"/>
    <n v="51"/>
    <s v="Other"/>
    <s v="Standard"/>
    <n v="16.03"/>
    <x v="26"/>
    <x v="0"/>
    <x v="4"/>
    <n v="13.99"/>
    <n v="1"/>
    <n v="13.99"/>
    <x v="1"/>
    <n v="4"/>
    <n v="0.33"/>
    <s v="Romance"/>
  </r>
  <r>
    <s v="1f1b3a5e-0dbc-4352-ac12-73d9bc1dc7b4"/>
    <n v="53"/>
    <s v="Male"/>
    <s v="Standard"/>
    <n v="7.88"/>
    <x v="11"/>
    <x v="4"/>
    <x v="0"/>
    <n v="13.99"/>
    <n v="0"/>
    <n v="0"/>
    <x v="4"/>
    <n v="1"/>
    <n v="0.33"/>
    <s v="Horror"/>
  </r>
  <r>
    <s v="7e6f4d69-8626-4fd9-a4b9-f0206bd3fa3b"/>
    <n v="50"/>
    <s v="Female"/>
    <s v="Premium"/>
    <n v="3.81"/>
    <x v="23"/>
    <x v="1"/>
    <x v="1"/>
    <n v="17.989999999999998"/>
    <n v="1"/>
    <n v="17.989999999999998"/>
    <x v="0"/>
    <n v="1"/>
    <n v="7.0000000000000007E-2"/>
    <s v="Sci-Fi"/>
  </r>
  <r>
    <s v="3835799a-8de3-44fd-8982-3f36e75865ed"/>
    <n v="37"/>
    <s v="Male"/>
    <s v="Premium"/>
    <n v="6.42"/>
    <x v="47"/>
    <x v="5"/>
    <x v="2"/>
    <n v="17.989999999999998"/>
    <n v="0"/>
    <n v="0"/>
    <x v="2"/>
    <n v="1"/>
    <n v="1.6"/>
    <s v="Comedy"/>
  </r>
  <r>
    <s v="6c6bdb2d-b94f-40dd-9427-be74fdbb7d3b"/>
    <n v="69"/>
    <s v="Female"/>
    <s v="Basic"/>
    <n v="33.340000000000003"/>
    <x v="53"/>
    <x v="2"/>
    <x v="2"/>
    <n v="8.99"/>
    <n v="0"/>
    <n v="0"/>
    <x v="0"/>
    <n v="3"/>
    <n v="0.78"/>
    <s v="Romance"/>
  </r>
  <r>
    <s v="b40e1e26-2209-4e4f-8ca8-5199ec7d599b"/>
    <n v="26"/>
    <s v="Female"/>
    <s v="Standard"/>
    <n v="20.2"/>
    <x v="44"/>
    <x v="5"/>
    <x v="3"/>
    <n v="13.99"/>
    <n v="0"/>
    <n v="0"/>
    <x v="1"/>
    <n v="5"/>
    <n v="0.43"/>
    <s v="Sci-Fi"/>
  </r>
  <r>
    <s v="31785188-5996-4861-a62c-90d91330002d"/>
    <n v="38"/>
    <s v="Female"/>
    <s v="Basic"/>
    <n v="23.78"/>
    <x v="30"/>
    <x v="3"/>
    <x v="3"/>
    <n v="8.99"/>
    <n v="0"/>
    <n v="0"/>
    <x v="4"/>
    <n v="2"/>
    <n v="11.89"/>
    <s v="Action"/>
  </r>
  <r>
    <s v="a765f57c-d958-435c-b331-ffc9a8750a0f"/>
    <n v="50"/>
    <s v="Other"/>
    <s v="Basic"/>
    <n v="7.86"/>
    <x v="22"/>
    <x v="2"/>
    <x v="0"/>
    <n v="8.99"/>
    <n v="1"/>
    <n v="8.99"/>
    <x v="0"/>
    <n v="1"/>
    <n v="0.14000000000000001"/>
    <s v="Drama"/>
  </r>
  <r>
    <s v="e8f2664c-402d-4227-975c-6b6f3960336f"/>
    <n v="61"/>
    <s v="Other"/>
    <s v="Standard"/>
    <n v="4.6900000000000004"/>
    <x v="29"/>
    <x v="2"/>
    <x v="1"/>
    <n v="13.99"/>
    <n v="1"/>
    <n v="13.99"/>
    <x v="1"/>
    <n v="3"/>
    <n v="0.1"/>
    <s v="Horror"/>
  </r>
  <r>
    <s v="c78370fc-117b-44eb-927d-1e56d69513fc"/>
    <n v="54"/>
    <s v="Other"/>
    <s v="Premium"/>
    <n v="6.83"/>
    <x v="23"/>
    <x v="3"/>
    <x v="0"/>
    <n v="17.989999999999998"/>
    <n v="0"/>
    <n v="0"/>
    <x v="2"/>
    <n v="4"/>
    <n v="0.13"/>
    <s v="Documentary"/>
  </r>
  <r>
    <s v="86f4f231-f362-43d5-91ca-d0045caa2ba6"/>
    <n v="66"/>
    <s v="Male"/>
    <s v="Basic"/>
    <n v="56.24"/>
    <x v="46"/>
    <x v="5"/>
    <x v="2"/>
    <n v="8.99"/>
    <n v="0"/>
    <n v="0"/>
    <x v="4"/>
    <n v="4"/>
    <n v="18.75"/>
    <s v="Romance"/>
  </r>
  <r>
    <s v="a1ba331a-1851-4e9e-a785-9e38e25fee01"/>
    <n v="39"/>
    <s v="Female"/>
    <s v="Basic"/>
    <n v="17.350000000000001"/>
    <x v="0"/>
    <x v="4"/>
    <x v="4"/>
    <n v="8.99"/>
    <n v="0"/>
    <n v="0"/>
    <x v="3"/>
    <n v="4"/>
    <n v="0.57999999999999996"/>
    <s v="Horror"/>
  </r>
  <r>
    <s v="31d3a4d3-4f08-4c99-b7c0-b86e5d907649"/>
    <n v="27"/>
    <s v="Male"/>
    <s v="Basic"/>
    <n v="4.6100000000000003"/>
    <x v="53"/>
    <x v="2"/>
    <x v="1"/>
    <n v="8.99"/>
    <n v="1"/>
    <n v="8.99"/>
    <x v="1"/>
    <n v="2"/>
    <n v="0.11"/>
    <s v="Comedy"/>
  </r>
  <r>
    <s v="e0cdb351-f217-4c9b-8462-56cd11d35000"/>
    <n v="62"/>
    <s v="Female"/>
    <s v="Basic"/>
    <n v="9.41"/>
    <x v="43"/>
    <x v="2"/>
    <x v="0"/>
    <n v="8.99"/>
    <n v="1"/>
    <n v="8.99"/>
    <x v="4"/>
    <n v="1"/>
    <n v="0.28999999999999998"/>
    <s v="Drama"/>
  </r>
  <r>
    <s v="e8b7beae-b596-437f-9003-baf5250132d1"/>
    <n v="22"/>
    <s v="Male"/>
    <s v="Premium"/>
    <n v="7.49"/>
    <x v="0"/>
    <x v="1"/>
    <x v="1"/>
    <n v="17.989999999999998"/>
    <n v="0"/>
    <n v="0"/>
    <x v="0"/>
    <n v="2"/>
    <n v="0.25"/>
    <s v="Romance"/>
  </r>
  <r>
    <s v="c39feafb-2760-416e-98e6-ec7ba55a88bb"/>
    <n v="61"/>
    <s v="Female"/>
    <s v="Standard"/>
    <n v="39.090000000000003"/>
    <x v="59"/>
    <x v="1"/>
    <x v="4"/>
    <n v="13.99"/>
    <n v="0"/>
    <n v="0"/>
    <x v="3"/>
    <n v="1"/>
    <n v="6.52"/>
    <s v="Documentary"/>
  </r>
  <r>
    <s v="e86efcfc-cc7a-402e-b8c1-b2a0a5ad92b8"/>
    <n v="49"/>
    <s v="Other"/>
    <s v="Basic"/>
    <n v="25.4"/>
    <x v="58"/>
    <x v="5"/>
    <x v="2"/>
    <n v="8.99"/>
    <n v="0"/>
    <n v="0"/>
    <x v="1"/>
    <n v="4"/>
    <n v="0.53"/>
    <s v="Documentary"/>
  </r>
  <r>
    <s v="13ce4e0a-ed91-400c-a92a-d6d39c14bdd9"/>
    <n v="32"/>
    <s v="Female"/>
    <s v="Premium"/>
    <n v="18.28"/>
    <x v="2"/>
    <x v="4"/>
    <x v="3"/>
    <n v="17.989999999999998"/>
    <n v="0"/>
    <n v="0"/>
    <x v="4"/>
    <n v="4"/>
    <n v="1.66"/>
    <s v="Action"/>
  </r>
  <r>
    <s v="51a00cea-7f82-4b3b-b03e-dcd34870ecb6"/>
    <n v="49"/>
    <s v="Other"/>
    <s v="Premium"/>
    <n v="6.23"/>
    <x v="3"/>
    <x v="1"/>
    <x v="2"/>
    <n v="17.989999999999998"/>
    <n v="0"/>
    <n v="0"/>
    <x v="2"/>
    <n v="2"/>
    <n v="0.48"/>
    <s v="Drama"/>
  </r>
  <r>
    <s v="450aaa67-4be4-4d6a-957f-3c3b3e02f741"/>
    <n v="38"/>
    <s v="Male"/>
    <s v="Standard"/>
    <n v="1.21"/>
    <x v="38"/>
    <x v="4"/>
    <x v="0"/>
    <n v="13.99"/>
    <n v="0"/>
    <n v="0"/>
    <x v="3"/>
    <n v="4"/>
    <n v="0.06"/>
    <s v="Romance"/>
  </r>
  <r>
    <s v="f5309997-6d14-4c98-9379-ac88f9cbbe93"/>
    <n v="29"/>
    <s v="Male"/>
    <s v="Standard"/>
    <n v="0.48"/>
    <x v="0"/>
    <x v="2"/>
    <x v="0"/>
    <n v="13.99"/>
    <n v="1"/>
    <n v="13.99"/>
    <x v="2"/>
    <n v="3"/>
    <n v="0.02"/>
    <s v="Action"/>
  </r>
  <r>
    <s v="7b727762-d96e-4828-bd7d-0548f6311542"/>
    <n v="47"/>
    <s v="Female"/>
    <s v="Premium"/>
    <n v="14.8"/>
    <x v="19"/>
    <x v="1"/>
    <x v="0"/>
    <n v="17.989999999999998"/>
    <n v="1"/>
    <n v="17.989999999999998"/>
    <x v="4"/>
    <n v="3"/>
    <n v="0.34"/>
    <s v="Romance"/>
  </r>
  <r>
    <s v="f0998eae-9a45-4ed5-95e4-0b6a02db0630"/>
    <n v="56"/>
    <s v="Other"/>
    <s v="Basic"/>
    <n v="1.22"/>
    <x v="11"/>
    <x v="5"/>
    <x v="0"/>
    <n v="8.99"/>
    <n v="1"/>
    <n v="8.99"/>
    <x v="3"/>
    <n v="5"/>
    <n v="0.05"/>
    <s v="Horror"/>
  </r>
  <r>
    <s v="0cacf79a-fce7-458e-b6c4-875c2af22550"/>
    <n v="23"/>
    <s v="Other"/>
    <s v="Standard"/>
    <n v="7.45"/>
    <x v="45"/>
    <x v="2"/>
    <x v="3"/>
    <n v="13.99"/>
    <n v="1"/>
    <n v="13.99"/>
    <x v="1"/>
    <n v="3"/>
    <n v="0.18"/>
    <s v="Action"/>
  </r>
  <r>
    <s v="725f7196-8df8-4046-8d35-22a7ee20413e"/>
    <n v="28"/>
    <s v="Male"/>
    <s v="Premium"/>
    <n v="15.45"/>
    <x v="35"/>
    <x v="4"/>
    <x v="3"/>
    <n v="17.989999999999998"/>
    <n v="1"/>
    <n v="17.989999999999998"/>
    <x v="1"/>
    <n v="4"/>
    <n v="0.34"/>
    <s v="Drama"/>
  </r>
  <r>
    <s v="7767a55d-bc06-4edf-89a6-0235f5728dd5"/>
    <n v="19"/>
    <s v="Male"/>
    <s v="Standard"/>
    <n v="0.95"/>
    <x v="39"/>
    <x v="2"/>
    <x v="2"/>
    <n v="13.99"/>
    <n v="1"/>
    <n v="13.99"/>
    <x v="4"/>
    <n v="2"/>
    <n v="0.04"/>
    <s v="Documentary"/>
  </r>
  <r>
    <s v="e12018ab-4d36-4bbe-bd5a-3e7d2c14b5bb"/>
    <n v="52"/>
    <s v="Female"/>
    <s v="Basic"/>
    <n v="34.130000000000003"/>
    <x v="14"/>
    <x v="4"/>
    <x v="3"/>
    <n v="8.99"/>
    <n v="0"/>
    <n v="0"/>
    <x v="1"/>
    <n v="3"/>
    <n v="1.03"/>
    <s v="Comedy"/>
  </r>
  <r>
    <s v="c24bf17b-a0f9-429c-9b41-a7b00dcfa39b"/>
    <n v="62"/>
    <s v="Other"/>
    <s v="Premium"/>
    <n v="10.02"/>
    <x v="12"/>
    <x v="0"/>
    <x v="0"/>
    <n v="17.989999999999998"/>
    <n v="1"/>
    <n v="17.989999999999998"/>
    <x v="3"/>
    <n v="2"/>
    <n v="0.28999999999999998"/>
    <s v="Comedy"/>
  </r>
  <r>
    <s v="d2c7c300-4be4-4fc4-9e3b-f7075f0140d4"/>
    <n v="28"/>
    <s v="Male"/>
    <s v="Basic"/>
    <n v="48.58"/>
    <x v="2"/>
    <x v="5"/>
    <x v="2"/>
    <n v="8.99"/>
    <n v="0"/>
    <n v="0"/>
    <x v="2"/>
    <n v="2"/>
    <n v="4.42"/>
    <s v="Drama"/>
  </r>
  <r>
    <s v="11889462-30c0-4225-a01f-7363d2edb91f"/>
    <n v="43"/>
    <s v="Female"/>
    <s v="Premium"/>
    <n v="7.18"/>
    <x v="32"/>
    <x v="1"/>
    <x v="1"/>
    <n v="17.989999999999998"/>
    <n v="0"/>
    <n v="0"/>
    <x v="0"/>
    <n v="5"/>
    <n v="0.48"/>
    <s v="Romance"/>
  </r>
  <r>
    <s v="ef33bc45-1eef-4924-970e-4fe1e0a2ad6b"/>
    <n v="62"/>
    <s v="Female"/>
    <s v="Basic"/>
    <n v="12"/>
    <x v="16"/>
    <x v="2"/>
    <x v="0"/>
    <n v="8.99"/>
    <n v="1"/>
    <n v="8.99"/>
    <x v="1"/>
    <n v="2"/>
    <n v="0.43"/>
    <s v="Drama"/>
  </r>
  <r>
    <s v="fb73a240-4dd9-4168-adfa-cd33c41b23a3"/>
    <n v="45"/>
    <s v="Male"/>
    <s v="Standard"/>
    <n v="13.11"/>
    <x v="60"/>
    <x v="2"/>
    <x v="2"/>
    <n v="13.99"/>
    <n v="0"/>
    <n v="0"/>
    <x v="0"/>
    <n v="1"/>
    <n v="1.46"/>
    <s v="Sci-Fi"/>
  </r>
  <r>
    <s v="6f0b25fb-c81b-4416-ad28-7ae1b7f73dfc"/>
    <n v="68"/>
    <s v="Female"/>
    <s v="Basic"/>
    <n v="1.91"/>
    <x v="18"/>
    <x v="0"/>
    <x v="3"/>
    <n v="8.99"/>
    <n v="1"/>
    <n v="8.99"/>
    <x v="2"/>
    <n v="3"/>
    <n v="0.03"/>
    <s v="Sci-Fi"/>
  </r>
  <r>
    <s v="d4642e0c-7c28-4b72-a098-27f0f6bf51ac"/>
    <n v="24"/>
    <s v="Other"/>
    <s v="Basic"/>
    <n v="0.17"/>
    <x v="33"/>
    <x v="4"/>
    <x v="0"/>
    <n v="8.99"/>
    <n v="1"/>
    <n v="8.99"/>
    <x v="2"/>
    <n v="5"/>
    <n v="0.01"/>
    <s v="Comedy"/>
  </r>
  <r>
    <s v="c211101f-5e9f-4e0a-b04d-6e14174a8a29"/>
    <n v="45"/>
    <s v="Male"/>
    <s v="Basic"/>
    <n v="6.78"/>
    <x v="11"/>
    <x v="2"/>
    <x v="2"/>
    <n v="8.99"/>
    <n v="0"/>
    <n v="0"/>
    <x v="3"/>
    <n v="2"/>
    <n v="0.28000000000000003"/>
    <s v="Sci-Fi"/>
  </r>
  <r>
    <s v="7e0c2384-0d8b-4ba9-9ff0-698bbd61512d"/>
    <n v="64"/>
    <s v="Male"/>
    <s v="Standard"/>
    <n v="46.62"/>
    <x v="26"/>
    <x v="2"/>
    <x v="2"/>
    <n v="13.99"/>
    <n v="0"/>
    <n v="0"/>
    <x v="3"/>
    <n v="3"/>
    <n v="0.95"/>
    <s v="Horror"/>
  </r>
  <r>
    <s v="45217a6b-8346-4945-907e-aa7b308c5d9d"/>
    <n v="21"/>
    <s v="Female"/>
    <s v="Basic"/>
    <n v="1.31"/>
    <x v="2"/>
    <x v="4"/>
    <x v="1"/>
    <n v="8.99"/>
    <n v="1"/>
    <n v="8.99"/>
    <x v="2"/>
    <n v="2"/>
    <n v="0.12"/>
    <s v="Comedy"/>
  </r>
  <r>
    <s v="abfeba54-42ea-43d9-a800-a069d5b0dbda"/>
    <n v="66"/>
    <s v="Other"/>
    <s v="Basic"/>
    <n v="0.83"/>
    <x v="41"/>
    <x v="1"/>
    <x v="2"/>
    <n v="8.99"/>
    <n v="1"/>
    <n v="8.99"/>
    <x v="3"/>
    <n v="5"/>
    <n v="0.03"/>
    <s v="Comedy"/>
  </r>
  <r>
    <s v="fac6f604-ca17-4e60-9c5a-50a7bd80f2bb"/>
    <n v="59"/>
    <s v="Female"/>
    <s v="Premium"/>
    <n v="4.67"/>
    <x v="4"/>
    <x v="3"/>
    <x v="1"/>
    <n v="17.989999999999998"/>
    <n v="0"/>
    <n v="0"/>
    <x v="3"/>
    <n v="5"/>
    <n v="0.33"/>
    <s v="Action"/>
  </r>
  <r>
    <s v="c7370855-3032-43eb-988b-e8ac68458da1"/>
    <n v="25"/>
    <s v="Other"/>
    <s v="Premium"/>
    <n v="48.76"/>
    <x v="58"/>
    <x v="5"/>
    <x v="2"/>
    <n v="17.989999999999998"/>
    <n v="0"/>
    <n v="0"/>
    <x v="1"/>
    <n v="1"/>
    <n v="1.02"/>
    <s v="Romance"/>
  </r>
  <r>
    <s v="c1297aad-0eff-4128-a815-3d35e932b23c"/>
    <n v="55"/>
    <s v="Male"/>
    <s v="Basic"/>
    <n v="3.76"/>
    <x v="39"/>
    <x v="2"/>
    <x v="3"/>
    <n v="8.99"/>
    <n v="1"/>
    <n v="8.99"/>
    <x v="1"/>
    <n v="4"/>
    <n v="0.16"/>
    <s v="Romance"/>
  </r>
  <r>
    <s v="272a45af-0205-4022-a7d3-fd8266d2a630"/>
    <n v="46"/>
    <s v="Female"/>
    <s v="Basic"/>
    <n v="0.49"/>
    <x v="28"/>
    <x v="0"/>
    <x v="1"/>
    <n v="8.99"/>
    <n v="1"/>
    <n v="8.99"/>
    <x v="0"/>
    <n v="3"/>
    <n v="0.01"/>
    <s v="Drama"/>
  </r>
  <r>
    <s v="0bdf101f-bfac-4ae9-82bb-a063653efd7b"/>
    <n v="41"/>
    <s v="Male"/>
    <s v="Basic"/>
    <n v="10.68"/>
    <x v="32"/>
    <x v="1"/>
    <x v="2"/>
    <n v="8.99"/>
    <n v="0"/>
    <n v="0"/>
    <x v="0"/>
    <n v="5"/>
    <n v="0.71"/>
    <s v="Drama"/>
  </r>
  <r>
    <s v="305425be-706a-499b-992f-7c0c74027cba"/>
    <n v="63"/>
    <s v="Female"/>
    <s v="Premium"/>
    <n v="15.93"/>
    <x v="43"/>
    <x v="3"/>
    <x v="1"/>
    <n v="17.989999999999998"/>
    <n v="0"/>
    <n v="0"/>
    <x v="3"/>
    <n v="3"/>
    <n v="0.5"/>
    <s v="Documentary"/>
  </r>
  <r>
    <s v="0c341383-e13c-495a-97e6-9da049fa458e"/>
    <n v="27"/>
    <s v="Male"/>
    <s v="Premium"/>
    <n v="11.44"/>
    <x v="50"/>
    <x v="4"/>
    <x v="2"/>
    <n v="17.989999999999998"/>
    <n v="1"/>
    <n v="17.989999999999998"/>
    <x v="1"/>
    <n v="3"/>
    <n v="0.21"/>
    <s v="Horror"/>
  </r>
  <r>
    <s v="1839b86b-6680-44d8-91d9-6875ad85997e"/>
    <n v="50"/>
    <s v="Male"/>
    <s v="Premium"/>
    <n v="4.5999999999999996"/>
    <x v="21"/>
    <x v="5"/>
    <x v="4"/>
    <n v="17.989999999999998"/>
    <n v="0"/>
    <n v="0"/>
    <x v="3"/>
    <n v="4"/>
    <n v="0.66"/>
    <s v="Sci-Fi"/>
  </r>
  <r>
    <s v="ed301603-0c5b-4e19-bc71-e669064a348d"/>
    <n v="42"/>
    <s v="Female"/>
    <s v="Standard"/>
    <n v="27.93"/>
    <x v="55"/>
    <x v="2"/>
    <x v="0"/>
    <n v="13.99"/>
    <n v="0"/>
    <n v="0"/>
    <x v="1"/>
    <n v="4"/>
    <n v="0.47"/>
    <s v="Horror"/>
  </r>
  <r>
    <s v="d63982f2-ea11-489e-9092-559a4f2190ec"/>
    <n v="60"/>
    <s v="Female"/>
    <s v="Standard"/>
    <n v="0.76"/>
    <x v="55"/>
    <x v="5"/>
    <x v="3"/>
    <n v="13.99"/>
    <n v="1"/>
    <n v="13.99"/>
    <x v="4"/>
    <n v="2"/>
    <n v="0.01"/>
    <s v="Romance"/>
  </r>
  <r>
    <s v="f45345b7-462c-499d-9ad0-b9852024225d"/>
    <n v="22"/>
    <s v="Other"/>
    <s v="Premium"/>
    <n v="3.24"/>
    <x v="59"/>
    <x v="4"/>
    <x v="2"/>
    <n v="17.989999999999998"/>
    <n v="0"/>
    <n v="0"/>
    <x v="0"/>
    <n v="4"/>
    <n v="0.54"/>
    <s v="Romance"/>
  </r>
  <r>
    <s v="c2f0dedf-b5be-49d7-a724-7ace524e3cbf"/>
    <n v="67"/>
    <s v="Female"/>
    <s v="Premium"/>
    <n v="5.4"/>
    <x v="47"/>
    <x v="2"/>
    <x v="1"/>
    <n v="17.989999999999998"/>
    <n v="0"/>
    <n v="0"/>
    <x v="3"/>
    <n v="2"/>
    <n v="1.35"/>
    <s v="Sci-Fi"/>
  </r>
  <r>
    <s v="dbab2c81-25f3-4f64-969d-48093e7989cc"/>
    <n v="50"/>
    <s v="Other"/>
    <s v="Premium"/>
    <n v="1.21"/>
    <x v="35"/>
    <x v="1"/>
    <x v="4"/>
    <n v="17.989999999999998"/>
    <n v="1"/>
    <n v="17.989999999999998"/>
    <x v="4"/>
    <n v="1"/>
    <n v="0.03"/>
    <s v="Action"/>
  </r>
  <r>
    <s v="e983ae1e-8a1b-4d99-b9fe-35b35f4e5a18"/>
    <n v="64"/>
    <s v="Other"/>
    <s v="Premium"/>
    <n v="15"/>
    <x v="37"/>
    <x v="2"/>
    <x v="3"/>
    <n v="17.989999999999998"/>
    <n v="0"/>
    <n v="0"/>
    <x v="1"/>
    <n v="2"/>
    <n v="0.6"/>
    <s v="Documentary"/>
  </r>
  <r>
    <s v="1f5bbc73-5a88-444b-9814-ad4f1aa9291c"/>
    <n v="26"/>
    <s v="Female"/>
    <s v="Premium"/>
    <n v="5.22"/>
    <x v="37"/>
    <x v="2"/>
    <x v="2"/>
    <n v="17.989999999999998"/>
    <n v="0"/>
    <n v="0"/>
    <x v="0"/>
    <n v="5"/>
    <n v="0.21"/>
    <s v="Action"/>
  </r>
  <r>
    <s v="79e33997-7571-4785-bf32-7c6b45dd2a38"/>
    <n v="37"/>
    <s v="Female"/>
    <s v="Premium"/>
    <n v="0.52"/>
    <x v="42"/>
    <x v="5"/>
    <x v="0"/>
    <n v="17.989999999999998"/>
    <n v="1"/>
    <n v="17.989999999999998"/>
    <x v="3"/>
    <n v="4"/>
    <n v="0.01"/>
    <s v="Documentary"/>
  </r>
  <r>
    <s v="abac424e-372a-41ae-83ad-49cb2c194231"/>
    <n v="64"/>
    <s v="Male"/>
    <s v="Standard"/>
    <n v="8.35"/>
    <x v="14"/>
    <x v="0"/>
    <x v="0"/>
    <n v="13.99"/>
    <n v="1"/>
    <n v="13.99"/>
    <x v="4"/>
    <n v="2"/>
    <n v="0.25"/>
    <s v="Action"/>
  </r>
  <r>
    <s v="09f7ad4e-663a-4d60-a8cb-28fbb633d12f"/>
    <n v="32"/>
    <s v="Female"/>
    <s v="Standard"/>
    <n v="13.49"/>
    <x v="60"/>
    <x v="0"/>
    <x v="3"/>
    <n v="13.99"/>
    <n v="0"/>
    <n v="0"/>
    <x v="0"/>
    <n v="4"/>
    <n v="1.5"/>
    <s v="Sci-Fi"/>
  </r>
  <r>
    <s v="3b9e88b6-d283-419b-9562-d98fe199e04e"/>
    <n v="39"/>
    <s v="Other"/>
    <s v="Premium"/>
    <n v="3.98"/>
    <x v="36"/>
    <x v="2"/>
    <x v="4"/>
    <n v="17.989999999999998"/>
    <n v="1"/>
    <n v="17.989999999999998"/>
    <x v="2"/>
    <n v="3"/>
    <n v="0.1"/>
    <s v="Drama"/>
  </r>
  <r>
    <s v="c9fa7288-917d-4b7c-8538-dcc9d103ab8b"/>
    <n v="66"/>
    <s v="Male"/>
    <s v="Standard"/>
    <n v="0.24"/>
    <x v="4"/>
    <x v="3"/>
    <x v="4"/>
    <n v="13.99"/>
    <n v="1"/>
    <n v="13.99"/>
    <x v="1"/>
    <n v="5"/>
    <n v="0.02"/>
    <s v="Action"/>
  </r>
  <r>
    <s v="d71984cf-9d1d-4192-95df-020aed82e1af"/>
    <n v="57"/>
    <s v="Male"/>
    <s v="Premium"/>
    <n v="20"/>
    <x v="45"/>
    <x v="4"/>
    <x v="2"/>
    <n v="17.989999999999998"/>
    <n v="1"/>
    <n v="17.989999999999998"/>
    <x v="2"/>
    <n v="2"/>
    <n v="0.48"/>
    <s v="Drama"/>
  </r>
  <r>
    <s v="c70b095c-012c-4449-97e4-e685d7b9a45b"/>
    <n v="53"/>
    <s v="Female"/>
    <s v="Basic"/>
    <n v="20.8"/>
    <x v="16"/>
    <x v="2"/>
    <x v="1"/>
    <n v="8.99"/>
    <n v="0"/>
    <n v="0"/>
    <x v="0"/>
    <n v="5"/>
    <n v="0.74"/>
    <s v="Comedy"/>
  </r>
  <r>
    <s v="5b57deb8-313a-4470-b11e-f3a11aecea63"/>
    <n v="36"/>
    <s v="Other"/>
    <s v="Basic"/>
    <n v="0.95"/>
    <x v="45"/>
    <x v="5"/>
    <x v="3"/>
    <n v="8.99"/>
    <n v="1"/>
    <n v="8.99"/>
    <x v="0"/>
    <n v="5"/>
    <n v="0.02"/>
    <s v="Documentary"/>
  </r>
  <r>
    <s v="ec879c8c-9cc0-41a3-b625-69979bbc565f"/>
    <n v="67"/>
    <s v="Female"/>
    <s v="Premium"/>
    <n v="3.33"/>
    <x v="40"/>
    <x v="1"/>
    <x v="1"/>
    <n v="17.989999999999998"/>
    <n v="1"/>
    <n v="17.989999999999998"/>
    <x v="1"/>
    <n v="3"/>
    <n v="0.28000000000000003"/>
    <s v="Action"/>
  </r>
  <r>
    <s v="292f1ea2-d6d7-4446-9ed3-325ed83d4238"/>
    <n v="32"/>
    <s v="Other"/>
    <s v="Basic"/>
    <n v="5.21"/>
    <x v="49"/>
    <x v="2"/>
    <x v="2"/>
    <n v="8.99"/>
    <n v="0"/>
    <n v="0"/>
    <x v="0"/>
    <n v="2"/>
    <n v="0.52"/>
    <s v="Romance"/>
  </r>
  <r>
    <s v="c8bd8abb-7f19-4148-8b95-bf358610e66e"/>
    <n v="48"/>
    <s v="Male"/>
    <s v="Premium"/>
    <n v="8.82"/>
    <x v="30"/>
    <x v="4"/>
    <x v="2"/>
    <n v="17.989999999999998"/>
    <n v="0"/>
    <n v="0"/>
    <x v="3"/>
    <n v="5"/>
    <n v="4.41"/>
    <s v="Romance"/>
  </r>
  <r>
    <s v="2dcbd1ab-9f58-4dfd-86ae-87927ae211bf"/>
    <n v="32"/>
    <s v="Female"/>
    <s v="Basic"/>
    <n v="3.15"/>
    <x v="5"/>
    <x v="5"/>
    <x v="2"/>
    <n v="8.99"/>
    <n v="1"/>
    <n v="8.99"/>
    <x v="2"/>
    <n v="2"/>
    <n v="0.12"/>
    <s v="Comedy"/>
  </r>
  <r>
    <s v="645a02c0-c741-4abc-8ac1-a9fb97b766e9"/>
    <n v="50"/>
    <s v="Other"/>
    <s v="Premium"/>
    <n v="75.900000000000006"/>
    <x v="15"/>
    <x v="4"/>
    <x v="1"/>
    <n v="17.989999999999998"/>
    <n v="0"/>
    <n v="0"/>
    <x v="1"/>
    <n v="5"/>
    <n v="1.85"/>
    <s v="Action"/>
  </r>
  <r>
    <s v="ee23b820-b023-455c-a164-7a6f029cb8c8"/>
    <n v="55"/>
    <s v="Female"/>
    <s v="Premium"/>
    <n v="3.27"/>
    <x v="38"/>
    <x v="4"/>
    <x v="0"/>
    <n v="17.989999999999998"/>
    <n v="1"/>
    <n v="17.989999999999998"/>
    <x v="3"/>
    <n v="1"/>
    <n v="0.15"/>
    <s v="Action"/>
  </r>
  <r>
    <s v="df604392-c45e-4f2d-80d5-544300e084e2"/>
    <n v="41"/>
    <s v="Other"/>
    <s v="Basic"/>
    <n v="4.1500000000000004"/>
    <x v="36"/>
    <x v="2"/>
    <x v="2"/>
    <n v="8.99"/>
    <n v="1"/>
    <n v="8.99"/>
    <x v="3"/>
    <n v="5"/>
    <n v="0.1"/>
    <s v="Comedy"/>
  </r>
  <r>
    <s v="9b57e510-576f-4fce-87b1-8f4d2b614820"/>
    <n v="34"/>
    <s v="Male"/>
    <s v="Premium"/>
    <n v="13.49"/>
    <x v="48"/>
    <x v="4"/>
    <x v="4"/>
    <n v="17.989999999999998"/>
    <n v="1"/>
    <n v="17.989999999999998"/>
    <x v="2"/>
    <n v="1"/>
    <n v="0.26"/>
    <s v="Horror"/>
  </r>
  <r>
    <s v="22de8619-8784-4702-a030-c9ca8312d7f1"/>
    <n v="26"/>
    <s v="Female"/>
    <s v="Premium"/>
    <n v="26.05"/>
    <x v="53"/>
    <x v="4"/>
    <x v="4"/>
    <n v="17.989999999999998"/>
    <n v="0"/>
    <n v="0"/>
    <x v="1"/>
    <n v="4"/>
    <n v="0.61"/>
    <s v="Sci-Fi"/>
  </r>
  <r>
    <s v="1c47a376-99f8-413d-80a8-1b409b29a493"/>
    <n v="59"/>
    <s v="Female"/>
    <s v="Premium"/>
    <n v="8.86"/>
    <x v="28"/>
    <x v="0"/>
    <x v="2"/>
    <n v="17.989999999999998"/>
    <n v="0"/>
    <n v="0"/>
    <x v="2"/>
    <n v="5"/>
    <n v="0.25"/>
    <s v="Drama"/>
  </r>
  <r>
    <s v="fef2b49b-0991-4aa2-8614-d01832721049"/>
    <n v="58"/>
    <s v="Female"/>
    <s v="Premium"/>
    <n v="8.74"/>
    <x v="52"/>
    <x v="0"/>
    <x v="2"/>
    <n v="17.989999999999998"/>
    <n v="1"/>
    <n v="17.989999999999998"/>
    <x v="2"/>
    <n v="1"/>
    <n v="0.17"/>
    <s v="Romance"/>
  </r>
  <r>
    <s v="a51a0fca-f883-4bde-9acb-a7dd51f56f09"/>
    <n v="22"/>
    <s v="Male"/>
    <s v="Basic"/>
    <n v="0.8"/>
    <x v="28"/>
    <x v="3"/>
    <x v="0"/>
    <n v="8.99"/>
    <n v="1"/>
    <n v="8.99"/>
    <x v="0"/>
    <n v="1"/>
    <n v="0.02"/>
    <s v="Sci-Fi"/>
  </r>
  <r>
    <s v="6cf5b92e-37e9-4e2e-9993-28d4abdbe701"/>
    <n v="44"/>
    <s v="Other"/>
    <s v="Basic"/>
    <n v="16.91"/>
    <x v="11"/>
    <x v="0"/>
    <x v="1"/>
    <n v="8.99"/>
    <n v="0"/>
    <n v="0"/>
    <x v="1"/>
    <n v="4"/>
    <n v="0.7"/>
    <s v="Romance"/>
  </r>
  <r>
    <s v="e0a74f0e-ad6f-485f-b40b-a100315bb68d"/>
    <n v="62"/>
    <s v="Male"/>
    <s v="Basic"/>
    <n v="7.12"/>
    <x v="2"/>
    <x v="5"/>
    <x v="3"/>
    <n v="8.99"/>
    <n v="0"/>
    <n v="0"/>
    <x v="0"/>
    <n v="1"/>
    <n v="0.65"/>
    <s v="Drama"/>
  </r>
  <r>
    <s v="3135c865-75e1-426d-bb90-4f6550be662a"/>
    <n v="20"/>
    <s v="Female"/>
    <s v="Standard"/>
    <n v="5.68"/>
    <x v="50"/>
    <x v="5"/>
    <x v="0"/>
    <n v="13.99"/>
    <n v="1"/>
    <n v="13.99"/>
    <x v="0"/>
    <n v="3"/>
    <n v="0.1"/>
    <s v="Sci-Fi"/>
  </r>
  <r>
    <s v="2fa4c011-968c-449e-b26f-3cb70ae6a8a0"/>
    <n v="49"/>
    <s v="Female"/>
    <s v="Basic"/>
    <n v="18.190000000000001"/>
    <x v="11"/>
    <x v="1"/>
    <x v="1"/>
    <n v="8.99"/>
    <n v="0"/>
    <n v="0"/>
    <x v="0"/>
    <n v="3"/>
    <n v="0.76"/>
    <s v="Sci-Fi"/>
  </r>
  <r>
    <s v="07e2381a-6287-4599-acc0-231fcce39535"/>
    <n v="52"/>
    <s v="Male"/>
    <s v="Premium"/>
    <n v="10.14"/>
    <x v="53"/>
    <x v="1"/>
    <x v="2"/>
    <n v="17.989999999999998"/>
    <n v="0"/>
    <n v="0"/>
    <x v="4"/>
    <n v="5"/>
    <n v="0.24"/>
    <s v="Drama"/>
  </r>
  <r>
    <s v="b40a2be6-d491-4cb7-820e-5d185505bbb6"/>
    <n v="69"/>
    <s v="Other"/>
    <s v="Premium"/>
    <n v="20.85"/>
    <x v="18"/>
    <x v="5"/>
    <x v="2"/>
    <n v="17.989999999999998"/>
    <n v="0"/>
    <n v="0"/>
    <x v="0"/>
    <n v="4"/>
    <n v="0.36"/>
    <s v="Drama"/>
  </r>
  <r>
    <s v="91ec5e63-ded9-4939-9069-d62188a03aef"/>
    <n v="55"/>
    <s v="Other"/>
    <s v="Premium"/>
    <n v="14.3"/>
    <x v="14"/>
    <x v="0"/>
    <x v="0"/>
    <n v="17.989999999999998"/>
    <n v="1"/>
    <n v="17.989999999999998"/>
    <x v="0"/>
    <n v="5"/>
    <n v="0.43"/>
    <s v="Drama"/>
  </r>
  <r>
    <s v="8c1a9225-1585-49c8-84c6-ef0e0cd5265b"/>
    <n v="51"/>
    <s v="Female"/>
    <s v="Standard"/>
    <n v="18.3"/>
    <x v="7"/>
    <x v="0"/>
    <x v="0"/>
    <n v="13.99"/>
    <n v="1"/>
    <n v="13.99"/>
    <x v="2"/>
    <n v="3"/>
    <n v="0.32"/>
    <s v="Horror"/>
  </r>
  <r>
    <s v="0a327804-a317-4c35-ba2d-ef4656c5f744"/>
    <n v="32"/>
    <s v="Female"/>
    <s v="Premium"/>
    <n v="3.64"/>
    <x v="3"/>
    <x v="1"/>
    <x v="4"/>
    <n v="17.989999999999998"/>
    <n v="0"/>
    <n v="0"/>
    <x v="4"/>
    <n v="4"/>
    <n v="0.28000000000000003"/>
    <s v="Drama"/>
  </r>
  <r>
    <s v="76ad4d6a-19dd-42de-add3-bb96a7511b3c"/>
    <n v="53"/>
    <s v="Female"/>
    <s v="Premium"/>
    <n v="1.25"/>
    <x v="42"/>
    <x v="2"/>
    <x v="1"/>
    <n v="17.989999999999998"/>
    <n v="1"/>
    <n v="17.989999999999998"/>
    <x v="3"/>
    <n v="5"/>
    <n v="0.03"/>
    <s v="Action"/>
  </r>
  <r>
    <s v="1a2dcd89-e8ac-4205-abd6-4f2fa9a6559a"/>
    <n v="44"/>
    <s v="Female"/>
    <s v="Basic"/>
    <n v="3.72"/>
    <x v="42"/>
    <x v="3"/>
    <x v="0"/>
    <n v="8.99"/>
    <n v="1"/>
    <n v="8.99"/>
    <x v="2"/>
    <n v="1"/>
    <n v="0.1"/>
    <s v="Documentary"/>
  </r>
  <r>
    <s v="06938a8c-6c69-4e18-8c06-17a8f12f6019"/>
    <n v="25"/>
    <s v="Male"/>
    <s v="Basic"/>
    <n v="1.27"/>
    <x v="19"/>
    <x v="2"/>
    <x v="1"/>
    <n v="8.99"/>
    <n v="1"/>
    <n v="8.99"/>
    <x v="2"/>
    <n v="2"/>
    <n v="0.03"/>
    <s v="Sci-Fi"/>
  </r>
  <r>
    <s v="fef9c533-b570-4ab6-8bbc-8bc6bbec40fd"/>
    <n v="60"/>
    <s v="Male"/>
    <s v="Premium"/>
    <n v="2.52"/>
    <x v="14"/>
    <x v="2"/>
    <x v="4"/>
    <n v="17.989999999999998"/>
    <n v="1"/>
    <n v="17.989999999999998"/>
    <x v="3"/>
    <n v="4"/>
    <n v="0.08"/>
    <s v="Drama"/>
  </r>
  <r>
    <s v="87bb868a-f169-41ac-ab78-94021cf19a0f"/>
    <n v="68"/>
    <s v="Male"/>
    <s v="Standard"/>
    <n v="1.68"/>
    <x v="12"/>
    <x v="0"/>
    <x v="3"/>
    <n v="13.99"/>
    <n v="1"/>
    <n v="13.99"/>
    <x v="4"/>
    <n v="3"/>
    <n v="0.05"/>
    <s v="Drama"/>
  </r>
  <r>
    <s v="1d1cd9d8-ec13-4c06-88b3-c7aced7f8570"/>
    <n v="22"/>
    <s v="Other"/>
    <s v="Premium"/>
    <n v="0.43"/>
    <x v="11"/>
    <x v="1"/>
    <x v="4"/>
    <n v="17.989999999999998"/>
    <n v="0"/>
    <n v="0"/>
    <x v="4"/>
    <n v="4"/>
    <n v="0.02"/>
    <s v="Horror"/>
  </r>
  <r>
    <s v="240347ff-cafe-4b8b-86da-a0a0b6b8e162"/>
    <n v="43"/>
    <s v="Male"/>
    <s v="Basic"/>
    <n v="50.47"/>
    <x v="42"/>
    <x v="0"/>
    <x v="2"/>
    <n v="8.99"/>
    <n v="0"/>
    <n v="0"/>
    <x v="2"/>
    <n v="4"/>
    <n v="1.33"/>
    <s v="Sci-Fi"/>
  </r>
  <r>
    <s v="732d67f8-5996-46fe-9b35-695e2c344cee"/>
    <n v="65"/>
    <s v="Female"/>
    <s v="Basic"/>
    <n v="3.46"/>
    <x v="26"/>
    <x v="3"/>
    <x v="4"/>
    <n v="8.99"/>
    <n v="1"/>
    <n v="8.99"/>
    <x v="4"/>
    <n v="4"/>
    <n v="7.0000000000000007E-2"/>
    <s v="Drama"/>
  </r>
  <r>
    <s v="97e6a461-5a39-4cd6-8459-95562f279693"/>
    <n v="38"/>
    <s v="Male"/>
    <s v="Basic"/>
    <n v="5.46"/>
    <x v="59"/>
    <x v="3"/>
    <x v="0"/>
    <n v="8.99"/>
    <n v="0"/>
    <n v="0"/>
    <x v="0"/>
    <n v="2"/>
    <n v="0.91"/>
    <s v="Horror"/>
  </r>
  <r>
    <s v="c1036f42-7ebe-4737-aa18-7019022de901"/>
    <n v="61"/>
    <s v="Other"/>
    <s v="Premium"/>
    <n v="2.2200000000000002"/>
    <x v="19"/>
    <x v="2"/>
    <x v="0"/>
    <n v="17.989999999999998"/>
    <n v="1"/>
    <n v="17.989999999999998"/>
    <x v="0"/>
    <n v="4"/>
    <n v="0.05"/>
    <s v="Documentary"/>
  </r>
  <r>
    <s v="d7e8c0ad-3178-481a-855e-5fd5fe3ffa43"/>
    <n v="68"/>
    <s v="Female"/>
    <s v="Premium"/>
    <n v="27.23"/>
    <x v="23"/>
    <x v="5"/>
    <x v="3"/>
    <n v="17.989999999999998"/>
    <n v="0"/>
    <n v="0"/>
    <x v="0"/>
    <n v="3"/>
    <n v="0.5"/>
    <s v="Documentary"/>
  </r>
  <r>
    <s v="92f2af93-27fc-4030-95ce-aecc9b077942"/>
    <n v="54"/>
    <s v="Male"/>
    <s v="Standard"/>
    <n v="8.18"/>
    <x v="9"/>
    <x v="3"/>
    <x v="1"/>
    <n v="13.99"/>
    <n v="1"/>
    <n v="13.99"/>
    <x v="4"/>
    <n v="2"/>
    <n v="0.22"/>
    <s v="Documentary"/>
  </r>
  <r>
    <s v="de7ca252-1a6c-444f-950d-1d30acb83619"/>
    <n v="28"/>
    <s v="Male"/>
    <s v="Premium"/>
    <n v="4.5999999999999996"/>
    <x v="27"/>
    <x v="4"/>
    <x v="1"/>
    <n v="17.989999999999998"/>
    <n v="0"/>
    <n v="0"/>
    <x v="3"/>
    <n v="4"/>
    <n v="0.27"/>
    <s v="Action"/>
  </r>
  <r>
    <s v="4b2d1a25-31b7-4b0f-bc95-017606ce2284"/>
    <n v="54"/>
    <s v="Other"/>
    <s v="Basic"/>
    <n v="12.13"/>
    <x v="34"/>
    <x v="4"/>
    <x v="4"/>
    <n v="8.99"/>
    <n v="1"/>
    <n v="8.99"/>
    <x v="1"/>
    <n v="1"/>
    <n v="0.24"/>
    <s v="Romance"/>
  </r>
  <r>
    <s v="5497a74d-e048-4392-9025-2000dfceb952"/>
    <n v="63"/>
    <s v="Female"/>
    <s v="Basic"/>
    <n v="3.65"/>
    <x v="22"/>
    <x v="4"/>
    <x v="3"/>
    <n v="8.99"/>
    <n v="1"/>
    <n v="8.99"/>
    <x v="1"/>
    <n v="5"/>
    <n v="7.0000000000000007E-2"/>
    <s v="Comedy"/>
  </r>
  <r>
    <s v="decb540e-6381-40d1-8c00-29e7277a279d"/>
    <n v="59"/>
    <s v="Other"/>
    <s v="Basic"/>
    <n v="10.87"/>
    <x v="43"/>
    <x v="4"/>
    <x v="2"/>
    <n v="8.99"/>
    <n v="1"/>
    <n v="8.99"/>
    <x v="2"/>
    <n v="4"/>
    <n v="0.34"/>
    <s v="Comedy"/>
  </r>
  <r>
    <s v="ab11ccda-a915-4c76-851d-663a8e0d10df"/>
    <n v="54"/>
    <s v="Other"/>
    <s v="Basic"/>
    <n v="30.06"/>
    <x v="42"/>
    <x v="3"/>
    <x v="0"/>
    <n v="8.99"/>
    <n v="0"/>
    <n v="0"/>
    <x v="0"/>
    <n v="2"/>
    <n v="0.79"/>
    <s v="Action"/>
  </r>
  <r>
    <s v="13d60860-ba76-458b-b4a2-a2b57814f3a5"/>
    <n v="62"/>
    <s v="Male"/>
    <s v="Premium"/>
    <n v="2.68"/>
    <x v="22"/>
    <x v="0"/>
    <x v="0"/>
    <n v="17.989999999999998"/>
    <n v="1"/>
    <n v="17.989999999999998"/>
    <x v="0"/>
    <n v="1"/>
    <n v="0.05"/>
    <s v="Action"/>
  </r>
  <r>
    <s v="fa434710-e3c5-4591-b249-e7c0091ef66f"/>
    <n v="54"/>
    <s v="Female"/>
    <s v="Standard"/>
    <n v="15.72"/>
    <x v="25"/>
    <x v="0"/>
    <x v="1"/>
    <n v="13.99"/>
    <n v="0"/>
    <n v="0"/>
    <x v="3"/>
    <n v="5"/>
    <n v="15.72"/>
    <s v="Romance"/>
  </r>
  <r>
    <s v="98006a18-b3dc-4c62-862d-60e463cf6f7f"/>
    <n v="37"/>
    <s v="Male"/>
    <s v="Standard"/>
    <n v="2.31"/>
    <x v="54"/>
    <x v="2"/>
    <x v="2"/>
    <n v="13.99"/>
    <n v="1"/>
    <n v="13.99"/>
    <x v="3"/>
    <n v="1"/>
    <n v="0.08"/>
    <s v="Horror"/>
  </r>
  <r>
    <s v="e3eea8bc-2806-4c16-9034-bf7a50dd7acd"/>
    <n v="64"/>
    <s v="Male"/>
    <s v="Standard"/>
    <n v="22.72"/>
    <x v="14"/>
    <x v="5"/>
    <x v="2"/>
    <n v="13.99"/>
    <n v="0"/>
    <n v="0"/>
    <x v="3"/>
    <n v="1"/>
    <n v="0.69"/>
    <s v="Romance"/>
  </r>
  <r>
    <s v="7d27b819-bbc1-4ed3-90fc-fab14f4f7676"/>
    <n v="26"/>
    <s v="Other"/>
    <s v="Premium"/>
    <n v="4.76"/>
    <x v="16"/>
    <x v="3"/>
    <x v="1"/>
    <n v="17.989999999999998"/>
    <n v="1"/>
    <n v="17.989999999999998"/>
    <x v="1"/>
    <n v="4"/>
    <n v="0.17"/>
    <s v="Documentary"/>
  </r>
  <r>
    <s v="f6586998-c5aa-4fc4-86ac-0c0356195134"/>
    <n v="41"/>
    <s v="Other"/>
    <s v="Premium"/>
    <n v="2.74"/>
    <x v="1"/>
    <x v="2"/>
    <x v="2"/>
    <n v="17.989999999999998"/>
    <n v="1"/>
    <n v="17.989999999999998"/>
    <x v="2"/>
    <n v="3"/>
    <n v="0.14000000000000001"/>
    <s v="Sci-Fi"/>
  </r>
  <r>
    <s v="b93f548e-af61-48f2-9b3e-b3ac52460c91"/>
    <n v="60"/>
    <s v="Female"/>
    <s v="Standard"/>
    <n v="17.420000000000002"/>
    <x v="16"/>
    <x v="2"/>
    <x v="3"/>
    <n v="13.99"/>
    <n v="0"/>
    <n v="0"/>
    <x v="4"/>
    <n v="5"/>
    <n v="0.62"/>
    <s v="Action"/>
  </r>
  <r>
    <s v="17c2628d-07f1-47e3-9684-dedb7aa86b6c"/>
    <n v="56"/>
    <s v="Female"/>
    <s v="Premium"/>
    <n v="10.220000000000001"/>
    <x v="7"/>
    <x v="0"/>
    <x v="0"/>
    <n v="17.989999999999998"/>
    <n v="0"/>
    <n v="0"/>
    <x v="2"/>
    <n v="5"/>
    <n v="0.18"/>
    <s v="Drama"/>
  </r>
  <r>
    <s v="12a7aef2-17ed-466d-80e4-e176d2ca52b9"/>
    <n v="20"/>
    <s v="Other"/>
    <s v="Premium"/>
    <n v="5.12"/>
    <x v="20"/>
    <x v="3"/>
    <x v="3"/>
    <n v="17.989999999999998"/>
    <n v="0"/>
    <n v="0"/>
    <x v="3"/>
    <n v="1"/>
    <n v="0.27"/>
    <s v="Action"/>
  </r>
  <r>
    <s v="a0caf50f-05f2-45a0-8b16-a55f02928a2b"/>
    <n v="19"/>
    <s v="Female"/>
    <s v="Premium"/>
    <n v="2.2999999999999998"/>
    <x v="30"/>
    <x v="4"/>
    <x v="1"/>
    <n v="17.989999999999998"/>
    <n v="0"/>
    <n v="0"/>
    <x v="1"/>
    <n v="3"/>
    <n v="1.1499999999999999"/>
    <s v="Comedy"/>
  </r>
  <r>
    <s v="06acad39-2870-4b82-be56-ed73b3aa151b"/>
    <n v="20"/>
    <s v="Female"/>
    <s v="Standard"/>
    <n v="1.45"/>
    <x v="25"/>
    <x v="5"/>
    <x v="4"/>
    <n v="13.99"/>
    <n v="0"/>
    <n v="0"/>
    <x v="0"/>
    <n v="5"/>
    <n v="1.45"/>
    <s v="Horror"/>
  </r>
  <r>
    <s v="71459779-5507-4c55-9b99-c6daee4273f0"/>
    <n v="57"/>
    <s v="Female"/>
    <s v="Premium"/>
    <n v="19.3"/>
    <x v="53"/>
    <x v="1"/>
    <x v="3"/>
    <n v="17.989999999999998"/>
    <n v="1"/>
    <n v="17.989999999999998"/>
    <x v="0"/>
    <n v="4"/>
    <n v="0.45"/>
    <s v="Romance"/>
  </r>
  <r>
    <s v="23f251da-e126-4afc-88a9-12165a683cde"/>
    <n v="61"/>
    <s v="Male"/>
    <s v="Premium"/>
    <n v="34.86"/>
    <x v="11"/>
    <x v="3"/>
    <x v="1"/>
    <n v="17.989999999999998"/>
    <n v="0"/>
    <n v="0"/>
    <x v="1"/>
    <n v="3"/>
    <n v="1.45"/>
    <s v="Documentary"/>
  </r>
  <r>
    <s v="d950a7ae-60bd-4f16-ad7e-46c34268c6fd"/>
    <n v="24"/>
    <s v="Other"/>
    <s v="Standard"/>
    <n v="4.8899999999999997"/>
    <x v="56"/>
    <x v="4"/>
    <x v="1"/>
    <n v="13.99"/>
    <n v="1"/>
    <n v="13.99"/>
    <x v="2"/>
    <n v="2"/>
    <n v="0.08"/>
    <s v="Action"/>
  </r>
  <r>
    <s v="9faa53a9-c587-4b26-830b-365ae864c983"/>
    <n v="47"/>
    <s v="Other"/>
    <s v="Standard"/>
    <n v="24.11"/>
    <x v="43"/>
    <x v="1"/>
    <x v="2"/>
    <n v="13.99"/>
    <n v="0"/>
    <n v="0"/>
    <x v="3"/>
    <n v="3"/>
    <n v="0.75"/>
    <s v="Sci-Fi"/>
  </r>
  <r>
    <s v="68f57553-4bf4-455c-ad2e-ce88ba80449d"/>
    <n v="68"/>
    <s v="Female"/>
    <s v="Standard"/>
    <n v="81.069999999999993"/>
    <x v="53"/>
    <x v="5"/>
    <x v="2"/>
    <n v="13.99"/>
    <n v="0"/>
    <n v="0"/>
    <x v="2"/>
    <n v="1"/>
    <n v="1.89"/>
    <s v="Documentary"/>
  </r>
  <r>
    <s v="1fda0f85-9ca8-4a37-b594-0577cc40d107"/>
    <n v="40"/>
    <s v="Other"/>
    <s v="Basic"/>
    <n v="0.86"/>
    <x v="59"/>
    <x v="3"/>
    <x v="4"/>
    <n v="8.99"/>
    <n v="1"/>
    <n v="8.99"/>
    <x v="2"/>
    <n v="2"/>
    <n v="0.14000000000000001"/>
    <s v="Documentary"/>
  </r>
  <r>
    <s v="99b75d88-389d-4e15-ae49-2fbda9481a56"/>
    <n v="42"/>
    <s v="Male"/>
    <s v="Premium"/>
    <n v="1.91"/>
    <x v="35"/>
    <x v="1"/>
    <x v="1"/>
    <n v="17.989999999999998"/>
    <n v="1"/>
    <n v="17.989999999999998"/>
    <x v="1"/>
    <n v="1"/>
    <n v="0.04"/>
    <s v="Action"/>
  </r>
  <r>
    <s v="1ff10a52-1dd7-49be-a93f-16d96d69cfe8"/>
    <n v="59"/>
    <s v="Other"/>
    <s v="Basic"/>
    <n v="14.32"/>
    <x v="58"/>
    <x v="4"/>
    <x v="2"/>
    <n v="8.99"/>
    <n v="1"/>
    <n v="8.99"/>
    <x v="4"/>
    <n v="1"/>
    <n v="0.3"/>
    <s v="Horror"/>
  </r>
  <r>
    <s v="28750512-060a-4199-bbb4-ffa43bac55b5"/>
    <n v="59"/>
    <s v="Other"/>
    <s v="Basic"/>
    <n v="0.09"/>
    <x v="33"/>
    <x v="1"/>
    <x v="2"/>
    <n v="8.99"/>
    <n v="1"/>
    <n v="8.99"/>
    <x v="1"/>
    <n v="2"/>
    <n v="0"/>
    <s v="Sci-Fi"/>
  </r>
  <r>
    <s v="85116642-d67a-44fb-8cf1-193e544d9390"/>
    <n v="33"/>
    <s v="Male"/>
    <s v="Premium"/>
    <n v="9.68"/>
    <x v="18"/>
    <x v="2"/>
    <x v="2"/>
    <n v="17.989999999999998"/>
    <n v="1"/>
    <n v="17.989999999999998"/>
    <x v="0"/>
    <n v="1"/>
    <n v="0.17"/>
    <s v="Documentary"/>
  </r>
  <r>
    <s v="4c85513b-b640-49e2-966a-ecaf69ed1a62"/>
    <n v="24"/>
    <s v="Male"/>
    <s v="Standard"/>
    <n v="13.71"/>
    <x v="48"/>
    <x v="3"/>
    <x v="1"/>
    <n v="13.99"/>
    <n v="1"/>
    <n v="13.99"/>
    <x v="2"/>
    <n v="1"/>
    <n v="0.26"/>
    <s v="Horror"/>
  </r>
  <r>
    <s v="83ca2b12-f1fd-48b2-886b-c795742478a4"/>
    <n v="45"/>
    <s v="Female"/>
    <s v="Premium"/>
    <n v="11.99"/>
    <x v="50"/>
    <x v="5"/>
    <x v="3"/>
    <n v="17.989999999999998"/>
    <n v="1"/>
    <n v="17.989999999999998"/>
    <x v="4"/>
    <n v="2"/>
    <n v="0.22"/>
    <s v="Horror"/>
  </r>
  <r>
    <s v="7003d3e0-38c6-442b-b19e-026dde7d98ea"/>
    <n v="48"/>
    <s v="Male"/>
    <s v="Premium"/>
    <n v="7.18"/>
    <x v="23"/>
    <x v="2"/>
    <x v="4"/>
    <n v="17.989999999999998"/>
    <n v="0"/>
    <n v="0"/>
    <x v="2"/>
    <n v="4"/>
    <n v="0.13"/>
    <s v="Comedy"/>
  </r>
  <r>
    <s v="be26463d-8df5-4f33-aaa9-94fd9b9512f9"/>
    <n v="39"/>
    <s v="Male"/>
    <s v="Standard"/>
    <n v="31.83"/>
    <x v="46"/>
    <x v="0"/>
    <x v="1"/>
    <n v="13.99"/>
    <n v="0"/>
    <n v="0"/>
    <x v="1"/>
    <n v="5"/>
    <n v="10.61"/>
    <s v="Horror"/>
  </r>
  <r>
    <s v="476f04d7-1939-44f5-8231-9970934be051"/>
    <n v="25"/>
    <s v="Male"/>
    <s v="Standard"/>
    <n v="7.26"/>
    <x v="19"/>
    <x v="3"/>
    <x v="3"/>
    <n v="13.99"/>
    <n v="1"/>
    <n v="13.99"/>
    <x v="3"/>
    <n v="1"/>
    <n v="0.17"/>
    <s v="Action"/>
  </r>
  <r>
    <s v="8063a1cf-5f45-417e-ac5b-3660ce54cbb3"/>
    <n v="64"/>
    <s v="Male"/>
    <s v="Premium"/>
    <n v="3.51"/>
    <x v="41"/>
    <x v="1"/>
    <x v="4"/>
    <n v="17.989999999999998"/>
    <n v="0"/>
    <n v="0"/>
    <x v="3"/>
    <n v="5"/>
    <n v="0.11"/>
    <s v="Action"/>
  </r>
  <r>
    <s v="bbc95670-f863-4860-9cbb-d7b3dec90199"/>
    <n v="25"/>
    <s v="Male"/>
    <s v="Premium"/>
    <n v="16.61"/>
    <x v="8"/>
    <x v="3"/>
    <x v="1"/>
    <n v="17.989999999999998"/>
    <n v="0"/>
    <n v="0"/>
    <x v="2"/>
    <n v="4"/>
    <n v="0.47"/>
    <s v="Comedy"/>
  </r>
  <r>
    <s v="abd53402-72af-47cc-812b-9baa61d4d769"/>
    <n v="59"/>
    <s v="Female"/>
    <s v="Basic"/>
    <n v="6.96"/>
    <x v="17"/>
    <x v="2"/>
    <x v="0"/>
    <n v="8.99"/>
    <n v="0"/>
    <n v="0"/>
    <x v="3"/>
    <n v="2"/>
    <n v="1.39"/>
    <s v="Horror"/>
  </r>
  <r>
    <s v="c3b7f8f2-8065-47c1-b595-aae94c1e9346"/>
    <n v="64"/>
    <s v="Male"/>
    <s v="Premium"/>
    <n v="15.22"/>
    <x v="17"/>
    <x v="5"/>
    <x v="2"/>
    <n v="17.989999999999998"/>
    <n v="0"/>
    <n v="0"/>
    <x v="0"/>
    <n v="1"/>
    <n v="3.04"/>
    <s v="Documentary"/>
  </r>
  <r>
    <s v="ba0197bb-b5f5-478a-adda-7fc9c9963ae2"/>
    <n v="62"/>
    <s v="Other"/>
    <s v="Premium"/>
    <n v="4.99"/>
    <x v="2"/>
    <x v="5"/>
    <x v="0"/>
    <n v="17.989999999999998"/>
    <n v="1"/>
    <n v="17.989999999999998"/>
    <x v="2"/>
    <n v="2"/>
    <n v="0.45"/>
    <s v="Comedy"/>
  </r>
  <r>
    <s v="dc7b6e36-883c-4d1b-8258-c057e80305e4"/>
    <n v="57"/>
    <s v="Male"/>
    <s v="Standard"/>
    <n v="3.73"/>
    <x v="59"/>
    <x v="1"/>
    <x v="2"/>
    <n v="13.99"/>
    <n v="0"/>
    <n v="0"/>
    <x v="3"/>
    <n v="2"/>
    <n v="0.62"/>
    <s v="Comedy"/>
  </r>
  <r>
    <s v="82861b0b-5c7d-4251-a211-75c0a5b2ee6c"/>
    <n v="24"/>
    <s v="Female"/>
    <s v="Premium"/>
    <n v="30.8"/>
    <x v="1"/>
    <x v="1"/>
    <x v="1"/>
    <n v="17.989999999999998"/>
    <n v="0"/>
    <n v="0"/>
    <x v="4"/>
    <n v="5"/>
    <n v="1.54"/>
    <s v="Romance"/>
  </r>
  <r>
    <s v="a6391928-52e9-4141-85d4-5a49f203a0fb"/>
    <n v="51"/>
    <s v="Other"/>
    <s v="Basic"/>
    <n v="36.619999999999997"/>
    <x v="19"/>
    <x v="5"/>
    <x v="2"/>
    <n v="8.99"/>
    <n v="0"/>
    <n v="0"/>
    <x v="4"/>
    <n v="4"/>
    <n v="0.83"/>
    <s v="Horror"/>
  </r>
  <r>
    <s v="bc638748-782d-4220-8fc7-ed7e6747c894"/>
    <n v="69"/>
    <s v="Female"/>
    <s v="Basic"/>
    <n v="4.8099999999999996"/>
    <x v="39"/>
    <x v="4"/>
    <x v="0"/>
    <n v="8.99"/>
    <n v="1"/>
    <n v="8.99"/>
    <x v="0"/>
    <n v="2"/>
    <n v="0.21"/>
    <s v="Action"/>
  </r>
  <r>
    <s v="d43c645d-181a-41e8-89a1-051dee52867d"/>
    <n v="20"/>
    <s v="Female"/>
    <s v="Standard"/>
    <n v="4.28"/>
    <x v="32"/>
    <x v="5"/>
    <x v="4"/>
    <n v="13.99"/>
    <n v="0"/>
    <n v="0"/>
    <x v="2"/>
    <n v="5"/>
    <n v="0.28999999999999998"/>
    <s v="Sci-Fi"/>
  </r>
  <r>
    <s v="5707a108-c200-42ad-af1e-b4653b58d581"/>
    <n v="46"/>
    <s v="Female"/>
    <s v="Standard"/>
    <n v="10.98"/>
    <x v="6"/>
    <x v="0"/>
    <x v="1"/>
    <n v="13.99"/>
    <n v="0"/>
    <n v="0"/>
    <x v="0"/>
    <n v="5"/>
    <n v="0.52"/>
    <s v="Sci-Fi"/>
  </r>
  <r>
    <s v="fd38515a-bac5-4f2e-a993-784b9013fa7b"/>
    <n v="21"/>
    <s v="Male"/>
    <s v="Premium"/>
    <n v="3.06"/>
    <x v="37"/>
    <x v="5"/>
    <x v="1"/>
    <n v="17.989999999999998"/>
    <n v="0"/>
    <n v="0"/>
    <x v="3"/>
    <n v="4"/>
    <n v="0.12"/>
    <s v="Romance"/>
  </r>
  <r>
    <s v="fea19557-12f5-44ac-a0af-198d9808d92b"/>
    <n v="56"/>
    <s v="Other"/>
    <s v="Standard"/>
    <n v="16.86"/>
    <x v="8"/>
    <x v="4"/>
    <x v="0"/>
    <n v="13.99"/>
    <n v="1"/>
    <n v="13.99"/>
    <x v="4"/>
    <n v="2"/>
    <n v="0.48"/>
    <s v="Action"/>
  </r>
  <r>
    <s v="86b8e1a7-89e0-4e3e-9888-b7007b775af0"/>
    <n v="40"/>
    <s v="Other"/>
    <s v="Standard"/>
    <n v="9.41"/>
    <x v="44"/>
    <x v="0"/>
    <x v="0"/>
    <n v="13.99"/>
    <n v="1"/>
    <n v="13.99"/>
    <x v="1"/>
    <n v="3"/>
    <n v="0.2"/>
    <s v="Drama"/>
  </r>
  <r>
    <s v="75356eca-46e2-4c47-8f88-59c4646c5827"/>
    <n v="21"/>
    <s v="Other"/>
    <s v="Basic"/>
    <n v="54.56"/>
    <x v="40"/>
    <x v="5"/>
    <x v="3"/>
    <n v="8.99"/>
    <n v="0"/>
    <n v="0"/>
    <x v="4"/>
    <n v="5"/>
    <n v="4.55"/>
    <s v="Romance"/>
  </r>
  <r>
    <s v="4acacbc6-042b-4dce-aae2-1a5c6d52ce20"/>
    <n v="18"/>
    <s v="Male"/>
    <s v="Premium"/>
    <n v="1.61"/>
    <x v="0"/>
    <x v="2"/>
    <x v="1"/>
    <n v="17.989999999999998"/>
    <n v="1"/>
    <n v="17.989999999999998"/>
    <x v="3"/>
    <n v="1"/>
    <n v="0.05"/>
    <s v="Drama"/>
  </r>
  <r>
    <s v="87c00608-c077-4037-9cfe-11d7e7f3f9f2"/>
    <n v="18"/>
    <s v="Female"/>
    <s v="Premium"/>
    <n v="0.38"/>
    <x v="42"/>
    <x v="5"/>
    <x v="0"/>
    <n v="17.989999999999998"/>
    <n v="1"/>
    <n v="17.989999999999998"/>
    <x v="1"/>
    <n v="5"/>
    <n v="0.01"/>
    <s v="Action"/>
  </r>
  <r>
    <s v="4ba7f702-5b22-4e31-ac70-272407eb79f8"/>
    <n v="31"/>
    <s v="Female"/>
    <s v="Premium"/>
    <n v="0.54"/>
    <x v="27"/>
    <x v="5"/>
    <x v="3"/>
    <n v="17.989999999999998"/>
    <n v="1"/>
    <n v="17.989999999999998"/>
    <x v="4"/>
    <n v="1"/>
    <n v="0.03"/>
    <s v="Sci-Fi"/>
  </r>
  <r>
    <s v="603d23eb-86c6-449e-83a9-626d45204c7f"/>
    <n v="45"/>
    <s v="Male"/>
    <s v="Basic"/>
    <n v="5.8"/>
    <x v="36"/>
    <x v="5"/>
    <x v="1"/>
    <n v="8.99"/>
    <n v="1"/>
    <n v="8.99"/>
    <x v="2"/>
    <n v="4"/>
    <n v="0.14000000000000001"/>
    <s v="Documentary"/>
  </r>
  <r>
    <s v="79b69ab0-31aa-48b1-a4bb-2987db4fa802"/>
    <n v="33"/>
    <s v="Female"/>
    <s v="Standard"/>
    <n v="6.15"/>
    <x v="4"/>
    <x v="5"/>
    <x v="4"/>
    <n v="13.99"/>
    <n v="0"/>
    <n v="0"/>
    <x v="0"/>
    <n v="5"/>
    <n v="0.44"/>
    <s v="Horror"/>
  </r>
  <r>
    <s v="5fb82ca0-59b1-4c7a-ace5-9dc04e30c4ab"/>
    <n v="33"/>
    <s v="Female"/>
    <s v="Standard"/>
    <n v="3.98"/>
    <x v="52"/>
    <x v="3"/>
    <x v="4"/>
    <n v="13.99"/>
    <n v="1"/>
    <n v="13.99"/>
    <x v="2"/>
    <n v="4"/>
    <n v="0.08"/>
    <s v="Drama"/>
  </r>
  <r>
    <s v="f42ed003-e8bf-42bd-830e-0286e52956a8"/>
    <n v="31"/>
    <s v="Male"/>
    <s v="Premium"/>
    <n v="1.9"/>
    <x v="43"/>
    <x v="1"/>
    <x v="1"/>
    <n v="17.989999999999998"/>
    <n v="1"/>
    <n v="17.989999999999998"/>
    <x v="0"/>
    <n v="1"/>
    <n v="0.06"/>
    <s v="Horror"/>
  </r>
  <r>
    <s v="376b1e05-d9f2-4a64-a5f9-7817933d9c19"/>
    <n v="18"/>
    <s v="Other"/>
    <s v="Premium"/>
    <n v="7.93"/>
    <x v="57"/>
    <x v="3"/>
    <x v="1"/>
    <n v="17.989999999999998"/>
    <n v="0"/>
    <n v="0"/>
    <x v="2"/>
    <n v="4"/>
    <n v="0.13"/>
    <s v="Documentary"/>
  </r>
  <r>
    <s v="4bd379ac-7088-4f76-8659-5dee42ce681e"/>
    <n v="29"/>
    <s v="Male"/>
    <s v="Standard"/>
    <n v="1.23"/>
    <x v="34"/>
    <x v="2"/>
    <x v="3"/>
    <n v="13.99"/>
    <n v="1"/>
    <n v="13.99"/>
    <x v="3"/>
    <n v="3"/>
    <n v="0.02"/>
    <s v="Comedy"/>
  </r>
  <r>
    <s v="825c1f34-4c70-4e01-88de-57f51cf6bc99"/>
    <n v="46"/>
    <s v="Other"/>
    <s v="Basic"/>
    <n v="8.69"/>
    <x v="28"/>
    <x v="3"/>
    <x v="0"/>
    <n v="8.99"/>
    <n v="1"/>
    <n v="8.99"/>
    <x v="0"/>
    <n v="1"/>
    <n v="0.24"/>
    <s v="Comedy"/>
  </r>
  <r>
    <s v="47f99416-fe67-4680-89a7-d3fb3aad0529"/>
    <n v="60"/>
    <s v="Male"/>
    <s v="Basic"/>
    <n v="21.16"/>
    <x v="11"/>
    <x v="1"/>
    <x v="0"/>
    <n v="8.99"/>
    <n v="0"/>
    <n v="0"/>
    <x v="4"/>
    <n v="5"/>
    <n v="0.88"/>
    <s v="Romance"/>
  </r>
  <r>
    <s v="2810911b-db9f-4cf9-97c5-5c22d2d60bee"/>
    <n v="52"/>
    <s v="Other"/>
    <s v="Standard"/>
    <n v="8.61"/>
    <x v="29"/>
    <x v="5"/>
    <x v="1"/>
    <n v="13.99"/>
    <n v="1"/>
    <n v="13.99"/>
    <x v="1"/>
    <n v="3"/>
    <n v="0.19"/>
    <s v="Horror"/>
  </r>
  <r>
    <s v="114b979d-9555-470b-990f-4f6851855e8f"/>
    <n v="30"/>
    <s v="Other"/>
    <s v="Standard"/>
    <n v="14.41"/>
    <x v="48"/>
    <x v="2"/>
    <x v="4"/>
    <n v="13.99"/>
    <n v="1"/>
    <n v="13.99"/>
    <x v="0"/>
    <n v="1"/>
    <n v="0.28000000000000003"/>
    <s v="Comedy"/>
  </r>
  <r>
    <s v="023b26d4-c93d-4dc3-8397-5f01fd650e10"/>
    <n v="25"/>
    <s v="Male"/>
    <s v="Standard"/>
    <n v="1.36"/>
    <x v="17"/>
    <x v="5"/>
    <x v="2"/>
    <n v="13.99"/>
    <n v="0"/>
    <n v="0"/>
    <x v="0"/>
    <n v="5"/>
    <n v="0.27"/>
    <s v="Romance"/>
  </r>
  <r>
    <s v="95b8b913-647a-4cf0-8a1c-12eba4a8ed74"/>
    <n v="33"/>
    <s v="Female"/>
    <s v="Basic"/>
    <n v="0.03"/>
    <x v="48"/>
    <x v="5"/>
    <x v="2"/>
    <n v="8.99"/>
    <n v="1"/>
    <n v="8.99"/>
    <x v="4"/>
    <n v="1"/>
    <n v="0"/>
    <s v="Horror"/>
  </r>
  <r>
    <s v="df48d25d-a147-43c2-a6f4-7995ad062c66"/>
    <n v="63"/>
    <s v="Female"/>
    <s v="Standard"/>
    <n v="45.57"/>
    <x v="23"/>
    <x v="1"/>
    <x v="3"/>
    <n v="13.99"/>
    <n v="0"/>
    <n v="0"/>
    <x v="2"/>
    <n v="4"/>
    <n v="0.84"/>
    <s v="Romance"/>
  </r>
  <r>
    <s v="e3d1e10c-f5d4-42cb-a0cd-06b860980446"/>
    <n v="21"/>
    <s v="Other"/>
    <s v="Basic"/>
    <n v="19.21"/>
    <x v="18"/>
    <x v="2"/>
    <x v="2"/>
    <n v="8.99"/>
    <n v="1"/>
    <n v="8.99"/>
    <x v="0"/>
    <n v="4"/>
    <n v="0.33"/>
    <s v="Documentary"/>
  </r>
  <r>
    <s v="3d604c3a-0b78-4192-8389-dd95566832af"/>
    <n v="46"/>
    <s v="Other"/>
    <s v="Standard"/>
    <n v="0.83"/>
    <x v="3"/>
    <x v="4"/>
    <x v="1"/>
    <n v="13.99"/>
    <n v="1"/>
    <n v="13.99"/>
    <x v="1"/>
    <n v="4"/>
    <n v="0.06"/>
    <s v="Comedy"/>
  </r>
  <r>
    <s v="dda88e04-bad3-4755-9aee-584f129d0d86"/>
    <n v="21"/>
    <s v="Female"/>
    <s v="Standard"/>
    <n v="9.39"/>
    <x v="45"/>
    <x v="4"/>
    <x v="1"/>
    <n v="13.99"/>
    <n v="0"/>
    <n v="0"/>
    <x v="3"/>
    <n v="5"/>
    <n v="0.22"/>
    <s v="Drama"/>
  </r>
  <r>
    <s v="93880064-9281-4aec-a8f9-0be261a5257c"/>
    <n v="49"/>
    <s v="Female"/>
    <s v="Premium"/>
    <n v="3.31"/>
    <x v="55"/>
    <x v="1"/>
    <x v="2"/>
    <n v="17.989999999999998"/>
    <n v="1"/>
    <n v="17.989999999999998"/>
    <x v="3"/>
    <n v="1"/>
    <n v="0.06"/>
    <s v="Sci-Fi"/>
  </r>
  <r>
    <s v="ff06eb31-09ff-48f4-821a-632b3d504124"/>
    <n v="55"/>
    <s v="Male"/>
    <s v="Premium"/>
    <n v="0.87"/>
    <x v="26"/>
    <x v="2"/>
    <x v="4"/>
    <n v="17.989999999999998"/>
    <n v="1"/>
    <n v="17.989999999999998"/>
    <x v="2"/>
    <n v="4"/>
    <n v="0.02"/>
    <s v="Action"/>
  </r>
  <r>
    <s v="41f6124d-7959-4fc3-83af-7c634c843b10"/>
    <n v="39"/>
    <s v="Other"/>
    <s v="Premium"/>
    <n v="2.99"/>
    <x v="44"/>
    <x v="1"/>
    <x v="4"/>
    <n v="17.989999999999998"/>
    <n v="1"/>
    <n v="17.989999999999998"/>
    <x v="1"/>
    <n v="4"/>
    <n v="0.06"/>
    <s v="Romance"/>
  </r>
  <r>
    <s v="cb4906d4-6473-4dff-a7a6-9188bad17eb7"/>
    <n v="67"/>
    <s v="Female"/>
    <s v="Premium"/>
    <n v="15.71"/>
    <x v="6"/>
    <x v="5"/>
    <x v="1"/>
    <n v="17.989999999999998"/>
    <n v="0"/>
    <n v="0"/>
    <x v="4"/>
    <n v="5"/>
    <n v="0.75"/>
    <s v="Sci-Fi"/>
  </r>
  <r>
    <s v="0fb2c3f5-d063-4477-baba-bffd25a2a799"/>
    <n v="55"/>
    <s v="Male"/>
    <s v="Standard"/>
    <n v="55.93"/>
    <x v="19"/>
    <x v="2"/>
    <x v="0"/>
    <n v="13.99"/>
    <n v="0"/>
    <n v="0"/>
    <x v="0"/>
    <n v="1"/>
    <n v="1.27"/>
    <s v="Action"/>
  </r>
  <r>
    <s v="915bdcfc-6d40-4333-a5e2-5af8c8f31566"/>
    <n v="19"/>
    <s v="Female"/>
    <s v="Basic"/>
    <n v="40.159999999999997"/>
    <x v="6"/>
    <x v="3"/>
    <x v="3"/>
    <n v="8.99"/>
    <n v="0"/>
    <n v="0"/>
    <x v="3"/>
    <n v="3"/>
    <n v="1.91"/>
    <s v="Action"/>
  </r>
  <r>
    <s v="414c16e4-7496-4596-b55d-41d8ed0219fe"/>
    <n v="65"/>
    <s v="Male"/>
    <s v="Premium"/>
    <n v="11.56"/>
    <x v="20"/>
    <x v="4"/>
    <x v="3"/>
    <n v="17.989999999999998"/>
    <n v="0"/>
    <n v="0"/>
    <x v="1"/>
    <n v="1"/>
    <n v="0.61"/>
    <s v="Sci-Fi"/>
  </r>
  <r>
    <s v="cca8b581-77d7-49a1-91e5-6e68aed943a2"/>
    <n v="34"/>
    <s v="Female"/>
    <s v="Basic"/>
    <n v="7.93"/>
    <x v="57"/>
    <x v="2"/>
    <x v="3"/>
    <n v="8.99"/>
    <n v="1"/>
    <n v="8.99"/>
    <x v="1"/>
    <n v="1"/>
    <n v="0.13"/>
    <s v="Action"/>
  </r>
  <r>
    <s v="7136ba96-f288-4279-a5ea-f9e2305f5387"/>
    <n v="58"/>
    <s v="Female"/>
    <s v="Standard"/>
    <n v="23.72"/>
    <x v="8"/>
    <x v="5"/>
    <x v="4"/>
    <n v="13.99"/>
    <n v="0"/>
    <n v="0"/>
    <x v="3"/>
    <n v="4"/>
    <n v="0.68"/>
    <s v="Comedy"/>
  </r>
  <r>
    <s v="7a83aab4-74d0-4981-a8dc-b3efb61412f6"/>
    <n v="25"/>
    <s v="Female"/>
    <s v="Premium"/>
    <n v="17.57"/>
    <x v="27"/>
    <x v="3"/>
    <x v="4"/>
    <n v="17.989999999999998"/>
    <n v="0"/>
    <n v="0"/>
    <x v="3"/>
    <n v="4"/>
    <n v="1.03"/>
    <s v="Comedy"/>
  </r>
  <r>
    <s v="3d5df00c-915c-489c-8b43-5066e165ee26"/>
    <n v="65"/>
    <s v="Female"/>
    <s v="Standard"/>
    <n v="0.53"/>
    <x v="30"/>
    <x v="1"/>
    <x v="2"/>
    <n v="13.99"/>
    <n v="0"/>
    <n v="0"/>
    <x v="4"/>
    <n v="5"/>
    <n v="0.27"/>
    <s v="Sci-Fi"/>
  </r>
  <r>
    <s v="373bbb0c-fe39-494c-a615-e5066a1a2b6d"/>
    <n v="65"/>
    <s v="Other"/>
    <s v="Premium"/>
    <n v="27.63"/>
    <x v="60"/>
    <x v="2"/>
    <x v="0"/>
    <n v="17.989999999999998"/>
    <n v="0"/>
    <n v="0"/>
    <x v="1"/>
    <n v="5"/>
    <n v="3.07"/>
    <s v="Romance"/>
  </r>
  <r>
    <s v="524faae4-641a-4b2f-b59c-1e54ada79b0b"/>
    <n v="28"/>
    <s v="Male"/>
    <s v="Premium"/>
    <n v="50.96"/>
    <x v="11"/>
    <x v="5"/>
    <x v="1"/>
    <n v="17.989999999999998"/>
    <n v="0"/>
    <n v="0"/>
    <x v="1"/>
    <n v="3"/>
    <n v="2.12"/>
    <s v="Horror"/>
  </r>
  <r>
    <s v="3a5d46fd-0ca3-44a1-a8be-d7e35a75218e"/>
    <n v="57"/>
    <s v="Male"/>
    <s v="Basic"/>
    <n v="3.09"/>
    <x v="19"/>
    <x v="4"/>
    <x v="1"/>
    <n v="8.99"/>
    <n v="1"/>
    <n v="8.99"/>
    <x v="2"/>
    <n v="5"/>
    <n v="7.0000000000000007E-2"/>
    <s v="Horror"/>
  </r>
  <r>
    <s v="6b8c4ccd-8bee-4022-94e8-b5f5a0d5bb5f"/>
    <n v="64"/>
    <s v="Other"/>
    <s v="Standard"/>
    <n v="1.0900000000000001"/>
    <x v="42"/>
    <x v="4"/>
    <x v="2"/>
    <n v="13.99"/>
    <n v="1"/>
    <n v="13.99"/>
    <x v="4"/>
    <n v="5"/>
    <n v="0.03"/>
    <s v="Documentary"/>
  </r>
  <r>
    <s v="99a0c45f-205b-4979-b1da-1410233ab47f"/>
    <n v="66"/>
    <s v="Other"/>
    <s v="Standard"/>
    <n v="10.25"/>
    <x v="54"/>
    <x v="5"/>
    <x v="3"/>
    <n v="13.99"/>
    <n v="0"/>
    <n v="0"/>
    <x v="2"/>
    <n v="4"/>
    <n v="0.35"/>
    <s v="Comedy"/>
  </r>
  <r>
    <s v="5abf9d55-254b-428f-83be-4bfd21883499"/>
    <n v="29"/>
    <s v="Male"/>
    <s v="Premium"/>
    <n v="17.559999999999999"/>
    <x v="4"/>
    <x v="2"/>
    <x v="0"/>
    <n v="17.989999999999998"/>
    <n v="0"/>
    <n v="0"/>
    <x v="2"/>
    <n v="3"/>
    <n v="1.25"/>
    <s v="Romance"/>
  </r>
  <r>
    <s v="0686a45f-68cd-4b98-94f5-3af6be2adc23"/>
    <n v="66"/>
    <s v="Male"/>
    <s v="Premium"/>
    <n v="32.92"/>
    <x v="12"/>
    <x v="2"/>
    <x v="1"/>
    <n v="17.989999999999998"/>
    <n v="0"/>
    <n v="0"/>
    <x v="2"/>
    <n v="4"/>
    <n v="0.97"/>
    <s v="Drama"/>
  </r>
  <r>
    <s v="73b0db82-374c-43df-a4a6-abebae1c9730"/>
    <n v="24"/>
    <s v="Female"/>
    <s v="Basic"/>
    <n v="1.71"/>
    <x v="47"/>
    <x v="0"/>
    <x v="1"/>
    <n v="8.99"/>
    <n v="1"/>
    <n v="8.99"/>
    <x v="1"/>
    <n v="3"/>
    <n v="0.43"/>
    <s v="Sci-Fi"/>
  </r>
  <r>
    <s v="53280000-5c09-40ef-a4dc-78d8c0583b19"/>
    <n v="36"/>
    <s v="Other"/>
    <s v="Basic"/>
    <n v="18.510000000000002"/>
    <x v="40"/>
    <x v="4"/>
    <x v="0"/>
    <n v="8.99"/>
    <n v="0"/>
    <n v="0"/>
    <x v="2"/>
    <n v="3"/>
    <n v="1.54"/>
    <s v="Sci-Fi"/>
  </r>
  <r>
    <s v="a7e20d3f-bf41-4628-8052-ba95cff759c1"/>
    <n v="51"/>
    <s v="Female"/>
    <s v="Standard"/>
    <n v="13.68"/>
    <x v="47"/>
    <x v="0"/>
    <x v="3"/>
    <n v="13.99"/>
    <n v="0"/>
    <n v="0"/>
    <x v="3"/>
    <n v="4"/>
    <n v="3.42"/>
    <s v="Documentary"/>
  </r>
  <r>
    <s v="d8e57ff7-d71c-4ffa-8a92-f63fced488de"/>
    <n v="23"/>
    <s v="Other"/>
    <s v="Premium"/>
    <n v="11.61"/>
    <x v="10"/>
    <x v="5"/>
    <x v="1"/>
    <n v="17.989999999999998"/>
    <n v="1"/>
    <n v="17.989999999999998"/>
    <x v="4"/>
    <n v="3"/>
    <n v="0.3"/>
    <s v="Horror"/>
  </r>
  <r>
    <s v="c701bb39-0cd8-4e31-9b40-944dcc679fcb"/>
    <n v="66"/>
    <s v="Other"/>
    <s v="Premium"/>
    <n v="14.44"/>
    <x v="26"/>
    <x v="0"/>
    <x v="0"/>
    <n v="17.989999999999998"/>
    <n v="1"/>
    <n v="17.989999999999998"/>
    <x v="1"/>
    <n v="3"/>
    <n v="0.28999999999999998"/>
    <s v="Comedy"/>
  </r>
  <r>
    <s v="18bed870-a69b-40c0-8d97-e03ae32e7de8"/>
    <n v="29"/>
    <s v="Other"/>
    <s v="Standard"/>
    <n v="8.31"/>
    <x v="41"/>
    <x v="2"/>
    <x v="1"/>
    <n v="13.99"/>
    <n v="0"/>
    <n v="0"/>
    <x v="3"/>
    <n v="1"/>
    <n v="0.27"/>
    <s v="Action"/>
  </r>
  <r>
    <s v="fa491f04-59eb-4305-83ea-0e1a91ac890f"/>
    <n v="32"/>
    <s v="Female"/>
    <s v="Basic"/>
    <n v="11.48"/>
    <x v="8"/>
    <x v="3"/>
    <x v="4"/>
    <n v="8.99"/>
    <n v="1"/>
    <n v="8.99"/>
    <x v="2"/>
    <n v="1"/>
    <n v="0.33"/>
    <s v="Horror"/>
  </r>
  <r>
    <s v="7be4e423-83bd-4cc9-96d5-a845a5ae728f"/>
    <n v="43"/>
    <s v="Male"/>
    <s v="Premium"/>
    <n v="1.99"/>
    <x v="51"/>
    <x v="0"/>
    <x v="0"/>
    <n v="17.989999999999998"/>
    <n v="1"/>
    <n v="17.989999999999998"/>
    <x v="1"/>
    <n v="5"/>
    <n v="0.11"/>
    <s v="Action"/>
  </r>
  <r>
    <s v="69a8fdc5-cf5b-43c9-bd8d-3fb8299eac10"/>
    <n v="61"/>
    <s v="Other"/>
    <s v="Standard"/>
    <n v="8.1199999999999992"/>
    <x v="7"/>
    <x v="0"/>
    <x v="0"/>
    <n v="13.99"/>
    <n v="0"/>
    <n v="0"/>
    <x v="4"/>
    <n v="4"/>
    <n v="0.14000000000000001"/>
    <s v="Horror"/>
  </r>
  <r>
    <s v="dcaf88dd-7810-44bb-ab55-d2ad4410ad63"/>
    <n v="44"/>
    <s v="Other"/>
    <s v="Basic"/>
    <n v="1.4"/>
    <x v="56"/>
    <x v="2"/>
    <x v="0"/>
    <n v="8.99"/>
    <n v="1"/>
    <n v="8.99"/>
    <x v="2"/>
    <n v="5"/>
    <n v="0.02"/>
    <s v="Drama"/>
  </r>
  <r>
    <s v="a9d14534-5bca-41dd-8d02-0d92570cb764"/>
    <n v="35"/>
    <s v="Male"/>
    <s v="Standard"/>
    <n v="4.13"/>
    <x v="14"/>
    <x v="0"/>
    <x v="0"/>
    <n v="13.99"/>
    <n v="1"/>
    <n v="13.99"/>
    <x v="4"/>
    <n v="1"/>
    <n v="0.13"/>
    <s v="Horror"/>
  </r>
  <r>
    <s v="179e0f5d-799d-4691-accc-09755ff50aac"/>
    <n v="67"/>
    <s v="Female"/>
    <s v="Basic"/>
    <n v="23.72"/>
    <x v="52"/>
    <x v="3"/>
    <x v="3"/>
    <n v="8.99"/>
    <n v="1"/>
    <n v="8.99"/>
    <x v="0"/>
    <n v="5"/>
    <n v="0.47"/>
    <s v="Documentary"/>
  </r>
  <r>
    <s v="8224eaf1-c683-4c85-a1f9-8bb9c2ef21ec"/>
    <n v="67"/>
    <s v="Female"/>
    <s v="Standard"/>
    <n v="8.1199999999999992"/>
    <x v="5"/>
    <x v="4"/>
    <x v="0"/>
    <n v="13.99"/>
    <n v="0"/>
    <n v="0"/>
    <x v="4"/>
    <n v="3"/>
    <n v="0.3"/>
    <s v="Drama"/>
  </r>
  <r>
    <s v="4d72f986-020f-4c5e-9e76-eb69bea859e6"/>
    <n v="46"/>
    <s v="Other"/>
    <s v="Standard"/>
    <n v="1.24"/>
    <x v="57"/>
    <x v="1"/>
    <x v="0"/>
    <n v="13.99"/>
    <n v="1"/>
    <n v="13.99"/>
    <x v="2"/>
    <n v="5"/>
    <n v="0.02"/>
    <s v="Horror"/>
  </r>
  <r>
    <s v="39ec453a-2361-4649-b68a-cba07181c4a7"/>
    <n v="41"/>
    <s v="Other"/>
    <s v="Standard"/>
    <n v="22.67"/>
    <x v="48"/>
    <x v="5"/>
    <x v="3"/>
    <n v="13.99"/>
    <n v="0"/>
    <n v="0"/>
    <x v="3"/>
    <n v="2"/>
    <n v="0.44"/>
    <s v="Documentary"/>
  </r>
  <r>
    <s v="f38cb847-0ed5-4a2d-87bb-e740dd8adef2"/>
    <n v="28"/>
    <s v="Female"/>
    <s v="Basic"/>
    <n v="13.35"/>
    <x v="51"/>
    <x v="5"/>
    <x v="4"/>
    <n v="8.99"/>
    <n v="0"/>
    <n v="0"/>
    <x v="3"/>
    <n v="1"/>
    <n v="0.74"/>
    <s v="Comedy"/>
  </r>
  <r>
    <s v="9401354d-1498-4eee-a560-19b633a103b3"/>
    <n v="48"/>
    <s v="Other"/>
    <s v="Premium"/>
    <n v="25.07"/>
    <x v="0"/>
    <x v="5"/>
    <x v="4"/>
    <n v="17.989999999999998"/>
    <n v="0"/>
    <n v="0"/>
    <x v="4"/>
    <n v="4"/>
    <n v="0.84"/>
    <s v="Drama"/>
  </r>
  <r>
    <s v="ec49d8e7-535d-4732-8fd2-f99e64a19a5f"/>
    <n v="62"/>
    <s v="Female"/>
    <s v="Standard"/>
    <n v="5.47"/>
    <x v="43"/>
    <x v="4"/>
    <x v="0"/>
    <n v="13.99"/>
    <n v="1"/>
    <n v="13.99"/>
    <x v="2"/>
    <n v="1"/>
    <n v="0.17"/>
    <s v="Sci-Fi"/>
  </r>
  <r>
    <s v="27ccc5be-9895-4ee0-86b5-8e917c0650e4"/>
    <n v="29"/>
    <s v="Male"/>
    <s v="Basic"/>
    <n v="11.65"/>
    <x v="39"/>
    <x v="2"/>
    <x v="2"/>
    <n v="8.99"/>
    <n v="0"/>
    <n v="0"/>
    <x v="3"/>
    <n v="2"/>
    <n v="0.51"/>
    <s v="Comedy"/>
  </r>
  <r>
    <s v="cb370c32-624d-42ee-b4c7-d90cd286a11f"/>
    <n v="40"/>
    <s v="Female"/>
    <s v="Basic"/>
    <n v="1.79"/>
    <x v="32"/>
    <x v="4"/>
    <x v="2"/>
    <n v="8.99"/>
    <n v="1"/>
    <n v="8.99"/>
    <x v="3"/>
    <n v="1"/>
    <n v="0.12"/>
    <s v="Documentary"/>
  </r>
  <r>
    <s v="0ad1bda0-04dc-4731-9a41-b2c54969004c"/>
    <n v="35"/>
    <s v="Female"/>
    <s v="Basic"/>
    <n v="5.61"/>
    <x v="20"/>
    <x v="1"/>
    <x v="1"/>
    <n v="8.99"/>
    <n v="1"/>
    <n v="8.99"/>
    <x v="1"/>
    <n v="2"/>
    <n v="0.3"/>
    <s v="Horror"/>
  </r>
  <r>
    <s v="6a99ebb0-cc9f-45ab-b6e9-4791602ae7c4"/>
    <n v="35"/>
    <s v="Female"/>
    <s v="Standard"/>
    <n v="3.26"/>
    <x v="36"/>
    <x v="1"/>
    <x v="4"/>
    <n v="13.99"/>
    <n v="1"/>
    <n v="13.99"/>
    <x v="2"/>
    <n v="2"/>
    <n v="0.08"/>
    <s v="Drama"/>
  </r>
  <r>
    <s v="59711c93-38ef-47c5-b728-42fa302cacd0"/>
    <n v="42"/>
    <s v="Female"/>
    <s v="Standard"/>
    <n v="3.67"/>
    <x v="4"/>
    <x v="3"/>
    <x v="0"/>
    <n v="13.99"/>
    <n v="1"/>
    <n v="13.99"/>
    <x v="2"/>
    <n v="3"/>
    <n v="0.26"/>
    <s v="Action"/>
  </r>
  <r>
    <s v="bb67998e-4ac1-45da-b7ca-605ec973e5fe"/>
    <n v="24"/>
    <s v="Male"/>
    <s v="Premium"/>
    <n v="1.1200000000000001"/>
    <x v="22"/>
    <x v="2"/>
    <x v="4"/>
    <n v="17.989999999999998"/>
    <n v="1"/>
    <n v="17.989999999999998"/>
    <x v="1"/>
    <n v="5"/>
    <n v="0.02"/>
    <s v="Documentary"/>
  </r>
  <r>
    <s v="32c0a4d8-3699-4f09-907b-5f303f8274c1"/>
    <n v="38"/>
    <s v="Female"/>
    <s v="Premium"/>
    <n v="15.94"/>
    <x v="50"/>
    <x v="3"/>
    <x v="3"/>
    <n v="17.989999999999998"/>
    <n v="1"/>
    <n v="17.989999999999998"/>
    <x v="1"/>
    <n v="2"/>
    <n v="0.28999999999999998"/>
    <s v="Action"/>
  </r>
  <r>
    <s v="e090df54-097b-4e77-87c0-f9e8a965c013"/>
    <n v="26"/>
    <s v="Other"/>
    <s v="Premium"/>
    <n v="8.32"/>
    <x v="26"/>
    <x v="0"/>
    <x v="2"/>
    <n v="17.989999999999998"/>
    <n v="1"/>
    <n v="17.989999999999998"/>
    <x v="1"/>
    <n v="5"/>
    <n v="0.17"/>
    <s v="Sci-Fi"/>
  </r>
  <r>
    <s v="ffb75258-7e17-4433-86eb-cca51e35b5de"/>
    <n v="65"/>
    <s v="Female"/>
    <s v="Premium"/>
    <n v="22.68"/>
    <x v="15"/>
    <x v="1"/>
    <x v="4"/>
    <n v="17.989999999999998"/>
    <n v="0"/>
    <n v="0"/>
    <x v="1"/>
    <n v="2"/>
    <n v="0.55000000000000004"/>
    <s v="Horror"/>
  </r>
  <r>
    <s v="b26a4921-90b8-4360-8834-fad7a130bfb4"/>
    <n v="24"/>
    <s v="Male"/>
    <s v="Premium"/>
    <n v="0.57999999999999996"/>
    <x v="18"/>
    <x v="1"/>
    <x v="4"/>
    <n v="17.989999999999998"/>
    <n v="1"/>
    <n v="17.989999999999998"/>
    <x v="3"/>
    <n v="3"/>
    <n v="0.01"/>
    <s v="Sci-Fi"/>
  </r>
  <r>
    <s v="a539900a-d75e-4437-865c-59d6ba1df7f5"/>
    <n v="56"/>
    <s v="Other"/>
    <s v="Basic"/>
    <n v="11.81"/>
    <x v="32"/>
    <x v="2"/>
    <x v="2"/>
    <n v="8.99"/>
    <n v="0"/>
    <n v="0"/>
    <x v="3"/>
    <n v="2"/>
    <n v="0.79"/>
    <s v="Drama"/>
  </r>
  <r>
    <s v="eaf0471b-e553-4302-a1aa-cf3284f3a3a9"/>
    <n v="34"/>
    <s v="Female"/>
    <s v="Basic"/>
    <n v="0.95"/>
    <x v="35"/>
    <x v="2"/>
    <x v="1"/>
    <n v="8.99"/>
    <n v="1"/>
    <n v="8.99"/>
    <x v="3"/>
    <n v="4"/>
    <n v="0.02"/>
    <s v="Action"/>
  </r>
  <r>
    <s v="60fddd3f-fcdd-4d60-9195-d733c67449a0"/>
    <n v="26"/>
    <s v="Female"/>
    <s v="Premium"/>
    <n v="0.67"/>
    <x v="60"/>
    <x v="2"/>
    <x v="2"/>
    <n v="17.989999999999998"/>
    <n v="0"/>
    <n v="0"/>
    <x v="2"/>
    <n v="4"/>
    <n v="7.0000000000000007E-2"/>
    <s v="Sci-Fi"/>
  </r>
  <r>
    <s v="38af7deb-8836-4d80-a9fb-01540432a8b3"/>
    <n v="56"/>
    <s v="Other"/>
    <s v="Premium"/>
    <n v="3.67"/>
    <x v="1"/>
    <x v="2"/>
    <x v="0"/>
    <n v="17.989999999999998"/>
    <n v="0"/>
    <n v="0"/>
    <x v="2"/>
    <n v="5"/>
    <n v="0.18"/>
    <s v="Action"/>
  </r>
  <r>
    <s v="5826ee1b-74c4-4180-bfd3-f486446f0023"/>
    <n v="57"/>
    <s v="Female"/>
    <s v="Standard"/>
    <n v="16.97"/>
    <x v="22"/>
    <x v="2"/>
    <x v="0"/>
    <n v="13.99"/>
    <n v="1"/>
    <n v="13.99"/>
    <x v="0"/>
    <n v="4"/>
    <n v="0.3"/>
    <s v="Comedy"/>
  </r>
  <r>
    <s v="ccfcd4b9-a541-4751-abb4-571a84c4770c"/>
    <n v="54"/>
    <s v="Other"/>
    <s v="Standard"/>
    <n v="8.61"/>
    <x v="40"/>
    <x v="0"/>
    <x v="4"/>
    <n v="13.99"/>
    <n v="0"/>
    <n v="0"/>
    <x v="0"/>
    <n v="3"/>
    <n v="0.72"/>
    <s v="Romance"/>
  </r>
  <r>
    <s v="31673a23-132a-46a7-b029-975ac1465c50"/>
    <n v="48"/>
    <s v="Male"/>
    <s v="Premium"/>
    <n v="4.1500000000000004"/>
    <x v="23"/>
    <x v="0"/>
    <x v="2"/>
    <n v="17.989999999999998"/>
    <n v="1"/>
    <n v="17.989999999999998"/>
    <x v="4"/>
    <n v="4"/>
    <n v="0.08"/>
    <s v="Documentary"/>
  </r>
  <r>
    <s v="8c4c751f-f5a4-4ac7-877d-1158db922567"/>
    <n v="38"/>
    <s v="Female"/>
    <s v="Basic"/>
    <n v="6.63"/>
    <x v="37"/>
    <x v="1"/>
    <x v="1"/>
    <n v="8.99"/>
    <n v="1"/>
    <n v="8.99"/>
    <x v="1"/>
    <n v="3"/>
    <n v="0.27"/>
    <s v="Drama"/>
  </r>
  <r>
    <s v="90e5aae2-d9c9-4271-afb7-5e4b799ddaa6"/>
    <n v="70"/>
    <s v="Female"/>
    <s v="Basic"/>
    <n v="13.01"/>
    <x v="14"/>
    <x v="2"/>
    <x v="0"/>
    <n v="8.99"/>
    <n v="1"/>
    <n v="8.99"/>
    <x v="1"/>
    <n v="2"/>
    <n v="0.39"/>
    <s v="Comedy"/>
  </r>
  <r>
    <s v="094c8ee8-4143-4ebf-9ed3-1ad255f30ef5"/>
    <n v="53"/>
    <s v="Female"/>
    <s v="Standard"/>
    <n v="20.82"/>
    <x v="4"/>
    <x v="2"/>
    <x v="2"/>
    <n v="13.99"/>
    <n v="0"/>
    <n v="0"/>
    <x v="4"/>
    <n v="2"/>
    <n v="1.49"/>
    <s v="Romance"/>
  </r>
  <r>
    <s v="c7429be0-64d2-4995-a915-e1250fbe94ec"/>
    <n v="48"/>
    <s v="Female"/>
    <s v="Premium"/>
    <n v="5.85"/>
    <x v="47"/>
    <x v="5"/>
    <x v="4"/>
    <n v="17.989999999999998"/>
    <n v="0"/>
    <n v="0"/>
    <x v="4"/>
    <n v="4"/>
    <n v="1.46"/>
    <s v="Action"/>
  </r>
  <r>
    <s v="43359fac-cb1f-4e7e-ae5c-990d96bd2200"/>
    <n v="63"/>
    <s v="Female"/>
    <s v="Basic"/>
    <n v="8.83"/>
    <x v="4"/>
    <x v="2"/>
    <x v="2"/>
    <n v="8.99"/>
    <n v="0"/>
    <n v="0"/>
    <x v="1"/>
    <n v="4"/>
    <n v="0.63"/>
    <s v="Sci-Fi"/>
  </r>
  <r>
    <s v="83404a73-33c4-4297-a97c-8a146155e477"/>
    <n v="67"/>
    <s v="Female"/>
    <s v="Premium"/>
    <n v="31.33"/>
    <x v="0"/>
    <x v="5"/>
    <x v="1"/>
    <n v="17.989999999999998"/>
    <n v="0"/>
    <n v="0"/>
    <x v="0"/>
    <n v="2"/>
    <n v="1.04"/>
    <s v="Horror"/>
  </r>
  <r>
    <s v="2c06953e-4bc1-42f4-8769-813f8f36b530"/>
    <n v="54"/>
    <s v="Other"/>
    <s v="Basic"/>
    <n v="0.5"/>
    <x v="50"/>
    <x v="2"/>
    <x v="3"/>
    <n v="8.99"/>
    <n v="1"/>
    <n v="8.99"/>
    <x v="1"/>
    <n v="1"/>
    <n v="0.01"/>
    <s v="Comedy"/>
  </r>
  <r>
    <s v="9797381e-3100-410c-8d84-6145bc723595"/>
    <n v="59"/>
    <s v="Male"/>
    <s v="Premium"/>
    <n v="8.39"/>
    <x v="55"/>
    <x v="0"/>
    <x v="1"/>
    <n v="17.989999999999998"/>
    <n v="1"/>
    <n v="17.989999999999998"/>
    <x v="2"/>
    <n v="3"/>
    <n v="0.14000000000000001"/>
    <s v="Horror"/>
  </r>
  <r>
    <s v="32b9cb76-87c9-48c7-a73a-293d09c61937"/>
    <n v="22"/>
    <s v="Other"/>
    <s v="Basic"/>
    <n v="18.39"/>
    <x v="35"/>
    <x v="0"/>
    <x v="0"/>
    <n v="8.99"/>
    <n v="1"/>
    <n v="8.99"/>
    <x v="4"/>
    <n v="1"/>
    <n v="0.41"/>
    <s v="Comedy"/>
  </r>
  <r>
    <s v="ab376d84-3616-480d-b4eb-49efee6f2837"/>
    <n v="24"/>
    <s v="Female"/>
    <s v="Basic"/>
    <n v="12.03"/>
    <x v="54"/>
    <x v="2"/>
    <x v="1"/>
    <n v="8.99"/>
    <n v="0"/>
    <n v="0"/>
    <x v="2"/>
    <n v="4"/>
    <n v="0.41"/>
    <s v="Comedy"/>
  </r>
  <r>
    <s v="25fd1786-ff5a-45fc-bb97-0ab5ba25bbd4"/>
    <n v="69"/>
    <s v="Female"/>
    <s v="Basic"/>
    <n v="0.64"/>
    <x v="38"/>
    <x v="4"/>
    <x v="1"/>
    <n v="8.99"/>
    <n v="1"/>
    <n v="8.99"/>
    <x v="3"/>
    <n v="1"/>
    <n v="0.03"/>
    <s v="Drama"/>
  </r>
  <r>
    <s v="fcc3fddc-5adf-4ff0-9e0e-c84a424d2070"/>
    <n v="24"/>
    <s v="Female"/>
    <s v="Standard"/>
    <n v="3.9"/>
    <x v="14"/>
    <x v="4"/>
    <x v="0"/>
    <n v="13.99"/>
    <n v="1"/>
    <n v="13.99"/>
    <x v="3"/>
    <n v="5"/>
    <n v="0.12"/>
    <s v="Sci-Fi"/>
  </r>
  <r>
    <s v="73afe00b-3f93-4cd4-b71f-161f6da7d9a8"/>
    <n v="64"/>
    <s v="Other"/>
    <s v="Basic"/>
    <n v="4.8600000000000003"/>
    <x v="12"/>
    <x v="4"/>
    <x v="0"/>
    <n v="8.99"/>
    <n v="1"/>
    <n v="8.99"/>
    <x v="2"/>
    <n v="5"/>
    <n v="0.14000000000000001"/>
    <s v="Documentary"/>
  </r>
  <r>
    <s v="9f5ad18c-d0a8-4ba0-b642-fa94801265f6"/>
    <n v="57"/>
    <s v="Female"/>
    <s v="Premium"/>
    <n v="28.21"/>
    <x v="30"/>
    <x v="2"/>
    <x v="3"/>
    <n v="17.989999999999998"/>
    <n v="0"/>
    <n v="0"/>
    <x v="1"/>
    <n v="5"/>
    <n v="14.11"/>
    <s v="Documentary"/>
  </r>
  <r>
    <s v="3e8c2562-a487-4d89-a1d8-3fdc53caf638"/>
    <n v="45"/>
    <s v="Other"/>
    <s v="Basic"/>
    <n v="10.01"/>
    <x v="44"/>
    <x v="2"/>
    <x v="1"/>
    <n v="8.99"/>
    <n v="1"/>
    <n v="8.99"/>
    <x v="3"/>
    <n v="3"/>
    <n v="0.21"/>
    <s v="Comedy"/>
  </r>
  <r>
    <s v="63424808-052e-4e93-a382-1bc16302c1cd"/>
    <n v="34"/>
    <s v="Female"/>
    <s v="Basic"/>
    <n v="4.45"/>
    <x v="57"/>
    <x v="5"/>
    <x v="2"/>
    <n v="8.99"/>
    <n v="1"/>
    <n v="8.99"/>
    <x v="0"/>
    <n v="4"/>
    <n v="7.0000000000000007E-2"/>
    <s v="Action"/>
  </r>
  <r>
    <s v="704f903b-21e4-4101-8321-58d705089b06"/>
    <n v="18"/>
    <s v="Female"/>
    <s v="Premium"/>
    <n v="33.81"/>
    <x v="59"/>
    <x v="2"/>
    <x v="0"/>
    <n v="17.989999999999998"/>
    <n v="0"/>
    <n v="0"/>
    <x v="1"/>
    <n v="2"/>
    <n v="5.64"/>
    <s v="Romance"/>
  </r>
  <r>
    <s v="7ab6446a-575b-4875-ab7a-79bd93c17a64"/>
    <n v="21"/>
    <s v="Other"/>
    <s v="Premium"/>
    <n v="9.85"/>
    <x v="50"/>
    <x v="4"/>
    <x v="3"/>
    <n v="17.989999999999998"/>
    <n v="1"/>
    <n v="17.989999999999998"/>
    <x v="2"/>
    <n v="1"/>
    <n v="0.18"/>
    <s v="Action"/>
  </r>
  <r>
    <s v="ac7b5aa4-5c89-4616-926f-1b8919909d63"/>
    <n v="63"/>
    <s v="Female"/>
    <s v="Standard"/>
    <n v="6.37"/>
    <x v="26"/>
    <x v="2"/>
    <x v="1"/>
    <n v="13.99"/>
    <n v="0"/>
    <n v="0"/>
    <x v="4"/>
    <n v="5"/>
    <n v="0.13"/>
    <s v="Romance"/>
  </r>
  <r>
    <s v="c1d2a88a-570a-4de1-8313-46284c224bee"/>
    <n v="23"/>
    <s v="Other"/>
    <s v="Standard"/>
    <n v="24.23"/>
    <x v="24"/>
    <x v="0"/>
    <x v="0"/>
    <n v="13.99"/>
    <n v="0"/>
    <n v="0"/>
    <x v="0"/>
    <n v="2"/>
    <n v="0.46"/>
    <s v="Documentary"/>
  </r>
  <r>
    <s v="45ea1095-e06b-4a1c-a0b7-c3671c9f006a"/>
    <n v="57"/>
    <s v="Other"/>
    <s v="Basic"/>
    <n v="52.8"/>
    <x v="25"/>
    <x v="1"/>
    <x v="4"/>
    <n v="8.99"/>
    <n v="0"/>
    <n v="0"/>
    <x v="3"/>
    <n v="2"/>
    <n v="52.8"/>
    <s v="Sci-Fi"/>
  </r>
  <r>
    <s v="2e46a8d4-de1a-4340-9c8f-215dc059df43"/>
    <n v="63"/>
    <s v="Other"/>
    <s v="Basic"/>
    <n v="15.77"/>
    <x v="46"/>
    <x v="1"/>
    <x v="4"/>
    <n v="8.99"/>
    <n v="0"/>
    <n v="0"/>
    <x v="3"/>
    <n v="4"/>
    <n v="5.26"/>
    <s v="Drama"/>
  </r>
  <r>
    <s v="a1fceb9a-0b93-4ab1-8cc5-987d5ec80234"/>
    <n v="69"/>
    <s v="Other"/>
    <s v="Basic"/>
    <n v="13.94"/>
    <x v="14"/>
    <x v="5"/>
    <x v="0"/>
    <n v="8.99"/>
    <n v="1"/>
    <n v="8.99"/>
    <x v="3"/>
    <n v="1"/>
    <n v="0.42"/>
    <s v="Action"/>
  </r>
  <r>
    <s v="054b7510-54c8-48f4-bd06-8e2ba58cbd51"/>
    <n v="64"/>
    <s v="Female"/>
    <s v="Standard"/>
    <n v="2.56"/>
    <x v="47"/>
    <x v="5"/>
    <x v="2"/>
    <n v="13.99"/>
    <n v="0"/>
    <n v="0"/>
    <x v="2"/>
    <n v="4"/>
    <n v="0.64"/>
    <s v="Documentary"/>
  </r>
  <r>
    <s v="4a349095-f180-4dbf-981e-94a275412847"/>
    <n v="65"/>
    <s v="Male"/>
    <s v="Standard"/>
    <n v="1.55"/>
    <x v="30"/>
    <x v="2"/>
    <x v="2"/>
    <n v="13.99"/>
    <n v="0"/>
    <n v="0"/>
    <x v="2"/>
    <n v="2"/>
    <n v="0.78"/>
    <s v="Horror"/>
  </r>
  <r>
    <s v="1af70b1b-d756-415f-a5b4-3861139559d8"/>
    <n v="32"/>
    <s v="Female"/>
    <s v="Premium"/>
    <n v="4.46"/>
    <x v="15"/>
    <x v="4"/>
    <x v="1"/>
    <n v="17.989999999999998"/>
    <n v="1"/>
    <n v="17.989999999999998"/>
    <x v="1"/>
    <n v="1"/>
    <n v="0.11"/>
    <s v="Comedy"/>
  </r>
  <r>
    <s v="6b9ce9b4-316f-4e82-a0b9-127441795232"/>
    <n v="53"/>
    <s v="Male"/>
    <s v="Premium"/>
    <n v="7.98"/>
    <x v="6"/>
    <x v="1"/>
    <x v="3"/>
    <n v="17.989999999999998"/>
    <n v="0"/>
    <n v="0"/>
    <x v="4"/>
    <n v="3"/>
    <n v="0.38"/>
    <s v="Action"/>
  </r>
  <r>
    <s v="0d7ac1da-194d-4844-a919-6bfec0989d14"/>
    <n v="23"/>
    <s v="Other"/>
    <s v="Standard"/>
    <n v="9.6"/>
    <x v="50"/>
    <x v="2"/>
    <x v="2"/>
    <n v="13.99"/>
    <n v="1"/>
    <n v="13.99"/>
    <x v="0"/>
    <n v="4"/>
    <n v="0.17"/>
    <s v="Action"/>
  </r>
  <r>
    <s v="760b70e5-2135-4106-bf18-2df119411aa4"/>
    <n v="28"/>
    <s v="Female"/>
    <s v="Premium"/>
    <n v="3.16"/>
    <x v="60"/>
    <x v="1"/>
    <x v="4"/>
    <n v="17.989999999999998"/>
    <n v="1"/>
    <n v="17.989999999999998"/>
    <x v="1"/>
    <n v="1"/>
    <n v="0.35"/>
    <s v="Horror"/>
  </r>
  <r>
    <s v="2a0fdbe4-588b-40fe-ba75-19cebe31bea8"/>
    <n v="69"/>
    <s v="Other"/>
    <s v="Premium"/>
    <n v="1.85"/>
    <x v="12"/>
    <x v="3"/>
    <x v="2"/>
    <n v="17.989999999999998"/>
    <n v="1"/>
    <n v="17.989999999999998"/>
    <x v="2"/>
    <n v="2"/>
    <n v="0.05"/>
    <s v="Drama"/>
  </r>
  <r>
    <s v="53c38b09-0edc-4eaa-b83f-d8227eb19850"/>
    <n v="21"/>
    <s v="Other"/>
    <s v="Standard"/>
    <n v="14.71"/>
    <x v="40"/>
    <x v="2"/>
    <x v="2"/>
    <n v="13.99"/>
    <n v="0"/>
    <n v="0"/>
    <x v="1"/>
    <n v="1"/>
    <n v="1.23"/>
    <s v="Sci-Fi"/>
  </r>
  <r>
    <s v="825bd557-2be9-4aca-a8d1-eb8a5f1bb037"/>
    <n v="29"/>
    <s v="Female"/>
    <s v="Premium"/>
    <n v="0.19"/>
    <x v="50"/>
    <x v="1"/>
    <x v="1"/>
    <n v="17.989999999999998"/>
    <n v="1"/>
    <n v="17.989999999999998"/>
    <x v="3"/>
    <n v="2"/>
    <n v="0"/>
    <s v="Drama"/>
  </r>
  <r>
    <s v="e2975ec5-cdb8-43d8-803a-1ebba615cf15"/>
    <n v="21"/>
    <s v="Male"/>
    <s v="Premium"/>
    <n v="20"/>
    <x v="39"/>
    <x v="5"/>
    <x v="2"/>
    <n v="17.989999999999998"/>
    <n v="0"/>
    <n v="0"/>
    <x v="2"/>
    <n v="5"/>
    <n v="0.87"/>
    <s v="Sci-Fi"/>
  </r>
  <r>
    <s v="820d7eb0-d64e-4e70-839a-ec9db5bf1969"/>
    <n v="32"/>
    <s v="Male"/>
    <s v="Basic"/>
    <n v="12.51"/>
    <x v="41"/>
    <x v="4"/>
    <x v="1"/>
    <n v="8.99"/>
    <n v="0"/>
    <n v="0"/>
    <x v="3"/>
    <n v="2"/>
    <n v="0.4"/>
    <s v="Romance"/>
  </r>
  <r>
    <s v="14f4e734-af4b-4566-9b26-a78985629df6"/>
    <n v="47"/>
    <s v="Male"/>
    <s v="Standard"/>
    <n v="26.18"/>
    <x v="60"/>
    <x v="5"/>
    <x v="0"/>
    <n v="13.99"/>
    <n v="0"/>
    <n v="0"/>
    <x v="2"/>
    <n v="1"/>
    <n v="2.91"/>
    <s v="Action"/>
  </r>
  <r>
    <s v="9e80b9c8-a0b6-48bf-a0c6-44a0bb9a2fd4"/>
    <n v="66"/>
    <s v="Male"/>
    <s v="Standard"/>
    <n v="12.19"/>
    <x v="37"/>
    <x v="3"/>
    <x v="4"/>
    <n v="13.99"/>
    <n v="0"/>
    <n v="0"/>
    <x v="2"/>
    <n v="1"/>
    <n v="0.49"/>
    <s v="Action"/>
  </r>
  <r>
    <s v="8c6cf0c3-b47d-4935-8973-e2a6de582b1c"/>
    <n v="60"/>
    <s v="Male"/>
    <s v="Basic"/>
    <n v="17.3"/>
    <x v="9"/>
    <x v="1"/>
    <x v="4"/>
    <n v="8.99"/>
    <n v="1"/>
    <n v="8.99"/>
    <x v="0"/>
    <n v="3"/>
    <n v="0.47"/>
    <s v="Drama"/>
  </r>
  <r>
    <s v="00aa6c2a-b291-411e-b240-202fea9bf417"/>
    <n v="18"/>
    <s v="Male"/>
    <s v="Premium"/>
    <n v="17.829999999999998"/>
    <x v="42"/>
    <x v="2"/>
    <x v="2"/>
    <n v="17.989999999999998"/>
    <n v="0"/>
    <n v="0"/>
    <x v="4"/>
    <n v="4"/>
    <n v="0.47"/>
    <s v="Action"/>
  </r>
  <r>
    <s v="dc13c828-eda9-45c8-909b-cb84e3b0b8fb"/>
    <n v="46"/>
    <s v="Male"/>
    <s v="Basic"/>
    <n v="7.08"/>
    <x v="11"/>
    <x v="2"/>
    <x v="3"/>
    <n v="8.99"/>
    <n v="0"/>
    <n v="0"/>
    <x v="4"/>
    <n v="5"/>
    <n v="0.28999999999999998"/>
    <s v="Action"/>
  </r>
  <r>
    <s v="936b242f-90a4-4a2b-a846-12c531c67df2"/>
    <n v="25"/>
    <s v="Male"/>
    <s v="Premium"/>
    <n v="22.64"/>
    <x v="32"/>
    <x v="0"/>
    <x v="3"/>
    <n v="17.989999999999998"/>
    <n v="0"/>
    <n v="0"/>
    <x v="3"/>
    <n v="2"/>
    <n v="1.51"/>
    <s v="Horror"/>
  </r>
  <r>
    <s v="ec765c0b-cd27-4e30-b514-9509f020f439"/>
    <n v="51"/>
    <s v="Male"/>
    <s v="Basic"/>
    <n v="26.04"/>
    <x v="60"/>
    <x v="4"/>
    <x v="2"/>
    <n v="8.99"/>
    <n v="0"/>
    <n v="0"/>
    <x v="4"/>
    <n v="1"/>
    <n v="2.89"/>
    <s v="Romance"/>
  </r>
  <r>
    <s v="686ac4a2-1ff7-45dc-82a3-e28d5333190b"/>
    <n v="39"/>
    <s v="Female"/>
    <s v="Premium"/>
    <n v="12.07"/>
    <x v="31"/>
    <x v="4"/>
    <x v="3"/>
    <n v="17.989999999999998"/>
    <n v="0"/>
    <n v="0"/>
    <x v="2"/>
    <n v="1"/>
    <n v="0.75"/>
    <s v="Documentary"/>
  </r>
  <r>
    <s v="b622cc96-c02c-4990-bba5-d27f32558b77"/>
    <n v="69"/>
    <s v="Male"/>
    <s v="Basic"/>
    <n v="6.06"/>
    <x v="41"/>
    <x v="1"/>
    <x v="0"/>
    <n v="8.99"/>
    <n v="0"/>
    <n v="0"/>
    <x v="4"/>
    <n v="4"/>
    <n v="0.2"/>
    <s v="Romance"/>
  </r>
  <r>
    <s v="6e13c94b-65dd-4b6b-b353-aa5382a88546"/>
    <n v="55"/>
    <s v="Female"/>
    <s v="Basic"/>
    <n v="24.21"/>
    <x v="28"/>
    <x v="3"/>
    <x v="2"/>
    <n v="8.99"/>
    <n v="0"/>
    <n v="0"/>
    <x v="3"/>
    <n v="1"/>
    <n v="0.67"/>
    <s v="Drama"/>
  </r>
  <r>
    <s v="c03d3d6b-a16d-4b1d-bf07-788f0372cec5"/>
    <n v="20"/>
    <s v="Other"/>
    <s v="Standard"/>
    <n v="3.19"/>
    <x v="23"/>
    <x v="4"/>
    <x v="4"/>
    <n v="13.99"/>
    <n v="1"/>
    <n v="13.99"/>
    <x v="0"/>
    <n v="4"/>
    <n v="0.06"/>
    <s v="Sci-Fi"/>
  </r>
  <r>
    <s v="7a1d3b12-9be6-46eb-baa5-51803a0a4f10"/>
    <n v="20"/>
    <s v="Male"/>
    <s v="Premium"/>
    <n v="39.85"/>
    <x v="5"/>
    <x v="1"/>
    <x v="3"/>
    <n v="17.989999999999998"/>
    <n v="0"/>
    <n v="0"/>
    <x v="2"/>
    <n v="1"/>
    <n v="1.48"/>
    <s v="Horror"/>
  </r>
  <r>
    <s v="0decc7ea-dece-4638-83c8-b1df7e1e54d2"/>
    <n v="31"/>
    <s v="Other"/>
    <s v="Standard"/>
    <n v="31.29"/>
    <x v="49"/>
    <x v="4"/>
    <x v="0"/>
    <n v="13.99"/>
    <n v="0"/>
    <n v="0"/>
    <x v="1"/>
    <n v="4"/>
    <n v="3.13"/>
    <s v="Documentary"/>
  </r>
  <r>
    <s v="89c2cbb3-f9a7-4eb1-86c3-c5488a62490e"/>
    <n v="18"/>
    <s v="Female"/>
    <s v="Standard"/>
    <n v="11.81"/>
    <x v="49"/>
    <x v="4"/>
    <x v="1"/>
    <n v="13.99"/>
    <n v="0"/>
    <n v="0"/>
    <x v="4"/>
    <n v="4"/>
    <n v="1.18"/>
    <s v="Horror"/>
  </r>
  <r>
    <s v="9e99bc5e-ff55-4cae-8611-2ce51687be6a"/>
    <n v="58"/>
    <s v="Other"/>
    <s v="Basic"/>
    <n v="6.1"/>
    <x v="5"/>
    <x v="3"/>
    <x v="4"/>
    <n v="8.99"/>
    <n v="0"/>
    <n v="0"/>
    <x v="4"/>
    <n v="2"/>
    <n v="0.23"/>
    <s v="Comedy"/>
  </r>
  <r>
    <s v="99b76135-94d0-48e6-9ac7-ada314cc1ad1"/>
    <n v="37"/>
    <s v="Other"/>
    <s v="Premium"/>
    <n v="26.5"/>
    <x v="3"/>
    <x v="4"/>
    <x v="4"/>
    <n v="17.989999999999998"/>
    <n v="0"/>
    <n v="0"/>
    <x v="2"/>
    <n v="5"/>
    <n v="2.04"/>
    <s v="Drama"/>
  </r>
  <r>
    <s v="225699c5-8b55-456f-95e3-7a5780ffac0a"/>
    <n v="23"/>
    <s v="Male"/>
    <s v="Standard"/>
    <n v="10.77"/>
    <x v="11"/>
    <x v="5"/>
    <x v="2"/>
    <n v="13.99"/>
    <n v="0"/>
    <n v="0"/>
    <x v="3"/>
    <n v="3"/>
    <n v="0.45"/>
    <s v="Sci-Fi"/>
  </r>
  <r>
    <s v="e969d3a9-a455-455f-9be8-38e701b1f653"/>
    <n v="46"/>
    <s v="Female"/>
    <s v="Standard"/>
    <n v="4.68"/>
    <x v="40"/>
    <x v="0"/>
    <x v="4"/>
    <n v="13.99"/>
    <n v="1"/>
    <n v="13.99"/>
    <x v="0"/>
    <n v="5"/>
    <n v="0.39"/>
    <s v="Comedy"/>
  </r>
  <r>
    <s v="96de19f9-6aa8-493d-af89-56dbf25535c7"/>
    <n v="22"/>
    <s v="Male"/>
    <s v="Standard"/>
    <n v="17.8"/>
    <x v="50"/>
    <x v="5"/>
    <x v="3"/>
    <n v="13.99"/>
    <n v="1"/>
    <n v="13.99"/>
    <x v="2"/>
    <n v="1"/>
    <n v="0.32"/>
    <s v="Action"/>
  </r>
  <r>
    <s v="7cdc323f-67af-48e2-b15b-3e94cf19681f"/>
    <n v="36"/>
    <s v="Other"/>
    <s v="Standard"/>
    <n v="2.79"/>
    <x v="2"/>
    <x v="1"/>
    <x v="3"/>
    <n v="13.99"/>
    <n v="1"/>
    <n v="13.99"/>
    <x v="0"/>
    <n v="1"/>
    <n v="0.25"/>
    <s v="Sci-Fi"/>
  </r>
  <r>
    <s v="fef36da3-13ae-416d-9e67-cfebe1220e24"/>
    <n v="51"/>
    <s v="Female"/>
    <s v="Premium"/>
    <n v="8.6"/>
    <x v="49"/>
    <x v="1"/>
    <x v="0"/>
    <n v="17.989999999999998"/>
    <n v="0"/>
    <n v="0"/>
    <x v="0"/>
    <n v="1"/>
    <n v="0.86"/>
    <s v="Sci-Fi"/>
  </r>
  <r>
    <s v="2a1b3474-38d6-4ca0-8c57-b10eaae5e250"/>
    <n v="60"/>
    <s v="Other"/>
    <s v="Standard"/>
    <n v="4.57"/>
    <x v="57"/>
    <x v="3"/>
    <x v="0"/>
    <n v="13.99"/>
    <n v="1"/>
    <n v="13.99"/>
    <x v="0"/>
    <n v="3"/>
    <n v="7.0000000000000007E-2"/>
    <s v="Romance"/>
  </r>
  <r>
    <s v="d7ec3b35-329b-4ea1-b9d7-8e8da1ae05bc"/>
    <n v="37"/>
    <s v="Male"/>
    <s v="Standard"/>
    <n v="2.4300000000000002"/>
    <x v="21"/>
    <x v="5"/>
    <x v="4"/>
    <n v="13.99"/>
    <n v="0"/>
    <n v="0"/>
    <x v="1"/>
    <n v="5"/>
    <n v="0.35"/>
    <s v="Romance"/>
  </r>
  <r>
    <s v="38d2d2ab-e9ce-43d7-97bc-c6a2a3d37276"/>
    <n v="55"/>
    <s v="Male"/>
    <s v="Standard"/>
    <n v="43.73"/>
    <x v="54"/>
    <x v="5"/>
    <x v="2"/>
    <n v="13.99"/>
    <n v="0"/>
    <n v="0"/>
    <x v="3"/>
    <n v="4"/>
    <n v="1.51"/>
    <s v="Horror"/>
  </r>
  <r>
    <s v="b9be612d-c7cc-411f-afac-093196f87239"/>
    <n v="22"/>
    <s v="Male"/>
    <s v="Premium"/>
    <n v="21.47"/>
    <x v="48"/>
    <x v="4"/>
    <x v="0"/>
    <n v="17.989999999999998"/>
    <n v="0"/>
    <n v="0"/>
    <x v="3"/>
    <n v="3"/>
    <n v="0.41"/>
    <s v="Sci-Fi"/>
  </r>
  <r>
    <s v="798c452b-e7e0-48f3-a908-4f639ac8e614"/>
    <n v="18"/>
    <s v="Other"/>
    <s v="Premium"/>
    <n v="16.89"/>
    <x v="12"/>
    <x v="4"/>
    <x v="2"/>
    <n v="17.989999999999998"/>
    <n v="0"/>
    <n v="0"/>
    <x v="2"/>
    <n v="4"/>
    <n v="0.5"/>
    <s v="Romance"/>
  </r>
  <r>
    <s v="744ddc65-15bd-4ea4-abe0-e6c0e760796f"/>
    <n v="46"/>
    <s v="Male"/>
    <s v="Premium"/>
    <n v="2.96"/>
    <x v="12"/>
    <x v="4"/>
    <x v="0"/>
    <n v="17.989999999999998"/>
    <n v="1"/>
    <n v="17.989999999999998"/>
    <x v="3"/>
    <n v="5"/>
    <n v="0.09"/>
    <s v="Action"/>
  </r>
  <r>
    <s v="f9436f14-5021-4177-9206-b79da434105c"/>
    <n v="49"/>
    <s v="Other"/>
    <s v="Premium"/>
    <n v="22.29"/>
    <x v="1"/>
    <x v="0"/>
    <x v="4"/>
    <n v="17.989999999999998"/>
    <n v="0"/>
    <n v="0"/>
    <x v="0"/>
    <n v="1"/>
    <n v="1.1100000000000001"/>
    <s v="Comedy"/>
  </r>
  <r>
    <s v="dccfb706-58be-4f82-9f92-b806781953e0"/>
    <n v="23"/>
    <s v="Male"/>
    <s v="Basic"/>
    <n v="10.37"/>
    <x v="41"/>
    <x v="3"/>
    <x v="4"/>
    <n v="8.99"/>
    <n v="0"/>
    <n v="0"/>
    <x v="3"/>
    <n v="2"/>
    <n v="0.33"/>
    <s v="Drama"/>
  </r>
  <r>
    <s v="9c9899e3-1edf-4b8b-9c6d-ceedbc530a70"/>
    <n v="24"/>
    <s v="Female"/>
    <s v="Basic"/>
    <n v="21.04"/>
    <x v="2"/>
    <x v="3"/>
    <x v="4"/>
    <n v="8.99"/>
    <n v="0"/>
    <n v="0"/>
    <x v="0"/>
    <n v="2"/>
    <n v="1.91"/>
    <s v="Action"/>
  </r>
  <r>
    <s v="19e566a9-a789-4194-92eb-1a06b989a8d5"/>
    <n v="31"/>
    <s v="Other"/>
    <s v="Standard"/>
    <n v="8.02"/>
    <x v="54"/>
    <x v="3"/>
    <x v="0"/>
    <n v="13.99"/>
    <n v="0"/>
    <n v="0"/>
    <x v="0"/>
    <n v="5"/>
    <n v="0.28000000000000003"/>
    <s v="Drama"/>
  </r>
  <r>
    <s v="c9f95e61-e079-477f-99b1-1136a2495e2f"/>
    <n v="66"/>
    <s v="Female"/>
    <s v="Standard"/>
    <n v="18.96"/>
    <x v="21"/>
    <x v="4"/>
    <x v="2"/>
    <n v="13.99"/>
    <n v="0"/>
    <n v="0"/>
    <x v="0"/>
    <n v="3"/>
    <n v="2.71"/>
    <s v="Action"/>
  </r>
  <r>
    <s v="3bea04a9-f8bc-4696-b3bb-60ebd979b047"/>
    <n v="65"/>
    <s v="Other"/>
    <s v="Basic"/>
    <n v="15.79"/>
    <x v="39"/>
    <x v="4"/>
    <x v="1"/>
    <n v="8.99"/>
    <n v="0"/>
    <n v="0"/>
    <x v="2"/>
    <n v="5"/>
    <n v="0.69"/>
    <s v="Sci-Fi"/>
  </r>
  <r>
    <s v="23a70fc2-9249-43b1-bef3-ea3121bcc6d4"/>
    <n v="64"/>
    <s v="Other"/>
    <s v="Basic"/>
    <n v="15.26"/>
    <x v="26"/>
    <x v="2"/>
    <x v="1"/>
    <n v="8.99"/>
    <n v="1"/>
    <n v="8.99"/>
    <x v="4"/>
    <n v="1"/>
    <n v="0.31"/>
    <s v="Comedy"/>
  </r>
  <r>
    <s v="46f6a6ef-156a-4979-892f-f6912d017577"/>
    <n v="29"/>
    <s v="Female"/>
    <s v="Basic"/>
    <n v="0.36"/>
    <x v="47"/>
    <x v="2"/>
    <x v="1"/>
    <n v="8.99"/>
    <n v="1"/>
    <n v="8.99"/>
    <x v="2"/>
    <n v="4"/>
    <n v="0.09"/>
    <s v="Horror"/>
  </r>
  <r>
    <s v="f426cb2e-e7cc-4571-bedf-ab5972f5ec5e"/>
    <n v="55"/>
    <s v="Female"/>
    <s v="Premium"/>
    <n v="20.71"/>
    <x v="13"/>
    <x v="5"/>
    <x v="1"/>
    <n v="17.989999999999998"/>
    <n v="0"/>
    <n v="0"/>
    <x v="2"/>
    <n v="5"/>
    <n v="2.59"/>
    <s v="Sci-Fi"/>
  </r>
  <r>
    <s v="0017c041-a14b-4780-9d9a-7a99558a0768"/>
    <n v="62"/>
    <s v="Male"/>
    <s v="Basic"/>
    <n v="11.99"/>
    <x v="13"/>
    <x v="1"/>
    <x v="0"/>
    <n v="8.99"/>
    <n v="0"/>
    <n v="0"/>
    <x v="3"/>
    <n v="2"/>
    <n v="1.5"/>
    <s v="Romance"/>
  </r>
  <r>
    <s v="702a602e-e109-4038-b50b-e599b4d7b76f"/>
    <n v="59"/>
    <s v="Female"/>
    <s v="Basic"/>
    <n v="0.75"/>
    <x v="21"/>
    <x v="3"/>
    <x v="0"/>
    <n v="8.99"/>
    <n v="1"/>
    <n v="8.99"/>
    <x v="2"/>
    <n v="3"/>
    <n v="0.11"/>
    <s v="Romance"/>
  </r>
  <r>
    <s v="8bbf6861-d17e-4548-bf18-f7f295ce59dd"/>
    <n v="55"/>
    <s v="Other"/>
    <s v="Standard"/>
    <n v="3.19"/>
    <x v="29"/>
    <x v="4"/>
    <x v="1"/>
    <n v="13.99"/>
    <n v="1"/>
    <n v="13.99"/>
    <x v="0"/>
    <n v="2"/>
    <n v="7.0000000000000007E-2"/>
    <s v="Comedy"/>
  </r>
  <r>
    <s v="5673adfa-c739-4dbb-b371-fd1f3eaeb562"/>
    <n v="52"/>
    <s v="Male"/>
    <s v="Premium"/>
    <n v="1.92"/>
    <x v="25"/>
    <x v="5"/>
    <x v="0"/>
    <n v="17.989999999999998"/>
    <n v="0"/>
    <n v="0"/>
    <x v="2"/>
    <n v="4"/>
    <n v="1.92"/>
    <s v="Action"/>
  </r>
  <r>
    <s v="7ff1a77b-f219-42d5-97cd-279306d9c7bc"/>
    <n v="26"/>
    <s v="Male"/>
    <s v="Basic"/>
    <n v="2.04"/>
    <x v="55"/>
    <x v="4"/>
    <x v="2"/>
    <n v="8.99"/>
    <n v="1"/>
    <n v="8.99"/>
    <x v="4"/>
    <n v="5"/>
    <n v="0.03"/>
    <s v="Drama"/>
  </r>
  <r>
    <s v="fbd594ee-94ca-41dd-ac59-144c2ceb26c3"/>
    <n v="25"/>
    <s v="Male"/>
    <s v="Standard"/>
    <n v="30.99"/>
    <x v="24"/>
    <x v="1"/>
    <x v="0"/>
    <n v="13.99"/>
    <n v="0"/>
    <n v="0"/>
    <x v="0"/>
    <n v="4"/>
    <n v="0.57999999999999996"/>
    <s v="Horror"/>
  </r>
  <r>
    <s v="8095be8a-3220-40ec-a3ad-6bbc2aee0cc9"/>
    <n v="33"/>
    <s v="Other"/>
    <s v="Basic"/>
    <n v="20.059999999999999"/>
    <x v="14"/>
    <x v="4"/>
    <x v="4"/>
    <n v="8.99"/>
    <n v="0"/>
    <n v="0"/>
    <x v="2"/>
    <n v="3"/>
    <n v="0.61"/>
    <s v="Drama"/>
  </r>
  <r>
    <s v="17f2ec1d-c875-43da-9307-7012fa87236c"/>
    <n v="40"/>
    <s v="Female"/>
    <s v="Premium"/>
    <n v="3.91"/>
    <x v="23"/>
    <x v="1"/>
    <x v="1"/>
    <n v="17.989999999999998"/>
    <n v="1"/>
    <n v="17.989999999999998"/>
    <x v="3"/>
    <n v="4"/>
    <n v="7.0000000000000007E-2"/>
    <s v="Action"/>
  </r>
  <r>
    <s v="d694ed01-7f0c-40af-8749-f22aa8dd2ffa"/>
    <n v="55"/>
    <s v="Other"/>
    <s v="Premium"/>
    <n v="1.98"/>
    <x v="33"/>
    <x v="4"/>
    <x v="1"/>
    <n v="17.989999999999998"/>
    <n v="1"/>
    <n v="17.989999999999998"/>
    <x v="0"/>
    <n v="2"/>
    <n v="0.08"/>
    <s v="Romance"/>
  </r>
  <r>
    <s v="33624a15-18f7-4ffc-9315-f18f25909579"/>
    <n v="67"/>
    <s v="Female"/>
    <s v="Basic"/>
    <n v="5.74"/>
    <x v="30"/>
    <x v="0"/>
    <x v="2"/>
    <n v="8.99"/>
    <n v="0"/>
    <n v="0"/>
    <x v="4"/>
    <n v="5"/>
    <n v="2.87"/>
    <s v="Drama"/>
  </r>
  <r>
    <s v="c76f1318-9857-4514-8548-3cd20a91f650"/>
    <n v="62"/>
    <s v="Female"/>
    <s v="Basic"/>
    <n v="1.04"/>
    <x v="27"/>
    <x v="5"/>
    <x v="1"/>
    <n v="8.99"/>
    <n v="1"/>
    <n v="8.99"/>
    <x v="4"/>
    <n v="5"/>
    <n v="0.06"/>
    <s v="Comedy"/>
  </r>
  <r>
    <s v="68afcc40-9bb4-4903-a7ce-3c64492794f6"/>
    <n v="69"/>
    <s v="Female"/>
    <s v="Standard"/>
    <n v="3.47"/>
    <x v="56"/>
    <x v="4"/>
    <x v="2"/>
    <n v="13.99"/>
    <n v="1"/>
    <n v="13.99"/>
    <x v="0"/>
    <n v="3"/>
    <n v="0.06"/>
    <s v="Comedy"/>
  </r>
  <r>
    <s v="6bcde048-341c-45ac-98f5-4d14cb9833fb"/>
    <n v="53"/>
    <s v="Female"/>
    <s v="Premium"/>
    <n v="10.75"/>
    <x v="26"/>
    <x v="4"/>
    <x v="1"/>
    <n v="17.989999999999998"/>
    <n v="0"/>
    <n v="0"/>
    <x v="3"/>
    <n v="4"/>
    <n v="0.22"/>
    <s v="Sci-Fi"/>
  </r>
  <r>
    <s v="a21b6747-ba7f-45cf-aac1-1356acb9c8ae"/>
    <n v="20"/>
    <s v="Male"/>
    <s v="Basic"/>
    <n v="14.05"/>
    <x v="3"/>
    <x v="2"/>
    <x v="1"/>
    <n v="8.99"/>
    <n v="0"/>
    <n v="0"/>
    <x v="0"/>
    <n v="2"/>
    <n v="1.08"/>
    <s v="Romance"/>
  </r>
  <r>
    <s v="11d62c4f-c1a0-4356-80eb-394f38d17efe"/>
    <n v="60"/>
    <s v="Male"/>
    <s v="Premium"/>
    <n v="10.71"/>
    <x v="23"/>
    <x v="4"/>
    <x v="3"/>
    <n v="17.989999999999998"/>
    <n v="1"/>
    <n v="17.989999999999998"/>
    <x v="4"/>
    <n v="1"/>
    <n v="0.2"/>
    <s v="Documentary"/>
  </r>
  <r>
    <s v="b41e00a2-10d7-46ae-a151-2cc315df1c34"/>
    <n v="56"/>
    <s v="Other"/>
    <s v="Basic"/>
    <n v="4.78"/>
    <x v="48"/>
    <x v="3"/>
    <x v="3"/>
    <n v="8.99"/>
    <n v="1"/>
    <n v="8.99"/>
    <x v="0"/>
    <n v="1"/>
    <n v="0.09"/>
    <s v="Romance"/>
  </r>
  <r>
    <s v="2f6ecf7c-ed0c-4011-8d13-90edf44b305d"/>
    <n v="65"/>
    <s v="Other"/>
    <s v="Premium"/>
    <n v="4.1100000000000003"/>
    <x v="45"/>
    <x v="2"/>
    <x v="1"/>
    <n v="17.989999999999998"/>
    <n v="1"/>
    <n v="17.989999999999998"/>
    <x v="0"/>
    <n v="2"/>
    <n v="0.1"/>
    <s v="Drama"/>
  </r>
  <r>
    <s v="f83a42d7-d5e6-4e72-ad56-651f51927aca"/>
    <n v="67"/>
    <s v="Male"/>
    <s v="Basic"/>
    <n v="6.47"/>
    <x v="58"/>
    <x v="1"/>
    <x v="0"/>
    <n v="8.99"/>
    <n v="1"/>
    <n v="8.99"/>
    <x v="3"/>
    <n v="2"/>
    <n v="0.13"/>
    <s v="Sci-Fi"/>
  </r>
  <r>
    <s v="8ff31276-200d-4aec-b2e0-6a25c12c51e1"/>
    <n v="58"/>
    <s v="Other"/>
    <s v="Basic"/>
    <n v="10.29"/>
    <x v="5"/>
    <x v="4"/>
    <x v="1"/>
    <n v="8.99"/>
    <n v="1"/>
    <n v="8.99"/>
    <x v="3"/>
    <n v="1"/>
    <n v="0.38"/>
    <s v="Romance"/>
  </r>
  <r>
    <s v="2649f2e5-179f-4ae9-8280-0dd4aadb0676"/>
    <n v="65"/>
    <s v="Female"/>
    <s v="Basic"/>
    <n v="10.17"/>
    <x v="1"/>
    <x v="2"/>
    <x v="1"/>
    <n v="8.99"/>
    <n v="0"/>
    <n v="0"/>
    <x v="2"/>
    <n v="5"/>
    <n v="0.51"/>
    <s v="Documentary"/>
  </r>
  <r>
    <s v="dea362ed-393f-43b1-aaff-5195d91b0716"/>
    <n v="63"/>
    <s v="Female"/>
    <s v="Basic"/>
    <n v="22.9"/>
    <x v="40"/>
    <x v="1"/>
    <x v="0"/>
    <n v="8.99"/>
    <n v="0"/>
    <n v="0"/>
    <x v="4"/>
    <n v="1"/>
    <n v="1.91"/>
    <s v="Romance"/>
  </r>
  <r>
    <s v="414e2477-5a33-4de3-9f34-d375ccd27a80"/>
    <n v="38"/>
    <s v="Other"/>
    <s v="Premium"/>
    <n v="8.36"/>
    <x v="30"/>
    <x v="4"/>
    <x v="0"/>
    <n v="17.989999999999998"/>
    <n v="0"/>
    <n v="0"/>
    <x v="0"/>
    <n v="2"/>
    <n v="4.18"/>
    <s v="Drama"/>
  </r>
  <r>
    <s v="0627fc98-d9f7-49b9-a4cf-fd0b49f4e4d0"/>
    <n v="31"/>
    <s v="Male"/>
    <s v="Basic"/>
    <n v="11.96"/>
    <x v="21"/>
    <x v="0"/>
    <x v="2"/>
    <n v="8.99"/>
    <n v="0"/>
    <n v="0"/>
    <x v="3"/>
    <n v="4"/>
    <n v="1.71"/>
    <s v="Sci-Fi"/>
  </r>
  <r>
    <s v="05bf2a9f-e720-4d01-8ef5-9110d6fca724"/>
    <n v="23"/>
    <s v="Other"/>
    <s v="Standard"/>
    <n v="3.04"/>
    <x v="26"/>
    <x v="1"/>
    <x v="4"/>
    <n v="13.99"/>
    <n v="1"/>
    <n v="13.99"/>
    <x v="1"/>
    <n v="2"/>
    <n v="0.06"/>
    <s v="Horror"/>
  </r>
  <r>
    <s v="819a1e55-0a4e-4467-92b3-74936dc87ecd"/>
    <n v="27"/>
    <s v="Female"/>
    <s v="Standard"/>
    <n v="0.21"/>
    <x v="35"/>
    <x v="0"/>
    <x v="1"/>
    <n v="13.99"/>
    <n v="1"/>
    <n v="13.99"/>
    <x v="0"/>
    <n v="3"/>
    <n v="0"/>
    <s v="Documentary"/>
  </r>
  <r>
    <s v="d667d8ed-686c-4d78-b93e-ad2bab070d4a"/>
    <n v="46"/>
    <s v="Female"/>
    <s v="Basic"/>
    <n v="5.62"/>
    <x v="56"/>
    <x v="1"/>
    <x v="1"/>
    <n v="8.99"/>
    <n v="1"/>
    <n v="8.99"/>
    <x v="3"/>
    <n v="4"/>
    <n v="0.1"/>
    <s v="Documentary"/>
  </r>
  <r>
    <s v="fc8a1ff7-4c98-4ebd-a0cc-0fd7bb0bf243"/>
    <n v="62"/>
    <s v="Male"/>
    <s v="Basic"/>
    <n v="14.73"/>
    <x v="11"/>
    <x v="0"/>
    <x v="3"/>
    <n v="8.99"/>
    <n v="0"/>
    <n v="0"/>
    <x v="1"/>
    <n v="1"/>
    <n v="0.61"/>
    <s v="Romance"/>
  </r>
  <r>
    <s v="1c1a7d6e-6ca7-4b92-9ca2-8497547c5ba1"/>
    <n v="25"/>
    <s v="Female"/>
    <s v="Basic"/>
    <n v="21.23"/>
    <x v="2"/>
    <x v="0"/>
    <x v="2"/>
    <n v="8.99"/>
    <n v="0"/>
    <n v="0"/>
    <x v="2"/>
    <n v="1"/>
    <n v="1.93"/>
    <s v="Horror"/>
  </r>
  <r>
    <s v="3d90379c-6a89-4764-803b-b958c1a4e37a"/>
    <n v="24"/>
    <s v="Female"/>
    <s v="Premium"/>
    <n v="0.65"/>
    <x v="8"/>
    <x v="0"/>
    <x v="1"/>
    <n v="17.989999999999998"/>
    <n v="1"/>
    <n v="17.989999999999998"/>
    <x v="0"/>
    <n v="4"/>
    <n v="0.02"/>
    <s v="Drama"/>
  </r>
  <r>
    <s v="8779474b-9c48-4042-ae79-b30c1e583e5d"/>
    <n v="18"/>
    <s v="Other"/>
    <s v="Premium"/>
    <n v="17.010000000000002"/>
    <x v="19"/>
    <x v="4"/>
    <x v="3"/>
    <n v="17.989999999999998"/>
    <n v="1"/>
    <n v="17.989999999999998"/>
    <x v="3"/>
    <n v="2"/>
    <n v="0.39"/>
    <s v="Drama"/>
  </r>
  <r>
    <s v="d2538457-5b62-41a2-98c7-4b3b8e570a97"/>
    <n v="45"/>
    <s v="Female"/>
    <s v="Premium"/>
    <n v="15.57"/>
    <x v="37"/>
    <x v="1"/>
    <x v="1"/>
    <n v="17.989999999999998"/>
    <n v="0"/>
    <n v="0"/>
    <x v="4"/>
    <n v="4"/>
    <n v="0.62"/>
    <s v="Documentary"/>
  </r>
  <r>
    <s v="d35e9995-4a42-438c-a56f-dff2e9acc65e"/>
    <n v="39"/>
    <s v="Other"/>
    <s v="Basic"/>
    <n v="1.28"/>
    <x v="36"/>
    <x v="4"/>
    <x v="3"/>
    <n v="8.99"/>
    <n v="1"/>
    <n v="8.99"/>
    <x v="4"/>
    <n v="5"/>
    <n v="0.03"/>
    <s v="Documentary"/>
  </r>
  <r>
    <s v="66d3a92b-4c35-46e6-bf15-cb673be2aee2"/>
    <n v="27"/>
    <s v="Male"/>
    <s v="Premium"/>
    <n v="2.95"/>
    <x v="41"/>
    <x v="4"/>
    <x v="3"/>
    <n v="17.989999999999998"/>
    <n v="1"/>
    <n v="17.989999999999998"/>
    <x v="3"/>
    <n v="2"/>
    <n v="0.1"/>
    <s v="Horror"/>
  </r>
  <r>
    <s v="5dd447db-64ce-4b28-b902-9ca4fa896a61"/>
    <n v="33"/>
    <s v="Female"/>
    <s v="Basic"/>
    <n v="21.76"/>
    <x v="12"/>
    <x v="2"/>
    <x v="2"/>
    <n v="8.99"/>
    <n v="0"/>
    <n v="0"/>
    <x v="1"/>
    <n v="4"/>
    <n v="0.64"/>
    <s v="Action"/>
  </r>
  <r>
    <s v="78d39da7-c35a-4a24-a6a2-dcf5627f84f1"/>
    <n v="57"/>
    <s v="Male"/>
    <s v="Premium"/>
    <n v="16.850000000000001"/>
    <x v="12"/>
    <x v="3"/>
    <x v="2"/>
    <n v="17.989999999999998"/>
    <n v="1"/>
    <n v="17.989999999999998"/>
    <x v="0"/>
    <n v="1"/>
    <n v="0.5"/>
    <s v="Horror"/>
  </r>
  <r>
    <s v="8fecb4d8-9571-46f5-8773-da640a6481bc"/>
    <n v="32"/>
    <s v="Male"/>
    <s v="Premium"/>
    <n v="19.63"/>
    <x v="20"/>
    <x v="2"/>
    <x v="2"/>
    <n v="17.989999999999998"/>
    <n v="0"/>
    <n v="0"/>
    <x v="1"/>
    <n v="5"/>
    <n v="1.03"/>
    <s v="Horror"/>
  </r>
  <r>
    <s v="7d3f0d0b-9acd-4f21-88ae-3801eba6cd8b"/>
    <n v="42"/>
    <s v="Female"/>
    <s v="Basic"/>
    <n v="23.89"/>
    <x v="20"/>
    <x v="3"/>
    <x v="1"/>
    <n v="8.99"/>
    <n v="0"/>
    <n v="0"/>
    <x v="1"/>
    <n v="4"/>
    <n v="1.26"/>
    <s v="Horror"/>
  </r>
  <r>
    <s v="a893ce7f-c8bc-427a-b89d-206a94d5a33a"/>
    <n v="63"/>
    <s v="Female"/>
    <s v="Basic"/>
    <n v="2.95"/>
    <x v="45"/>
    <x v="4"/>
    <x v="2"/>
    <n v="8.99"/>
    <n v="1"/>
    <n v="8.99"/>
    <x v="3"/>
    <n v="2"/>
    <n v="7.0000000000000007E-2"/>
    <s v="Romance"/>
  </r>
  <r>
    <s v="23b6e829-8591-490b-b518-20b451b14bb1"/>
    <n v="61"/>
    <s v="Other"/>
    <s v="Basic"/>
    <n v="30.44"/>
    <x v="57"/>
    <x v="3"/>
    <x v="4"/>
    <n v="8.99"/>
    <n v="0"/>
    <n v="0"/>
    <x v="0"/>
    <n v="2"/>
    <n v="0.5"/>
    <s v="Horror"/>
  </r>
  <r>
    <s v="d16ade89-0f8a-447e-b492-db632a54e02b"/>
    <n v="67"/>
    <s v="Male"/>
    <s v="Premium"/>
    <n v="4.7699999999999996"/>
    <x v="41"/>
    <x v="5"/>
    <x v="3"/>
    <n v="17.989999999999998"/>
    <n v="1"/>
    <n v="17.989999999999998"/>
    <x v="2"/>
    <n v="1"/>
    <n v="0.15"/>
    <s v="Action"/>
  </r>
  <r>
    <s v="713434a0-cfc8-456f-b17e-2f35e330560f"/>
    <n v="46"/>
    <s v="Other"/>
    <s v="Standard"/>
    <n v="20.57"/>
    <x v="19"/>
    <x v="2"/>
    <x v="1"/>
    <n v="13.99"/>
    <n v="0"/>
    <n v="0"/>
    <x v="4"/>
    <n v="3"/>
    <n v="0.47"/>
    <s v="Drama"/>
  </r>
  <r>
    <s v="d3b99f7e-d0ac-4199-8813-91665f16b3fb"/>
    <n v="23"/>
    <s v="Female"/>
    <s v="Premium"/>
    <n v="4.03"/>
    <x v="47"/>
    <x v="5"/>
    <x v="1"/>
    <n v="17.989999999999998"/>
    <n v="0"/>
    <n v="0"/>
    <x v="3"/>
    <n v="5"/>
    <n v="1.01"/>
    <s v="Romance"/>
  </r>
  <r>
    <s v="9f79dcf6-1ff7-4605-b82c-36cd49b06dd2"/>
    <n v="60"/>
    <s v="Other"/>
    <s v="Standard"/>
    <n v="12.66"/>
    <x v="3"/>
    <x v="2"/>
    <x v="3"/>
    <n v="13.99"/>
    <n v="0"/>
    <n v="0"/>
    <x v="2"/>
    <n v="1"/>
    <n v="0.97"/>
    <s v="Romance"/>
  </r>
  <r>
    <s v="e13622fa-d0b3-44c6-b157-38f7a6933d87"/>
    <n v="58"/>
    <s v="Female"/>
    <s v="Basic"/>
    <n v="11.16"/>
    <x v="43"/>
    <x v="2"/>
    <x v="2"/>
    <n v="8.99"/>
    <n v="1"/>
    <n v="8.99"/>
    <x v="0"/>
    <n v="1"/>
    <n v="0.35"/>
    <s v="Documentary"/>
  </r>
  <r>
    <s v="45c38646-4908-4075-b81d-b90b507bdc9b"/>
    <n v="50"/>
    <s v="Other"/>
    <s v="Standard"/>
    <n v="31.24"/>
    <x v="60"/>
    <x v="4"/>
    <x v="0"/>
    <n v="13.99"/>
    <n v="0"/>
    <n v="0"/>
    <x v="3"/>
    <n v="4"/>
    <n v="3.47"/>
    <s v="Romance"/>
  </r>
  <r>
    <s v="ceae0c44-3af1-464c-98de-82c6c0a19ae2"/>
    <n v="35"/>
    <s v="Other"/>
    <s v="Premium"/>
    <n v="3.63"/>
    <x v="18"/>
    <x v="1"/>
    <x v="2"/>
    <n v="17.989999999999998"/>
    <n v="1"/>
    <n v="17.989999999999998"/>
    <x v="4"/>
    <n v="5"/>
    <n v="0.06"/>
    <s v="Sci-Fi"/>
  </r>
  <r>
    <s v="35fd09b4-e9f0-4d81-9839-c48198d46cf2"/>
    <n v="18"/>
    <s v="Female"/>
    <s v="Basic"/>
    <n v="5.19"/>
    <x v="42"/>
    <x v="4"/>
    <x v="4"/>
    <n v="8.99"/>
    <n v="1"/>
    <n v="8.99"/>
    <x v="1"/>
    <n v="1"/>
    <n v="0.14000000000000001"/>
    <s v="Romance"/>
  </r>
  <r>
    <s v="92b89aae-d3d2-4715-b669-4634124a6444"/>
    <n v="62"/>
    <s v="Male"/>
    <s v="Basic"/>
    <n v="9.89"/>
    <x v="13"/>
    <x v="1"/>
    <x v="4"/>
    <n v="8.99"/>
    <n v="0"/>
    <n v="0"/>
    <x v="0"/>
    <n v="2"/>
    <n v="1.24"/>
    <s v="Horror"/>
  </r>
  <r>
    <s v="062c9b99-d361-4c0e-b1dd-507fdd20b1e7"/>
    <n v="55"/>
    <s v="Male"/>
    <s v="Basic"/>
    <n v="3.83"/>
    <x v="54"/>
    <x v="1"/>
    <x v="3"/>
    <n v="8.99"/>
    <n v="1"/>
    <n v="8.99"/>
    <x v="4"/>
    <n v="4"/>
    <n v="0.13"/>
    <s v="Sci-Fi"/>
  </r>
  <r>
    <s v="ccde27c7-ce46-4ad9-a8b4-8b2e100c2fa1"/>
    <n v="53"/>
    <s v="Male"/>
    <s v="Standard"/>
    <n v="3.65"/>
    <x v="46"/>
    <x v="2"/>
    <x v="2"/>
    <n v="13.99"/>
    <n v="0"/>
    <n v="0"/>
    <x v="3"/>
    <n v="4"/>
    <n v="1.22"/>
    <s v="Romance"/>
  </r>
  <r>
    <s v="cc5f3372-1199-4095-b04e-5d731f75390e"/>
    <n v="27"/>
    <s v="Female"/>
    <s v="Premium"/>
    <n v="1.29"/>
    <x v="39"/>
    <x v="5"/>
    <x v="2"/>
    <n v="17.989999999999998"/>
    <n v="0"/>
    <n v="0"/>
    <x v="2"/>
    <n v="5"/>
    <n v="0.06"/>
    <s v="Comedy"/>
  </r>
  <r>
    <s v="8ea1e41b-df4c-4d34-bb14-d0b5eff7b1e9"/>
    <n v="56"/>
    <s v="Other"/>
    <s v="Standard"/>
    <n v="19.59"/>
    <x v="11"/>
    <x v="5"/>
    <x v="1"/>
    <n v="13.99"/>
    <n v="0"/>
    <n v="0"/>
    <x v="2"/>
    <n v="1"/>
    <n v="0.82"/>
    <s v="Comedy"/>
  </r>
  <r>
    <s v="771523c2-478a-4251-bf5c-8a002d31b068"/>
    <n v="51"/>
    <s v="Other"/>
    <s v="Premium"/>
    <n v="4.5199999999999996"/>
    <x v="55"/>
    <x v="5"/>
    <x v="0"/>
    <n v="17.989999999999998"/>
    <n v="1"/>
    <n v="17.989999999999998"/>
    <x v="1"/>
    <n v="3"/>
    <n v="0.08"/>
    <s v="Comedy"/>
  </r>
  <r>
    <s v="4d3b2dc9-926d-4822-bb9d-93eb38181f03"/>
    <n v="58"/>
    <s v="Female"/>
    <s v="Basic"/>
    <n v="17.27"/>
    <x v="21"/>
    <x v="2"/>
    <x v="0"/>
    <n v="8.99"/>
    <n v="0"/>
    <n v="0"/>
    <x v="2"/>
    <n v="3"/>
    <n v="2.4700000000000002"/>
    <s v="Romance"/>
  </r>
  <r>
    <s v="f77b7449-0c29-440f-a2c0-67cd766eb69b"/>
    <n v="54"/>
    <s v="Other"/>
    <s v="Basic"/>
    <n v="12.9"/>
    <x v="26"/>
    <x v="0"/>
    <x v="4"/>
    <n v="8.99"/>
    <n v="1"/>
    <n v="8.99"/>
    <x v="0"/>
    <n v="4"/>
    <n v="0.26"/>
    <s v="Action"/>
  </r>
  <r>
    <s v="0c3d6cf4-03ef-4bdc-90c2-4219f71d505a"/>
    <n v="38"/>
    <s v="Other"/>
    <s v="Standard"/>
    <n v="18.329999999999998"/>
    <x v="38"/>
    <x v="0"/>
    <x v="3"/>
    <n v="13.99"/>
    <n v="0"/>
    <n v="0"/>
    <x v="0"/>
    <n v="5"/>
    <n v="0.83"/>
    <s v="Comedy"/>
  </r>
  <r>
    <s v="c7e0f909-6796-452d-a3fd-dc07966ec853"/>
    <n v="21"/>
    <s v="Male"/>
    <s v="Basic"/>
    <n v="10.77"/>
    <x v="37"/>
    <x v="0"/>
    <x v="0"/>
    <n v="8.99"/>
    <n v="0"/>
    <n v="0"/>
    <x v="3"/>
    <n v="2"/>
    <n v="0.43"/>
    <s v="Horror"/>
  </r>
  <r>
    <s v="c8a3fc80-5146-415e-b463-45b56f4a9c14"/>
    <n v="40"/>
    <s v="Male"/>
    <s v="Basic"/>
    <n v="5.1100000000000003"/>
    <x v="60"/>
    <x v="5"/>
    <x v="3"/>
    <n v="8.99"/>
    <n v="0"/>
    <n v="0"/>
    <x v="1"/>
    <n v="1"/>
    <n v="0.56999999999999995"/>
    <s v="Romance"/>
  </r>
  <r>
    <s v="f86bf906-2201-4800-8413-fba4e4e8ae50"/>
    <n v="59"/>
    <s v="Male"/>
    <s v="Basic"/>
    <n v="0.5"/>
    <x v="57"/>
    <x v="5"/>
    <x v="4"/>
    <n v="8.99"/>
    <n v="1"/>
    <n v="8.99"/>
    <x v="4"/>
    <n v="2"/>
    <n v="0.01"/>
    <s v="Sci-Fi"/>
  </r>
  <r>
    <s v="59ddcb4d-d232-4415-a32e-7c13d1b268f5"/>
    <n v="62"/>
    <s v="Female"/>
    <s v="Premium"/>
    <n v="33.770000000000003"/>
    <x v="43"/>
    <x v="2"/>
    <x v="4"/>
    <n v="17.989999999999998"/>
    <n v="0"/>
    <n v="0"/>
    <x v="3"/>
    <n v="4"/>
    <n v="1.06"/>
    <s v="Action"/>
  </r>
  <r>
    <s v="7016829c-88f3-4821-9fc1-ce5343e53906"/>
    <n v="31"/>
    <s v="Female"/>
    <s v="Premium"/>
    <n v="1.02"/>
    <x v="36"/>
    <x v="3"/>
    <x v="2"/>
    <n v="17.989999999999998"/>
    <n v="1"/>
    <n v="17.989999999999998"/>
    <x v="1"/>
    <n v="3"/>
    <n v="0.03"/>
    <s v="Drama"/>
  </r>
  <r>
    <s v="8590233c-8a03-4da7-b235-d889a4ba10a7"/>
    <n v="27"/>
    <s v="Other"/>
    <s v="Premium"/>
    <n v="30.11"/>
    <x v="47"/>
    <x v="0"/>
    <x v="1"/>
    <n v="17.989999999999998"/>
    <n v="0"/>
    <n v="0"/>
    <x v="1"/>
    <n v="3"/>
    <n v="7.53"/>
    <s v="Romance"/>
  </r>
  <r>
    <s v="b444d608-a7ec-4a3d-b25b-e182bde9cdca"/>
    <n v="51"/>
    <s v="Male"/>
    <s v="Premium"/>
    <n v="7.8"/>
    <x v="55"/>
    <x v="5"/>
    <x v="3"/>
    <n v="17.989999999999998"/>
    <n v="1"/>
    <n v="17.989999999999998"/>
    <x v="2"/>
    <n v="2"/>
    <n v="0.13"/>
    <s v="Romance"/>
  </r>
  <r>
    <s v="70c22bdb-e226-4a53-b2da-5f00c9873c5c"/>
    <n v="47"/>
    <s v="Other"/>
    <s v="Basic"/>
    <n v="3.64"/>
    <x v="31"/>
    <x v="3"/>
    <x v="1"/>
    <n v="8.99"/>
    <n v="1"/>
    <n v="8.99"/>
    <x v="1"/>
    <n v="4"/>
    <n v="0.23"/>
    <s v="Drama"/>
  </r>
  <r>
    <s v="e5d91451-1d12-4a01-a042-87b0f22cc66b"/>
    <n v="42"/>
    <s v="Male"/>
    <s v="Premium"/>
    <n v="16.37"/>
    <x v="29"/>
    <x v="2"/>
    <x v="3"/>
    <n v="17.989999999999998"/>
    <n v="0"/>
    <n v="0"/>
    <x v="2"/>
    <n v="4"/>
    <n v="0.36"/>
    <s v="Comedy"/>
  </r>
  <r>
    <s v="a6d3a561-5aff-4eb2-b18a-60064af4a2c4"/>
    <n v="60"/>
    <s v="Other"/>
    <s v="Standard"/>
    <n v="3.29"/>
    <x v="34"/>
    <x v="4"/>
    <x v="0"/>
    <n v="13.99"/>
    <n v="1"/>
    <n v="13.99"/>
    <x v="1"/>
    <n v="3"/>
    <n v="0.06"/>
    <s v="Horror"/>
  </r>
  <r>
    <s v="391709dc-2122-409e-9e2c-0bcf6f96d131"/>
    <n v="19"/>
    <s v="Male"/>
    <s v="Premium"/>
    <n v="1.98"/>
    <x v="5"/>
    <x v="2"/>
    <x v="2"/>
    <n v="17.989999999999998"/>
    <n v="0"/>
    <n v="0"/>
    <x v="3"/>
    <n v="4"/>
    <n v="7.0000000000000007E-2"/>
    <s v="Horror"/>
  </r>
  <r>
    <s v="2995e5e8-b8e9-40d6-b211-a261528128d7"/>
    <n v="61"/>
    <s v="Male"/>
    <s v="Premium"/>
    <n v="5.31"/>
    <x v="33"/>
    <x v="1"/>
    <x v="2"/>
    <n v="17.989999999999998"/>
    <n v="0"/>
    <n v="0"/>
    <x v="0"/>
    <n v="3"/>
    <n v="0.2"/>
    <s v="Sci-Fi"/>
  </r>
  <r>
    <s v="a1b7828b-5601-4a18-b19c-fe7268dd5a15"/>
    <n v="68"/>
    <s v="Female"/>
    <s v="Premium"/>
    <n v="41.2"/>
    <x v="41"/>
    <x v="3"/>
    <x v="4"/>
    <n v="17.989999999999998"/>
    <n v="0"/>
    <n v="0"/>
    <x v="0"/>
    <n v="5"/>
    <n v="1.33"/>
    <s v="Comedy"/>
  </r>
  <r>
    <s v="49b003fa-4997-4af1-90e2-c4f8ee1f1779"/>
    <n v="44"/>
    <s v="Male"/>
    <s v="Standard"/>
    <n v="1.05"/>
    <x v="20"/>
    <x v="0"/>
    <x v="4"/>
    <n v="13.99"/>
    <n v="1"/>
    <n v="13.99"/>
    <x v="3"/>
    <n v="3"/>
    <n v="0.06"/>
    <s v="Drama"/>
  </r>
  <r>
    <s v="30b72525-6af0-428b-a8d9-7451d407f3b9"/>
    <n v="46"/>
    <s v="Male"/>
    <s v="Premium"/>
    <n v="30.92"/>
    <x v="31"/>
    <x v="1"/>
    <x v="3"/>
    <n v="17.989999999999998"/>
    <n v="0"/>
    <n v="0"/>
    <x v="4"/>
    <n v="5"/>
    <n v="1.93"/>
    <s v="Action"/>
  </r>
  <r>
    <s v="c5012664-e999-48d6-ba20-5a7c51f6f262"/>
    <n v="30"/>
    <s v="Other"/>
    <s v="Basic"/>
    <n v="14.06"/>
    <x v="34"/>
    <x v="5"/>
    <x v="2"/>
    <n v="8.99"/>
    <n v="1"/>
    <n v="8.99"/>
    <x v="0"/>
    <n v="1"/>
    <n v="0.28000000000000003"/>
    <s v="Documentary"/>
  </r>
  <r>
    <s v="fc1176e6-bf27-4f67-989e-2bb32af87eb5"/>
    <n v="60"/>
    <s v="Other"/>
    <s v="Basic"/>
    <n v="0.27"/>
    <x v="28"/>
    <x v="1"/>
    <x v="1"/>
    <n v="8.99"/>
    <n v="1"/>
    <n v="8.99"/>
    <x v="4"/>
    <n v="2"/>
    <n v="0.01"/>
    <s v="Drama"/>
  </r>
  <r>
    <s v="05e3ec87-8fbd-43ef-aa33-05e871060939"/>
    <n v="66"/>
    <s v="Other"/>
    <s v="Premium"/>
    <n v="35.880000000000003"/>
    <x v="20"/>
    <x v="5"/>
    <x v="4"/>
    <n v="17.989999999999998"/>
    <n v="0"/>
    <n v="0"/>
    <x v="4"/>
    <n v="5"/>
    <n v="1.89"/>
    <s v="Drama"/>
  </r>
  <r>
    <s v="e76f0da1-9474-47af-a161-0d2f9a8fda76"/>
    <n v="48"/>
    <s v="Other"/>
    <s v="Basic"/>
    <n v="17.72"/>
    <x v="39"/>
    <x v="0"/>
    <x v="1"/>
    <n v="8.99"/>
    <n v="0"/>
    <n v="0"/>
    <x v="1"/>
    <n v="3"/>
    <n v="0.77"/>
    <s v="Comedy"/>
  </r>
  <r>
    <s v="ff13f6a1-44b1-4c92-b638-17f63606970b"/>
    <n v="46"/>
    <s v="Other"/>
    <s v="Premium"/>
    <n v="1.76"/>
    <x v="54"/>
    <x v="3"/>
    <x v="3"/>
    <n v="17.989999999999998"/>
    <n v="0"/>
    <n v="0"/>
    <x v="4"/>
    <n v="4"/>
    <n v="0.06"/>
    <s v="Documentary"/>
  </r>
  <r>
    <s v="e9ea338a-e635-4d42-ab37-96de2f5656ad"/>
    <n v="66"/>
    <s v="Male"/>
    <s v="Premium"/>
    <n v="30.91"/>
    <x v="48"/>
    <x v="5"/>
    <x v="0"/>
    <n v="17.989999999999998"/>
    <n v="0"/>
    <n v="0"/>
    <x v="3"/>
    <n v="1"/>
    <n v="0.59"/>
    <s v="Drama"/>
  </r>
  <r>
    <s v="ddc99c73-7758-4640-aed3-4e11d1f22150"/>
    <n v="40"/>
    <s v="Male"/>
    <s v="Basic"/>
    <n v="1.18"/>
    <x v="36"/>
    <x v="2"/>
    <x v="4"/>
    <n v="8.99"/>
    <n v="1"/>
    <n v="8.99"/>
    <x v="2"/>
    <n v="2"/>
    <n v="0.03"/>
    <s v="Sci-Fi"/>
  </r>
  <r>
    <s v="561b865b-5d18-4836-b50e-f40bde688bcf"/>
    <n v="35"/>
    <s v="Female"/>
    <s v="Basic"/>
    <n v="5"/>
    <x v="26"/>
    <x v="0"/>
    <x v="3"/>
    <n v="8.99"/>
    <n v="1"/>
    <n v="8.99"/>
    <x v="1"/>
    <n v="1"/>
    <n v="0.1"/>
    <s v="Drama"/>
  </r>
  <r>
    <s v="6c9f98ff-4f0f-4639-85d0-5e401d743a4c"/>
    <n v="52"/>
    <s v="Male"/>
    <s v="Basic"/>
    <n v="0.41"/>
    <x v="26"/>
    <x v="1"/>
    <x v="0"/>
    <n v="8.99"/>
    <n v="1"/>
    <n v="8.99"/>
    <x v="4"/>
    <n v="5"/>
    <n v="0.01"/>
    <s v="Documentary"/>
  </r>
  <r>
    <s v="bf6a8e72-8dbc-4f8c-8e6e-77f94994af64"/>
    <n v="24"/>
    <s v="Male"/>
    <s v="Standard"/>
    <n v="8.9600000000000009"/>
    <x v="8"/>
    <x v="4"/>
    <x v="1"/>
    <n v="13.99"/>
    <n v="1"/>
    <n v="13.99"/>
    <x v="0"/>
    <n v="2"/>
    <n v="0.26"/>
    <s v="Comedy"/>
  </r>
  <r>
    <s v="2f4ee00e-a84b-43e8-bb6d-64c48d0ce757"/>
    <n v="46"/>
    <s v="Other"/>
    <s v="Premium"/>
    <n v="7.86"/>
    <x v="2"/>
    <x v="3"/>
    <x v="4"/>
    <n v="17.989999999999998"/>
    <n v="0"/>
    <n v="0"/>
    <x v="4"/>
    <n v="1"/>
    <n v="0.71"/>
    <s v="Drama"/>
  </r>
  <r>
    <s v="d727f89d-d107-459c-a343-4c7c59015831"/>
    <n v="30"/>
    <s v="Female"/>
    <s v="Standard"/>
    <n v="1.21"/>
    <x v="32"/>
    <x v="1"/>
    <x v="0"/>
    <n v="13.99"/>
    <n v="1"/>
    <n v="13.99"/>
    <x v="1"/>
    <n v="5"/>
    <n v="0.08"/>
    <s v="Drama"/>
  </r>
  <r>
    <s v="101b4ce6-b2f8-41ab-b6f4-2a3ed4dba3eb"/>
    <n v="36"/>
    <s v="Female"/>
    <s v="Basic"/>
    <n v="0.05"/>
    <x v="33"/>
    <x v="1"/>
    <x v="3"/>
    <n v="8.99"/>
    <n v="1"/>
    <n v="8.99"/>
    <x v="2"/>
    <n v="4"/>
    <n v="0"/>
    <s v="Action"/>
  </r>
  <r>
    <s v="571a05dc-0525-4962-81b2-e2debf902229"/>
    <n v="30"/>
    <s v="Female"/>
    <s v="Basic"/>
    <n v="7.59"/>
    <x v="9"/>
    <x v="3"/>
    <x v="1"/>
    <n v="8.99"/>
    <n v="1"/>
    <n v="8.99"/>
    <x v="4"/>
    <n v="3"/>
    <n v="0.21"/>
    <s v="Horror"/>
  </r>
  <r>
    <s v="01717096-8d78-4952-8e2a-2b736796d452"/>
    <n v="26"/>
    <s v="Male"/>
    <s v="Basic"/>
    <n v="22.41"/>
    <x v="31"/>
    <x v="4"/>
    <x v="4"/>
    <n v="8.99"/>
    <n v="0"/>
    <n v="0"/>
    <x v="0"/>
    <n v="4"/>
    <n v="1.4"/>
    <s v="Action"/>
  </r>
  <r>
    <s v="3d81d442-7bd1-472e-be6c-87d59a39d2d6"/>
    <n v="46"/>
    <s v="Other"/>
    <s v="Premium"/>
    <n v="13.15"/>
    <x v="18"/>
    <x v="3"/>
    <x v="4"/>
    <n v="17.989999999999998"/>
    <n v="1"/>
    <n v="17.989999999999998"/>
    <x v="1"/>
    <n v="5"/>
    <n v="0.23"/>
    <s v="Action"/>
  </r>
  <r>
    <s v="65ff28ce-5167-4737-b5e6-68c27a6a6d8a"/>
    <n v="19"/>
    <s v="Male"/>
    <s v="Basic"/>
    <n v="12.3"/>
    <x v="0"/>
    <x v="3"/>
    <x v="3"/>
    <n v="8.99"/>
    <n v="1"/>
    <n v="8.99"/>
    <x v="2"/>
    <n v="1"/>
    <n v="0.41"/>
    <s v="Drama"/>
  </r>
  <r>
    <s v="235a56c4-10be-43f0-ac08-14a913cd1569"/>
    <n v="33"/>
    <s v="Other"/>
    <s v="Basic"/>
    <n v="29.76"/>
    <x v="34"/>
    <x v="1"/>
    <x v="1"/>
    <n v="8.99"/>
    <n v="0"/>
    <n v="0"/>
    <x v="1"/>
    <n v="3"/>
    <n v="0.57999999999999996"/>
    <s v="Action"/>
  </r>
  <r>
    <s v="05b69fb9-1cd4-4eb2-866b-392801328417"/>
    <n v="21"/>
    <s v="Other"/>
    <s v="Basic"/>
    <n v="18.91"/>
    <x v="9"/>
    <x v="2"/>
    <x v="3"/>
    <n v="8.99"/>
    <n v="1"/>
    <n v="8.99"/>
    <x v="2"/>
    <n v="1"/>
    <n v="0.51"/>
    <s v="Horror"/>
  </r>
  <r>
    <s v="daa75c56-1674-4ac3-a470-64524a70d5b5"/>
    <n v="69"/>
    <s v="Female"/>
    <s v="Standard"/>
    <n v="5.93"/>
    <x v="36"/>
    <x v="5"/>
    <x v="3"/>
    <n v="13.99"/>
    <n v="1"/>
    <n v="13.99"/>
    <x v="0"/>
    <n v="5"/>
    <n v="0.15"/>
    <s v="Sci-Fi"/>
  </r>
  <r>
    <s v="537ac1c5-a609-4780-94eb-517b0e64ae21"/>
    <n v="30"/>
    <s v="Female"/>
    <s v="Premium"/>
    <n v="1.85"/>
    <x v="59"/>
    <x v="1"/>
    <x v="2"/>
    <n v="17.989999999999998"/>
    <n v="0"/>
    <n v="0"/>
    <x v="2"/>
    <n v="5"/>
    <n v="0.31"/>
    <s v="Drama"/>
  </r>
  <r>
    <s v="373df7a9-5e18-427a-982f-59e95851f9d7"/>
    <n v="23"/>
    <s v="Other"/>
    <s v="Basic"/>
    <n v="28.57"/>
    <x v="22"/>
    <x v="3"/>
    <x v="3"/>
    <n v="8.99"/>
    <n v="0"/>
    <n v="0"/>
    <x v="3"/>
    <n v="3"/>
    <n v="0.51"/>
    <s v="Drama"/>
  </r>
  <r>
    <s v="aaf5f091-7785-48d1-84e9-fa47bf7525e5"/>
    <n v="70"/>
    <s v="Female"/>
    <s v="Basic"/>
    <n v="2.46"/>
    <x v="23"/>
    <x v="4"/>
    <x v="2"/>
    <n v="8.99"/>
    <n v="1"/>
    <n v="8.99"/>
    <x v="1"/>
    <n v="1"/>
    <n v="0.05"/>
    <s v="Drama"/>
  </r>
  <r>
    <s v="843f9e04-265c-4f69-8cd8-27f093ec3e0f"/>
    <n v="62"/>
    <s v="Male"/>
    <s v="Basic"/>
    <n v="22.77"/>
    <x v="58"/>
    <x v="4"/>
    <x v="1"/>
    <n v="8.99"/>
    <n v="1"/>
    <n v="8.99"/>
    <x v="1"/>
    <n v="5"/>
    <n v="0.47"/>
    <s v="Documentary"/>
  </r>
  <r>
    <s v="61e49860-703a-4a67-82ad-5749094f5dc2"/>
    <n v="53"/>
    <s v="Female"/>
    <s v="Premium"/>
    <n v="2.89"/>
    <x v="39"/>
    <x v="4"/>
    <x v="1"/>
    <n v="17.989999999999998"/>
    <n v="0"/>
    <n v="0"/>
    <x v="3"/>
    <n v="5"/>
    <n v="0.13"/>
    <s v="Documentary"/>
  </r>
  <r>
    <s v="bbe915c1-0aba-4b41-befd-ddb68cdd7b58"/>
    <n v="63"/>
    <s v="Other"/>
    <s v="Premium"/>
    <n v="15.02"/>
    <x v="40"/>
    <x v="5"/>
    <x v="0"/>
    <n v="17.989999999999998"/>
    <n v="0"/>
    <n v="0"/>
    <x v="3"/>
    <n v="2"/>
    <n v="1.25"/>
    <s v="Comedy"/>
  </r>
  <r>
    <s v="e45d6c09-50d4-44ae-b8f3-408bcd74cada"/>
    <n v="55"/>
    <s v="Male"/>
    <s v="Standard"/>
    <n v="7.28"/>
    <x v="3"/>
    <x v="4"/>
    <x v="4"/>
    <n v="13.99"/>
    <n v="0"/>
    <n v="0"/>
    <x v="4"/>
    <n v="1"/>
    <n v="0.56000000000000005"/>
    <s v="Comedy"/>
  </r>
  <r>
    <s v="dfc2c37e-28ec-47db-bfd9-87dce42a6384"/>
    <n v="62"/>
    <s v="Female"/>
    <s v="Standard"/>
    <n v="1.62"/>
    <x v="42"/>
    <x v="5"/>
    <x v="0"/>
    <n v="13.99"/>
    <n v="1"/>
    <n v="13.99"/>
    <x v="1"/>
    <n v="3"/>
    <n v="0.04"/>
    <s v="Horror"/>
  </r>
  <r>
    <s v="98b673eb-edbf-4aa3-81d9-b6cb512beb47"/>
    <n v="21"/>
    <s v="Other"/>
    <s v="Premium"/>
    <n v="12.34"/>
    <x v="1"/>
    <x v="3"/>
    <x v="0"/>
    <n v="17.989999999999998"/>
    <n v="0"/>
    <n v="0"/>
    <x v="2"/>
    <n v="3"/>
    <n v="0.62"/>
    <s v="Romance"/>
  </r>
  <r>
    <s v="9359e195-d2cd-4e6d-acdf-3cc04acb7545"/>
    <n v="29"/>
    <s v="Male"/>
    <s v="Standard"/>
    <n v="10.76"/>
    <x v="34"/>
    <x v="4"/>
    <x v="1"/>
    <n v="13.99"/>
    <n v="1"/>
    <n v="13.99"/>
    <x v="3"/>
    <n v="2"/>
    <n v="0.21"/>
    <s v="Drama"/>
  </r>
  <r>
    <s v="b1990fc7-29ce-4129-a239-b95591db2fe3"/>
    <n v="22"/>
    <s v="Other"/>
    <s v="Premium"/>
    <n v="13.72"/>
    <x v="55"/>
    <x v="2"/>
    <x v="3"/>
    <n v="17.989999999999998"/>
    <n v="1"/>
    <n v="17.989999999999998"/>
    <x v="1"/>
    <n v="5"/>
    <n v="0.23"/>
    <s v="Drama"/>
  </r>
  <r>
    <s v="ba8c3b67-e723-4833-8515-1909eb090ffc"/>
    <n v="28"/>
    <s v="Male"/>
    <s v="Standard"/>
    <n v="22.78"/>
    <x v="27"/>
    <x v="3"/>
    <x v="2"/>
    <n v="13.99"/>
    <n v="0"/>
    <n v="0"/>
    <x v="2"/>
    <n v="5"/>
    <n v="1.34"/>
    <s v="Sci-Fi"/>
  </r>
  <r>
    <s v="fdf173e9-3cc2-4211-ad97-6a89ab4c992d"/>
    <n v="60"/>
    <s v="Female"/>
    <s v="Basic"/>
    <n v="1.76"/>
    <x v="26"/>
    <x v="5"/>
    <x v="0"/>
    <n v="8.99"/>
    <n v="1"/>
    <n v="8.99"/>
    <x v="2"/>
    <n v="2"/>
    <n v="0.04"/>
    <s v="Sci-Fi"/>
  </r>
  <r>
    <s v="b2dabfea-7d61-4505-8d8b-15194d98a3c1"/>
    <n v="29"/>
    <s v="Male"/>
    <s v="Premium"/>
    <n v="14.85"/>
    <x v="2"/>
    <x v="2"/>
    <x v="4"/>
    <n v="17.989999999999998"/>
    <n v="0"/>
    <n v="0"/>
    <x v="4"/>
    <n v="1"/>
    <n v="1.35"/>
    <s v="Horror"/>
  </r>
  <r>
    <s v="0a450e9c-d685-4b05-bd36-cb4aab6a21ed"/>
    <n v="63"/>
    <s v="Male"/>
    <s v="Basic"/>
    <n v="0.75"/>
    <x v="44"/>
    <x v="2"/>
    <x v="4"/>
    <n v="8.99"/>
    <n v="1"/>
    <n v="8.99"/>
    <x v="0"/>
    <n v="3"/>
    <n v="0.02"/>
    <s v="Horror"/>
  </r>
  <r>
    <s v="e4e9504a-7d5d-47d9-940d-31817782fc8f"/>
    <n v="40"/>
    <s v="Other"/>
    <s v="Standard"/>
    <n v="19.149999999999999"/>
    <x v="15"/>
    <x v="2"/>
    <x v="2"/>
    <n v="13.99"/>
    <n v="1"/>
    <n v="13.99"/>
    <x v="2"/>
    <n v="2"/>
    <n v="0.47"/>
    <s v="Horror"/>
  </r>
  <r>
    <s v="20e2e96f-2ac5-4a36-9cfa-9d6738c4e1ee"/>
    <n v="54"/>
    <s v="Other"/>
    <s v="Standard"/>
    <n v="5.57"/>
    <x v="23"/>
    <x v="1"/>
    <x v="0"/>
    <n v="13.99"/>
    <n v="1"/>
    <n v="13.99"/>
    <x v="1"/>
    <n v="5"/>
    <n v="0.1"/>
    <s v="Documentary"/>
  </r>
  <r>
    <s v="ba93d319-ddd9-4d3e-991a-fdcba85570c3"/>
    <n v="63"/>
    <s v="Other"/>
    <s v="Standard"/>
    <n v="6.72"/>
    <x v="20"/>
    <x v="1"/>
    <x v="4"/>
    <n v="13.99"/>
    <n v="0"/>
    <n v="0"/>
    <x v="4"/>
    <n v="4"/>
    <n v="0.35"/>
    <s v="Documentary"/>
  </r>
  <r>
    <s v="3ae5e0f7-8bff-4310-b002-0d99213fadad"/>
    <n v="31"/>
    <s v="Other"/>
    <s v="Basic"/>
    <n v="14.07"/>
    <x v="24"/>
    <x v="1"/>
    <x v="3"/>
    <n v="8.99"/>
    <n v="1"/>
    <n v="8.99"/>
    <x v="0"/>
    <n v="3"/>
    <n v="0.27"/>
    <s v="Romance"/>
  </r>
  <r>
    <s v="c8a35af6-aa05-410a-85f0-e8ea8e13d69a"/>
    <n v="26"/>
    <s v="Other"/>
    <s v="Standard"/>
    <n v="4.8600000000000003"/>
    <x v="1"/>
    <x v="4"/>
    <x v="1"/>
    <n v="13.99"/>
    <n v="0"/>
    <n v="0"/>
    <x v="3"/>
    <n v="4"/>
    <n v="0.24"/>
    <s v="Drama"/>
  </r>
  <r>
    <s v="a02f28e9-2264-4b14-b562-3098301b12fd"/>
    <n v="18"/>
    <s v="Female"/>
    <s v="Basic"/>
    <n v="1.82"/>
    <x v="44"/>
    <x v="4"/>
    <x v="4"/>
    <n v="8.99"/>
    <n v="1"/>
    <n v="8.99"/>
    <x v="4"/>
    <n v="3"/>
    <n v="0.04"/>
    <s v="Romance"/>
  </r>
  <r>
    <s v="e3d31a6c-7408-4ad9-a763-ea9a744f27de"/>
    <n v="28"/>
    <s v="Female"/>
    <s v="Standard"/>
    <n v="4.3899999999999997"/>
    <x v="32"/>
    <x v="5"/>
    <x v="4"/>
    <n v="13.99"/>
    <n v="1"/>
    <n v="13.99"/>
    <x v="2"/>
    <n v="2"/>
    <n v="0.28999999999999998"/>
    <s v="Romance"/>
  </r>
  <r>
    <s v="d642d465-d3dc-4c44-89d0-a93e4cc2f65d"/>
    <n v="46"/>
    <s v="Male"/>
    <s v="Standard"/>
    <n v="3.37"/>
    <x v="20"/>
    <x v="3"/>
    <x v="0"/>
    <n v="13.99"/>
    <n v="0"/>
    <n v="0"/>
    <x v="2"/>
    <n v="5"/>
    <n v="0.18"/>
    <s v="Horror"/>
  </r>
  <r>
    <s v="dfd1210c-8265-4142-b69e-e4cdb9258776"/>
    <n v="47"/>
    <s v="Male"/>
    <s v="Standard"/>
    <n v="2.0099999999999998"/>
    <x v="59"/>
    <x v="5"/>
    <x v="2"/>
    <n v="13.99"/>
    <n v="0"/>
    <n v="0"/>
    <x v="4"/>
    <n v="2"/>
    <n v="0.33"/>
    <s v="Documentary"/>
  </r>
  <r>
    <s v="ad681c74-e812-4922-a966-89fea4750cd4"/>
    <n v="47"/>
    <s v="Male"/>
    <s v="Basic"/>
    <n v="6.54"/>
    <x v="22"/>
    <x v="0"/>
    <x v="1"/>
    <n v="8.99"/>
    <n v="1"/>
    <n v="8.99"/>
    <x v="3"/>
    <n v="2"/>
    <n v="0.12"/>
    <s v="Comedy"/>
  </r>
  <r>
    <s v="9ae480fe-dab2-482a-86cc-d7ad530f7704"/>
    <n v="29"/>
    <s v="Other"/>
    <s v="Standard"/>
    <n v="4.33"/>
    <x v="33"/>
    <x v="1"/>
    <x v="1"/>
    <n v="13.99"/>
    <n v="0"/>
    <n v="0"/>
    <x v="4"/>
    <n v="4"/>
    <n v="0.17"/>
    <s v="Romance"/>
  </r>
  <r>
    <s v="422b2b02-7b3c-4fbf-b594-6e2914e469c5"/>
    <n v="70"/>
    <s v="Other"/>
    <s v="Standard"/>
    <n v="32.619999999999997"/>
    <x v="5"/>
    <x v="0"/>
    <x v="0"/>
    <n v="13.99"/>
    <n v="0"/>
    <n v="0"/>
    <x v="1"/>
    <n v="1"/>
    <n v="1.21"/>
    <s v="Sci-Fi"/>
  </r>
  <r>
    <s v="6af7638e-274b-40ba-8035-97b8d5181611"/>
    <n v="26"/>
    <s v="Other"/>
    <s v="Premium"/>
    <n v="11.35"/>
    <x v="42"/>
    <x v="3"/>
    <x v="4"/>
    <n v="17.989999999999998"/>
    <n v="1"/>
    <n v="17.989999999999998"/>
    <x v="3"/>
    <n v="2"/>
    <n v="0.3"/>
    <s v="Romance"/>
  </r>
  <r>
    <s v="fd7293ff-a104-4081-b219-8a71ad708cb5"/>
    <n v="68"/>
    <s v="Male"/>
    <s v="Premium"/>
    <n v="2.34"/>
    <x v="35"/>
    <x v="3"/>
    <x v="2"/>
    <n v="17.989999999999998"/>
    <n v="1"/>
    <n v="17.989999999999998"/>
    <x v="0"/>
    <n v="5"/>
    <n v="0.05"/>
    <s v="Drama"/>
  </r>
  <r>
    <s v="892594b0-7698-4b09-9093-39ed12e147ae"/>
    <n v="18"/>
    <s v="Female"/>
    <s v="Basic"/>
    <n v="13.51"/>
    <x v="23"/>
    <x v="5"/>
    <x v="2"/>
    <n v="8.99"/>
    <n v="1"/>
    <n v="8.99"/>
    <x v="2"/>
    <n v="4"/>
    <n v="0.25"/>
    <s v="Documentary"/>
  </r>
  <r>
    <s v="9f356c38-182c-4951-b612-e9412297b50d"/>
    <n v="18"/>
    <s v="Other"/>
    <s v="Basic"/>
    <n v="3.89"/>
    <x v="12"/>
    <x v="1"/>
    <x v="4"/>
    <n v="8.99"/>
    <n v="1"/>
    <n v="8.99"/>
    <x v="2"/>
    <n v="1"/>
    <n v="0.11"/>
    <s v="Action"/>
  </r>
  <r>
    <s v="63daec73-9ae1-4781-ba06-3950acff9ba6"/>
    <n v="29"/>
    <s v="Female"/>
    <s v="Basic"/>
    <n v="8.48"/>
    <x v="36"/>
    <x v="0"/>
    <x v="0"/>
    <n v="8.99"/>
    <n v="1"/>
    <n v="8.99"/>
    <x v="2"/>
    <n v="5"/>
    <n v="0.21"/>
    <s v="Romance"/>
  </r>
  <r>
    <s v="dfbbbb1b-d847-42c1-920c-2e08ad6b3481"/>
    <n v="24"/>
    <s v="Male"/>
    <s v="Premium"/>
    <n v="9.02"/>
    <x v="5"/>
    <x v="5"/>
    <x v="3"/>
    <n v="17.989999999999998"/>
    <n v="0"/>
    <n v="0"/>
    <x v="2"/>
    <n v="4"/>
    <n v="0.33"/>
    <s v="Sci-Fi"/>
  </r>
  <r>
    <s v="7159f13c-01b8-4c3c-8d77-8a60df9e2653"/>
    <n v="29"/>
    <s v="Other"/>
    <s v="Standard"/>
    <n v="53.2"/>
    <x v="52"/>
    <x v="4"/>
    <x v="2"/>
    <n v="13.99"/>
    <n v="0"/>
    <n v="0"/>
    <x v="1"/>
    <n v="5"/>
    <n v="1.06"/>
    <s v="Sci-Fi"/>
  </r>
  <r>
    <s v="8329446c-9c38-459b-b296-59f5f19f2a51"/>
    <n v="37"/>
    <s v="Male"/>
    <s v="Basic"/>
    <n v="4.9800000000000004"/>
    <x v="41"/>
    <x v="4"/>
    <x v="1"/>
    <n v="8.99"/>
    <n v="1"/>
    <n v="8.99"/>
    <x v="0"/>
    <n v="4"/>
    <n v="0.16"/>
    <s v="Romance"/>
  </r>
  <r>
    <s v="7aeada68-2ac1-4864-8292-82cc19d446da"/>
    <n v="21"/>
    <s v="Other"/>
    <s v="Premium"/>
    <n v="4.21"/>
    <x v="43"/>
    <x v="1"/>
    <x v="2"/>
    <n v="17.989999999999998"/>
    <n v="1"/>
    <n v="17.989999999999998"/>
    <x v="0"/>
    <n v="5"/>
    <n v="0.13"/>
    <s v="Documentary"/>
  </r>
  <r>
    <s v="278c548d-ee93-44b9-aeab-dacd67b66291"/>
    <n v="65"/>
    <s v="Other"/>
    <s v="Basic"/>
    <n v="16.100000000000001"/>
    <x v="2"/>
    <x v="5"/>
    <x v="4"/>
    <n v="8.99"/>
    <n v="0"/>
    <n v="0"/>
    <x v="1"/>
    <n v="3"/>
    <n v="1.46"/>
    <s v="Sci-Fi"/>
  </r>
  <r>
    <s v="242a83be-25ed-4b50-966e-126fa3bda7d0"/>
    <n v="44"/>
    <s v="Male"/>
    <s v="Basic"/>
    <n v="4.8899999999999997"/>
    <x v="28"/>
    <x v="3"/>
    <x v="2"/>
    <n v="8.99"/>
    <n v="1"/>
    <n v="8.99"/>
    <x v="3"/>
    <n v="3"/>
    <n v="0.14000000000000001"/>
    <s v="Drama"/>
  </r>
  <r>
    <s v="0886815c-00c9-4177-bd6b-86b3d1610606"/>
    <n v="18"/>
    <s v="Other"/>
    <s v="Premium"/>
    <n v="7.15"/>
    <x v="49"/>
    <x v="1"/>
    <x v="2"/>
    <n v="17.989999999999998"/>
    <n v="0"/>
    <n v="0"/>
    <x v="2"/>
    <n v="3"/>
    <n v="0.72"/>
    <s v="Comedy"/>
  </r>
  <r>
    <s v="19f96bab-f769-4ade-9add-63dd0769e499"/>
    <n v="55"/>
    <s v="Male"/>
    <s v="Basic"/>
    <n v="0.12"/>
    <x v="39"/>
    <x v="4"/>
    <x v="4"/>
    <n v="8.99"/>
    <n v="1"/>
    <n v="8.99"/>
    <x v="2"/>
    <n v="4"/>
    <n v="0.01"/>
    <s v="Comedy"/>
  </r>
  <r>
    <s v="b586e701-6744-4a21-a4c4-2a434139d2ed"/>
    <n v="47"/>
    <s v="Other"/>
    <s v="Standard"/>
    <n v="10.82"/>
    <x v="48"/>
    <x v="1"/>
    <x v="1"/>
    <n v="13.99"/>
    <n v="1"/>
    <n v="13.99"/>
    <x v="4"/>
    <n v="2"/>
    <n v="0.21"/>
    <s v="Comedy"/>
  </r>
  <r>
    <s v="2b17d2bf-926e-4ebf-a591-a9966eed3815"/>
    <n v="47"/>
    <s v="Male"/>
    <s v="Premium"/>
    <n v="2.57"/>
    <x v="57"/>
    <x v="4"/>
    <x v="0"/>
    <n v="17.989999999999998"/>
    <n v="1"/>
    <n v="17.989999999999998"/>
    <x v="0"/>
    <n v="3"/>
    <n v="0.04"/>
    <s v="Action"/>
  </r>
  <r>
    <s v="17ec48bb-58d9-4be7-a2d5-ad5f1bd26c9b"/>
    <n v="36"/>
    <s v="Other"/>
    <s v="Premium"/>
    <n v="2.85"/>
    <x v="31"/>
    <x v="0"/>
    <x v="4"/>
    <n v="17.989999999999998"/>
    <n v="1"/>
    <n v="17.989999999999998"/>
    <x v="3"/>
    <n v="3"/>
    <n v="0.18"/>
    <s v="Comedy"/>
  </r>
  <r>
    <s v="c4eb2f57-2a9b-405b-b686-e34aa4c1ba65"/>
    <n v="70"/>
    <s v="Other"/>
    <s v="Premium"/>
    <n v="8.6"/>
    <x v="42"/>
    <x v="0"/>
    <x v="3"/>
    <n v="17.989999999999998"/>
    <n v="1"/>
    <n v="17.989999999999998"/>
    <x v="1"/>
    <n v="3"/>
    <n v="0.23"/>
    <s v="Documentary"/>
  </r>
  <r>
    <s v="71231f4a-6054-4c64-8499-31766c837b61"/>
    <n v="51"/>
    <s v="Female"/>
    <s v="Premium"/>
    <n v="8.34"/>
    <x v="14"/>
    <x v="2"/>
    <x v="0"/>
    <n v="17.989999999999998"/>
    <n v="1"/>
    <n v="17.989999999999998"/>
    <x v="1"/>
    <n v="2"/>
    <n v="0.25"/>
    <s v="Romance"/>
  </r>
  <r>
    <s v="acbe95b8-be8f-459a-b0e1-2e9f99755a77"/>
    <n v="48"/>
    <s v="Male"/>
    <s v="Standard"/>
    <n v="20.69"/>
    <x v="19"/>
    <x v="0"/>
    <x v="2"/>
    <n v="13.99"/>
    <n v="0"/>
    <n v="0"/>
    <x v="4"/>
    <n v="2"/>
    <n v="0.47"/>
    <s v="Action"/>
  </r>
  <r>
    <s v="0a6816a7-f888-47b3-84f4-937bcd1a9023"/>
    <n v="39"/>
    <s v="Other"/>
    <s v="Premium"/>
    <n v="13.49"/>
    <x v="38"/>
    <x v="4"/>
    <x v="4"/>
    <n v="17.989999999999998"/>
    <n v="0"/>
    <n v="0"/>
    <x v="4"/>
    <n v="4"/>
    <n v="0.61"/>
    <s v="Drama"/>
  </r>
  <r>
    <s v="2e24691d-31e2-4802-af7a-2e2fd8afbee8"/>
    <n v="33"/>
    <s v="Male"/>
    <s v="Standard"/>
    <n v="0.93"/>
    <x v="17"/>
    <x v="2"/>
    <x v="4"/>
    <n v="13.99"/>
    <n v="1"/>
    <n v="13.99"/>
    <x v="1"/>
    <n v="1"/>
    <n v="0.19"/>
    <s v="Sci-Fi"/>
  </r>
  <r>
    <s v="65cb8d99-164b-4e42-badf-dae7fb16d388"/>
    <n v="63"/>
    <s v="Other"/>
    <s v="Standard"/>
    <n v="30.83"/>
    <x v="2"/>
    <x v="1"/>
    <x v="2"/>
    <n v="13.99"/>
    <n v="0"/>
    <n v="0"/>
    <x v="1"/>
    <n v="2"/>
    <n v="2.8"/>
    <s v="Sci-Fi"/>
  </r>
  <r>
    <s v="31f8fd87-aea7-4f86-ac51-080bbd39c074"/>
    <n v="51"/>
    <s v="Other"/>
    <s v="Basic"/>
    <n v="3.64"/>
    <x v="34"/>
    <x v="4"/>
    <x v="0"/>
    <n v="8.99"/>
    <n v="1"/>
    <n v="8.99"/>
    <x v="2"/>
    <n v="1"/>
    <n v="7.0000000000000007E-2"/>
    <s v="Action"/>
  </r>
  <r>
    <s v="7d314499-d7e9-4619-a054-c17d976d3aa4"/>
    <n v="21"/>
    <s v="Female"/>
    <s v="Standard"/>
    <n v="13.77"/>
    <x v="29"/>
    <x v="4"/>
    <x v="2"/>
    <n v="13.99"/>
    <n v="1"/>
    <n v="13.99"/>
    <x v="3"/>
    <n v="1"/>
    <n v="0.3"/>
    <s v="Horror"/>
  </r>
  <r>
    <s v="22ada47b-5f63-44bc-ac7b-24989a5de212"/>
    <n v="29"/>
    <s v="Female"/>
    <s v="Standard"/>
    <n v="1.56"/>
    <x v="2"/>
    <x v="1"/>
    <x v="4"/>
    <n v="13.99"/>
    <n v="1"/>
    <n v="13.99"/>
    <x v="0"/>
    <n v="5"/>
    <n v="0.14000000000000001"/>
    <s v="Horror"/>
  </r>
  <r>
    <s v="3bf8c2a4-b13f-4ce2-9532-440dfd0472a0"/>
    <n v="52"/>
    <s v="Female"/>
    <s v="Standard"/>
    <n v="10.14"/>
    <x v="52"/>
    <x v="1"/>
    <x v="0"/>
    <n v="13.99"/>
    <n v="1"/>
    <n v="13.99"/>
    <x v="0"/>
    <n v="4"/>
    <n v="0.2"/>
    <s v="Action"/>
  </r>
  <r>
    <s v="0ae85af3-f96d-4d82-a2a0-72b0c0db8529"/>
    <n v="20"/>
    <s v="Other"/>
    <s v="Standard"/>
    <n v="31.73"/>
    <x v="44"/>
    <x v="0"/>
    <x v="4"/>
    <n v="13.99"/>
    <n v="0"/>
    <n v="0"/>
    <x v="4"/>
    <n v="1"/>
    <n v="0.68"/>
    <s v="Drama"/>
  </r>
  <r>
    <s v="dc684b93-d819-40f9-8e0e-8419b6139db6"/>
    <n v="48"/>
    <s v="Other"/>
    <s v="Basic"/>
    <n v="6.63"/>
    <x v="2"/>
    <x v="4"/>
    <x v="4"/>
    <n v="8.99"/>
    <n v="0"/>
    <n v="0"/>
    <x v="3"/>
    <n v="2"/>
    <n v="0.6"/>
    <s v="Documentary"/>
  </r>
  <r>
    <s v="7c7cb0de-6a7a-4c38-91df-959c1fa55547"/>
    <n v="25"/>
    <s v="Female"/>
    <s v="Basic"/>
    <n v="1.84"/>
    <x v="59"/>
    <x v="3"/>
    <x v="2"/>
    <n v="8.99"/>
    <n v="1"/>
    <n v="8.99"/>
    <x v="3"/>
    <n v="5"/>
    <n v="0.31"/>
    <s v="Sci-Fi"/>
  </r>
  <r>
    <s v="1b03740b-7608-4b96-a78e-b48bebde5337"/>
    <n v="53"/>
    <s v="Male"/>
    <s v="Basic"/>
    <n v="3.37"/>
    <x v="50"/>
    <x v="4"/>
    <x v="3"/>
    <n v="8.99"/>
    <n v="1"/>
    <n v="8.99"/>
    <x v="3"/>
    <n v="5"/>
    <n v="0.06"/>
    <s v="Comedy"/>
  </r>
  <r>
    <s v="4e66e2a1-2aa8-42eb-9372-1a01a6f04a8c"/>
    <n v="27"/>
    <s v="Male"/>
    <s v="Standard"/>
    <n v="5.32"/>
    <x v="50"/>
    <x v="1"/>
    <x v="3"/>
    <n v="13.99"/>
    <n v="0"/>
    <n v="0"/>
    <x v="3"/>
    <n v="4"/>
    <n v="0.1"/>
    <s v="Drama"/>
  </r>
  <r>
    <s v="b5f4e9de-96ed-44b6-9ce8-51d81ac90562"/>
    <n v="50"/>
    <s v="Other"/>
    <s v="Standard"/>
    <n v="21.29"/>
    <x v="5"/>
    <x v="3"/>
    <x v="2"/>
    <n v="13.99"/>
    <n v="0"/>
    <n v="0"/>
    <x v="0"/>
    <n v="3"/>
    <n v="0.79"/>
    <s v="Romance"/>
  </r>
  <r>
    <s v="a16251fb-f52b-430e-9bb1-272ebfb4a387"/>
    <n v="41"/>
    <s v="Other"/>
    <s v="Basic"/>
    <n v="20.260000000000002"/>
    <x v="45"/>
    <x v="0"/>
    <x v="2"/>
    <n v="8.99"/>
    <n v="1"/>
    <n v="8.99"/>
    <x v="1"/>
    <n v="1"/>
    <n v="0.48"/>
    <s v="Documentary"/>
  </r>
  <r>
    <s v="f4c785ec-5213-4d09-8dfd-af38ed4cc0b8"/>
    <n v="47"/>
    <s v="Female"/>
    <s v="Standard"/>
    <n v="4.0999999999999996"/>
    <x v="24"/>
    <x v="4"/>
    <x v="2"/>
    <n v="13.99"/>
    <n v="1"/>
    <n v="13.99"/>
    <x v="2"/>
    <n v="1"/>
    <n v="0.08"/>
    <s v="Drama"/>
  </r>
  <r>
    <s v="a1cacec9-db50-426d-b7e5-6ec5ccfbc39e"/>
    <n v="59"/>
    <s v="Female"/>
    <s v="Basic"/>
    <n v="77.09"/>
    <x v="9"/>
    <x v="5"/>
    <x v="3"/>
    <n v="8.99"/>
    <n v="0"/>
    <n v="0"/>
    <x v="3"/>
    <n v="3"/>
    <n v="2.08"/>
    <s v="Romance"/>
  </r>
  <r>
    <s v="84bb4a72-f675-48ba-a3d6-aa4b8c828fe6"/>
    <n v="58"/>
    <s v="Male"/>
    <s v="Premium"/>
    <n v="2.11"/>
    <x v="11"/>
    <x v="0"/>
    <x v="0"/>
    <n v="17.989999999999998"/>
    <n v="1"/>
    <n v="17.989999999999998"/>
    <x v="2"/>
    <n v="3"/>
    <n v="0.09"/>
    <s v="Documentary"/>
  </r>
  <r>
    <s v="f29753d3-885d-4d69-a71c-5ac46637749e"/>
    <n v="24"/>
    <s v="Male"/>
    <s v="Premium"/>
    <n v="12.65"/>
    <x v="11"/>
    <x v="5"/>
    <x v="4"/>
    <n v="17.989999999999998"/>
    <n v="0"/>
    <n v="0"/>
    <x v="2"/>
    <n v="3"/>
    <n v="0.53"/>
    <s v="Comedy"/>
  </r>
  <r>
    <s v="fe26c901-86af-42bf-a9cf-ec1bc66f6a46"/>
    <n v="69"/>
    <s v="Male"/>
    <s v="Basic"/>
    <n v="2.74"/>
    <x v="24"/>
    <x v="3"/>
    <x v="1"/>
    <n v="8.99"/>
    <n v="1"/>
    <n v="8.99"/>
    <x v="2"/>
    <n v="4"/>
    <n v="0.05"/>
    <s v="Action"/>
  </r>
  <r>
    <s v="cd4e8d09-810c-44a7-a053-37f8f77c0514"/>
    <n v="54"/>
    <s v="Other"/>
    <s v="Basic"/>
    <n v="8.52"/>
    <x v="2"/>
    <x v="2"/>
    <x v="0"/>
    <n v="8.99"/>
    <n v="0"/>
    <n v="0"/>
    <x v="4"/>
    <n v="4"/>
    <n v="0.77"/>
    <s v="Action"/>
  </r>
  <r>
    <s v="fa40f79b-8e48-448a-98b0-d9064c1b0115"/>
    <n v="48"/>
    <s v="Other"/>
    <s v="Premium"/>
    <n v="18.21"/>
    <x v="28"/>
    <x v="2"/>
    <x v="2"/>
    <n v="17.989999999999998"/>
    <n v="0"/>
    <n v="0"/>
    <x v="0"/>
    <n v="2"/>
    <n v="0.51"/>
    <s v="Sci-Fi"/>
  </r>
  <r>
    <s v="1b43ab83-77a5-4a8f-b68c-bbb2d21d310f"/>
    <n v="18"/>
    <s v="Female"/>
    <s v="Standard"/>
    <n v="2.14"/>
    <x v="35"/>
    <x v="5"/>
    <x v="3"/>
    <n v="13.99"/>
    <n v="1"/>
    <n v="13.99"/>
    <x v="0"/>
    <n v="3"/>
    <n v="0.05"/>
    <s v="Comedy"/>
  </r>
  <r>
    <s v="51cf9141-4056-4062-85a8-43eb7e6272bc"/>
    <n v="27"/>
    <s v="Male"/>
    <s v="Standard"/>
    <n v="6.49"/>
    <x v="44"/>
    <x v="4"/>
    <x v="2"/>
    <n v="13.99"/>
    <n v="1"/>
    <n v="13.99"/>
    <x v="2"/>
    <n v="3"/>
    <n v="0.14000000000000001"/>
    <s v="Drama"/>
  </r>
  <r>
    <s v="794b6449-c942-4346-82b8-166667e62c6c"/>
    <n v="41"/>
    <s v="Other"/>
    <s v="Standard"/>
    <n v="2.95"/>
    <x v="17"/>
    <x v="2"/>
    <x v="2"/>
    <n v="13.99"/>
    <n v="0"/>
    <n v="0"/>
    <x v="3"/>
    <n v="3"/>
    <n v="0.59"/>
    <s v="Sci-Fi"/>
  </r>
  <r>
    <s v="df4ef614-eed1-4c6c-8472-b5bf8fe1e6ae"/>
    <n v="49"/>
    <s v="Male"/>
    <s v="Premium"/>
    <n v="5.08"/>
    <x v="33"/>
    <x v="3"/>
    <x v="2"/>
    <n v="17.989999999999998"/>
    <n v="0"/>
    <n v="0"/>
    <x v="3"/>
    <n v="4"/>
    <n v="0.2"/>
    <s v="Horror"/>
  </r>
  <r>
    <s v="cff5d87d-e5d3-46a7-a439-b5d14d3aee6b"/>
    <n v="45"/>
    <s v="Male"/>
    <s v="Basic"/>
    <n v="1.92"/>
    <x v="44"/>
    <x v="5"/>
    <x v="0"/>
    <n v="8.99"/>
    <n v="1"/>
    <n v="8.99"/>
    <x v="2"/>
    <n v="4"/>
    <n v="0.04"/>
    <s v="Drama"/>
  </r>
  <r>
    <s v="bc14c635-9c82-42e0-9ea1-fb4cba7aacb5"/>
    <n v="63"/>
    <s v="Female"/>
    <s v="Basic"/>
    <n v="30.88"/>
    <x v="31"/>
    <x v="5"/>
    <x v="0"/>
    <n v="8.99"/>
    <n v="0"/>
    <n v="0"/>
    <x v="0"/>
    <n v="4"/>
    <n v="1.93"/>
    <s v="Comedy"/>
  </r>
  <r>
    <s v="baaa1f32-4ba3-46ed-90ef-d74366522631"/>
    <n v="54"/>
    <s v="Female"/>
    <s v="Basic"/>
    <n v="5.61"/>
    <x v="40"/>
    <x v="1"/>
    <x v="1"/>
    <n v="8.99"/>
    <n v="0"/>
    <n v="0"/>
    <x v="3"/>
    <n v="4"/>
    <n v="0.47"/>
    <s v="Sci-Fi"/>
  </r>
  <r>
    <s v="1cedb0ea-4404-4bd3-bd08-e1aa6ee85a12"/>
    <n v="38"/>
    <s v="Female"/>
    <s v="Standard"/>
    <n v="12.85"/>
    <x v="11"/>
    <x v="4"/>
    <x v="0"/>
    <n v="13.99"/>
    <n v="0"/>
    <n v="0"/>
    <x v="0"/>
    <n v="5"/>
    <n v="0.54"/>
    <s v="Action"/>
  </r>
  <r>
    <s v="3e453410-a025-42af-b464-f536ad03a150"/>
    <n v="24"/>
    <s v="Female"/>
    <s v="Basic"/>
    <n v="3.11"/>
    <x v="40"/>
    <x v="2"/>
    <x v="4"/>
    <n v="8.99"/>
    <n v="1"/>
    <n v="8.99"/>
    <x v="4"/>
    <n v="2"/>
    <n v="0.26"/>
    <s v="Sci-Fi"/>
  </r>
  <r>
    <s v="8a558ce9-588b-4840-9e84-5a5d836d430f"/>
    <n v="41"/>
    <s v="Female"/>
    <s v="Standard"/>
    <n v="53.7"/>
    <x v="31"/>
    <x v="5"/>
    <x v="3"/>
    <n v="13.99"/>
    <n v="0"/>
    <n v="0"/>
    <x v="3"/>
    <n v="5"/>
    <n v="3.36"/>
    <s v="Sci-Fi"/>
  </r>
  <r>
    <s v="b68c53e7-4c9f-4258-95b7-c73c28850f7c"/>
    <n v="26"/>
    <s v="Other"/>
    <s v="Standard"/>
    <n v="20.49"/>
    <x v="23"/>
    <x v="3"/>
    <x v="2"/>
    <n v="13.99"/>
    <n v="0"/>
    <n v="0"/>
    <x v="0"/>
    <n v="5"/>
    <n v="0.38"/>
    <s v="Sci-Fi"/>
  </r>
  <r>
    <s v="07ca6c7a-e7fb-498f-91b1-621fc7effa83"/>
    <n v="27"/>
    <s v="Other"/>
    <s v="Basic"/>
    <n v="19.48"/>
    <x v="27"/>
    <x v="3"/>
    <x v="3"/>
    <n v="8.99"/>
    <n v="0"/>
    <n v="0"/>
    <x v="2"/>
    <n v="3"/>
    <n v="1.1499999999999999"/>
    <s v="Romance"/>
  </r>
  <r>
    <s v="b187ac76-4367-49b1-8c71-afb04eadbc52"/>
    <n v="57"/>
    <s v="Male"/>
    <s v="Premium"/>
    <n v="0.55000000000000004"/>
    <x v="15"/>
    <x v="3"/>
    <x v="3"/>
    <n v="17.989999999999998"/>
    <n v="1"/>
    <n v="17.989999999999998"/>
    <x v="4"/>
    <n v="5"/>
    <n v="0.01"/>
    <s v="Sci-Fi"/>
  </r>
  <r>
    <s v="de1c3060-c7e2-4ddb-b67d-6c80b0cc9f9b"/>
    <n v="47"/>
    <s v="Female"/>
    <s v="Basic"/>
    <n v="0.46"/>
    <x v="30"/>
    <x v="2"/>
    <x v="0"/>
    <n v="8.99"/>
    <n v="1"/>
    <n v="8.99"/>
    <x v="4"/>
    <n v="1"/>
    <n v="0.23"/>
    <s v="Comedy"/>
  </r>
  <r>
    <s v="b1255159-1199-4d92-925d-2bd1d66f27a8"/>
    <n v="46"/>
    <s v="Male"/>
    <s v="Standard"/>
    <n v="6.19"/>
    <x v="57"/>
    <x v="1"/>
    <x v="2"/>
    <n v="13.99"/>
    <n v="1"/>
    <n v="13.99"/>
    <x v="0"/>
    <n v="3"/>
    <n v="0.1"/>
    <s v="Horror"/>
  </r>
  <r>
    <s v="e68dd843-5ad0-4f96-a114-fecf95b5f4d6"/>
    <n v="47"/>
    <s v="Other"/>
    <s v="Premium"/>
    <n v="1.03"/>
    <x v="10"/>
    <x v="5"/>
    <x v="4"/>
    <n v="17.989999999999998"/>
    <n v="1"/>
    <n v="17.989999999999998"/>
    <x v="1"/>
    <n v="5"/>
    <n v="0.03"/>
    <s v="Comedy"/>
  </r>
  <r>
    <s v="f9506e2a-6a22-4945-bb7b-0719c94e9258"/>
    <n v="23"/>
    <s v="Other"/>
    <s v="Standard"/>
    <n v="17.54"/>
    <x v="15"/>
    <x v="2"/>
    <x v="2"/>
    <n v="13.99"/>
    <n v="1"/>
    <n v="13.99"/>
    <x v="0"/>
    <n v="5"/>
    <n v="0.43"/>
    <s v="Drama"/>
  </r>
  <r>
    <s v="2779629f-a22b-448b-afe0-e9dedee50eff"/>
    <n v="68"/>
    <s v="Female"/>
    <s v="Basic"/>
    <n v="9.8800000000000008"/>
    <x v="20"/>
    <x v="0"/>
    <x v="3"/>
    <n v="8.99"/>
    <n v="0"/>
    <n v="0"/>
    <x v="0"/>
    <n v="3"/>
    <n v="0.52"/>
    <s v="Action"/>
  </r>
  <r>
    <s v="fbb0e169-5635-4785-8c4c-d8aca6bc724d"/>
    <n v="19"/>
    <s v="Male"/>
    <s v="Standard"/>
    <n v="13.21"/>
    <x v="43"/>
    <x v="4"/>
    <x v="1"/>
    <n v="13.99"/>
    <n v="1"/>
    <n v="13.99"/>
    <x v="4"/>
    <n v="2"/>
    <n v="0.41"/>
    <s v="Action"/>
  </r>
  <r>
    <s v="a4e333cf-cc94-4387-ad6a-c182ab9a943a"/>
    <n v="69"/>
    <s v="Male"/>
    <s v="Basic"/>
    <n v="6.46"/>
    <x v="52"/>
    <x v="1"/>
    <x v="1"/>
    <n v="8.99"/>
    <n v="1"/>
    <n v="8.99"/>
    <x v="2"/>
    <n v="3"/>
    <n v="0.13"/>
    <s v="Documentary"/>
  </r>
  <r>
    <s v="fb521689-6488-481f-b8eb-bacbf056f385"/>
    <n v="29"/>
    <s v="Male"/>
    <s v="Standard"/>
    <n v="11.42"/>
    <x v="27"/>
    <x v="5"/>
    <x v="0"/>
    <n v="13.99"/>
    <n v="0"/>
    <n v="0"/>
    <x v="3"/>
    <n v="5"/>
    <n v="0.67"/>
    <s v="Comedy"/>
  </r>
  <r>
    <s v="5a65a314-97bb-4893-b479-fe03c3e20276"/>
    <n v="36"/>
    <s v="Female"/>
    <s v="Premium"/>
    <n v="71.41"/>
    <x v="57"/>
    <x v="4"/>
    <x v="3"/>
    <n v="17.989999999999998"/>
    <n v="0"/>
    <n v="0"/>
    <x v="2"/>
    <n v="1"/>
    <n v="1.17"/>
    <s v="Action"/>
  </r>
  <r>
    <s v="36fdcf0e-96a0-4a84-80e5-92931c07651c"/>
    <n v="38"/>
    <s v="Other"/>
    <s v="Standard"/>
    <n v="1.24"/>
    <x v="22"/>
    <x v="1"/>
    <x v="0"/>
    <n v="13.99"/>
    <n v="1"/>
    <n v="13.99"/>
    <x v="4"/>
    <n v="5"/>
    <n v="0.02"/>
    <s v="Horror"/>
  </r>
  <r>
    <s v="d31f19b8-7add-4867-9aee-a9987c498e9d"/>
    <n v="38"/>
    <s v="Male"/>
    <s v="Standard"/>
    <n v="10.71"/>
    <x v="6"/>
    <x v="2"/>
    <x v="1"/>
    <n v="13.99"/>
    <n v="0"/>
    <n v="0"/>
    <x v="2"/>
    <n v="3"/>
    <n v="0.51"/>
    <s v="Documentary"/>
  </r>
  <r>
    <s v="9e12b8bd-a9c9-4bfe-a09d-7df603c13f52"/>
    <n v="67"/>
    <s v="Other"/>
    <s v="Basic"/>
    <n v="15.16"/>
    <x v="46"/>
    <x v="2"/>
    <x v="3"/>
    <n v="8.99"/>
    <n v="0"/>
    <n v="0"/>
    <x v="2"/>
    <n v="5"/>
    <n v="5.05"/>
    <s v="Romance"/>
  </r>
  <r>
    <s v="8c9f805b-1cea-4395-904e-7a5a310e9234"/>
    <n v="31"/>
    <s v="Other"/>
    <s v="Standard"/>
    <n v="10.199999999999999"/>
    <x v="20"/>
    <x v="2"/>
    <x v="3"/>
    <n v="13.99"/>
    <n v="0"/>
    <n v="0"/>
    <x v="0"/>
    <n v="5"/>
    <n v="0.54"/>
    <s v="Comedy"/>
  </r>
  <r>
    <s v="48f3d126-2b72-47ce-a88c-125dbfcea2f6"/>
    <n v="53"/>
    <s v="Female"/>
    <s v="Standard"/>
    <n v="5.54"/>
    <x v="15"/>
    <x v="4"/>
    <x v="1"/>
    <n v="13.99"/>
    <n v="1"/>
    <n v="13.99"/>
    <x v="1"/>
    <n v="3"/>
    <n v="0.14000000000000001"/>
    <s v="Horror"/>
  </r>
  <r>
    <s v="ee80ddff-0534-48ba-a952-aa9e70933650"/>
    <n v="44"/>
    <s v="Other"/>
    <s v="Standard"/>
    <n v="1.1200000000000001"/>
    <x v="37"/>
    <x v="1"/>
    <x v="0"/>
    <n v="13.99"/>
    <n v="1"/>
    <n v="13.99"/>
    <x v="0"/>
    <n v="2"/>
    <n v="0.04"/>
    <s v="Documentary"/>
  </r>
  <r>
    <s v="6f90adfd-ddf0-49e9-ac0b-7833fad27958"/>
    <n v="20"/>
    <s v="Other"/>
    <s v="Standard"/>
    <n v="0.79"/>
    <x v="11"/>
    <x v="4"/>
    <x v="4"/>
    <n v="13.99"/>
    <n v="0"/>
    <n v="0"/>
    <x v="3"/>
    <n v="4"/>
    <n v="0.03"/>
    <s v="Drama"/>
  </r>
  <r>
    <s v="fdbb7c09-86b4-4a59-9772-021f06656aae"/>
    <n v="22"/>
    <s v="Male"/>
    <s v="Basic"/>
    <n v="23.81"/>
    <x v="11"/>
    <x v="0"/>
    <x v="3"/>
    <n v="8.99"/>
    <n v="0"/>
    <n v="0"/>
    <x v="3"/>
    <n v="1"/>
    <n v="0.99"/>
    <s v="Comedy"/>
  </r>
  <r>
    <s v="5fd18efb-f1b5-4ecb-a506-7884ac990fcc"/>
    <n v="69"/>
    <s v="Other"/>
    <s v="Premium"/>
    <n v="25.85"/>
    <x v="31"/>
    <x v="0"/>
    <x v="0"/>
    <n v="17.989999999999998"/>
    <n v="0"/>
    <n v="0"/>
    <x v="2"/>
    <n v="3"/>
    <n v="1.62"/>
    <s v="Comedy"/>
  </r>
  <r>
    <s v="7106a199-919c-4dca-bcdd-50de7516208c"/>
    <n v="29"/>
    <s v="Other"/>
    <s v="Basic"/>
    <n v="9.08"/>
    <x v="36"/>
    <x v="2"/>
    <x v="1"/>
    <n v="8.99"/>
    <n v="1"/>
    <n v="8.99"/>
    <x v="0"/>
    <n v="5"/>
    <n v="0.23"/>
    <s v="Horror"/>
  </r>
  <r>
    <s v="d2ca8f35-33de-41f7-900d-d56232be43e2"/>
    <n v="65"/>
    <s v="Other"/>
    <s v="Standard"/>
    <n v="4.68"/>
    <x v="17"/>
    <x v="2"/>
    <x v="0"/>
    <n v="13.99"/>
    <n v="0"/>
    <n v="0"/>
    <x v="0"/>
    <n v="1"/>
    <n v="0.94"/>
    <s v="Drama"/>
  </r>
  <r>
    <s v="a8a06958-f065-4125-ad8c-1d43312e8635"/>
    <n v="40"/>
    <s v="Male"/>
    <s v="Premium"/>
    <n v="0.88"/>
    <x v="30"/>
    <x v="1"/>
    <x v="1"/>
    <n v="17.989999999999998"/>
    <n v="0"/>
    <n v="0"/>
    <x v="4"/>
    <n v="2"/>
    <n v="0.44"/>
    <s v="Sci-Fi"/>
  </r>
  <r>
    <s v="8766bf34-0235-4bad-b3d3-4d855393ec68"/>
    <n v="44"/>
    <s v="Male"/>
    <s v="Basic"/>
    <n v="3.32"/>
    <x v="27"/>
    <x v="4"/>
    <x v="3"/>
    <n v="8.99"/>
    <n v="1"/>
    <n v="8.99"/>
    <x v="0"/>
    <n v="4"/>
    <n v="0.2"/>
    <s v="Documentary"/>
  </r>
  <r>
    <s v="376a8158-1184-4952-ad53-914e27bc8d2e"/>
    <n v="21"/>
    <s v="Female"/>
    <s v="Premium"/>
    <n v="4.07"/>
    <x v="7"/>
    <x v="4"/>
    <x v="3"/>
    <n v="17.989999999999998"/>
    <n v="1"/>
    <n v="17.989999999999998"/>
    <x v="4"/>
    <n v="4"/>
    <n v="7.0000000000000007E-2"/>
    <s v="Action"/>
  </r>
  <r>
    <s v="6a551fc0-60a5-483f-a823-de6ecf0ed3fc"/>
    <n v="50"/>
    <s v="Female"/>
    <s v="Basic"/>
    <n v="11.25"/>
    <x v="4"/>
    <x v="2"/>
    <x v="0"/>
    <n v="8.99"/>
    <n v="0"/>
    <n v="0"/>
    <x v="1"/>
    <n v="4"/>
    <n v="0.8"/>
    <s v="Sci-Fi"/>
  </r>
  <r>
    <s v="316b13ff-974f-46ee-a535-0eb0d54dbf08"/>
    <n v="69"/>
    <s v="Other"/>
    <s v="Standard"/>
    <n v="6.46"/>
    <x v="27"/>
    <x v="3"/>
    <x v="0"/>
    <n v="13.99"/>
    <n v="0"/>
    <n v="0"/>
    <x v="2"/>
    <n v="2"/>
    <n v="0.38"/>
    <s v="Drama"/>
  </r>
  <r>
    <s v="9a579630-34ed-41af-9605-6d16463f51a3"/>
    <n v="31"/>
    <s v="Male"/>
    <s v="Basic"/>
    <n v="4.83"/>
    <x v="31"/>
    <x v="1"/>
    <x v="2"/>
    <n v="8.99"/>
    <n v="1"/>
    <n v="8.99"/>
    <x v="4"/>
    <n v="4"/>
    <n v="0.3"/>
    <s v="Horror"/>
  </r>
  <r>
    <s v="99d26b54-a532-497d-891a-457988b8a000"/>
    <n v="66"/>
    <s v="Other"/>
    <s v="Premium"/>
    <n v="0.27"/>
    <x v="55"/>
    <x v="5"/>
    <x v="4"/>
    <n v="17.989999999999998"/>
    <n v="1"/>
    <n v="17.989999999999998"/>
    <x v="0"/>
    <n v="2"/>
    <n v="0"/>
    <s v="Documentary"/>
  </r>
  <r>
    <s v="b75b9ecb-d8bf-486e-a896-153a2039cc85"/>
    <n v="64"/>
    <s v="Female"/>
    <s v="Premium"/>
    <n v="22.59"/>
    <x v="37"/>
    <x v="4"/>
    <x v="0"/>
    <n v="17.989999999999998"/>
    <n v="0"/>
    <n v="0"/>
    <x v="4"/>
    <n v="4"/>
    <n v="0.9"/>
    <s v="Romance"/>
  </r>
  <r>
    <s v="c6aa9949-ba46-4793-8045-c6c9f528801d"/>
    <n v="69"/>
    <s v="Other"/>
    <s v="Premium"/>
    <n v="13.4"/>
    <x v="40"/>
    <x v="5"/>
    <x v="2"/>
    <n v="17.989999999999998"/>
    <n v="0"/>
    <n v="0"/>
    <x v="2"/>
    <n v="3"/>
    <n v="1.1200000000000001"/>
    <s v="Comedy"/>
  </r>
  <r>
    <s v="f0d16cce-516b-4b52-b541-146fa115d382"/>
    <n v="47"/>
    <s v="Other"/>
    <s v="Standard"/>
    <n v="6.85"/>
    <x v="46"/>
    <x v="5"/>
    <x v="1"/>
    <n v="13.99"/>
    <n v="0"/>
    <n v="0"/>
    <x v="0"/>
    <n v="3"/>
    <n v="2.2799999999999998"/>
    <s v="Romance"/>
  </r>
  <r>
    <s v="26028d11-a0cb-4305-89a4-f481f1dcc51e"/>
    <n v="70"/>
    <s v="Male"/>
    <s v="Standard"/>
    <n v="4.17"/>
    <x v="10"/>
    <x v="4"/>
    <x v="4"/>
    <n v="13.99"/>
    <n v="1"/>
    <n v="13.99"/>
    <x v="3"/>
    <n v="1"/>
    <n v="0.11"/>
    <s v="Sci-Fi"/>
  </r>
  <r>
    <s v="866d76de-f261-47fd-a76b-04d26f4354cd"/>
    <n v="44"/>
    <s v="Male"/>
    <s v="Standard"/>
    <n v="29.87"/>
    <x v="21"/>
    <x v="0"/>
    <x v="1"/>
    <n v="13.99"/>
    <n v="0"/>
    <n v="0"/>
    <x v="0"/>
    <n v="3"/>
    <n v="4.2699999999999996"/>
    <s v="Drama"/>
  </r>
  <r>
    <s v="d20f17d4-829d-452f-8b9c-28b86a17ba70"/>
    <n v="67"/>
    <s v="Female"/>
    <s v="Standard"/>
    <n v="1.63"/>
    <x v="56"/>
    <x v="5"/>
    <x v="1"/>
    <n v="13.99"/>
    <n v="1"/>
    <n v="13.99"/>
    <x v="0"/>
    <n v="3"/>
    <n v="0.03"/>
    <s v="Documentary"/>
  </r>
  <r>
    <s v="d28c2ac2-60ec-4630-b868-74ac7e722cf0"/>
    <n v="66"/>
    <s v="Other"/>
    <s v="Standard"/>
    <n v="20.65"/>
    <x v="56"/>
    <x v="5"/>
    <x v="3"/>
    <n v="13.99"/>
    <n v="0"/>
    <n v="0"/>
    <x v="3"/>
    <n v="4"/>
    <n v="0.35"/>
    <s v="Documentary"/>
  </r>
  <r>
    <s v="51159c3c-65bd-4e2f-be01-7b65fec7cc64"/>
    <n v="57"/>
    <s v="Male"/>
    <s v="Premium"/>
    <n v="11.09"/>
    <x v="49"/>
    <x v="3"/>
    <x v="1"/>
    <n v="17.989999999999998"/>
    <n v="0"/>
    <n v="0"/>
    <x v="0"/>
    <n v="3"/>
    <n v="1.1100000000000001"/>
    <s v="Romance"/>
  </r>
  <r>
    <s v="5ae85ada-ce4a-4e43-9055-cba17bc8e5e9"/>
    <n v="53"/>
    <s v="Female"/>
    <s v="Premium"/>
    <n v="5.65"/>
    <x v="37"/>
    <x v="2"/>
    <x v="4"/>
    <n v="17.989999999999998"/>
    <n v="0"/>
    <n v="0"/>
    <x v="4"/>
    <n v="2"/>
    <n v="0.23"/>
    <s v="Sci-Fi"/>
  </r>
  <r>
    <s v="ac609128-c66e-4721-84fe-5bc8669abe15"/>
    <n v="67"/>
    <s v="Male"/>
    <s v="Basic"/>
    <n v="17.440000000000001"/>
    <x v="47"/>
    <x v="4"/>
    <x v="2"/>
    <n v="8.99"/>
    <n v="0"/>
    <n v="0"/>
    <x v="4"/>
    <n v="3"/>
    <n v="4.3600000000000003"/>
    <s v="Romance"/>
  </r>
  <r>
    <s v="8a796eb5-411e-4659-8712-f55009816c45"/>
    <n v="35"/>
    <s v="Male"/>
    <s v="Standard"/>
    <n v="3.65"/>
    <x v="53"/>
    <x v="5"/>
    <x v="4"/>
    <n v="13.99"/>
    <n v="1"/>
    <n v="13.99"/>
    <x v="2"/>
    <n v="1"/>
    <n v="0.08"/>
    <s v="Drama"/>
  </r>
  <r>
    <s v="c9178b03-a423-4479-8770-a7799b9f3714"/>
    <n v="63"/>
    <s v="Female"/>
    <s v="Standard"/>
    <n v="1.66"/>
    <x v="25"/>
    <x v="1"/>
    <x v="3"/>
    <n v="13.99"/>
    <n v="0"/>
    <n v="0"/>
    <x v="1"/>
    <n v="1"/>
    <n v="1.66"/>
    <s v="Comedy"/>
  </r>
  <r>
    <s v="0e194852-0ef1-49eb-ace7-3995062e3482"/>
    <n v="53"/>
    <s v="Female"/>
    <s v="Basic"/>
    <n v="2.6"/>
    <x v="44"/>
    <x v="1"/>
    <x v="3"/>
    <n v="8.99"/>
    <n v="1"/>
    <n v="8.99"/>
    <x v="0"/>
    <n v="5"/>
    <n v="0.06"/>
    <s v="Sci-Fi"/>
  </r>
  <r>
    <s v="8045a861-a968-4b58-89c6-dc15c6fd41e8"/>
    <n v="24"/>
    <s v="Female"/>
    <s v="Premium"/>
    <n v="2.48"/>
    <x v="1"/>
    <x v="5"/>
    <x v="1"/>
    <n v="17.989999999999998"/>
    <n v="1"/>
    <n v="17.989999999999998"/>
    <x v="2"/>
    <n v="2"/>
    <n v="0.12"/>
    <s v="Sci-Fi"/>
  </r>
  <r>
    <s v="ea08302a-40c0-4e80-a0f6-0d4de8353a19"/>
    <n v="28"/>
    <s v="Other"/>
    <s v="Basic"/>
    <n v="22.74"/>
    <x v="54"/>
    <x v="4"/>
    <x v="0"/>
    <n v="8.99"/>
    <n v="0"/>
    <n v="0"/>
    <x v="0"/>
    <n v="1"/>
    <n v="0.78"/>
    <s v="Sci-Fi"/>
  </r>
  <r>
    <s v="3f98db89-eb95-4beb-9376-cb7e68d988cc"/>
    <n v="69"/>
    <s v="Male"/>
    <s v="Premium"/>
    <n v="27.12"/>
    <x v="47"/>
    <x v="2"/>
    <x v="0"/>
    <n v="17.989999999999998"/>
    <n v="0"/>
    <n v="0"/>
    <x v="4"/>
    <n v="5"/>
    <n v="6.78"/>
    <s v="Drama"/>
  </r>
  <r>
    <s v="44e5ebf4-9957-4c99-addf-0966df3b2db4"/>
    <n v="58"/>
    <s v="Female"/>
    <s v="Basic"/>
    <n v="5.87"/>
    <x v="42"/>
    <x v="1"/>
    <x v="0"/>
    <n v="8.99"/>
    <n v="1"/>
    <n v="8.99"/>
    <x v="3"/>
    <n v="5"/>
    <n v="0.15"/>
    <s v="Sci-Fi"/>
  </r>
  <r>
    <s v="3ef7aba6-d2db-4bf8-9700-8eaa5f286afe"/>
    <n v="50"/>
    <s v="Other"/>
    <s v="Basic"/>
    <n v="8.9700000000000006"/>
    <x v="7"/>
    <x v="2"/>
    <x v="2"/>
    <n v="8.99"/>
    <n v="1"/>
    <n v="8.99"/>
    <x v="4"/>
    <n v="4"/>
    <n v="0.16"/>
    <s v="Comedy"/>
  </r>
  <r>
    <s v="3386b0b9-c2dd-4bc0-aa2f-87fbd712d354"/>
    <n v="24"/>
    <s v="Female"/>
    <s v="Basic"/>
    <n v="3.74"/>
    <x v="10"/>
    <x v="0"/>
    <x v="2"/>
    <n v="8.99"/>
    <n v="1"/>
    <n v="8.99"/>
    <x v="2"/>
    <n v="4"/>
    <n v="0.1"/>
    <s v="Drama"/>
  </r>
  <r>
    <s v="8b113aca-3087-4316-b980-6925a693dc6e"/>
    <n v="60"/>
    <s v="Male"/>
    <s v="Standard"/>
    <n v="1.38"/>
    <x v="45"/>
    <x v="0"/>
    <x v="2"/>
    <n v="13.99"/>
    <n v="1"/>
    <n v="13.99"/>
    <x v="2"/>
    <n v="3"/>
    <n v="0.03"/>
    <s v="Drama"/>
  </r>
  <r>
    <s v="ac6e7c60-12d5-49f7-927e-a32412e81b93"/>
    <n v="52"/>
    <s v="Other"/>
    <s v="Basic"/>
    <n v="8.9"/>
    <x v="11"/>
    <x v="2"/>
    <x v="1"/>
    <n v="8.99"/>
    <n v="1"/>
    <n v="8.99"/>
    <x v="3"/>
    <n v="1"/>
    <n v="0.37"/>
    <s v="Comedy"/>
  </r>
  <r>
    <s v="0566c602-68e3-47c4-baab-f9dd4db9dbea"/>
    <n v="70"/>
    <s v="Other"/>
    <s v="Standard"/>
    <n v="6.76"/>
    <x v="45"/>
    <x v="2"/>
    <x v="4"/>
    <n v="13.99"/>
    <n v="1"/>
    <n v="13.99"/>
    <x v="1"/>
    <n v="2"/>
    <n v="0.16"/>
    <s v="Horror"/>
  </r>
  <r>
    <s v="d5146e9c-493c-4165-a588-0340f585331c"/>
    <n v="24"/>
    <s v="Female"/>
    <s v="Basic"/>
    <n v="5.25"/>
    <x v="54"/>
    <x v="2"/>
    <x v="2"/>
    <n v="8.99"/>
    <n v="0"/>
    <n v="0"/>
    <x v="0"/>
    <n v="4"/>
    <n v="0.18"/>
    <s v="Comedy"/>
  </r>
  <r>
    <s v="d3a4252b-a64c-4b21-99c8-fa78272e30c8"/>
    <n v="40"/>
    <s v="Male"/>
    <s v="Standard"/>
    <n v="4.09"/>
    <x v="42"/>
    <x v="5"/>
    <x v="1"/>
    <n v="13.99"/>
    <n v="1"/>
    <n v="13.99"/>
    <x v="0"/>
    <n v="2"/>
    <n v="0.11"/>
    <s v="Sci-Fi"/>
  </r>
  <r>
    <s v="431c392c-36ca-4def-955a-566f02823c23"/>
    <n v="28"/>
    <s v="Other"/>
    <s v="Basic"/>
    <n v="13.38"/>
    <x v="11"/>
    <x v="5"/>
    <x v="0"/>
    <n v="8.99"/>
    <n v="0"/>
    <n v="0"/>
    <x v="0"/>
    <n v="1"/>
    <n v="0.56000000000000005"/>
    <s v="Sci-Fi"/>
  </r>
  <r>
    <s v="08cc1c3f-bd03-470e-9ee5-f6206ef8f0ea"/>
    <n v="36"/>
    <s v="Other"/>
    <s v="Premium"/>
    <n v="5.79"/>
    <x v="38"/>
    <x v="5"/>
    <x v="2"/>
    <n v="17.989999999999998"/>
    <n v="0"/>
    <n v="0"/>
    <x v="0"/>
    <n v="3"/>
    <n v="0.26"/>
    <s v="Horror"/>
  </r>
  <r>
    <s v="4875bcbf-cc55-419a-8d9d-cec963f0dc03"/>
    <n v="39"/>
    <s v="Male"/>
    <s v="Standard"/>
    <n v="4.1900000000000004"/>
    <x v="58"/>
    <x v="1"/>
    <x v="2"/>
    <n v="13.99"/>
    <n v="1"/>
    <n v="13.99"/>
    <x v="1"/>
    <n v="2"/>
    <n v="0.09"/>
    <s v="Horror"/>
  </r>
  <r>
    <s v="57ffc492-dcb6-416b-a4f3-7109014eb262"/>
    <n v="26"/>
    <s v="Female"/>
    <s v="Premium"/>
    <n v="3.87"/>
    <x v="29"/>
    <x v="2"/>
    <x v="0"/>
    <n v="17.989999999999998"/>
    <n v="1"/>
    <n v="17.989999999999998"/>
    <x v="0"/>
    <n v="2"/>
    <n v="0.08"/>
    <s v="Documentary"/>
  </r>
  <r>
    <s v="ecbbc218-4c84-4f64-bb43-ea339a091b4b"/>
    <n v="25"/>
    <s v="Female"/>
    <s v="Premium"/>
    <n v="6.49"/>
    <x v="32"/>
    <x v="5"/>
    <x v="4"/>
    <n v="17.989999999999998"/>
    <n v="0"/>
    <n v="0"/>
    <x v="4"/>
    <n v="1"/>
    <n v="0.43"/>
    <s v="Drama"/>
  </r>
  <r>
    <s v="e8f09351-f30e-4e46-9128-fd3307db7769"/>
    <n v="21"/>
    <s v="Male"/>
    <s v="Standard"/>
    <n v="1.02"/>
    <x v="11"/>
    <x v="2"/>
    <x v="4"/>
    <n v="13.99"/>
    <n v="1"/>
    <n v="13.99"/>
    <x v="3"/>
    <n v="3"/>
    <n v="0.04"/>
    <s v="Documentary"/>
  </r>
  <r>
    <s v="c0687495-cb7e-4949-b63f-9532608d32f6"/>
    <n v="46"/>
    <s v="Male"/>
    <s v="Basic"/>
    <n v="9.09"/>
    <x v="57"/>
    <x v="4"/>
    <x v="3"/>
    <n v="8.99"/>
    <n v="1"/>
    <n v="8.99"/>
    <x v="0"/>
    <n v="1"/>
    <n v="0.15"/>
    <s v="Action"/>
  </r>
  <r>
    <s v="24fae6e6-0303-46ef-835f-1123d6500129"/>
    <n v="45"/>
    <s v="Female"/>
    <s v="Premium"/>
    <n v="3.45"/>
    <x v="35"/>
    <x v="4"/>
    <x v="4"/>
    <n v="17.989999999999998"/>
    <n v="1"/>
    <n v="17.989999999999998"/>
    <x v="1"/>
    <n v="3"/>
    <n v="0.08"/>
    <s v="Action"/>
  </r>
  <r>
    <s v="c19ffda9-ff61-4dcc-83a6-1c12abf91b0f"/>
    <n v="54"/>
    <s v="Female"/>
    <s v="Standard"/>
    <n v="10.91"/>
    <x v="42"/>
    <x v="4"/>
    <x v="4"/>
    <n v="13.99"/>
    <n v="0"/>
    <n v="0"/>
    <x v="3"/>
    <n v="5"/>
    <n v="0.28999999999999998"/>
    <s v="Documentary"/>
  </r>
  <r>
    <s v="22d0434e-3d72-42d0-a21d-0815d6fed80d"/>
    <n v="60"/>
    <s v="Other"/>
    <s v="Basic"/>
    <n v="8.89"/>
    <x v="11"/>
    <x v="1"/>
    <x v="0"/>
    <n v="8.99"/>
    <n v="1"/>
    <n v="8.99"/>
    <x v="1"/>
    <n v="3"/>
    <n v="0.37"/>
    <s v="Romance"/>
  </r>
  <r>
    <s v="815bed6b-02ad-465b-9f68-c07c508524ce"/>
    <n v="39"/>
    <s v="Other"/>
    <s v="Basic"/>
    <n v="9.9600000000000009"/>
    <x v="39"/>
    <x v="4"/>
    <x v="4"/>
    <n v="8.99"/>
    <n v="0"/>
    <n v="0"/>
    <x v="0"/>
    <n v="5"/>
    <n v="0.43"/>
    <s v="Drama"/>
  </r>
  <r>
    <s v="e9063abe-14f1-4a30-ac69-04109b0bd3a6"/>
    <n v="34"/>
    <s v="Male"/>
    <s v="Basic"/>
    <n v="0.35"/>
    <x v="18"/>
    <x v="2"/>
    <x v="0"/>
    <n v="8.99"/>
    <n v="1"/>
    <n v="8.99"/>
    <x v="0"/>
    <n v="1"/>
    <n v="0.01"/>
    <s v="Comedy"/>
  </r>
  <r>
    <s v="bc6d4f0a-746b-4b43-b1a9-9a39dac02d85"/>
    <n v="52"/>
    <s v="Other"/>
    <s v="Basic"/>
    <n v="10.08"/>
    <x v="44"/>
    <x v="3"/>
    <x v="2"/>
    <n v="8.99"/>
    <n v="1"/>
    <n v="8.99"/>
    <x v="1"/>
    <n v="5"/>
    <n v="0.21"/>
    <s v="Sci-Fi"/>
  </r>
  <r>
    <s v="0d120f0a-8b1e-4a3f-8f4c-b9da5114d22e"/>
    <n v="19"/>
    <s v="Female"/>
    <s v="Premium"/>
    <n v="11.97"/>
    <x v="51"/>
    <x v="5"/>
    <x v="3"/>
    <n v="17.989999999999998"/>
    <n v="0"/>
    <n v="0"/>
    <x v="3"/>
    <n v="4"/>
    <n v="0.67"/>
    <s v="Action"/>
  </r>
  <r>
    <s v="4bb417fa-6c40-4649-a180-c6e5c6011565"/>
    <n v="21"/>
    <s v="Male"/>
    <s v="Standard"/>
    <n v="0.66"/>
    <x v="59"/>
    <x v="4"/>
    <x v="2"/>
    <n v="13.99"/>
    <n v="1"/>
    <n v="13.99"/>
    <x v="1"/>
    <n v="1"/>
    <n v="0.11"/>
    <s v="Horror"/>
  </r>
  <r>
    <s v="89c72886-d4cd-472c-82f4-82a56283ff8c"/>
    <n v="27"/>
    <s v="Male"/>
    <s v="Premium"/>
    <n v="1.04"/>
    <x v="5"/>
    <x v="5"/>
    <x v="2"/>
    <n v="17.989999999999998"/>
    <n v="0"/>
    <n v="0"/>
    <x v="3"/>
    <n v="4"/>
    <n v="0.04"/>
    <s v="Documentary"/>
  </r>
  <r>
    <s v="5cbe23ea-3cac-44b7-b6cb-e6ccd8e6224c"/>
    <n v="66"/>
    <s v="Male"/>
    <s v="Premium"/>
    <n v="18.23"/>
    <x v="10"/>
    <x v="4"/>
    <x v="0"/>
    <n v="17.989999999999998"/>
    <n v="1"/>
    <n v="17.989999999999998"/>
    <x v="3"/>
    <n v="2"/>
    <n v="0.47"/>
    <s v="Action"/>
  </r>
  <r>
    <s v="6c7a0786-5bbd-45a6-bf15-a8ca2018cb9f"/>
    <n v="35"/>
    <s v="Other"/>
    <s v="Premium"/>
    <n v="2.86"/>
    <x v="27"/>
    <x v="3"/>
    <x v="1"/>
    <n v="17.989999999999998"/>
    <n v="1"/>
    <n v="17.989999999999998"/>
    <x v="2"/>
    <n v="1"/>
    <n v="0.17"/>
    <s v="Comedy"/>
  </r>
  <r>
    <s v="524d67c4-a4d6-46c4-853a-a934c0ccfeea"/>
    <n v="35"/>
    <s v="Male"/>
    <s v="Standard"/>
    <n v="3.52"/>
    <x v="37"/>
    <x v="4"/>
    <x v="1"/>
    <n v="13.99"/>
    <n v="1"/>
    <n v="13.99"/>
    <x v="1"/>
    <n v="5"/>
    <n v="0.14000000000000001"/>
    <s v="Action"/>
  </r>
  <r>
    <s v="2eb3cff4-1b23-4d37-a3dd-71e3a5a0e463"/>
    <n v="52"/>
    <s v="Other"/>
    <s v="Basic"/>
    <n v="8.4499999999999993"/>
    <x v="56"/>
    <x v="3"/>
    <x v="0"/>
    <n v="8.99"/>
    <n v="1"/>
    <n v="8.99"/>
    <x v="3"/>
    <n v="3"/>
    <n v="0.14000000000000001"/>
    <s v="Documentary"/>
  </r>
  <r>
    <s v="57e4fad4-7fad-49ec-aa15-9e560b0fffae"/>
    <n v="57"/>
    <s v="Female"/>
    <s v="Premium"/>
    <n v="0.69"/>
    <x v="37"/>
    <x v="1"/>
    <x v="1"/>
    <n v="17.989999999999998"/>
    <n v="1"/>
    <n v="17.989999999999998"/>
    <x v="1"/>
    <n v="5"/>
    <n v="0.03"/>
    <s v="Sci-Fi"/>
  </r>
  <r>
    <s v="a9ffad05-0e54-445d-ad0d-a8a8da93f6c1"/>
    <n v="64"/>
    <s v="Other"/>
    <s v="Premium"/>
    <n v="6.26"/>
    <x v="27"/>
    <x v="5"/>
    <x v="1"/>
    <n v="17.989999999999998"/>
    <n v="0"/>
    <n v="0"/>
    <x v="2"/>
    <n v="5"/>
    <n v="0.37"/>
    <s v="Drama"/>
  </r>
  <r>
    <s v="1d6b8014-2fc0-431e-aa3e-4754e38b957d"/>
    <n v="31"/>
    <s v="Male"/>
    <s v="Basic"/>
    <n v="21.84"/>
    <x v="35"/>
    <x v="4"/>
    <x v="2"/>
    <n v="8.99"/>
    <n v="1"/>
    <n v="8.99"/>
    <x v="3"/>
    <n v="2"/>
    <n v="0.49"/>
    <s v="Documentary"/>
  </r>
  <r>
    <s v="73062adc-8195-4300-838c-e746775a3183"/>
    <n v="19"/>
    <s v="Female"/>
    <s v="Standard"/>
    <n v="35.54"/>
    <x v="56"/>
    <x v="1"/>
    <x v="0"/>
    <n v="13.99"/>
    <n v="0"/>
    <n v="0"/>
    <x v="2"/>
    <n v="5"/>
    <n v="0.6"/>
    <s v="Documentary"/>
  </r>
  <r>
    <s v="a20d885b-6335-48e3-bdd1-e4f60ebe2b61"/>
    <n v="36"/>
    <s v="Other"/>
    <s v="Premium"/>
    <n v="12.74"/>
    <x v="56"/>
    <x v="2"/>
    <x v="3"/>
    <n v="17.989999999999998"/>
    <n v="1"/>
    <n v="17.989999999999998"/>
    <x v="1"/>
    <n v="2"/>
    <n v="0.22"/>
    <s v="Drama"/>
  </r>
  <r>
    <s v="ec5c1648-1c9b-42ec-932f-3303d2f85fbf"/>
    <n v="31"/>
    <s v="Other"/>
    <s v="Basic"/>
    <n v="33.1"/>
    <x v="54"/>
    <x v="4"/>
    <x v="2"/>
    <n v="8.99"/>
    <n v="0"/>
    <n v="0"/>
    <x v="4"/>
    <n v="2"/>
    <n v="1.1399999999999999"/>
    <s v="Drama"/>
  </r>
  <r>
    <s v="992f57db-5fda-457c-84f3-deb78b71d38d"/>
    <n v="35"/>
    <s v="Other"/>
    <s v="Premium"/>
    <n v="14.56"/>
    <x v="29"/>
    <x v="3"/>
    <x v="0"/>
    <n v="17.989999999999998"/>
    <n v="1"/>
    <n v="17.989999999999998"/>
    <x v="1"/>
    <n v="3"/>
    <n v="0.32"/>
    <s v="Romance"/>
  </r>
  <r>
    <s v="dcea56c8-d72f-4f30-9afb-5b064d171f83"/>
    <n v="65"/>
    <s v="Male"/>
    <s v="Premium"/>
    <n v="6.14"/>
    <x v="56"/>
    <x v="2"/>
    <x v="3"/>
    <n v="17.989999999999998"/>
    <n v="0"/>
    <n v="0"/>
    <x v="2"/>
    <n v="4"/>
    <n v="0.1"/>
    <s v="Comedy"/>
  </r>
  <r>
    <s v="b91f25f0-5c8f-44e4-80ff-f3f3ed4eb2aa"/>
    <n v="66"/>
    <s v="Male"/>
    <s v="Standard"/>
    <n v="3.86"/>
    <x v="54"/>
    <x v="0"/>
    <x v="2"/>
    <n v="13.99"/>
    <n v="1"/>
    <n v="13.99"/>
    <x v="3"/>
    <n v="3"/>
    <n v="0.13"/>
    <s v="Sci-Fi"/>
  </r>
  <r>
    <s v="a2f7e258-4c9b-423f-b78f-23c8f482ef7e"/>
    <n v="36"/>
    <s v="Male"/>
    <s v="Basic"/>
    <n v="0.19"/>
    <x v="59"/>
    <x v="3"/>
    <x v="1"/>
    <n v="8.99"/>
    <n v="1"/>
    <n v="8.99"/>
    <x v="2"/>
    <n v="2"/>
    <n v="0.03"/>
    <s v="Sci-Fi"/>
  </r>
  <r>
    <s v="ded64a9a-2e56-4024-8a7e-81dc3e63e121"/>
    <n v="51"/>
    <s v="Other"/>
    <s v="Standard"/>
    <n v="2.68"/>
    <x v="26"/>
    <x v="2"/>
    <x v="2"/>
    <n v="13.99"/>
    <n v="1"/>
    <n v="13.99"/>
    <x v="1"/>
    <n v="3"/>
    <n v="0.05"/>
    <s v="Comedy"/>
  </r>
  <r>
    <s v="fe46b178-30b3-46cf-be44-cac1f583f76c"/>
    <n v="52"/>
    <s v="Female"/>
    <s v="Basic"/>
    <n v="20.8"/>
    <x v="12"/>
    <x v="1"/>
    <x v="0"/>
    <n v="8.99"/>
    <n v="0"/>
    <n v="0"/>
    <x v="4"/>
    <n v="2"/>
    <n v="0.61"/>
    <s v="Romance"/>
  </r>
  <r>
    <s v="f40f674e-adfa-4d99-bff1-f4742c94a88f"/>
    <n v="37"/>
    <s v="Male"/>
    <s v="Standard"/>
    <n v="20.47"/>
    <x v="45"/>
    <x v="4"/>
    <x v="2"/>
    <n v="13.99"/>
    <n v="0"/>
    <n v="0"/>
    <x v="3"/>
    <n v="3"/>
    <n v="0.49"/>
    <s v="Documentary"/>
  </r>
  <r>
    <s v="1c2f812e-ae76-46aa-ba56-e47b71e83832"/>
    <n v="28"/>
    <s v="Male"/>
    <s v="Standard"/>
    <n v="6.56"/>
    <x v="41"/>
    <x v="5"/>
    <x v="2"/>
    <n v="13.99"/>
    <n v="0"/>
    <n v="0"/>
    <x v="2"/>
    <n v="4"/>
    <n v="0.21"/>
    <s v="Sci-Fi"/>
  </r>
  <r>
    <s v="8c571858-a16e-42d9-b4f0-71986f50d67e"/>
    <n v="65"/>
    <s v="Female"/>
    <s v="Standard"/>
    <n v="18.34"/>
    <x v="26"/>
    <x v="1"/>
    <x v="1"/>
    <n v="13.99"/>
    <n v="1"/>
    <n v="13.99"/>
    <x v="2"/>
    <n v="1"/>
    <n v="0.37"/>
    <s v="Action"/>
  </r>
  <r>
    <s v="29152433-d03d-4d65-bc6a-a13f5319a1d4"/>
    <n v="44"/>
    <s v="Male"/>
    <s v="Basic"/>
    <n v="1.45"/>
    <x v="20"/>
    <x v="4"/>
    <x v="0"/>
    <n v="8.99"/>
    <n v="1"/>
    <n v="8.99"/>
    <x v="4"/>
    <n v="4"/>
    <n v="0.08"/>
    <s v="Horror"/>
  </r>
  <r>
    <s v="5eb87ccc-7ce2-4502-b08e-4329d8b2b0ab"/>
    <n v="52"/>
    <s v="Male"/>
    <s v="Standard"/>
    <n v="11.84"/>
    <x v="9"/>
    <x v="1"/>
    <x v="4"/>
    <n v="13.99"/>
    <n v="0"/>
    <n v="0"/>
    <x v="4"/>
    <n v="4"/>
    <n v="0.32"/>
    <s v="Horror"/>
  </r>
  <r>
    <s v="d292c5c2-afaa-4fa5-b935-feb18b9e3b50"/>
    <n v="40"/>
    <s v="Other"/>
    <s v="Basic"/>
    <n v="14.88"/>
    <x v="3"/>
    <x v="3"/>
    <x v="4"/>
    <n v="8.99"/>
    <n v="0"/>
    <n v="0"/>
    <x v="2"/>
    <n v="3"/>
    <n v="1.1399999999999999"/>
    <s v="Sci-Fi"/>
  </r>
  <r>
    <s v="268f87dd-8e50-4924-80b5-50821c1a67ed"/>
    <n v="35"/>
    <s v="Other"/>
    <s v="Standard"/>
    <n v="11.54"/>
    <x v="45"/>
    <x v="1"/>
    <x v="0"/>
    <n v="13.99"/>
    <n v="0"/>
    <n v="0"/>
    <x v="3"/>
    <n v="4"/>
    <n v="0.27"/>
    <s v="Comedy"/>
  </r>
  <r>
    <s v="88700df7-f82a-4264-9795-7dbce785fddd"/>
    <n v="21"/>
    <s v="Female"/>
    <s v="Standard"/>
    <n v="9.1300000000000008"/>
    <x v="13"/>
    <x v="0"/>
    <x v="2"/>
    <n v="13.99"/>
    <n v="0"/>
    <n v="0"/>
    <x v="2"/>
    <n v="1"/>
    <n v="1.1399999999999999"/>
    <s v="Drama"/>
  </r>
  <r>
    <s v="54f5cc09-4077-40dc-a4d7-f6fb71e80f17"/>
    <n v="36"/>
    <s v="Female"/>
    <s v="Premium"/>
    <n v="3.85"/>
    <x v="44"/>
    <x v="5"/>
    <x v="4"/>
    <n v="17.989999999999998"/>
    <n v="1"/>
    <n v="17.989999999999998"/>
    <x v="3"/>
    <n v="2"/>
    <n v="0.08"/>
    <s v="Horror"/>
  </r>
  <r>
    <s v="5440ff01-6874-4316-a8de-332c14096e93"/>
    <n v="35"/>
    <s v="Female"/>
    <s v="Premium"/>
    <n v="22.18"/>
    <x v="20"/>
    <x v="0"/>
    <x v="1"/>
    <n v="17.989999999999998"/>
    <n v="0"/>
    <n v="0"/>
    <x v="2"/>
    <n v="1"/>
    <n v="1.17"/>
    <s v="Comedy"/>
  </r>
  <r>
    <s v="9659348b-2121-44af-ba88-7d3c1e7f84a7"/>
    <n v="45"/>
    <s v="Male"/>
    <s v="Basic"/>
    <n v="3.05"/>
    <x v="55"/>
    <x v="5"/>
    <x v="4"/>
    <n v="8.99"/>
    <n v="1"/>
    <n v="8.99"/>
    <x v="4"/>
    <n v="1"/>
    <n v="0.05"/>
    <s v="Action"/>
  </r>
  <r>
    <s v="a16386a4-1670-4f10-828f-3ac3c2b798b5"/>
    <n v="51"/>
    <s v="Male"/>
    <s v="Standard"/>
    <n v="5.54"/>
    <x v="5"/>
    <x v="3"/>
    <x v="4"/>
    <n v="13.99"/>
    <n v="0"/>
    <n v="0"/>
    <x v="2"/>
    <n v="4"/>
    <n v="0.21"/>
    <s v="Documentary"/>
  </r>
  <r>
    <s v="b85a5deb-eba1-4241-a0c4-ad0cc05072b3"/>
    <n v="22"/>
    <s v="Male"/>
    <s v="Premium"/>
    <n v="37.119999999999997"/>
    <x v="9"/>
    <x v="1"/>
    <x v="3"/>
    <n v="17.989999999999998"/>
    <n v="0"/>
    <n v="0"/>
    <x v="2"/>
    <n v="2"/>
    <n v="1"/>
    <s v="Sci-Fi"/>
  </r>
  <r>
    <s v="f979c22f-3961-4834-9f65-00418173b159"/>
    <n v="59"/>
    <s v="Female"/>
    <s v="Basic"/>
    <n v="4.0599999999999996"/>
    <x v="49"/>
    <x v="0"/>
    <x v="2"/>
    <n v="8.99"/>
    <n v="1"/>
    <n v="8.99"/>
    <x v="0"/>
    <n v="5"/>
    <n v="0.41"/>
    <s v="Sci-Fi"/>
  </r>
  <r>
    <s v="2df5009f-ba10-43b8-a428-572544188b0a"/>
    <n v="68"/>
    <s v="Other"/>
    <s v="Standard"/>
    <n v="0.68"/>
    <x v="6"/>
    <x v="1"/>
    <x v="0"/>
    <n v="13.99"/>
    <n v="0"/>
    <n v="0"/>
    <x v="3"/>
    <n v="5"/>
    <n v="0.03"/>
    <s v="Comedy"/>
  </r>
  <r>
    <s v="dd3c1cea-8f2b-4191-ab60-ecf158741648"/>
    <n v="25"/>
    <s v="Other"/>
    <s v="Basic"/>
    <n v="13.34"/>
    <x v="52"/>
    <x v="0"/>
    <x v="3"/>
    <n v="8.99"/>
    <n v="1"/>
    <n v="8.99"/>
    <x v="4"/>
    <n v="1"/>
    <n v="0.27"/>
    <s v="Action"/>
  </r>
  <r>
    <s v="d3be3978-5f44-44c2-ba5c-5efda55c0788"/>
    <n v="68"/>
    <s v="Other"/>
    <s v="Premium"/>
    <n v="1.89"/>
    <x v="17"/>
    <x v="4"/>
    <x v="2"/>
    <n v="17.989999999999998"/>
    <n v="0"/>
    <n v="0"/>
    <x v="4"/>
    <n v="4"/>
    <n v="0.38"/>
    <s v="Documentary"/>
  </r>
  <r>
    <s v="915eb940-938f-4970-8bbf-9030603ae745"/>
    <n v="60"/>
    <s v="Other"/>
    <s v="Premium"/>
    <n v="2.79"/>
    <x v="49"/>
    <x v="0"/>
    <x v="3"/>
    <n v="17.989999999999998"/>
    <n v="0"/>
    <n v="0"/>
    <x v="3"/>
    <n v="5"/>
    <n v="0.28000000000000003"/>
    <s v="Horror"/>
  </r>
  <r>
    <s v="76d82511-a6f4-4f45-ba69-2717608c288f"/>
    <n v="65"/>
    <s v="Male"/>
    <s v="Standard"/>
    <n v="1"/>
    <x v="58"/>
    <x v="2"/>
    <x v="1"/>
    <n v="13.99"/>
    <n v="1"/>
    <n v="13.99"/>
    <x v="4"/>
    <n v="4"/>
    <n v="0.02"/>
    <s v="Sci-Fi"/>
  </r>
  <r>
    <s v="96dd615f-2a29-4b16-8c77-24d24cfccee9"/>
    <n v="28"/>
    <s v="Male"/>
    <s v="Premium"/>
    <n v="17.43"/>
    <x v="9"/>
    <x v="5"/>
    <x v="3"/>
    <n v="17.989999999999998"/>
    <n v="1"/>
    <n v="17.989999999999998"/>
    <x v="1"/>
    <n v="3"/>
    <n v="0.47"/>
    <s v="Drama"/>
  </r>
  <r>
    <s v="59c7d7a5-6a3b-4790-9380-f763a497e0fa"/>
    <n v="47"/>
    <s v="Other"/>
    <s v="Basic"/>
    <n v="8.3699999999999992"/>
    <x v="16"/>
    <x v="1"/>
    <x v="4"/>
    <n v="8.99"/>
    <n v="0"/>
    <n v="0"/>
    <x v="0"/>
    <n v="5"/>
    <n v="0.3"/>
    <s v="Comedy"/>
  </r>
  <r>
    <s v="980bdfc4-9915-4faf-807d-013d3b374fcd"/>
    <n v="64"/>
    <s v="Female"/>
    <s v="Standard"/>
    <n v="12.3"/>
    <x v="27"/>
    <x v="1"/>
    <x v="4"/>
    <n v="13.99"/>
    <n v="0"/>
    <n v="0"/>
    <x v="3"/>
    <n v="3"/>
    <n v="0.72"/>
    <s v="Comedy"/>
  </r>
  <r>
    <s v="1954befc-d7f8-4599-9ed6-70debad7d22f"/>
    <n v="30"/>
    <s v="Male"/>
    <s v="Standard"/>
    <n v="3.31"/>
    <x v="0"/>
    <x v="2"/>
    <x v="0"/>
    <n v="13.99"/>
    <n v="1"/>
    <n v="13.99"/>
    <x v="2"/>
    <n v="1"/>
    <n v="0.11"/>
    <s v="Documentary"/>
  </r>
  <r>
    <s v="454a2114-082e-4421-9edb-12f83e186686"/>
    <n v="27"/>
    <s v="Male"/>
    <s v="Standard"/>
    <n v="25.23"/>
    <x v="6"/>
    <x v="4"/>
    <x v="1"/>
    <n v="13.99"/>
    <n v="0"/>
    <n v="0"/>
    <x v="2"/>
    <n v="5"/>
    <n v="1.2"/>
    <s v="Drama"/>
  </r>
  <r>
    <s v="3ed1e81a-004f-4f9a-9c08-516cd36f8f79"/>
    <n v="57"/>
    <s v="Male"/>
    <s v="Standard"/>
    <n v="17.87"/>
    <x v="9"/>
    <x v="0"/>
    <x v="4"/>
    <n v="13.99"/>
    <n v="0"/>
    <n v="0"/>
    <x v="3"/>
    <n v="4"/>
    <n v="0.48"/>
    <s v="Action"/>
  </r>
  <r>
    <s v="4e1d4840-8dd1-44ec-8965-b46c39a19d9d"/>
    <n v="66"/>
    <s v="Female"/>
    <s v="Standard"/>
    <n v="3.01"/>
    <x v="17"/>
    <x v="0"/>
    <x v="4"/>
    <n v="13.99"/>
    <n v="0"/>
    <n v="0"/>
    <x v="4"/>
    <n v="2"/>
    <n v="0.6"/>
    <s v="Comedy"/>
  </r>
  <r>
    <s v="9efa65da-9012-443d-8e26-ec27937ea9d1"/>
    <n v="21"/>
    <s v="Other"/>
    <s v="Premium"/>
    <n v="13.63"/>
    <x v="47"/>
    <x v="2"/>
    <x v="2"/>
    <n v="17.989999999999998"/>
    <n v="0"/>
    <n v="0"/>
    <x v="1"/>
    <n v="1"/>
    <n v="3.41"/>
    <s v="Comedy"/>
  </r>
  <r>
    <s v="654257bf-3f17-4ffd-8a54-3410e94a9954"/>
    <n v="51"/>
    <s v="Male"/>
    <s v="Standard"/>
    <n v="18.53"/>
    <x v="41"/>
    <x v="3"/>
    <x v="0"/>
    <n v="13.99"/>
    <n v="0"/>
    <n v="0"/>
    <x v="4"/>
    <n v="3"/>
    <n v="0.6"/>
    <s v="Drama"/>
  </r>
  <r>
    <s v="a4d2a10a-b24e-4b17-8dc3-095c6a1a2b87"/>
    <n v="70"/>
    <s v="Male"/>
    <s v="Basic"/>
    <n v="1.35"/>
    <x v="44"/>
    <x v="3"/>
    <x v="1"/>
    <n v="8.99"/>
    <n v="1"/>
    <n v="8.99"/>
    <x v="0"/>
    <n v="5"/>
    <n v="0.03"/>
    <s v="Comedy"/>
  </r>
  <r>
    <s v="f57ae19e-fab1-45e4-9372-c2574a68aa43"/>
    <n v="22"/>
    <s v="Male"/>
    <s v="Premium"/>
    <n v="18.97"/>
    <x v="22"/>
    <x v="5"/>
    <x v="4"/>
    <n v="17.989999999999998"/>
    <n v="1"/>
    <n v="17.989999999999998"/>
    <x v="4"/>
    <n v="2"/>
    <n v="0.34"/>
    <s v="Romance"/>
  </r>
  <r>
    <s v="27e77aca-ad72-4a6b-bda0-c438d5aa92e9"/>
    <n v="29"/>
    <s v="Male"/>
    <s v="Standard"/>
    <n v="13.38"/>
    <x v="32"/>
    <x v="5"/>
    <x v="0"/>
    <n v="13.99"/>
    <n v="0"/>
    <n v="0"/>
    <x v="3"/>
    <n v="5"/>
    <n v="0.89"/>
    <s v="Horror"/>
  </r>
  <r>
    <s v="f3848a3d-1201-49b8-bb23-7cbc6a08368b"/>
    <n v="22"/>
    <s v="Other"/>
    <s v="Standard"/>
    <n v="25.13"/>
    <x v="30"/>
    <x v="0"/>
    <x v="3"/>
    <n v="13.99"/>
    <n v="0"/>
    <n v="0"/>
    <x v="0"/>
    <n v="2"/>
    <n v="12.56"/>
    <s v="Romance"/>
  </r>
  <r>
    <s v="8f35fbad-1939-4a3c-a811-bbe07ef61935"/>
    <n v="33"/>
    <s v="Female"/>
    <s v="Premium"/>
    <n v="0.44"/>
    <x v="51"/>
    <x v="5"/>
    <x v="1"/>
    <n v="17.989999999999998"/>
    <n v="1"/>
    <n v="17.989999999999998"/>
    <x v="1"/>
    <n v="4"/>
    <n v="0.02"/>
    <s v="Romance"/>
  </r>
  <r>
    <s v="89f9379b-bb79-4b69-bdc7-b09d9a1fa20c"/>
    <n v="56"/>
    <s v="Other"/>
    <s v="Premium"/>
    <n v="3.39"/>
    <x v="29"/>
    <x v="3"/>
    <x v="4"/>
    <n v="17.989999999999998"/>
    <n v="1"/>
    <n v="17.989999999999998"/>
    <x v="2"/>
    <n v="3"/>
    <n v="7.0000000000000007E-2"/>
    <s v="Drama"/>
  </r>
  <r>
    <s v="6138f11f-9232-4a82-bed6-c62b92161da7"/>
    <n v="21"/>
    <s v="Other"/>
    <s v="Basic"/>
    <n v="20.67"/>
    <x v="10"/>
    <x v="5"/>
    <x v="0"/>
    <n v="8.99"/>
    <n v="1"/>
    <n v="8.99"/>
    <x v="1"/>
    <n v="1"/>
    <n v="0.53"/>
    <s v="Comedy"/>
  </r>
  <r>
    <s v="355644db-e0bf-43b2-8be7-36a1205265c7"/>
    <n v="32"/>
    <s v="Male"/>
    <s v="Standard"/>
    <n v="2.91"/>
    <x v="4"/>
    <x v="0"/>
    <x v="4"/>
    <n v="13.99"/>
    <n v="1"/>
    <n v="13.99"/>
    <x v="1"/>
    <n v="2"/>
    <n v="0.21"/>
    <s v="Romance"/>
  </r>
  <r>
    <s v="86966fb9-ef7f-481f-a784-e39ac267b56f"/>
    <n v="22"/>
    <s v="Female"/>
    <s v="Standard"/>
    <n v="0.63"/>
    <x v="49"/>
    <x v="1"/>
    <x v="4"/>
    <n v="13.99"/>
    <n v="1"/>
    <n v="13.99"/>
    <x v="2"/>
    <n v="3"/>
    <n v="0.06"/>
    <s v="Action"/>
  </r>
  <r>
    <s v="94fc55c1-643c-481f-8545-a970f5e10703"/>
    <n v="26"/>
    <s v="Other"/>
    <s v="Basic"/>
    <n v="11.89"/>
    <x v="42"/>
    <x v="4"/>
    <x v="4"/>
    <n v="8.99"/>
    <n v="1"/>
    <n v="8.99"/>
    <x v="4"/>
    <n v="2"/>
    <n v="0.31"/>
    <s v="Romance"/>
  </r>
  <r>
    <s v="3eaad6f4-7f15-4c49-87d7-e05105c2eea3"/>
    <n v="63"/>
    <s v="Male"/>
    <s v="Premium"/>
    <n v="0.81"/>
    <x v="4"/>
    <x v="2"/>
    <x v="1"/>
    <n v="17.989999999999998"/>
    <n v="0"/>
    <n v="0"/>
    <x v="4"/>
    <n v="5"/>
    <n v="0.06"/>
    <s v="Romance"/>
  </r>
  <r>
    <s v="2a81ec64-9b95-44ac-9bbd-3e77e004436e"/>
    <n v="59"/>
    <s v="Male"/>
    <s v="Basic"/>
    <n v="7.32"/>
    <x v="24"/>
    <x v="1"/>
    <x v="2"/>
    <n v="8.99"/>
    <n v="1"/>
    <n v="8.99"/>
    <x v="3"/>
    <n v="3"/>
    <n v="0.14000000000000001"/>
    <s v="Romance"/>
  </r>
  <r>
    <s v="d4c626a2-6b6f-412f-b35f-453cc57a08b7"/>
    <n v="44"/>
    <s v="Other"/>
    <s v="Standard"/>
    <n v="14.26"/>
    <x v="6"/>
    <x v="5"/>
    <x v="2"/>
    <n v="13.99"/>
    <n v="0"/>
    <n v="0"/>
    <x v="3"/>
    <n v="1"/>
    <n v="0.68"/>
    <s v="Sci-Fi"/>
  </r>
  <r>
    <s v="7a65b354-9f0c-44fa-a680-0e9d3c87c73e"/>
    <n v="59"/>
    <s v="Female"/>
    <s v="Premium"/>
    <n v="1.7"/>
    <x v="50"/>
    <x v="3"/>
    <x v="0"/>
    <n v="17.989999999999998"/>
    <n v="1"/>
    <n v="17.989999999999998"/>
    <x v="1"/>
    <n v="3"/>
    <n v="0.03"/>
    <s v="Romance"/>
  </r>
  <r>
    <s v="88bacbc1-bb05-43ac-a090-35f31e6074d8"/>
    <n v="70"/>
    <s v="Male"/>
    <s v="Standard"/>
    <n v="29.3"/>
    <x v="23"/>
    <x v="2"/>
    <x v="2"/>
    <n v="13.99"/>
    <n v="0"/>
    <n v="0"/>
    <x v="3"/>
    <n v="3"/>
    <n v="0.54"/>
    <s v="Drama"/>
  </r>
  <r>
    <s v="8100db00-7b75-4069-93f5-cf74502a98c4"/>
    <n v="36"/>
    <s v="Other"/>
    <s v="Standard"/>
    <n v="15.58"/>
    <x v="19"/>
    <x v="5"/>
    <x v="1"/>
    <n v="13.99"/>
    <n v="0"/>
    <n v="0"/>
    <x v="4"/>
    <n v="4"/>
    <n v="0.35"/>
    <s v="Comedy"/>
  </r>
  <r>
    <s v="21205edc-2ffb-4dce-b6a4-13ad8a8450bf"/>
    <n v="53"/>
    <s v="Female"/>
    <s v="Standard"/>
    <n v="1.72"/>
    <x v="1"/>
    <x v="2"/>
    <x v="0"/>
    <n v="13.99"/>
    <n v="1"/>
    <n v="13.99"/>
    <x v="4"/>
    <n v="1"/>
    <n v="0.09"/>
    <s v="Horror"/>
  </r>
  <r>
    <s v="450b6e68-026e-4d1b-b9bb-597f2a9b1bdc"/>
    <n v="35"/>
    <s v="Other"/>
    <s v="Premium"/>
    <n v="14.46"/>
    <x v="35"/>
    <x v="5"/>
    <x v="4"/>
    <n v="17.989999999999998"/>
    <n v="1"/>
    <n v="17.989999999999998"/>
    <x v="2"/>
    <n v="1"/>
    <n v="0.32"/>
    <s v="Action"/>
  </r>
  <r>
    <s v="b266559f-da1e-48d0-a279-c7b37cdc5899"/>
    <n v="24"/>
    <s v="Male"/>
    <s v="Basic"/>
    <n v="5.91"/>
    <x v="33"/>
    <x v="3"/>
    <x v="2"/>
    <n v="8.99"/>
    <n v="1"/>
    <n v="8.99"/>
    <x v="3"/>
    <n v="1"/>
    <n v="0.23"/>
    <s v="Action"/>
  </r>
  <r>
    <s v="86765856-af6d-4291-8299-8ef70972a583"/>
    <n v="68"/>
    <s v="Other"/>
    <s v="Basic"/>
    <n v="6.53"/>
    <x v="21"/>
    <x v="1"/>
    <x v="2"/>
    <n v="8.99"/>
    <n v="0"/>
    <n v="0"/>
    <x v="3"/>
    <n v="4"/>
    <n v="0.93"/>
    <s v="Documentary"/>
  </r>
  <r>
    <s v="b76c94bc-af32-4a71-ae69-9a2c713cb696"/>
    <n v="40"/>
    <s v="Female"/>
    <s v="Standard"/>
    <n v="4.26"/>
    <x v="52"/>
    <x v="1"/>
    <x v="0"/>
    <n v="13.99"/>
    <n v="1"/>
    <n v="13.99"/>
    <x v="2"/>
    <n v="4"/>
    <n v="0.09"/>
    <s v="Documentary"/>
  </r>
  <r>
    <s v="930be712-ec74-4260-8c2c-c52f7f2327b7"/>
    <n v="36"/>
    <s v="Other"/>
    <s v="Basic"/>
    <n v="22.43"/>
    <x v="46"/>
    <x v="4"/>
    <x v="4"/>
    <n v="8.99"/>
    <n v="0"/>
    <n v="0"/>
    <x v="1"/>
    <n v="4"/>
    <n v="7.48"/>
    <s v="Romance"/>
  </r>
  <r>
    <s v="2a290e33-1f4c-4b59-88d5-bb9fb03129ea"/>
    <n v="70"/>
    <s v="Other"/>
    <s v="Basic"/>
    <n v="23.08"/>
    <x v="33"/>
    <x v="4"/>
    <x v="0"/>
    <n v="8.99"/>
    <n v="0"/>
    <n v="0"/>
    <x v="2"/>
    <n v="3"/>
    <n v="0.89"/>
    <s v="Comedy"/>
  </r>
  <r>
    <s v="a338aff4-ae1a-45ce-bea5-bce572efe8c1"/>
    <n v="68"/>
    <s v="Female"/>
    <s v="Premium"/>
    <n v="0.2"/>
    <x v="14"/>
    <x v="5"/>
    <x v="2"/>
    <n v="17.989999999999998"/>
    <n v="1"/>
    <n v="17.989999999999998"/>
    <x v="1"/>
    <n v="1"/>
    <n v="0.01"/>
    <s v="Horror"/>
  </r>
  <r>
    <s v="acb287e0-75a9-4889-8eb6-323d15cc7de3"/>
    <n v="23"/>
    <s v="Other"/>
    <s v="Basic"/>
    <n v="6.27"/>
    <x v="24"/>
    <x v="1"/>
    <x v="2"/>
    <n v="8.99"/>
    <n v="1"/>
    <n v="8.99"/>
    <x v="0"/>
    <n v="5"/>
    <n v="0.12"/>
    <s v="Sci-Fi"/>
  </r>
  <r>
    <s v="087f0011-86fb-4327-a18a-536a08edfb5d"/>
    <n v="68"/>
    <s v="Other"/>
    <s v="Premium"/>
    <n v="1.67"/>
    <x v="20"/>
    <x v="0"/>
    <x v="1"/>
    <n v="17.989999999999998"/>
    <n v="1"/>
    <n v="17.989999999999998"/>
    <x v="3"/>
    <n v="3"/>
    <n v="0.09"/>
    <s v="Romance"/>
  </r>
  <r>
    <s v="adf1a226-5359-44e7-8690-bbe814ff2ac3"/>
    <n v="19"/>
    <s v="Female"/>
    <s v="Standard"/>
    <n v="0.93"/>
    <x v="5"/>
    <x v="5"/>
    <x v="2"/>
    <n v="13.99"/>
    <n v="1"/>
    <n v="13.99"/>
    <x v="2"/>
    <n v="3"/>
    <n v="0.03"/>
    <s v="Action"/>
  </r>
  <r>
    <s v="785e0652-1283-4c68-a635-e96f3140cbcc"/>
    <n v="62"/>
    <s v="Male"/>
    <s v="Premium"/>
    <n v="4.25"/>
    <x v="15"/>
    <x v="2"/>
    <x v="1"/>
    <n v="17.989999999999998"/>
    <n v="1"/>
    <n v="17.989999999999998"/>
    <x v="4"/>
    <n v="2"/>
    <n v="0.1"/>
    <s v="Comedy"/>
  </r>
  <r>
    <s v="b4147601-494d-43c8-8ff2-1320cc1d525f"/>
    <n v="60"/>
    <s v="Female"/>
    <s v="Premium"/>
    <n v="11.15"/>
    <x v="52"/>
    <x v="4"/>
    <x v="3"/>
    <n v="17.989999999999998"/>
    <n v="1"/>
    <n v="17.989999999999998"/>
    <x v="1"/>
    <n v="5"/>
    <n v="0.22"/>
    <s v="Romance"/>
  </r>
  <r>
    <s v="8f340b20-ff03-4b80-9530-ef215931e3b9"/>
    <n v="31"/>
    <s v="Other"/>
    <s v="Premium"/>
    <n v="21.92"/>
    <x v="50"/>
    <x v="2"/>
    <x v="0"/>
    <n v="17.989999999999998"/>
    <n v="0"/>
    <n v="0"/>
    <x v="3"/>
    <n v="3"/>
    <n v="0.4"/>
    <s v="Documentary"/>
  </r>
  <r>
    <s v="7116a96f-6d6e-46d3-8176-93513053d545"/>
    <n v="31"/>
    <s v="Male"/>
    <s v="Premium"/>
    <n v="3.81"/>
    <x v="36"/>
    <x v="2"/>
    <x v="0"/>
    <n v="17.989999999999998"/>
    <n v="1"/>
    <n v="17.989999999999998"/>
    <x v="1"/>
    <n v="1"/>
    <n v="0.1"/>
    <s v="Documentary"/>
  </r>
  <r>
    <s v="b2b8ae31-eb8a-40a3-a5d9-b131324d826b"/>
    <n v="37"/>
    <s v="Male"/>
    <s v="Standard"/>
    <n v="0.02"/>
    <x v="2"/>
    <x v="1"/>
    <x v="0"/>
    <n v="13.99"/>
    <n v="0"/>
    <n v="0"/>
    <x v="3"/>
    <n v="5"/>
    <n v="0"/>
    <s v="Sci-Fi"/>
  </r>
  <r>
    <s v="8c10da11-2dd5-4223-888e-117a748f3107"/>
    <n v="20"/>
    <s v="Other"/>
    <s v="Premium"/>
    <n v="16.64"/>
    <x v="15"/>
    <x v="1"/>
    <x v="3"/>
    <n v="17.989999999999998"/>
    <n v="1"/>
    <n v="17.989999999999998"/>
    <x v="0"/>
    <n v="3"/>
    <n v="0.41"/>
    <s v="Drama"/>
  </r>
  <r>
    <s v="2f5798a1-fb24-4efb-932c-6b0a926a6290"/>
    <n v="36"/>
    <s v="Male"/>
    <s v="Premium"/>
    <n v="3.24"/>
    <x v="23"/>
    <x v="4"/>
    <x v="3"/>
    <n v="17.989999999999998"/>
    <n v="1"/>
    <n v="17.989999999999998"/>
    <x v="3"/>
    <n v="1"/>
    <n v="0.06"/>
    <s v="Drama"/>
  </r>
  <r>
    <s v="0f08014b-da6e-4b79-8171-2c51bdce39a2"/>
    <n v="43"/>
    <s v="Male"/>
    <s v="Premium"/>
    <n v="11.97"/>
    <x v="18"/>
    <x v="2"/>
    <x v="4"/>
    <n v="17.989999999999998"/>
    <n v="1"/>
    <n v="17.989999999999998"/>
    <x v="2"/>
    <n v="2"/>
    <n v="0.21"/>
    <s v="Drama"/>
  </r>
  <r>
    <s v="7abbcd40-0866-480d-9824-635556dbeac1"/>
    <n v="25"/>
    <s v="Female"/>
    <s v="Basic"/>
    <n v="2.5299999999999998"/>
    <x v="33"/>
    <x v="5"/>
    <x v="3"/>
    <n v="8.99"/>
    <n v="1"/>
    <n v="8.99"/>
    <x v="2"/>
    <n v="1"/>
    <n v="0.1"/>
    <s v="Documentary"/>
  </r>
  <r>
    <s v="7d2d65f3-ed1f-4425-a325-8f8e43594e69"/>
    <n v="50"/>
    <s v="Female"/>
    <s v="Standard"/>
    <n v="8.43"/>
    <x v="27"/>
    <x v="1"/>
    <x v="0"/>
    <n v="13.99"/>
    <n v="0"/>
    <n v="0"/>
    <x v="3"/>
    <n v="3"/>
    <n v="0.5"/>
    <s v="Documentary"/>
  </r>
  <r>
    <s v="4a8b2fa1-8c5e-47f2-9801-c168aa84121d"/>
    <n v="70"/>
    <s v="Male"/>
    <s v="Premium"/>
    <n v="3.19"/>
    <x v="37"/>
    <x v="2"/>
    <x v="3"/>
    <n v="17.989999999999998"/>
    <n v="1"/>
    <n v="17.989999999999998"/>
    <x v="1"/>
    <n v="2"/>
    <n v="0.13"/>
    <s v="Sci-Fi"/>
  </r>
  <r>
    <s v="9c2bece6-8c3e-409b-bf83-40e0508a45cc"/>
    <n v="47"/>
    <s v="Male"/>
    <s v="Premium"/>
    <n v="9.82"/>
    <x v="22"/>
    <x v="5"/>
    <x v="1"/>
    <n v="17.989999999999998"/>
    <n v="0"/>
    <n v="0"/>
    <x v="2"/>
    <n v="5"/>
    <n v="0.18"/>
    <s v="Drama"/>
  </r>
  <r>
    <s v="ed0f871a-c1bc-4b93-9f5d-e2d90206146b"/>
    <n v="42"/>
    <s v="Female"/>
    <s v="Basic"/>
    <n v="1.52"/>
    <x v="26"/>
    <x v="0"/>
    <x v="4"/>
    <n v="8.99"/>
    <n v="1"/>
    <n v="8.99"/>
    <x v="2"/>
    <n v="5"/>
    <n v="0.03"/>
    <s v="Romance"/>
  </r>
  <r>
    <s v="b4c3ab7d-546b-4666-9e31-79d34941b0ae"/>
    <n v="57"/>
    <s v="Male"/>
    <s v="Premium"/>
    <n v="24.49"/>
    <x v="44"/>
    <x v="3"/>
    <x v="0"/>
    <n v="17.989999999999998"/>
    <n v="0"/>
    <n v="0"/>
    <x v="0"/>
    <n v="4"/>
    <n v="0.52"/>
    <s v="Action"/>
  </r>
  <r>
    <s v="01b3b3ce-2c57-42d6-aca9-497b62a1c66b"/>
    <n v="69"/>
    <s v="Female"/>
    <s v="Standard"/>
    <n v="3.35"/>
    <x v="59"/>
    <x v="1"/>
    <x v="2"/>
    <n v="13.99"/>
    <n v="0"/>
    <n v="0"/>
    <x v="0"/>
    <n v="4"/>
    <n v="0.56000000000000005"/>
    <s v="Action"/>
  </r>
  <r>
    <s v="485931a6-ccb3-4436-9554-430fbc8d189a"/>
    <n v="55"/>
    <s v="Male"/>
    <s v="Premium"/>
    <n v="1.2"/>
    <x v="14"/>
    <x v="1"/>
    <x v="3"/>
    <n v="17.989999999999998"/>
    <n v="1"/>
    <n v="17.989999999999998"/>
    <x v="4"/>
    <n v="4"/>
    <n v="0.04"/>
    <s v="Drama"/>
  </r>
  <r>
    <s v="f6bb630e-6a2d-42e4-9371-a598462b1515"/>
    <n v="40"/>
    <s v="Male"/>
    <s v="Premium"/>
    <n v="4.68"/>
    <x v="59"/>
    <x v="1"/>
    <x v="4"/>
    <n v="17.989999999999998"/>
    <n v="0"/>
    <n v="0"/>
    <x v="2"/>
    <n v="4"/>
    <n v="0.78"/>
    <s v="Horror"/>
  </r>
  <r>
    <s v="d72a2ac1-389d-4500-8f2a-65253fd4ebc3"/>
    <n v="52"/>
    <s v="Male"/>
    <s v="Standard"/>
    <n v="17.260000000000002"/>
    <x v="56"/>
    <x v="5"/>
    <x v="1"/>
    <n v="13.99"/>
    <n v="1"/>
    <n v="13.99"/>
    <x v="1"/>
    <n v="4"/>
    <n v="0.28999999999999998"/>
    <s v="Comedy"/>
  </r>
  <r>
    <s v="5ad14c26-01d1-47d0-97d0-c57fe72f84ee"/>
    <n v="49"/>
    <s v="Female"/>
    <s v="Standard"/>
    <n v="11.88"/>
    <x v="45"/>
    <x v="2"/>
    <x v="3"/>
    <n v="13.99"/>
    <n v="0"/>
    <n v="0"/>
    <x v="4"/>
    <n v="4"/>
    <n v="0.28000000000000003"/>
    <s v="Horror"/>
  </r>
  <r>
    <s v="4c0287b1-cf45-4107-a454-cd7c56d26948"/>
    <n v="61"/>
    <s v="Other"/>
    <s v="Premium"/>
    <n v="4.58"/>
    <x v="12"/>
    <x v="1"/>
    <x v="1"/>
    <n v="17.989999999999998"/>
    <n v="1"/>
    <n v="17.989999999999998"/>
    <x v="0"/>
    <n v="4"/>
    <n v="0.13"/>
    <s v="Comedy"/>
  </r>
  <r>
    <s v="f6ab90b9-5e01-429e-aac6-b858b434b20c"/>
    <n v="63"/>
    <s v="Other"/>
    <s v="Premium"/>
    <n v="3.98"/>
    <x v="19"/>
    <x v="2"/>
    <x v="2"/>
    <n v="17.989999999999998"/>
    <n v="1"/>
    <n v="17.989999999999998"/>
    <x v="3"/>
    <n v="2"/>
    <n v="0.09"/>
    <s v="Horror"/>
  </r>
  <r>
    <s v="b9ae2a97-9bb7-42f3-b6a9-4c90f221ce64"/>
    <n v="66"/>
    <s v="Male"/>
    <s v="Basic"/>
    <n v="8.68"/>
    <x v="34"/>
    <x v="3"/>
    <x v="1"/>
    <n v="8.99"/>
    <n v="1"/>
    <n v="8.99"/>
    <x v="3"/>
    <n v="3"/>
    <n v="0.17"/>
    <s v="Sci-Fi"/>
  </r>
  <r>
    <s v="c20324f1-17e6-4484-b4bc-8671f89e607e"/>
    <n v="65"/>
    <s v="Female"/>
    <s v="Premium"/>
    <n v="10.55"/>
    <x v="33"/>
    <x v="0"/>
    <x v="2"/>
    <n v="17.989999999999998"/>
    <n v="0"/>
    <n v="0"/>
    <x v="0"/>
    <n v="5"/>
    <n v="0.41"/>
    <s v="Drama"/>
  </r>
  <r>
    <s v="b98db897-f857-4c18-ba27-c667b30c0dfe"/>
    <n v="47"/>
    <s v="Female"/>
    <s v="Standard"/>
    <n v="0.55000000000000004"/>
    <x v="15"/>
    <x v="2"/>
    <x v="0"/>
    <n v="13.99"/>
    <n v="1"/>
    <n v="13.99"/>
    <x v="3"/>
    <n v="3"/>
    <n v="0.01"/>
    <s v="Horror"/>
  </r>
  <r>
    <s v="8a229d09-04c2-4922-8645-c46ee272ebd2"/>
    <n v="47"/>
    <s v="Female"/>
    <s v="Basic"/>
    <n v="4.6900000000000004"/>
    <x v="44"/>
    <x v="1"/>
    <x v="2"/>
    <n v="8.99"/>
    <n v="1"/>
    <n v="8.99"/>
    <x v="1"/>
    <n v="2"/>
    <n v="0.1"/>
    <s v="Sci-Fi"/>
  </r>
  <r>
    <s v="7d6f9c3e-50e3-4059-b5d0-bbc9fcbd3910"/>
    <n v="45"/>
    <s v="Other"/>
    <s v="Standard"/>
    <n v="26.82"/>
    <x v="45"/>
    <x v="3"/>
    <x v="1"/>
    <n v="13.99"/>
    <n v="0"/>
    <n v="0"/>
    <x v="4"/>
    <n v="5"/>
    <n v="0.64"/>
    <s v="Romance"/>
  </r>
  <r>
    <s v="93b8f61c-4375-49bc-a30d-54b4c319f266"/>
    <n v="68"/>
    <s v="Female"/>
    <s v="Basic"/>
    <n v="3.07"/>
    <x v="52"/>
    <x v="4"/>
    <x v="2"/>
    <n v="8.99"/>
    <n v="1"/>
    <n v="8.99"/>
    <x v="4"/>
    <n v="3"/>
    <n v="0.06"/>
    <s v="Romance"/>
  </r>
  <r>
    <s v="b28cfde3-38e8-4dac-943d-c148414757b1"/>
    <n v="70"/>
    <s v="Other"/>
    <s v="Standard"/>
    <n v="25.23"/>
    <x v="13"/>
    <x v="3"/>
    <x v="2"/>
    <n v="13.99"/>
    <n v="0"/>
    <n v="0"/>
    <x v="0"/>
    <n v="3"/>
    <n v="3.15"/>
    <s v="Comedy"/>
  </r>
  <r>
    <s v="3b478fcf-d4a2-4c33-b050-0b45af3c0679"/>
    <n v="48"/>
    <s v="Male"/>
    <s v="Basic"/>
    <n v="0.31"/>
    <x v="42"/>
    <x v="2"/>
    <x v="1"/>
    <n v="8.99"/>
    <n v="1"/>
    <n v="8.99"/>
    <x v="1"/>
    <n v="2"/>
    <n v="0.01"/>
    <s v="Action"/>
  </r>
  <r>
    <s v="ba626d62-c8f5-4f0e-90da-05c8b526e564"/>
    <n v="26"/>
    <s v="Female"/>
    <s v="Basic"/>
    <n v="28.65"/>
    <x v="31"/>
    <x v="1"/>
    <x v="2"/>
    <n v="8.99"/>
    <n v="0"/>
    <n v="0"/>
    <x v="4"/>
    <n v="4"/>
    <n v="1.79"/>
    <s v="Documentary"/>
  </r>
  <r>
    <s v="dda37d3a-c038-448e-894d-630954f9fd3f"/>
    <n v="66"/>
    <s v="Male"/>
    <s v="Premium"/>
    <n v="5.17"/>
    <x v="20"/>
    <x v="5"/>
    <x v="2"/>
    <n v="17.989999999999998"/>
    <n v="0"/>
    <n v="0"/>
    <x v="0"/>
    <n v="3"/>
    <n v="0.27"/>
    <s v="Drama"/>
  </r>
  <r>
    <s v="12f3fe4c-c868-4e9e-82de-21f630ec1e46"/>
    <n v="34"/>
    <s v="Male"/>
    <s v="Basic"/>
    <n v="1.82"/>
    <x v="57"/>
    <x v="5"/>
    <x v="1"/>
    <n v="8.99"/>
    <n v="1"/>
    <n v="8.99"/>
    <x v="2"/>
    <n v="1"/>
    <n v="0.03"/>
    <s v="Romance"/>
  </r>
  <r>
    <s v="2cc87dcd-7955-4ec0-b520-000d68d18181"/>
    <n v="48"/>
    <s v="Male"/>
    <s v="Basic"/>
    <n v="34.5"/>
    <x v="53"/>
    <x v="5"/>
    <x v="1"/>
    <n v="8.99"/>
    <n v="0"/>
    <n v="0"/>
    <x v="0"/>
    <n v="5"/>
    <n v="0.8"/>
    <s v="Documentary"/>
  </r>
  <r>
    <s v="eb14315f-33e7-4020-b9f6-f94f2b357828"/>
    <n v="68"/>
    <s v="Female"/>
    <s v="Standard"/>
    <n v="18.07"/>
    <x v="30"/>
    <x v="2"/>
    <x v="0"/>
    <n v="13.99"/>
    <n v="0"/>
    <n v="0"/>
    <x v="1"/>
    <n v="3"/>
    <n v="9.0399999999999991"/>
    <s v="Horror"/>
  </r>
  <r>
    <s v="a7bcd2d8-77b6-48b7-ba44-4a1939df29fb"/>
    <n v="36"/>
    <s v="Male"/>
    <s v="Standard"/>
    <n v="15.05"/>
    <x v="42"/>
    <x v="0"/>
    <x v="3"/>
    <n v="13.99"/>
    <n v="1"/>
    <n v="13.99"/>
    <x v="1"/>
    <n v="2"/>
    <n v="0.4"/>
    <s v="Romance"/>
  </r>
  <r>
    <s v="21a8aaa5-6af5-4756-be7d-57b226f5c7f3"/>
    <n v="67"/>
    <s v="Other"/>
    <s v="Basic"/>
    <n v="10.82"/>
    <x v="23"/>
    <x v="4"/>
    <x v="0"/>
    <n v="8.99"/>
    <n v="1"/>
    <n v="8.99"/>
    <x v="0"/>
    <n v="5"/>
    <n v="0.2"/>
    <s v="Sci-Fi"/>
  </r>
  <r>
    <s v="06863a94-2c2d-48b6-8770-af0d3d8a0948"/>
    <n v="22"/>
    <s v="Male"/>
    <s v="Standard"/>
    <n v="4.84"/>
    <x v="14"/>
    <x v="4"/>
    <x v="1"/>
    <n v="13.99"/>
    <n v="1"/>
    <n v="13.99"/>
    <x v="2"/>
    <n v="3"/>
    <n v="0.15"/>
    <s v="Action"/>
  </r>
  <r>
    <s v="2b8002e0-b5f8-48f3-89d2-e7690e565274"/>
    <n v="45"/>
    <s v="Male"/>
    <s v="Basic"/>
    <n v="9.31"/>
    <x v="48"/>
    <x v="0"/>
    <x v="4"/>
    <n v="8.99"/>
    <n v="1"/>
    <n v="8.99"/>
    <x v="3"/>
    <n v="2"/>
    <n v="0.18"/>
    <s v="Romance"/>
  </r>
  <r>
    <s v="16a3e295-eada-4912-a842-8a4ed842d77b"/>
    <n v="61"/>
    <s v="Female"/>
    <s v="Standard"/>
    <n v="2.27"/>
    <x v="16"/>
    <x v="3"/>
    <x v="3"/>
    <n v="13.99"/>
    <n v="1"/>
    <n v="13.99"/>
    <x v="4"/>
    <n v="3"/>
    <n v="0.08"/>
    <s v="Documentary"/>
  </r>
  <r>
    <s v="4d1caeb4-9ec4-4179-bb9b-ff2fd6206951"/>
    <n v="70"/>
    <s v="Other"/>
    <s v="Premium"/>
    <n v="18.73"/>
    <x v="45"/>
    <x v="2"/>
    <x v="2"/>
    <n v="17.989999999999998"/>
    <n v="1"/>
    <n v="17.989999999999998"/>
    <x v="1"/>
    <n v="4"/>
    <n v="0.45"/>
    <s v="Romance"/>
  </r>
  <r>
    <s v="a7f9da07-1c52-4dc2-9ba9-9f3f2b901acd"/>
    <n v="35"/>
    <s v="Male"/>
    <s v="Premium"/>
    <n v="16.78"/>
    <x v="31"/>
    <x v="3"/>
    <x v="2"/>
    <n v="17.989999999999998"/>
    <n v="0"/>
    <n v="0"/>
    <x v="3"/>
    <n v="2"/>
    <n v="1.05"/>
    <s v="Documentary"/>
  </r>
  <r>
    <s v="483d0f42-e4be-4801-acaa-ece87555fe7e"/>
    <n v="37"/>
    <s v="Other"/>
    <s v="Basic"/>
    <n v="24.82"/>
    <x v="44"/>
    <x v="5"/>
    <x v="0"/>
    <n v="8.99"/>
    <n v="0"/>
    <n v="0"/>
    <x v="1"/>
    <n v="2"/>
    <n v="0.53"/>
    <s v="Romance"/>
  </r>
  <r>
    <s v="8b0943cb-2fd8-4ef7-9255-13bf11e0932d"/>
    <n v="54"/>
    <s v="Female"/>
    <s v="Premium"/>
    <n v="11.6"/>
    <x v="12"/>
    <x v="0"/>
    <x v="0"/>
    <n v="17.989999999999998"/>
    <n v="1"/>
    <n v="17.989999999999998"/>
    <x v="0"/>
    <n v="4"/>
    <n v="0.34"/>
    <s v="Horror"/>
  </r>
  <r>
    <s v="9b551d02-4450-4882-abca-6fc87f625427"/>
    <n v="61"/>
    <s v="Male"/>
    <s v="Basic"/>
    <n v="16.100000000000001"/>
    <x v="25"/>
    <x v="3"/>
    <x v="0"/>
    <n v="8.99"/>
    <n v="0"/>
    <n v="0"/>
    <x v="2"/>
    <n v="1"/>
    <n v="16.100000000000001"/>
    <s v="Action"/>
  </r>
  <r>
    <s v="c3665e92-e3c1-4f8f-838f-149f8747bf10"/>
    <n v="20"/>
    <s v="Female"/>
    <s v="Basic"/>
    <n v="12.66"/>
    <x v="60"/>
    <x v="0"/>
    <x v="0"/>
    <n v="8.99"/>
    <n v="0"/>
    <n v="0"/>
    <x v="3"/>
    <n v="5"/>
    <n v="1.41"/>
    <s v="Comedy"/>
  </r>
  <r>
    <s v="97677cac-6110-4fca-8580-98b42a698b5c"/>
    <n v="19"/>
    <s v="Male"/>
    <s v="Basic"/>
    <n v="4.03"/>
    <x v="6"/>
    <x v="4"/>
    <x v="2"/>
    <n v="8.99"/>
    <n v="1"/>
    <n v="8.99"/>
    <x v="0"/>
    <n v="5"/>
    <n v="0.19"/>
    <s v="Drama"/>
  </r>
  <r>
    <s v="22d560a5-e928-4526-9802-5c31ca8ae3ca"/>
    <n v="18"/>
    <s v="Female"/>
    <s v="Standard"/>
    <n v="5.81"/>
    <x v="52"/>
    <x v="1"/>
    <x v="2"/>
    <n v="13.99"/>
    <n v="1"/>
    <n v="13.99"/>
    <x v="3"/>
    <n v="2"/>
    <n v="0.12"/>
    <s v="Sci-Fi"/>
  </r>
  <r>
    <s v="9d8fb170-2207-4356-9a79-049a27db6af1"/>
    <n v="47"/>
    <s v="Other"/>
    <s v="Standard"/>
    <n v="3.5"/>
    <x v="14"/>
    <x v="1"/>
    <x v="4"/>
    <n v="13.99"/>
    <n v="1"/>
    <n v="13.99"/>
    <x v="1"/>
    <n v="1"/>
    <n v="0.11"/>
    <s v="Sci-Fi"/>
  </r>
  <r>
    <s v="e2c388e8-73e3-43f6-930b-1787b2345d9d"/>
    <n v="37"/>
    <s v="Female"/>
    <s v="Premium"/>
    <n v="0.83"/>
    <x v="29"/>
    <x v="1"/>
    <x v="0"/>
    <n v="17.989999999999998"/>
    <n v="1"/>
    <n v="17.989999999999998"/>
    <x v="2"/>
    <n v="4"/>
    <n v="0.02"/>
    <s v="Documentary"/>
  </r>
  <r>
    <s v="95b2428f-6c41-4839-99d9-9e87a3ae603e"/>
    <n v="65"/>
    <s v="Male"/>
    <s v="Standard"/>
    <n v="5.46"/>
    <x v="22"/>
    <x v="4"/>
    <x v="4"/>
    <n v="13.99"/>
    <n v="1"/>
    <n v="13.99"/>
    <x v="3"/>
    <n v="2"/>
    <n v="0.1"/>
    <s v="Sci-Fi"/>
  </r>
  <r>
    <s v="4b04bf41-8529-490f-aad3-1c84e6f8b8e7"/>
    <n v="26"/>
    <s v="Other"/>
    <s v="Premium"/>
    <n v="19.48"/>
    <x v="27"/>
    <x v="4"/>
    <x v="3"/>
    <n v="17.989999999999998"/>
    <n v="0"/>
    <n v="0"/>
    <x v="1"/>
    <n v="5"/>
    <n v="1.1499999999999999"/>
    <s v="Romance"/>
  </r>
  <r>
    <s v="84505d11-f057-48b5-a9ff-b18e99e81dcc"/>
    <n v="38"/>
    <s v="Other"/>
    <s v="Basic"/>
    <n v="8.81"/>
    <x v="51"/>
    <x v="0"/>
    <x v="1"/>
    <n v="8.99"/>
    <n v="0"/>
    <n v="0"/>
    <x v="2"/>
    <n v="4"/>
    <n v="0.49"/>
    <s v="Romance"/>
  </r>
  <r>
    <s v="1bf23e82-0b9d-4e22-92aa-4b8017e43f61"/>
    <n v="67"/>
    <s v="Female"/>
    <s v="Premium"/>
    <n v="4.2"/>
    <x v="47"/>
    <x v="4"/>
    <x v="3"/>
    <n v="17.989999999999998"/>
    <n v="0"/>
    <n v="0"/>
    <x v="1"/>
    <n v="5"/>
    <n v="1.05"/>
    <s v="Action"/>
  </r>
  <r>
    <s v="984d419a-835e-49dd-be89-bb42da17c25a"/>
    <n v="20"/>
    <s v="Other"/>
    <s v="Standard"/>
    <n v="11.97"/>
    <x v="46"/>
    <x v="0"/>
    <x v="1"/>
    <n v="13.99"/>
    <n v="0"/>
    <n v="0"/>
    <x v="1"/>
    <n v="5"/>
    <n v="3.99"/>
    <s v="Comedy"/>
  </r>
  <r>
    <s v="532673fd-e1a4-45bd-8652-63aaba3617a6"/>
    <n v="38"/>
    <s v="Female"/>
    <s v="Standard"/>
    <n v="4.0599999999999996"/>
    <x v="5"/>
    <x v="4"/>
    <x v="3"/>
    <n v="13.99"/>
    <n v="1"/>
    <n v="13.99"/>
    <x v="1"/>
    <n v="5"/>
    <n v="0.15"/>
    <s v="Comedy"/>
  </r>
  <r>
    <s v="64d4e2f0-b796-4477-a2b9-dcb8d011e50f"/>
    <n v="59"/>
    <s v="Other"/>
    <s v="Basic"/>
    <n v="7.97"/>
    <x v="40"/>
    <x v="2"/>
    <x v="0"/>
    <n v="8.99"/>
    <n v="0"/>
    <n v="0"/>
    <x v="1"/>
    <n v="1"/>
    <n v="0.66"/>
    <s v="Action"/>
  </r>
  <r>
    <s v="24586107-5506-4471-a0fe-c2f6bdbe3a78"/>
    <n v="37"/>
    <s v="Male"/>
    <s v="Premium"/>
    <n v="8.02"/>
    <x v="23"/>
    <x v="5"/>
    <x v="4"/>
    <n v="17.989999999999998"/>
    <n v="1"/>
    <n v="17.989999999999998"/>
    <x v="0"/>
    <n v="4"/>
    <n v="0.15"/>
    <s v="Comedy"/>
  </r>
  <r>
    <s v="ec2ed7b8-5675-4d32-b413-406ef8f75e89"/>
    <n v="54"/>
    <s v="Other"/>
    <s v="Standard"/>
    <n v="2.79"/>
    <x v="30"/>
    <x v="4"/>
    <x v="0"/>
    <n v="13.99"/>
    <n v="0"/>
    <n v="0"/>
    <x v="4"/>
    <n v="1"/>
    <n v="1.4"/>
    <s v="Action"/>
  </r>
  <r>
    <s v="aa265a76-e810-4938-8736-3d1eedaa4584"/>
    <n v="24"/>
    <s v="Female"/>
    <s v="Standard"/>
    <n v="11.33"/>
    <x v="58"/>
    <x v="5"/>
    <x v="1"/>
    <n v="13.99"/>
    <n v="1"/>
    <n v="13.99"/>
    <x v="4"/>
    <n v="3"/>
    <n v="0.24"/>
    <s v="Comedy"/>
  </r>
  <r>
    <s v="496b3ef6-6a0a-4f3b-a4e2-5369a458408a"/>
    <n v="69"/>
    <s v="Male"/>
    <s v="Premium"/>
    <n v="20.29"/>
    <x v="42"/>
    <x v="5"/>
    <x v="0"/>
    <n v="17.989999999999998"/>
    <n v="0"/>
    <n v="0"/>
    <x v="2"/>
    <n v="5"/>
    <n v="0.53"/>
    <s v="Horror"/>
  </r>
  <r>
    <s v="ab89e0ee-0f2c-405f-a6f5-2d32d8179218"/>
    <n v="24"/>
    <s v="Female"/>
    <s v="Basic"/>
    <n v="9.1300000000000008"/>
    <x v="2"/>
    <x v="2"/>
    <x v="2"/>
    <n v="8.99"/>
    <n v="0"/>
    <n v="0"/>
    <x v="2"/>
    <n v="4"/>
    <n v="0.83"/>
    <s v="Documentary"/>
  </r>
  <r>
    <s v="5c9b9dd1-47d9-4f4f-9e25-d4e7aaaa27a5"/>
    <n v="58"/>
    <s v="Other"/>
    <s v="Standard"/>
    <n v="13.23"/>
    <x v="20"/>
    <x v="2"/>
    <x v="2"/>
    <n v="13.99"/>
    <n v="0"/>
    <n v="0"/>
    <x v="2"/>
    <n v="5"/>
    <n v="0.7"/>
    <s v="Comedy"/>
  </r>
  <r>
    <s v="cdf8f775-0d9f-4cbf-ba73-91ed31fbcf5b"/>
    <n v="44"/>
    <s v="Male"/>
    <s v="Premium"/>
    <n v="13.56"/>
    <x v="32"/>
    <x v="2"/>
    <x v="3"/>
    <n v="17.989999999999998"/>
    <n v="0"/>
    <n v="0"/>
    <x v="2"/>
    <n v="1"/>
    <n v="0.9"/>
    <s v="Documentary"/>
  </r>
  <r>
    <s v="b7d06409-49ad-4e7a-9c82-12205a0a36b2"/>
    <n v="50"/>
    <s v="Male"/>
    <s v="Standard"/>
    <n v="30.53"/>
    <x v="43"/>
    <x v="5"/>
    <x v="3"/>
    <n v="13.99"/>
    <n v="0"/>
    <n v="0"/>
    <x v="0"/>
    <n v="5"/>
    <n v="0.95"/>
    <s v="Action"/>
  </r>
  <r>
    <s v="93226922-b654-47d2-bee2-6801bd2f8ced"/>
    <n v="66"/>
    <s v="Other"/>
    <s v="Premium"/>
    <n v="14.15"/>
    <x v="32"/>
    <x v="4"/>
    <x v="1"/>
    <n v="17.989999999999998"/>
    <n v="0"/>
    <n v="0"/>
    <x v="3"/>
    <n v="1"/>
    <n v="0.94"/>
    <s v="Action"/>
  </r>
  <r>
    <s v="e686a25c-0048-4481-b94e-b2668948bd5a"/>
    <n v="40"/>
    <s v="Other"/>
    <s v="Basic"/>
    <n v="24.02"/>
    <x v="11"/>
    <x v="2"/>
    <x v="2"/>
    <n v="8.99"/>
    <n v="0"/>
    <n v="0"/>
    <x v="3"/>
    <n v="5"/>
    <n v="1"/>
    <s v="Documentary"/>
  </r>
  <r>
    <s v="9d51a596-157a-488b-955e-4c821202e8f5"/>
    <n v="25"/>
    <s v="Male"/>
    <s v="Standard"/>
    <n v="7.35"/>
    <x v="45"/>
    <x v="2"/>
    <x v="0"/>
    <n v="13.99"/>
    <n v="1"/>
    <n v="13.99"/>
    <x v="4"/>
    <n v="1"/>
    <n v="0.17"/>
    <s v="Documentary"/>
  </r>
  <r>
    <s v="2fcf265c-b3a8-4d0c-9cb0-3adc351832f6"/>
    <n v="31"/>
    <s v="Female"/>
    <s v="Basic"/>
    <n v="3.89"/>
    <x v="25"/>
    <x v="3"/>
    <x v="2"/>
    <n v="8.99"/>
    <n v="0"/>
    <n v="0"/>
    <x v="4"/>
    <n v="3"/>
    <n v="3.89"/>
    <s v="Romance"/>
  </r>
  <r>
    <s v="6232c7ae-f01e-4ac3-845c-0f5a3f151e40"/>
    <n v="61"/>
    <s v="Male"/>
    <s v="Standard"/>
    <n v="4.1399999999999997"/>
    <x v="41"/>
    <x v="2"/>
    <x v="2"/>
    <n v="13.99"/>
    <n v="1"/>
    <n v="13.99"/>
    <x v="4"/>
    <n v="2"/>
    <n v="0.13"/>
    <s v="Drama"/>
  </r>
  <r>
    <s v="1b0a8496-8374-45f8-9d5c-41c5f0749ccf"/>
    <n v="36"/>
    <s v="Male"/>
    <s v="Basic"/>
    <n v="6.54"/>
    <x v="54"/>
    <x v="3"/>
    <x v="2"/>
    <n v="8.99"/>
    <n v="0"/>
    <n v="0"/>
    <x v="2"/>
    <n v="5"/>
    <n v="0.23"/>
    <s v="Action"/>
  </r>
  <r>
    <s v="309b7813-e5ae-4120-aeae-303993c0136a"/>
    <n v="60"/>
    <s v="Male"/>
    <s v="Standard"/>
    <n v="6.23"/>
    <x v="1"/>
    <x v="4"/>
    <x v="3"/>
    <n v="13.99"/>
    <n v="0"/>
    <n v="0"/>
    <x v="3"/>
    <n v="5"/>
    <n v="0.31"/>
    <s v="Documentary"/>
  </r>
  <r>
    <s v="259e4b86-1544-4c6b-a093-d429692cdf4d"/>
    <n v="54"/>
    <s v="Male"/>
    <s v="Premium"/>
    <n v="6.26"/>
    <x v="48"/>
    <x v="4"/>
    <x v="3"/>
    <n v="17.989999999999998"/>
    <n v="1"/>
    <n v="17.989999999999998"/>
    <x v="0"/>
    <n v="3"/>
    <n v="0.12"/>
    <s v="Horror"/>
  </r>
  <r>
    <s v="c5922e16-8d07-4107-bf11-7a7d14353f44"/>
    <n v="57"/>
    <s v="Male"/>
    <s v="Premium"/>
    <n v="7.79"/>
    <x v="44"/>
    <x v="1"/>
    <x v="0"/>
    <n v="17.989999999999998"/>
    <n v="1"/>
    <n v="17.989999999999998"/>
    <x v="1"/>
    <n v="5"/>
    <n v="0.17"/>
    <s v="Documentary"/>
  </r>
  <r>
    <s v="9d5ba8a6-0786-4b13-9c64-881480979699"/>
    <n v="20"/>
    <s v="Female"/>
    <s v="Basic"/>
    <n v="1"/>
    <x v="14"/>
    <x v="0"/>
    <x v="4"/>
    <n v="8.99"/>
    <n v="1"/>
    <n v="8.99"/>
    <x v="4"/>
    <n v="2"/>
    <n v="0.03"/>
    <s v="Romance"/>
  </r>
  <r>
    <s v="fdd9d730-eff6-4c49-86a3-1a8dbf9069f7"/>
    <n v="18"/>
    <s v="Female"/>
    <s v="Standard"/>
    <n v="9.2899999999999991"/>
    <x v="24"/>
    <x v="2"/>
    <x v="1"/>
    <n v="13.99"/>
    <n v="1"/>
    <n v="13.99"/>
    <x v="3"/>
    <n v="2"/>
    <n v="0.18"/>
    <s v="Horror"/>
  </r>
  <r>
    <s v="0c40bdbb-d30b-489e-ac36-91ab09dfdeab"/>
    <n v="57"/>
    <s v="Male"/>
    <s v="Basic"/>
    <n v="3.31"/>
    <x v="18"/>
    <x v="1"/>
    <x v="1"/>
    <n v="8.99"/>
    <n v="1"/>
    <n v="8.99"/>
    <x v="0"/>
    <n v="2"/>
    <n v="0.06"/>
    <s v="Drama"/>
  </r>
  <r>
    <s v="bf7ba12e-d46e-470f-a5b2-ac24e64e1000"/>
    <n v="33"/>
    <s v="Female"/>
    <s v="Standard"/>
    <n v="19.28"/>
    <x v="1"/>
    <x v="5"/>
    <x v="4"/>
    <n v="13.99"/>
    <n v="0"/>
    <n v="0"/>
    <x v="4"/>
    <n v="4"/>
    <n v="0.96"/>
    <s v="Sci-Fi"/>
  </r>
  <r>
    <s v="dd0f0abf-7da7-451d-8303-5c9d4e6c7686"/>
    <n v="68"/>
    <s v="Female"/>
    <s v="Premium"/>
    <n v="23.8"/>
    <x v="17"/>
    <x v="3"/>
    <x v="4"/>
    <n v="17.989999999999998"/>
    <n v="0"/>
    <n v="0"/>
    <x v="1"/>
    <n v="2"/>
    <n v="4.76"/>
    <s v="Sci-Fi"/>
  </r>
  <r>
    <s v="40bdcfc1-aa37-4245-8b1a-5457ee4c3329"/>
    <n v="66"/>
    <s v="Female"/>
    <s v="Premium"/>
    <n v="7.68"/>
    <x v="31"/>
    <x v="4"/>
    <x v="4"/>
    <n v="17.989999999999998"/>
    <n v="0"/>
    <n v="0"/>
    <x v="1"/>
    <n v="4"/>
    <n v="0.48"/>
    <s v="Drama"/>
  </r>
  <r>
    <s v="8830a083-de96-4d43-a32b-e3862941a35d"/>
    <n v="30"/>
    <s v="Male"/>
    <s v="Basic"/>
    <n v="6.54"/>
    <x v="6"/>
    <x v="5"/>
    <x v="4"/>
    <n v="8.99"/>
    <n v="1"/>
    <n v="8.99"/>
    <x v="2"/>
    <n v="1"/>
    <n v="0.31"/>
    <s v="Drama"/>
  </r>
  <r>
    <s v="029a667b-d5e3-4e33-8804-ae8ad6593a7d"/>
    <n v="38"/>
    <s v="Female"/>
    <s v="Basic"/>
    <n v="7.92"/>
    <x v="20"/>
    <x v="4"/>
    <x v="0"/>
    <n v="8.99"/>
    <n v="1"/>
    <n v="8.99"/>
    <x v="1"/>
    <n v="1"/>
    <n v="0.42"/>
    <s v="Sci-Fi"/>
  </r>
  <r>
    <s v="b4c0a5b3-9910-4d8d-a34b-c7ac6672e6c3"/>
    <n v="55"/>
    <s v="Other"/>
    <s v="Premium"/>
    <n v="4.3600000000000003"/>
    <x v="24"/>
    <x v="3"/>
    <x v="3"/>
    <n v="17.989999999999998"/>
    <n v="1"/>
    <n v="17.989999999999998"/>
    <x v="1"/>
    <n v="2"/>
    <n v="0.08"/>
    <s v="Comedy"/>
  </r>
  <r>
    <s v="7630541e-4db2-42e7-9ec2-cbad37db0b46"/>
    <n v="31"/>
    <s v="Male"/>
    <s v="Basic"/>
    <n v="11.88"/>
    <x v="7"/>
    <x v="0"/>
    <x v="4"/>
    <n v="8.99"/>
    <n v="1"/>
    <n v="8.99"/>
    <x v="2"/>
    <n v="5"/>
    <n v="0.21"/>
    <s v="Sci-Fi"/>
  </r>
  <r>
    <s v="0fbffe99-eba0-4a18-b1f4-42b9e249dfae"/>
    <n v="33"/>
    <s v="Female"/>
    <s v="Premium"/>
    <n v="0.06"/>
    <x v="23"/>
    <x v="5"/>
    <x v="3"/>
    <n v="17.989999999999998"/>
    <n v="1"/>
    <n v="17.989999999999998"/>
    <x v="3"/>
    <n v="3"/>
    <n v="0"/>
    <s v="Horror"/>
  </r>
  <r>
    <s v="18d21cf8-fa88-4759-9ae3-81e1d3fc58fd"/>
    <n v="63"/>
    <s v="Female"/>
    <s v="Standard"/>
    <n v="18.489999999999998"/>
    <x v="4"/>
    <x v="1"/>
    <x v="0"/>
    <n v="13.99"/>
    <n v="0"/>
    <n v="0"/>
    <x v="3"/>
    <n v="1"/>
    <n v="1.32"/>
    <s v="Drama"/>
  </r>
  <r>
    <s v="8036cdac-84b1-4b10-abd3-f32109c28d1e"/>
    <n v="45"/>
    <s v="Other"/>
    <s v="Basic"/>
    <n v="6.87"/>
    <x v="40"/>
    <x v="1"/>
    <x v="2"/>
    <n v="8.99"/>
    <n v="0"/>
    <n v="0"/>
    <x v="2"/>
    <n v="3"/>
    <n v="0.56999999999999995"/>
    <s v="Drama"/>
  </r>
  <r>
    <s v="a981b14d-307e-40e0-b1ac-65f5b3b6621d"/>
    <n v="24"/>
    <s v="Male"/>
    <s v="Basic"/>
    <n v="0.75"/>
    <x v="5"/>
    <x v="5"/>
    <x v="2"/>
    <n v="8.99"/>
    <n v="1"/>
    <n v="8.99"/>
    <x v="0"/>
    <n v="2"/>
    <n v="0.03"/>
    <s v="Drama"/>
  </r>
  <r>
    <s v="d65621ad-d7c8-43cb-b2d5-338df3a9e044"/>
    <n v="35"/>
    <s v="Other"/>
    <s v="Basic"/>
    <n v="8.8699999999999992"/>
    <x v="2"/>
    <x v="3"/>
    <x v="2"/>
    <n v="8.99"/>
    <n v="0"/>
    <n v="0"/>
    <x v="4"/>
    <n v="2"/>
    <n v="0.81"/>
    <s v="Drama"/>
  </r>
  <r>
    <s v="1afd1afc-9a16-4a59-9391-b5165327d402"/>
    <n v="69"/>
    <s v="Male"/>
    <s v="Basic"/>
    <n v="21.53"/>
    <x v="13"/>
    <x v="5"/>
    <x v="2"/>
    <n v="8.99"/>
    <n v="0"/>
    <n v="0"/>
    <x v="1"/>
    <n v="3"/>
    <n v="2.69"/>
    <s v="Comedy"/>
  </r>
  <r>
    <s v="6242664e-528e-49c3-bd6d-d0449f66cc35"/>
    <n v="50"/>
    <s v="Other"/>
    <s v="Standard"/>
    <n v="7.54"/>
    <x v="20"/>
    <x v="4"/>
    <x v="3"/>
    <n v="13.99"/>
    <n v="0"/>
    <n v="0"/>
    <x v="4"/>
    <n v="4"/>
    <n v="0.4"/>
    <s v="Action"/>
  </r>
  <r>
    <s v="ce42525a-3f98-4e08-96d5-22881f3069cb"/>
    <n v="69"/>
    <s v="Female"/>
    <s v="Premium"/>
    <n v="6.95"/>
    <x v="50"/>
    <x v="1"/>
    <x v="3"/>
    <n v="17.989999999999998"/>
    <n v="0"/>
    <n v="0"/>
    <x v="2"/>
    <n v="5"/>
    <n v="0.13"/>
    <s v="Action"/>
  </r>
  <r>
    <s v="b25014f9-a877-4644-8ca2-3ecc383aede2"/>
    <n v="37"/>
    <s v="Other"/>
    <s v="Premium"/>
    <n v="58.79"/>
    <x v="16"/>
    <x v="5"/>
    <x v="1"/>
    <n v="17.989999999999998"/>
    <n v="0"/>
    <n v="0"/>
    <x v="1"/>
    <n v="3"/>
    <n v="2.1"/>
    <s v="Drama"/>
  </r>
  <r>
    <s v="a92e0986-aa29-4342-a381-38b070a25697"/>
    <n v="50"/>
    <s v="Other"/>
    <s v="Basic"/>
    <n v="18.87"/>
    <x v="54"/>
    <x v="3"/>
    <x v="1"/>
    <n v="8.99"/>
    <n v="0"/>
    <n v="0"/>
    <x v="1"/>
    <n v="4"/>
    <n v="0.65"/>
    <s v="Action"/>
  </r>
  <r>
    <s v="72b7cdc5-7d03-4550-8bc6-28db784dc8ca"/>
    <n v="56"/>
    <s v="Other"/>
    <s v="Premium"/>
    <n v="0.12"/>
    <x v="2"/>
    <x v="3"/>
    <x v="2"/>
    <n v="17.989999999999998"/>
    <n v="1"/>
    <n v="17.989999999999998"/>
    <x v="1"/>
    <n v="4"/>
    <n v="0.01"/>
    <s v="Horror"/>
  </r>
  <r>
    <s v="39de63f4-d266-4abf-b0f2-369d426acb2a"/>
    <n v="29"/>
    <s v="Female"/>
    <s v="Premium"/>
    <n v="17.11"/>
    <x v="59"/>
    <x v="4"/>
    <x v="1"/>
    <n v="17.989999999999998"/>
    <n v="0"/>
    <n v="0"/>
    <x v="1"/>
    <n v="1"/>
    <n v="2.85"/>
    <s v="Horror"/>
  </r>
  <r>
    <s v="2858e12c-4b07-4c7d-98d7-1c54f6e93ae1"/>
    <n v="48"/>
    <s v="Male"/>
    <s v="Basic"/>
    <n v="3.88"/>
    <x v="51"/>
    <x v="4"/>
    <x v="1"/>
    <n v="8.99"/>
    <n v="1"/>
    <n v="8.99"/>
    <x v="2"/>
    <n v="1"/>
    <n v="0.22"/>
    <s v="Action"/>
  </r>
  <r>
    <s v="b6b9253b-918d-45e9-8a32-50b03cd7e969"/>
    <n v="28"/>
    <s v="Male"/>
    <s v="Premium"/>
    <n v="9.2200000000000006"/>
    <x v="35"/>
    <x v="1"/>
    <x v="3"/>
    <n v="17.989999999999998"/>
    <n v="1"/>
    <n v="17.989999999999998"/>
    <x v="4"/>
    <n v="3"/>
    <n v="0.2"/>
    <s v="Drama"/>
  </r>
  <r>
    <s v="56e18a3c-3306-426a-87f4-a30881570966"/>
    <n v="19"/>
    <s v="Other"/>
    <s v="Standard"/>
    <n v="1.86"/>
    <x v="4"/>
    <x v="2"/>
    <x v="2"/>
    <n v="13.99"/>
    <n v="0"/>
    <n v="0"/>
    <x v="3"/>
    <n v="4"/>
    <n v="0.13"/>
    <s v="Documentary"/>
  </r>
  <r>
    <s v="924f48da-83dd-4188-81e0-30d3d4b7753a"/>
    <n v="35"/>
    <s v="Other"/>
    <s v="Standard"/>
    <n v="5.16"/>
    <x v="51"/>
    <x v="3"/>
    <x v="1"/>
    <n v="13.99"/>
    <n v="0"/>
    <n v="0"/>
    <x v="4"/>
    <n v="4"/>
    <n v="0.28999999999999998"/>
    <s v="Comedy"/>
  </r>
  <r>
    <s v="af8f5153-7336-4fda-9255-900c86922fef"/>
    <n v="51"/>
    <s v="Other"/>
    <s v="Basic"/>
    <n v="1.5"/>
    <x v="8"/>
    <x v="4"/>
    <x v="0"/>
    <n v="8.99"/>
    <n v="1"/>
    <n v="8.99"/>
    <x v="1"/>
    <n v="2"/>
    <n v="0.04"/>
    <s v="Documentary"/>
  </r>
  <r>
    <s v="11c276ad-6bf4-4e1e-bd5c-ae39ed4bad89"/>
    <n v="66"/>
    <s v="Male"/>
    <s v="Premium"/>
    <n v="5.73"/>
    <x v="56"/>
    <x v="1"/>
    <x v="3"/>
    <n v="17.989999999999998"/>
    <n v="1"/>
    <n v="17.989999999999998"/>
    <x v="3"/>
    <n v="1"/>
    <n v="0.1"/>
    <s v="Action"/>
  </r>
  <r>
    <s v="3f02596b-e0e2-4a15-8142-60d5d4ea59cb"/>
    <n v="55"/>
    <s v="Male"/>
    <s v="Basic"/>
    <n v="10.19"/>
    <x v="59"/>
    <x v="1"/>
    <x v="3"/>
    <n v="8.99"/>
    <n v="0"/>
    <n v="0"/>
    <x v="3"/>
    <n v="3"/>
    <n v="1.7"/>
    <s v="Action"/>
  </r>
  <r>
    <s v="31ff060b-e65e-4ff9-b663-dc0431f70c17"/>
    <n v="63"/>
    <s v="Male"/>
    <s v="Basic"/>
    <n v="6.81"/>
    <x v="20"/>
    <x v="1"/>
    <x v="0"/>
    <n v="8.99"/>
    <n v="0"/>
    <n v="0"/>
    <x v="0"/>
    <n v="4"/>
    <n v="0.36"/>
    <s v="Comedy"/>
  </r>
  <r>
    <s v="2033f502-adfa-4ac1-8bfa-151aa1c6b05b"/>
    <n v="27"/>
    <s v="Other"/>
    <s v="Premium"/>
    <n v="6.78"/>
    <x v="17"/>
    <x v="4"/>
    <x v="1"/>
    <n v="17.989999999999998"/>
    <n v="0"/>
    <n v="0"/>
    <x v="3"/>
    <n v="3"/>
    <n v="1.36"/>
    <s v="Drama"/>
  </r>
  <r>
    <s v="0eac3038-33dd-4516-99ec-84d02f68a2c5"/>
    <n v="34"/>
    <s v="Other"/>
    <s v="Standard"/>
    <n v="1.92"/>
    <x v="43"/>
    <x v="3"/>
    <x v="0"/>
    <n v="13.99"/>
    <n v="1"/>
    <n v="13.99"/>
    <x v="3"/>
    <n v="1"/>
    <n v="0.06"/>
    <s v="Action"/>
  </r>
  <r>
    <s v="a819f681-825a-48b6-9554-03c6ca09838b"/>
    <n v="39"/>
    <s v="Other"/>
    <s v="Standard"/>
    <n v="8.6"/>
    <x v="42"/>
    <x v="1"/>
    <x v="1"/>
    <n v="13.99"/>
    <n v="0"/>
    <n v="0"/>
    <x v="4"/>
    <n v="4"/>
    <n v="0.23"/>
    <s v="Action"/>
  </r>
  <r>
    <s v="2d0da2af-0c0a-45d2-90e2-09bf79d186b2"/>
    <n v="34"/>
    <s v="Female"/>
    <s v="Standard"/>
    <n v="4.0599999999999996"/>
    <x v="35"/>
    <x v="1"/>
    <x v="4"/>
    <n v="13.99"/>
    <n v="1"/>
    <n v="13.99"/>
    <x v="3"/>
    <n v="1"/>
    <n v="0.09"/>
    <s v="Drama"/>
  </r>
  <r>
    <s v="7e1fcb2f-e933-483a-a590-2d30a6f08e1b"/>
    <n v="24"/>
    <s v="Female"/>
    <s v="Standard"/>
    <n v="30.49"/>
    <x v="36"/>
    <x v="5"/>
    <x v="0"/>
    <n v="13.99"/>
    <n v="0"/>
    <n v="0"/>
    <x v="3"/>
    <n v="1"/>
    <n v="0.76"/>
    <s v="Sci-Fi"/>
  </r>
  <r>
    <s v="94096f6c-620a-4bb2-a60e-37dd3f3b1c53"/>
    <n v="33"/>
    <s v="Female"/>
    <s v="Basic"/>
    <n v="6.73"/>
    <x v="44"/>
    <x v="4"/>
    <x v="3"/>
    <n v="8.99"/>
    <n v="1"/>
    <n v="8.99"/>
    <x v="4"/>
    <n v="2"/>
    <n v="0.14000000000000001"/>
    <s v="Drama"/>
  </r>
  <r>
    <s v="47bac1f0-d7bf-4c0b-8489-888e89950661"/>
    <n v="62"/>
    <s v="Male"/>
    <s v="Basic"/>
    <n v="0.9"/>
    <x v="39"/>
    <x v="4"/>
    <x v="4"/>
    <n v="8.99"/>
    <n v="1"/>
    <n v="8.99"/>
    <x v="2"/>
    <n v="4"/>
    <n v="0.04"/>
    <s v="Romance"/>
  </r>
  <r>
    <s v="7d3a7eb0-43dc-437f-acb9-23282ba7030d"/>
    <n v="51"/>
    <s v="Female"/>
    <s v="Basic"/>
    <n v="7.61"/>
    <x v="11"/>
    <x v="4"/>
    <x v="4"/>
    <n v="8.99"/>
    <n v="1"/>
    <n v="8.99"/>
    <x v="0"/>
    <n v="3"/>
    <n v="0.32"/>
    <s v="Comedy"/>
  </r>
  <r>
    <s v="0473d552-6b1f-403d-82f0-df9246e4da81"/>
    <n v="48"/>
    <s v="Male"/>
    <s v="Basic"/>
    <n v="7.52"/>
    <x v="26"/>
    <x v="2"/>
    <x v="3"/>
    <n v="8.99"/>
    <n v="1"/>
    <n v="8.99"/>
    <x v="2"/>
    <n v="3"/>
    <n v="0.15"/>
    <s v="Romance"/>
  </r>
  <r>
    <s v="f178d493-4e6d-4769-8e2a-fb17b9e3b217"/>
    <n v="20"/>
    <s v="Male"/>
    <s v="Premium"/>
    <n v="6.94"/>
    <x v="29"/>
    <x v="4"/>
    <x v="1"/>
    <n v="17.989999999999998"/>
    <n v="1"/>
    <n v="17.989999999999998"/>
    <x v="4"/>
    <n v="1"/>
    <n v="0.15"/>
    <s v="Comedy"/>
  </r>
  <r>
    <s v="8ef7eacb-b757-4433-8663-81f540a1f53f"/>
    <n v="44"/>
    <s v="Male"/>
    <s v="Premium"/>
    <n v="0.62"/>
    <x v="39"/>
    <x v="0"/>
    <x v="4"/>
    <n v="17.989999999999998"/>
    <n v="1"/>
    <n v="17.989999999999998"/>
    <x v="3"/>
    <n v="2"/>
    <n v="0.03"/>
    <s v="Documentary"/>
  </r>
  <r>
    <s v="f51adae7-ef23-404a-a35b-af069595bfc3"/>
    <n v="62"/>
    <s v="Female"/>
    <s v="Basic"/>
    <n v="79.180000000000007"/>
    <x v="20"/>
    <x v="1"/>
    <x v="0"/>
    <n v="8.99"/>
    <n v="0"/>
    <n v="0"/>
    <x v="4"/>
    <n v="3"/>
    <n v="4.17"/>
    <s v="Documentary"/>
  </r>
  <r>
    <s v="5377482b-2831-42cb-a580-2c8bc3613adc"/>
    <n v="41"/>
    <s v="Other"/>
    <s v="Basic"/>
    <n v="5.65"/>
    <x v="18"/>
    <x v="0"/>
    <x v="4"/>
    <n v="8.99"/>
    <n v="1"/>
    <n v="8.99"/>
    <x v="2"/>
    <n v="5"/>
    <n v="0.1"/>
    <s v="Comedy"/>
  </r>
  <r>
    <s v="cbd69447-6141-4d27-80e4-3d24b6720c99"/>
    <n v="51"/>
    <s v="Other"/>
    <s v="Premium"/>
    <n v="1.37"/>
    <x v="57"/>
    <x v="4"/>
    <x v="4"/>
    <n v="17.989999999999998"/>
    <n v="1"/>
    <n v="17.989999999999998"/>
    <x v="3"/>
    <n v="4"/>
    <n v="0.02"/>
    <s v="Action"/>
  </r>
  <r>
    <s v="aa5d28fd-4c26-4f47-8fca-552f071cc0b4"/>
    <n v="39"/>
    <s v="Female"/>
    <s v="Standard"/>
    <n v="17.670000000000002"/>
    <x v="4"/>
    <x v="1"/>
    <x v="4"/>
    <n v="13.99"/>
    <n v="0"/>
    <n v="0"/>
    <x v="2"/>
    <n v="3"/>
    <n v="1.26"/>
    <s v="Romance"/>
  </r>
  <r>
    <s v="651b3e7c-1854-42e0-9a77-5764c9372d8c"/>
    <n v="52"/>
    <s v="Other"/>
    <s v="Basic"/>
    <n v="9.57"/>
    <x v="33"/>
    <x v="4"/>
    <x v="0"/>
    <n v="8.99"/>
    <n v="0"/>
    <n v="0"/>
    <x v="2"/>
    <n v="5"/>
    <n v="0.37"/>
    <s v="Horror"/>
  </r>
  <r>
    <s v="f8a4d03b-fdf7-4ee5-86e9-411e45645bae"/>
    <n v="22"/>
    <s v="Male"/>
    <s v="Premium"/>
    <n v="2.14"/>
    <x v="24"/>
    <x v="3"/>
    <x v="0"/>
    <n v="17.989999999999998"/>
    <n v="1"/>
    <n v="17.989999999999998"/>
    <x v="3"/>
    <n v="2"/>
    <n v="0.04"/>
    <s v="Horror"/>
  </r>
  <r>
    <s v="3a24c949-e09e-4bae-830b-2c5462cf12dd"/>
    <n v="23"/>
    <s v="Female"/>
    <s v="Basic"/>
    <n v="8.23"/>
    <x v="11"/>
    <x v="3"/>
    <x v="3"/>
    <n v="8.99"/>
    <n v="1"/>
    <n v="8.99"/>
    <x v="3"/>
    <n v="1"/>
    <n v="0.34"/>
    <s v="Action"/>
  </r>
  <r>
    <s v="e14b47da-804c-4813-9b11-42c5bf7a7966"/>
    <n v="44"/>
    <s v="Male"/>
    <s v="Basic"/>
    <n v="24.96"/>
    <x v="28"/>
    <x v="1"/>
    <x v="0"/>
    <n v="8.99"/>
    <n v="0"/>
    <n v="0"/>
    <x v="1"/>
    <n v="2"/>
    <n v="0.69"/>
    <s v="Documentary"/>
  </r>
  <r>
    <s v="2c38e8ff-cf40-454e-b3b0-740af2a79dc4"/>
    <n v="58"/>
    <s v="Female"/>
    <s v="Standard"/>
    <n v="2.5299999999999998"/>
    <x v="50"/>
    <x v="1"/>
    <x v="3"/>
    <n v="13.99"/>
    <n v="1"/>
    <n v="13.99"/>
    <x v="0"/>
    <n v="5"/>
    <n v="0.05"/>
    <s v="Sci-Fi"/>
  </r>
  <r>
    <s v="2b91949d-dcf1-41ea-a2d7-4c9314f5279d"/>
    <n v="37"/>
    <s v="Male"/>
    <s v="Standard"/>
    <n v="5.08"/>
    <x v="15"/>
    <x v="0"/>
    <x v="2"/>
    <n v="13.99"/>
    <n v="0"/>
    <n v="0"/>
    <x v="3"/>
    <n v="4"/>
    <n v="0.12"/>
    <s v="Documentary"/>
  </r>
  <r>
    <s v="c6ef4026-e73c-488a-ad6f-9928108317be"/>
    <n v="62"/>
    <s v="Other"/>
    <s v="Standard"/>
    <n v="7.36"/>
    <x v="29"/>
    <x v="0"/>
    <x v="2"/>
    <n v="13.99"/>
    <n v="1"/>
    <n v="13.99"/>
    <x v="3"/>
    <n v="2"/>
    <n v="0.16"/>
    <s v="Horror"/>
  </r>
  <r>
    <s v="56a921c2-c213-45f1-9dbb-de2e3301283a"/>
    <n v="22"/>
    <s v="Female"/>
    <s v="Basic"/>
    <n v="8.01"/>
    <x v="5"/>
    <x v="1"/>
    <x v="4"/>
    <n v="8.99"/>
    <n v="1"/>
    <n v="8.99"/>
    <x v="3"/>
    <n v="1"/>
    <n v="0.3"/>
    <s v="Drama"/>
  </r>
  <r>
    <s v="ed940bf8-aee8-4084-aea0-c94146d3a17c"/>
    <n v="59"/>
    <s v="Male"/>
    <s v="Standard"/>
    <n v="1.86"/>
    <x v="15"/>
    <x v="4"/>
    <x v="2"/>
    <n v="13.99"/>
    <n v="1"/>
    <n v="13.99"/>
    <x v="1"/>
    <n v="5"/>
    <n v="0.05"/>
    <s v="Drama"/>
  </r>
  <r>
    <s v="9dff2733-4de0-4a36-9c8c-0e7dac7e36da"/>
    <n v="67"/>
    <s v="Male"/>
    <s v="Premium"/>
    <n v="7.94"/>
    <x v="24"/>
    <x v="4"/>
    <x v="4"/>
    <n v="17.989999999999998"/>
    <n v="1"/>
    <n v="17.989999999999998"/>
    <x v="1"/>
    <n v="1"/>
    <n v="0.15"/>
    <s v="Horror"/>
  </r>
  <r>
    <s v="f33fab0f-cdc4-4f27-927b-71b8540f1645"/>
    <n v="63"/>
    <s v="Female"/>
    <s v="Basic"/>
    <n v="1.84"/>
    <x v="31"/>
    <x v="4"/>
    <x v="3"/>
    <n v="8.99"/>
    <n v="1"/>
    <n v="8.99"/>
    <x v="2"/>
    <n v="3"/>
    <n v="0.12"/>
    <s v="Action"/>
  </r>
  <r>
    <s v="63a5e679-c714-4728-b7b1-bd682373e173"/>
    <n v="23"/>
    <s v="Other"/>
    <s v="Basic"/>
    <n v="1.04"/>
    <x v="55"/>
    <x v="4"/>
    <x v="4"/>
    <n v="8.99"/>
    <n v="1"/>
    <n v="8.99"/>
    <x v="4"/>
    <n v="4"/>
    <n v="0.02"/>
    <s v="Comedy"/>
  </r>
  <r>
    <s v="eb856ff3-00f3-44e5-be5b-0d895c9226e5"/>
    <n v="68"/>
    <s v="Male"/>
    <s v="Basic"/>
    <n v="24.34"/>
    <x v="27"/>
    <x v="3"/>
    <x v="3"/>
    <n v="8.99"/>
    <n v="0"/>
    <n v="0"/>
    <x v="4"/>
    <n v="5"/>
    <n v="1.43"/>
    <s v="Documentary"/>
  </r>
  <r>
    <s v="36c1e728-81e6-4d66-99a2-cc8773d2db30"/>
    <n v="42"/>
    <s v="Other"/>
    <s v="Standard"/>
    <n v="0.02"/>
    <x v="10"/>
    <x v="1"/>
    <x v="3"/>
    <n v="13.99"/>
    <n v="1"/>
    <n v="13.99"/>
    <x v="1"/>
    <n v="3"/>
    <n v="0"/>
    <s v="Romance"/>
  </r>
  <r>
    <s v="59851cb6-1f00-424c-88b2-e1a5a3320650"/>
    <n v="61"/>
    <s v="Female"/>
    <s v="Premium"/>
    <n v="6.27"/>
    <x v="53"/>
    <x v="4"/>
    <x v="0"/>
    <n v="17.989999999999998"/>
    <n v="1"/>
    <n v="17.989999999999998"/>
    <x v="1"/>
    <n v="1"/>
    <n v="0.15"/>
    <s v="Action"/>
  </r>
  <r>
    <s v="d1a393f0-9e4c-481a-a923-37ac3b34df3e"/>
    <n v="39"/>
    <s v="Male"/>
    <s v="Premium"/>
    <n v="16.03"/>
    <x v="4"/>
    <x v="2"/>
    <x v="0"/>
    <n v="17.989999999999998"/>
    <n v="0"/>
    <n v="0"/>
    <x v="4"/>
    <n v="1"/>
    <n v="1.1499999999999999"/>
    <s v="Documentary"/>
  </r>
  <r>
    <s v="351a84a4-4945-4956-a4f9-191886ec3e59"/>
    <n v="22"/>
    <s v="Female"/>
    <s v="Standard"/>
    <n v="2.14"/>
    <x v="35"/>
    <x v="3"/>
    <x v="2"/>
    <n v="13.99"/>
    <n v="1"/>
    <n v="13.99"/>
    <x v="1"/>
    <n v="4"/>
    <n v="0.05"/>
    <s v="Sci-Fi"/>
  </r>
  <r>
    <s v="4a96d981-4507-4e47-816a-6b5cf721875f"/>
    <n v="46"/>
    <s v="Male"/>
    <s v="Basic"/>
    <n v="13.33"/>
    <x v="8"/>
    <x v="2"/>
    <x v="2"/>
    <n v="8.99"/>
    <n v="1"/>
    <n v="8.99"/>
    <x v="4"/>
    <n v="2"/>
    <n v="0.38"/>
    <s v="Sci-Fi"/>
  </r>
  <r>
    <s v="deb7873d-1def-45fa-afd9-1cd7a6c3b199"/>
    <n v="64"/>
    <s v="Male"/>
    <s v="Basic"/>
    <n v="15.97"/>
    <x v="21"/>
    <x v="3"/>
    <x v="1"/>
    <n v="8.99"/>
    <n v="0"/>
    <n v="0"/>
    <x v="4"/>
    <n v="1"/>
    <n v="2.2799999999999998"/>
    <s v="Romance"/>
  </r>
  <r>
    <s v="f44bb6f9-a8d9-4bac-95fc-6fd46ca8c65c"/>
    <n v="35"/>
    <s v="Male"/>
    <s v="Premium"/>
    <n v="11.07"/>
    <x v="3"/>
    <x v="1"/>
    <x v="4"/>
    <n v="17.989999999999998"/>
    <n v="0"/>
    <n v="0"/>
    <x v="3"/>
    <n v="3"/>
    <n v="0.85"/>
    <s v="Horror"/>
  </r>
  <r>
    <s v="02ec2522-2ad3-47c8-862a-0ecbcd44d536"/>
    <n v="53"/>
    <s v="Female"/>
    <s v="Basic"/>
    <n v="7.84"/>
    <x v="25"/>
    <x v="5"/>
    <x v="1"/>
    <n v="8.99"/>
    <n v="0"/>
    <n v="0"/>
    <x v="0"/>
    <n v="3"/>
    <n v="7.84"/>
    <s v="Action"/>
  </r>
  <r>
    <s v="6308bb89-2d05-4eb5-b8b6-1a29eaa86f65"/>
    <n v="40"/>
    <s v="Other"/>
    <s v="Basic"/>
    <n v="8.15"/>
    <x v="37"/>
    <x v="0"/>
    <x v="2"/>
    <n v="8.99"/>
    <n v="0"/>
    <n v="0"/>
    <x v="3"/>
    <n v="4"/>
    <n v="0.33"/>
    <s v="Horror"/>
  </r>
  <r>
    <s v="17eb2d4c-2069-4247-9ced-33e6af1ccd4f"/>
    <n v="41"/>
    <s v="Female"/>
    <s v="Premium"/>
    <n v="1.35"/>
    <x v="55"/>
    <x v="2"/>
    <x v="2"/>
    <n v="17.989999999999998"/>
    <n v="1"/>
    <n v="17.989999999999998"/>
    <x v="3"/>
    <n v="1"/>
    <n v="0.02"/>
    <s v="Horror"/>
  </r>
  <r>
    <s v="04664fb8-2dc2-49fc-8f2f-2783dcbe7443"/>
    <n v="26"/>
    <s v="Male"/>
    <s v="Standard"/>
    <n v="41.97"/>
    <x v="35"/>
    <x v="4"/>
    <x v="3"/>
    <n v="13.99"/>
    <n v="0"/>
    <n v="0"/>
    <x v="0"/>
    <n v="2"/>
    <n v="0.93"/>
    <s v="Romance"/>
  </r>
  <r>
    <s v="e401cb19-1807-4c06-99bc-0cc66b195884"/>
    <n v="53"/>
    <s v="Other"/>
    <s v="Standard"/>
    <n v="7.16"/>
    <x v="12"/>
    <x v="2"/>
    <x v="2"/>
    <n v="13.99"/>
    <n v="1"/>
    <n v="13.99"/>
    <x v="2"/>
    <n v="1"/>
    <n v="0.21"/>
    <s v="Drama"/>
  </r>
  <r>
    <s v="0567aa10-7398-4fb5-9ad7-05bc221ccf7b"/>
    <n v="70"/>
    <s v="Female"/>
    <s v="Basic"/>
    <n v="12.25"/>
    <x v="60"/>
    <x v="0"/>
    <x v="3"/>
    <n v="8.99"/>
    <n v="0"/>
    <n v="0"/>
    <x v="1"/>
    <n v="3"/>
    <n v="1.36"/>
    <s v="Horror"/>
  </r>
  <r>
    <s v="0e38ffca-1f73-4b0d-82c2-e19a2035bab1"/>
    <n v="46"/>
    <s v="Other"/>
    <s v="Premium"/>
    <n v="8.98"/>
    <x v="4"/>
    <x v="0"/>
    <x v="3"/>
    <n v="17.989999999999998"/>
    <n v="0"/>
    <n v="0"/>
    <x v="0"/>
    <n v="5"/>
    <n v="0.64"/>
    <s v="Romance"/>
  </r>
  <r>
    <s v="a3e71728-f0d7-4b75-adf0-6df1d25f662e"/>
    <n v="22"/>
    <s v="Other"/>
    <s v="Standard"/>
    <n v="21.77"/>
    <x v="5"/>
    <x v="4"/>
    <x v="0"/>
    <n v="13.99"/>
    <n v="0"/>
    <n v="0"/>
    <x v="4"/>
    <n v="5"/>
    <n v="0.81"/>
    <s v="Romance"/>
  </r>
  <r>
    <s v="153f211f-8482-4da2-89b4-44848fa3ee76"/>
    <n v="55"/>
    <s v="Female"/>
    <s v="Standard"/>
    <n v="50.26"/>
    <x v="23"/>
    <x v="2"/>
    <x v="4"/>
    <n v="13.99"/>
    <n v="0"/>
    <n v="0"/>
    <x v="4"/>
    <n v="3"/>
    <n v="0.93"/>
    <s v="Comedy"/>
  </r>
  <r>
    <s v="25d139fe-79a2-42a1-8a50-519177556977"/>
    <n v="26"/>
    <s v="Male"/>
    <s v="Standard"/>
    <n v="4.97"/>
    <x v="2"/>
    <x v="0"/>
    <x v="2"/>
    <n v="13.99"/>
    <n v="1"/>
    <n v="13.99"/>
    <x v="3"/>
    <n v="1"/>
    <n v="0.45"/>
    <s v="Horror"/>
  </r>
  <r>
    <s v="a7a5f733-c699-45ee-8aa3-22d484d8dfba"/>
    <n v="43"/>
    <s v="Male"/>
    <s v="Premium"/>
    <n v="2.23"/>
    <x v="0"/>
    <x v="3"/>
    <x v="2"/>
    <n v="17.989999999999998"/>
    <n v="1"/>
    <n v="17.989999999999998"/>
    <x v="0"/>
    <n v="1"/>
    <n v="7.0000000000000007E-2"/>
    <s v="Documentary"/>
  </r>
  <r>
    <s v="c50b4664-7e7c-4c68-8615-0dd35ce09233"/>
    <n v="51"/>
    <s v="Female"/>
    <s v="Basic"/>
    <n v="12.86"/>
    <x v="14"/>
    <x v="0"/>
    <x v="2"/>
    <n v="8.99"/>
    <n v="1"/>
    <n v="8.99"/>
    <x v="3"/>
    <n v="5"/>
    <n v="0.39"/>
    <s v="Action"/>
  </r>
  <r>
    <s v="9a94d32f-e929-4b83-8cb1-b58b14e15500"/>
    <n v="41"/>
    <s v="Male"/>
    <s v="Standard"/>
    <n v="9.19"/>
    <x v="29"/>
    <x v="5"/>
    <x v="2"/>
    <n v="13.99"/>
    <n v="1"/>
    <n v="13.99"/>
    <x v="3"/>
    <n v="2"/>
    <n v="0.2"/>
    <s v="Drama"/>
  </r>
  <r>
    <s v="b1fd18d0-3bee-4d64-b41d-20adab557168"/>
    <n v="25"/>
    <s v="Male"/>
    <s v="Standard"/>
    <n v="9.59"/>
    <x v="33"/>
    <x v="5"/>
    <x v="0"/>
    <n v="13.99"/>
    <n v="0"/>
    <n v="0"/>
    <x v="3"/>
    <n v="2"/>
    <n v="0.37"/>
    <s v="Action"/>
  </r>
  <r>
    <s v="92880fff-5ea0-438f-b82f-52da83a48a2e"/>
    <n v="27"/>
    <s v="Female"/>
    <s v="Premium"/>
    <n v="5.82"/>
    <x v="52"/>
    <x v="3"/>
    <x v="2"/>
    <n v="17.989999999999998"/>
    <n v="1"/>
    <n v="17.989999999999998"/>
    <x v="0"/>
    <n v="2"/>
    <n v="0.12"/>
    <s v="Documentary"/>
  </r>
  <r>
    <s v="275285d4-3473-42ef-9539-36f58642ca2d"/>
    <n v="62"/>
    <s v="Male"/>
    <s v="Premium"/>
    <n v="5.94"/>
    <x v="27"/>
    <x v="1"/>
    <x v="0"/>
    <n v="17.989999999999998"/>
    <n v="0"/>
    <n v="0"/>
    <x v="4"/>
    <n v="4"/>
    <n v="0.35"/>
    <s v="Documentary"/>
  </r>
  <r>
    <s v="c7e04e58-fe88-45e8-9b70-e8325d3c0d77"/>
    <n v="36"/>
    <s v="Other"/>
    <s v="Premium"/>
    <n v="25.4"/>
    <x v="44"/>
    <x v="3"/>
    <x v="2"/>
    <n v="17.989999999999998"/>
    <n v="0"/>
    <n v="0"/>
    <x v="2"/>
    <n v="5"/>
    <n v="0.54"/>
    <s v="Documentary"/>
  </r>
  <r>
    <s v="ed3733c8-fad9-42d2-a075-753a501485c1"/>
    <n v="30"/>
    <s v="Male"/>
    <s v="Standard"/>
    <n v="2.2599999999999998"/>
    <x v="47"/>
    <x v="4"/>
    <x v="0"/>
    <n v="13.99"/>
    <n v="0"/>
    <n v="0"/>
    <x v="0"/>
    <n v="4"/>
    <n v="0.56000000000000005"/>
    <s v="Documentary"/>
  </r>
  <r>
    <s v="bb595ca1-75a4-4ff2-b2d5-7bc616908485"/>
    <n v="57"/>
    <s v="Other"/>
    <s v="Basic"/>
    <n v="21.42"/>
    <x v="48"/>
    <x v="4"/>
    <x v="3"/>
    <n v="8.99"/>
    <n v="1"/>
    <n v="8.99"/>
    <x v="0"/>
    <n v="4"/>
    <n v="0.41"/>
    <s v="Romance"/>
  </r>
  <r>
    <s v="de6ffcd0-4344-4bc7-9f81-0a47b718b1c6"/>
    <n v="48"/>
    <s v="Female"/>
    <s v="Standard"/>
    <n v="0.81"/>
    <x v="50"/>
    <x v="5"/>
    <x v="1"/>
    <n v="13.99"/>
    <n v="1"/>
    <n v="13.99"/>
    <x v="4"/>
    <n v="1"/>
    <n v="0.01"/>
    <s v="Action"/>
  </r>
  <r>
    <s v="7ae75372-d52c-4b9f-81db-187b5df11b8f"/>
    <n v="37"/>
    <s v="Female"/>
    <s v="Premium"/>
    <n v="7.79"/>
    <x v="22"/>
    <x v="2"/>
    <x v="3"/>
    <n v="17.989999999999998"/>
    <n v="1"/>
    <n v="17.989999999999998"/>
    <x v="2"/>
    <n v="2"/>
    <n v="0.14000000000000001"/>
    <s v="Documentary"/>
  </r>
  <r>
    <s v="0961b447-259c-4106-9dfc-b29c18ee3268"/>
    <n v="31"/>
    <s v="Female"/>
    <s v="Premium"/>
    <n v="17.829999999999998"/>
    <x v="60"/>
    <x v="5"/>
    <x v="4"/>
    <n v="17.989999999999998"/>
    <n v="0"/>
    <n v="0"/>
    <x v="3"/>
    <n v="3"/>
    <n v="1.98"/>
    <s v="Sci-Fi"/>
  </r>
  <r>
    <s v="6733fa88-2c22-4289-8f9d-2738f2f223f2"/>
    <n v="67"/>
    <s v="Female"/>
    <s v="Basic"/>
    <n v="0.34"/>
    <x v="27"/>
    <x v="1"/>
    <x v="1"/>
    <n v="8.99"/>
    <n v="1"/>
    <n v="8.99"/>
    <x v="0"/>
    <n v="4"/>
    <n v="0.02"/>
    <s v="Horror"/>
  </r>
  <r>
    <s v="ba736959-f583-4739-8968-0290afa029e6"/>
    <n v="49"/>
    <s v="Male"/>
    <s v="Basic"/>
    <n v="4.1100000000000003"/>
    <x v="47"/>
    <x v="3"/>
    <x v="1"/>
    <n v="8.99"/>
    <n v="1"/>
    <n v="8.99"/>
    <x v="1"/>
    <n v="3"/>
    <n v="1.03"/>
    <s v="Action"/>
  </r>
  <r>
    <s v="d60d6724-ba88-43d6-b084-1098266795e3"/>
    <n v="63"/>
    <s v="Other"/>
    <s v="Premium"/>
    <n v="13.82"/>
    <x v="10"/>
    <x v="5"/>
    <x v="3"/>
    <n v="17.989999999999998"/>
    <n v="1"/>
    <n v="17.989999999999998"/>
    <x v="1"/>
    <n v="2"/>
    <n v="0.35"/>
    <s v="Sci-Fi"/>
  </r>
  <r>
    <s v="16e5f52c-b9a9-4682-bd78-bab672de433f"/>
    <n v="48"/>
    <s v="Male"/>
    <s v="Basic"/>
    <n v="2.12"/>
    <x v="24"/>
    <x v="5"/>
    <x v="2"/>
    <n v="8.99"/>
    <n v="1"/>
    <n v="8.99"/>
    <x v="1"/>
    <n v="5"/>
    <n v="0.04"/>
    <s v="Documentary"/>
  </r>
  <r>
    <s v="cae083ba-161c-4411-a397-aa999397571f"/>
    <n v="42"/>
    <s v="Other"/>
    <s v="Basic"/>
    <n v="28.96"/>
    <x v="39"/>
    <x v="1"/>
    <x v="2"/>
    <n v="8.99"/>
    <n v="0"/>
    <n v="0"/>
    <x v="3"/>
    <n v="5"/>
    <n v="1.26"/>
    <s v="Sci-Fi"/>
  </r>
  <r>
    <s v="c7e024a2-a7b1-42de-9ec8-2eface7a42ea"/>
    <n v="54"/>
    <s v="Male"/>
    <s v="Standard"/>
    <n v="13.51"/>
    <x v="5"/>
    <x v="2"/>
    <x v="4"/>
    <n v="13.99"/>
    <n v="0"/>
    <n v="0"/>
    <x v="3"/>
    <n v="4"/>
    <n v="0.5"/>
    <s v="Horror"/>
  </r>
  <r>
    <s v="d294b97f-cf2d-4d94-a8ae-75b4fbb91cf6"/>
    <n v="39"/>
    <s v="Other"/>
    <s v="Premium"/>
    <n v="3.87"/>
    <x v="11"/>
    <x v="5"/>
    <x v="2"/>
    <n v="17.989999999999998"/>
    <n v="0"/>
    <n v="0"/>
    <x v="2"/>
    <n v="5"/>
    <n v="0.16"/>
    <s v="Drama"/>
  </r>
  <r>
    <s v="658035e4-1ba4-4be1-9ef9-45b5307d06d0"/>
    <n v="31"/>
    <s v="Other"/>
    <s v="Premium"/>
    <n v="15.41"/>
    <x v="35"/>
    <x v="5"/>
    <x v="3"/>
    <n v="17.989999999999998"/>
    <n v="1"/>
    <n v="17.989999999999998"/>
    <x v="3"/>
    <n v="2"/>
    <n v="0.34"/>
    <s v="Sci-Fi"/>
  </r>
  <r>
    <s v="581e6697-714a-4270-a0ee-fa3f59b0af0c"/>
    <n v="46"/>
    <s v="Female"/>
    <s v="Standard"/>
    <n v="3.07"/>
    <x v="48"/>
    <x v="1"/>
    <x v="4"/>
    <n v="13.99"/>
    <n v="1"/>
    <n v="13.99"/>
    <x v="1"/>
    <n v="2"/>
    <n v="0.06"/>
    <s v="Documentary"/>
  </r>
  <r>
    <s v="803ceff0-36a0-4703-bf52-cad1d975542f"/>
    <n v="53"/>
    <s v="Male"/>
    <s v="Basic"/>
    <n v="0.09"/>
    <x v="20"/>
    <x v="0"/>
    <x v="1"/>
    <n v="8.99"/>
    <n v="1"/>
    <n v="8.99"/>
    <x v="3"/>
    <n v="3"/>
    <n v="0"/>
    <s v="Comedy"/>
  </r>
  <r>
    <s v="73f751c7-8c61-4e76-83b6-452af6a4ede5"/>
    <n v="33"/>
    <s v="Female"/>
    <s v="Premium"/>
    <n v="3.91"/>
    <x v="40"/>
    <x v="3"/>
    <x v="3"/>
    <n v="17.989999999999998"/>
    <n v="1"/>
    <n v="17.989999999999998"/>
    <x v="2"/>
    <n v="2"/>
    <n v="0.33"/>
    <s v="Comedy"/>
  </r>
  <r>
    <s v="b599a0ed-bf0a-45bb-aeb6-0722f73a50fa"/>
    <n v="67"/>
    <s v="Male"/>
    <s v="Standard"/>
    <n v="1.71"/>
    <x v="58"/>
    <x v="2"/>
    <x v="4"/>
    <n v="13.99"/>
    <n v="1"/>
    <n v="13.99"/>
    <x v="1"/>
    <n v="2"/>
    <n v="0.04"/>
    <s v="Romance"/>
  </r>
  <r>
    <s v="da72bd4b-af88-4044-9054-b1256e865aa1"/>
    <n v="37"/>
    <s v="Female"/>
    <s v="Premium"/>
    <n v="0.56000000000000005"/>
    <x v="34"/>
    <x v="1"/>
    <x v="0"/>
    <n v="17.989999999999998"/>
    <n v="1"/>
    <n v="17.989999999999998"/>
    <x v="2"/>
    <n v="3"/>
    <n v="0.01"/>
    <s v="Documentary"/>
  </r>
  <r>
    <s v="5e38612f-0499-48d1-9b5c-77f3ac880488"/>
    <n v="25"/>
    <s v="Male"/>
    <s v="Standard"/>
    <n v="7.12"/>
    <x v="12"/>
    <x v="4"/>
    <x v="2"/>
    <n v="13.99"/>
    <n v="1"/>
    <n v="13.99"/>
    <x v="1"/>
    <n v="2"/>
    <n v="0.21"/>
    <s v="Documentary"/>
  </r>
  <r>
    <s v="0a66cb6f-a8c4-44db-bce7-81a5c9e5e968"/>
    <n v="54"/>
    <s v="Female"/>
    <s v="Premium"/>
    <n v="1.42"/>
    <x v="55"/>
    <x v="4"/>
    <x v="2"/>
    <n v="17.989999999999998"/>
    <n v="1"/>
    <n v="17.989999999999998"/>
    <x v="4"/>
    <n v="5"/>
    <n v="0.02"/>
    <s v="Documentary"/>
  </r>
  <r>
    <s v="b9444b66-159e-4445-baa3-86b6c67d2a12"/>
    <n v="29"/>
    <s v="Female"/>
    <s v="Basic"/>
    <n v="18.53"/>
    <x v="16"/>
    <x v="0"/>
    <x v="1"/>
    <n v="8.99"/>
    <n v="0"/>
    <n v="0"/>
    <x v="3"/>
    <n v="4"/>
    <n v="0.66"/>
    <s v="Comedy"/>
  </r>
  <r>
    <s v="a4493643-2e07-47da-a9aa-2cfd8b95ee3c"/>
    <n v="63"/>
    <s v="Male"/>
    <s v="Premium"/>
    <n v="13.66"/>
    <x v="17"/>
    <x v="2"/>
    <x v="1"/>
    <n v="17.989999999999998"/>
    <n v="0"/>
    <n v="0"/>
    <x v="3"/>
    <n v="2"/>
    <n v="2.73"/>
    <s v="Sci-Fi"/>
  </r>
  <r>
    <s v="9cbb6afa-02d9-4d41-a3a0-2cee0503e9cb"/>
    <n v="30"/>
    <s v="Female"/>
    <s v="Standard"/>
    <n v="6.03"/>
    <x v="21"/>
    <x v="1"/>
    <x v="3"/>
    <n v="13.99"/>
    <n v="0"/>
    <n v="0"/>
    <x v="1"/>
    <n v="1"/>
    <n v="0.86"/>
    <s v="Horror"/>
  </r>
  <r>
    <s v="7bab1710-b049-40ab-a51a-d4b81eb796ca"/>
    <n v="50"/>
    <s v="Female"/>
    <s v="Standard"/>
    <n v="16.829999999999998"/>
    <x v="40"/>
    <x v="4"/>
    <x v="4"/>
    <n v="13.99"/>
    <n v="0"/>
    <n v="0"/>
    <x v="4"/>
    <n v="2"/>
    <n v="1.4"/>
    <s v="Documentary"/>
  </r>
  <r>
    <s v="34a2c2e6-d37c-441d-a3fa-8e2683608dc9"/>
    <n v="36"/>
    <s v="Male"/>
    <s v="Standard"/>
    <n v="10.58"/>
    <x v="25"/>
    <x v="1"/>
    <x v="4"/>
    <n v="13.99"/>
    <n v="0"/>
    <n v="0"/>
    <x v="4"/>
    <n v="1"/>
    <n v="10.58"/>
    <s v="Romance"/>
  </r>
  <r>
    <s v="d2175c8d-2b9d-4e57-8156-d60a6337269d"/>
    <n v="56"/>
    <s v="Other"/>
    <s v="Standard"/>
    <n v="11"/>
    <x v="38"/>
    <x v="3"/>
    <x v="0"/>
    <n v="13.99"/>
    <n v="0"/>
    <n v="0"/>
    <x v="2"/>
    <n v="2"/>
    <n v="0.5"/>
    <s v="Drama"/>
  </r>
  <r>
    <s v="6c1223e7-81e1-4917-85e5-1a4c20152121"/>
    <n v="65"/>
    <s v="Other"/>
    <s v="Basic"/>
    <n v="4.92"/>
    <x v="35"/>
    <x v="3"/>
    <x v="4"/>
    <n v="8.99"/>
    <n v="1"/>
    <n v="8.99"/>
    <x v="1"/>
    <n v="5"/>
    <n v="0.11"/>
    <s v="Comedy"/>
  </r>
  <r>
    <s v="5dd87c4e-29ae-4eb3-af0c-170f76727f27"/>
    <n v="54"/>
    <s v="Female"/>
    <s v="Basic"/>
    <n v="39.11"/>
    <x v="23"/>
    <x v="4"/>
    <x v="2"/>
    <n v="8.99"/>
    <n v="0"/>
    <n v="0"/>
    <x v="0"/>
    <n v="3"/>
    <n v="0.72"/>
    <s v="Horror"/>
  </r>
  <r>
    <s v="459f77f9-49ea-4a47-8ef9-eccbcd48f711"/>
    <n v="38"/>
    <s v="Male"/>
    <s v="Basic"/>
    <n v="23.85"/>
    <x v="42"/>
    <x v="4"/>
    <x v="4"/>
    <n v="8.99"/>
    <n v="0"/>
    <n v="0"/>
    <x v="4"/>
    <n v="1"/>
    <n v="0.63"/>
    <s v="Drama"/>
  </r>
  <r>
    <s v="593f585f-8c2e-4301-8d4f-9a5072b0521a"/>
    <n v="54"/>
    <s v="Male"/>
    <s v="Premium"/>
    <n v="12.02"/>
    <x v="56"/>
    <x v="1"/>
    <x v="4"/>
    <n v="17.989999999999998"/>
    <n v="1"/>
    <n v="17.989999999999998"/>
    <x v="2"/>
    <n v="3"/>
    <n v="0.2"/>
    <s v="Documentary"/>
  </r>
  <r>
    <s v="fcb2d78a-d7e2-4f45-bf6f-5c9d5be316a1"/>
    <n v="60"/>
    <s v="Male"/>
    <s v="Premium"/>
    <n v="17.14"/>
    <x v="54"/>
    <x v="3"/>
    <x v="3"/>
    <n v="17.989999999999998"/>
    <n v="0"/>
    <n v="0"/>
    <x v="0"/>
    <n v="5"/>
    <n v="0.59"/>
    <s v="Sci-Fi"/>
  </r>
  <r>
    <s v="9cf92281-2835-407d-8baf-930f65d4a895"/>
    <n v="40"/>
    <s v="Other"/>
    <s v="Premium"/>
    <n v="2.14"/>
    <x v="3"/>
    <x v="4"/>
    <x v="0"/>
    <n v="17.989999999999998"/>
    <n v="1"/>
    <n v="17.989999999999998"/>
    <x v="1"/>
    <n v="1"/>
    <n v="0.16"/>
    <s v="Action"/>
  </r>
  <r>
    <s v="e0bd7f71-4fed-42d8-9543-838248a460d6"/>
    <n v="23"/>
    <s v="Female"/>
    <s v="Premium"/>
    <n v="14.78"/>
    <x v="40"/>
    <x v="3"/>
    <x v="0"/>
    <n v="17.989999999999998"/>
    <n v="0"/>
    <n v="0"/>
    <x v="2"/>
    <n v="2"/>
    <n v="1.23"/>
    <s v="Documentary"/>
  </r>
  <r>
    <s v="f391b24a-8f47-4abf-98c6-2b6dc029b507"/>
    <n v="25"/>
    <s v="Female"/>
    <s v="Basic"/>
    <n v="13.15"/>
    <x v="50"/>
    <x v="5"/>
    <x v="0"/>
    <n v="8.99"/>
    <n v="1"/>
    <n v="8.99"/>
    <x v="0"/>
    <n v="5"/>
    <n v="0.24"/>
    <s v="Action"/>
  </r>
  <r>
    <s v="8d62006d-9f79-4c44-8f55-bc75e32a3113"/>
    <n v="24"/>
    <s v="Female"/>
    <s v="Premium"/>
    <n v="17.2"/>
    <x v="12"/>
    <x v="2"/>
    <x v="3"/>
    <n v="17.989999999999998"/>
    <n v="0"/>
    <n v="0"/>
    <x v="3"/>
    <n v="5"/>
    <n v="0.51"/>
    <s v="Sci-Fi"/>
  </r>
  <r>
    <s v="58edff7e-fe12-4847-9d63-96fca02927aa"/>
    <n v="34"/>
    <s v="Other"/>
    <s v="Basic"/>
    <n v="4.51"/>
    <x v="36"/>
    <x v="4"/>
    <x v="3"/>
    <n v="8.99"/>
    <n v="1"/>
    <n v="8.99"/>
    <x v="1"/>
    <n v="4"/>
    <n v="0.11"/>
    <s v="Action"/>
  </r>
  <r>
    <s v="ac249a0b-f687-44e4-8b45-c7e3ca5b62af"/>
    <n v="37"/>
    <s v="Other"/>
    <s v="Basic"/>
    <n v="13.86"/>
    <x v="22"/>
    <x v="3"/>
    <x v="1"/>
    <n v="8.99"/>
    <n v="1"/>
    <n v="8.99"/>
    <x v="3"/>
    <n v="2"/>
    <n v="0.25"/>
    <s v="Romance"/>
  </r>
  <r>
    <s v="22cf3563-a74a-422c-b504-4ed96bd42adb"/>
    <n v="24"/>
    <s v="Other"/>
    <s v="Standard"/>
    <n v="6.56"/>
    <x v="60"/>
    <x v="2"/>
    <x v="0"/>
    <n v="13.99"/>
    <n v="0"/>
    <n v="0"/>
    <x v="3"/>
    <n v="4"/>
    <n v="0.73"/>
    <s v="Romance"/>
  </r>
  <r>
    <s v="a369fdd9-f4e2-4ce1-88b5-8e63a29d3048"/>
    <n v="35"/>
    <s v="Male"/>
    <s v="Basic"/>
    <n v="32.1"/>
    <x v="56"/>
    <x v="1"/>
    <x v="1"/>
    <n v="8.99"/>
    <n v="0"/>
    <n v="0"/>
    <x v="0"/>
    <n v="4"/>
    <n v="0.54"/>
    <s v="Comedy"/>
  </r>
  <r>
    <s v="14fd0c3d-7c20-4f74-b705-fc894aafc0e6"/>
    <n v="69"/>
    <s v="Other"/>
    <s v="Standard"/>
    <n v="1.33"/>
    <x v="39"/>
    <x v="0"/>
    <x v="2"/>
    <n v="13.99"/>
    <n v="1"/>
    <n v="13.99"/>
    <x v="0"/>
    <n v="3"/>
    <n v="0.06"/>
    <s v="Horror"/>
  </r>
  <r>
    <s v="c4e791eb-6ab3-4845-a181-b678fa7fa97a"/>
    <n v="69"/>
    <s v="Other"/>
    <s v="Standard"/>
    <n v="77.650000000000006"/>
    <x v="24"/>
    <x v="3"/>
    <x v="0"/>
    <n v="13.99"/>
    <n v="0"/>
    <n v="0"/>
    <x v="3"/>
    <n v="2"/>
    <n v="1.47"/>
    <s v="Horror"/>
  </r>
  <r>
    <s v="ffd64028-3f77-4c63-8a5c-42c17cf277db"/>
    <n v="67"/>
    <s v="Male"/>
    <s v="Standard"/>
    <n v="5.35"/>
    <x v="44"/>
    <x v="0"/>
    <x v="0"/>
    <n v="13.99"/>
    <n v="1"/>
    <n v="13.99"/>
    <x v="1"/>
    <n v="1"/>
    <n v="0.11"/>
    <s v="Sci-Fi"/>
  </r>
  <r>
    <s v="e873479a-1eee-40eb-b0ff-a77512efc64e"/>
    <n v="66"/>
    <s v="Female"/>
    <s v="Standard"/>
    <n v="21.15"/>
    <x v="48"/>
    <x v="5"/>
    <x v="4"/>
    <n v="13.99"/>
    <n v="0"/>
    <n v="0"/>
    <x v="3"/>
    <n v="5"/>
    <n v="0.41"/>
    <s v="Sci-Fi"/>
  </r>
  <r>
    <s v="ac571168-447d-4a33-9a0e-9ecf66da13a2"/>
    <n v="41"/>
    <s v="Male"/>
    <s v="Standard"/>
    <n v="1.87"/>
    <x v="42"/>
    <x v="1"/>
    <x v="3"/>
    <n v="13.99"/>
    <n v="1"/>
    <n v="13.99"/>
    <x v="1"/>
    <n v="2"/>
    <n v="0.05"/>
    <s v="Sci-Fi"/>
  </r>
  <r>
    <s v="ab3d3213-c9c4-4843-abef-94fedd12b6b9"/>
    <n v="60"/>
    <s v="Other"/>
    <s v="Standard"/>
    <n v="2.38"/>
    <x v="2"/>
    <x v="2"/>
    <x v="2"/>
    <n v="13.99"/>
    <n v="0"/>
    <n v="0"/>
    <x v="2"/>
    <n v="5"/>
    <n v="0.22"/>
    <s v="Action"/>
  </r>
  <r>
    <s v="5f50140b-1f81-4e05-bf0d-e2efdf9d83d0"/>
    <n v="69"/>
    <s v="Male"/>
    <s v="Standard"/>
    <n v="0.36"/>
    <x v="34"/>
    <x v="1"/>
    <x v="3"/>
    <n v="13.99"/>
    <n v="1"/>
    <n v="13.99"/>
    <x v="4"/>
    <n v="2"/>
    <n v="0.01"/>
    <s v="Documentary"/>
  </r>
  <r>
    <s v="8ca24125-559b-4d91-b405-46de7915f685"/>
    <n v="65"/>
    <s v="Female"/>
    <s v="Standard"/>
    <n v="7.4"/>
    <x v="8"/>
    <x v="4"/>
    <x v="0"/>
    <n v="13.99"/>
    <n v="1"/>
    <n v="13.99"/>
    <x v="1"/>
    <n v="3"/>
    <n v="0.21"/>
    <s v="Sci-Fi"/>
  </r>
  <r>
    <s v="3687107c-7c9b-40ff-86e7-2d0636774a48"/>
    <n v="20"/>
    <s v="Other"/>
    <s v="Standard"/>
    <n v="0.68"/>
    <x v="28"/>
    <x v="5"/>
    <x v="3"/>
    <n v="13.99"/>
    <n v="1"/>
    <n v="13.99"/>
    <x v="2"/>
    <n v="1"/>
    <n v="0.02"/>
    <s v="Comedy"/>
  </r>
  <r>
    <s v="97532dfe-a293-4674-8dc1-1a90ca1e2925"/>
    <n v="28"/>
    <s v="Other"/>
    <s v="Premium"/>
    <n v="4.3"/>
    <x v="38"/>
    <x v="5"/>
    <x v="2"/>
    <n v="17.989999999999998"/>
    <n v="1"/>
    <n v="17.989999999999998"/>
    <x v="0"/>
    <n v="1"/>
    <n v="0.2"/>
    <s v="Romance"/>
  </r>
  <r>
    <s v="a7273326-fb8b-470d-ba98-dc6855d36bda"/>
    <n v="34"/>
    <s v="Female"/>
    <s v="Premium"/>
    <n v="9.5399999999999991"/>
    <x v="27"/>
    <x v="3"/>
    <x v="4"/>
    <n v="17.989999999999998"/>
    <n v="0"/>
    <n v="0"/>
    <x v="0"/>
    <n v="4"/>
    <n v="0.56000000000000005"/>
    <s v="Romance"/>
  </r>
  <r>
    <s v="d2a0854f-8b84-470a-8f81-ce7c2949e216"/>
    <n v="63"/>
    <s v="Male"/>
    <s v="Basic"/>
    <n v="4.09"/>
    <x v="22"/>
    <x v="4"/>
    <x v="3"/>
    <n v="8.99"/>
    <n v="1"/>
    <n v="8.99"/>
    <x v="4"/>
    <n v="1"/>
    <n v="7.0000000000000007E-2"/>
    <s v="Romance"/>
  </r>
  <r>
    <s v="0ff5f6d7-dc9b-46c0-b3d3-1a613b6f40dc"/>
    <n v="46"/>
    <s v="Male"/>
    <s v="Standard"/>
    <n v="19.739999999999998"/>
    <x v="46"/>
    <x v="5"/>
    <x v="3"/>
    <n v="13.99"/>
    <n v="0"/>
    <n v="0"/>
    <x v="4"/>
    <n v="4"/>
    <n v="6.58"/>
    <s v="Documentary"/>
  </r>
  <r>
    <s v="d70e827b-2928-45cb-8c8a-70bb92c01baf"/>
    <n v="20"/>
    <s v="Male"/>
    <s v="Premium"/>
    <n v="8.24"/>
    <x v="18"/>
    <x v="0"/>
    <x v="0"/>
    <n v="17.989999999999998"/>
    <n v="1"/>
    <n v="17.989999999999998"/>
    <x v="0"/>
    <n v="5"/>
    <n v="0.14000000000000001"/>
    <s v="Documentary"/>
  </r>
  <r>
    <s v="aa7a6ff6-6acb-4fa2-80ac-c9df590d99b5"/>
    <n v="55"/>
    <s v="Female"/>
    <s v="Premium"/>
    <n v="14.29"/>
    <x v="41"/>
    <x v="4"/>
    <x v="2"/>
    <n v="17.989999999999998"/>
    <n v="0"/>
    <n v="0"/>
    <x v="1"/>
    <n v="5"/>
    <n v="0.46"/>
    <s v="Action"/>
  </r>
  <r>
    <s v="f28ba34a-da01-4b10-a6e5-f19be9ec4993"/>
    <n v="43"/>
    <s v="Female"/>
    <s v="Premium"/>
    <n v="12.18"/>
    <x v="34"/>
    <x v="1"/>
    <x v="2"/>
    <n v="17.989999999999998"/>
    <n v="1"/>
    <n v="17.989999999999998"/>
    <x v="0"/>
    <n v="3"/>
    <n v="0.24"/>
    <s v="Romance"/>
  </r>
  <r>
    <s v="f8c37904-7754-4f4f-a0a6-6c300f52d1b9"/>
    <n v="51"/>
    <s v="Other"/>
    <s v="Standard"/>
    <n v="1.1200000000000001"/>
    <x v="8"/>
    <x v="0"/>
    <x v="2"/>
    <n v="13.99"/>
    <n v="1"/>
    <n v="13.99"/>
    <x v="0"/>
    <n v="1"/>
    <n v="0.03"/>
    <s v="Documentary"/>
  </r>
  <r>
    <s v="13892f24-0399-43e4-81ad-b2683a5937f3"/>
    <n v="44"/>
    <s v="Male"/>
    <s v="Premium"/>
    <n v="2.11"/>
    <x v="33"/>
    <x v="1"/>
    <x v="0"/>
    <n v="17.989999999999998"/>
    <n v="0"/>
    <n v="0"/>
    <x v="3"/>
    <n v="4"/>
    <n v="0.08"/>
    <s v="Drama"/>
  </r>
  <r>
    <s v="774601aa-0882-4fa4-a7ee-c107ab9822e5"/>
    <n v="29"/>
    <s v="Other"/>
    <s v="Basic"/>
    <n v="14.55"/>
    <x v="20"/>
    <x v="5"/>
    <x v="0"/>
    <n v="8.99"/>
    <n v="0"/>
    <n v="0"/>
    <x v="3"/>
    <n v="3"/>
    <n v="0.77"/>
    <s v="Comedy"/>
  </r>
  <r>
    <s v="032e9a3c-7d07-42e6-8dc5-6c7da4996529"/>
    <n v="29"/>
    <s v="Male"/>
    <s v="Basic"/>
    <n v="5.33"/>
    <x v="9"/>
    <x v="2"/>
    <x v="0"/>
    <n v="8.99"/>
    <n v="1"/>
    <n v="8.99"/>
    <x v="0"/>
    <n v="4"/>
    <n v="0.14000000000000001"/>
    <s v="Horror"/>
  </r>
  <r>
    <s v="4d6d9b2f-0d81-4d94-9269-e312986bcc5d"/>
    <n v="33"/>
    <s v="Other"/>
    <s v="Standard"/>
    <n v="7.06"/>
    <x v="27"/>
    <x v="2"/>
    <x v="0"/>
    <n v="13.99"/>
    <n v="0"/>
    <n v="0"/>
    <x v="2"/>
    <n v="5"/>
    <n v="0.42"/>
    <s v="Comedy"/>
  </r>
  <r>
    <s v="00cf1667-2876-4dc9-978d-c5ab0abbde82"/>
    <n v="27"/>
    <s v="Other"/>
    <s v="Standard"/>
    <n v="20.02"/>
    <x v="23"/>
    <x v="0"/>
    <x v="2"/>
    <n v="13.99"/>
    <n v="0"/>
    <n v="0"/>
    <x v="4"/>
    <n v="4"/>
    <n v="0.37"/>
    <s v="Action"/>
  </r>
  <r>
    <s v="85745954-f001-4b50-a3a8-89081a78fdb3"/>
    <n v="43"/>
    <s v="Female"/>
    <s v="Standard"/>
    <n v="3.24"/>
    <x v="11"/>
    <x v="4"/>
    <x v="2"/>
    <n v="13.99"/>
    <n v="1"/>
    <n v="13.99"/>
    <x v="0"/>
    <n v="5"/>
    <n v="0.14000000000000001"/>
    <s v="Drama"/>
  </r>
  <r>
    <s v="d7f4bf21-ac26-45bf-91f0-06e1fcfe9bd7"/>
    <n v="65"/>
    <s v="Other"/>
    <s v="Basic"/>
    <n v="25.81"/>
    <x v="45"/>
    <x v="0"/>
    <x v="0"/>
    <n v="8.99"/>
    <n v="0"/>
    <n v="0"/>
    <x v="4"/>
    <n v="1"/>
    <n v="0.61"/>
    <s v="Sci-Fi"/>
  </r>
  <r>
    <s v="01e6801b-1fef-42fb-8ef2-ea09b77073a7"/>
    <n v="20"/>
    <s v="Other"/>
    <s v="Premium"/>
    <n v="11.73"/>
    <x v="49"/>
    <x v="0"/>
    <x v="1"/>
    <n v="17.989999999999998"/>
    <n v="0"/>
    <n v="0"/>
    <x v="4"/>
    <n v="2"/>
    <n v="1.17"/>
    <s v="Documentary"/>
  </r>
  <r>
    <s v="ab0f1851-f5da-466f-9a40-39ac5c454128"/>
    <n v="27"/>
    <s v="Other"/>
    <s v="Basic"/>
    <n v="0.18"/>
    <x v="13"/>
    <x v="1"/>
    <x v="4"/>
    <n v="8.99"/>
    <n v="1"/>
    <n v="8.99"/>
    <x v="0"/>
    <n v="3"/>
    <n v="0.02"/>
    <s v="Drama"/>
  </r>
  <r>
    <s v="671165ba-f196-4285-925f-75d561220775"/>
    <n v="24"/>
    <s v="Male"/>
    <s v="Premium"/>
    <n v="6.01"/>
    <x v="56"/>
    <x v="5"/>
    <x v="4"/>
    <n v="17.989999999999998"/>
    <n v="1"/>
    <n v="17.989999999999998"/>
    <x v="2"/>
    <n v="1"/>
    <n v="0.1"/>
    <s v="Romance"/>
  </r>
  <r>
    <s v="d2d40ebb-b8b3-4ad9-ace3-096edd180329"/>
    <n v="37"/>
    <s v="Other"/>
    <s v="Standard"/>
    <n v="1.56"/>
    <x v="38"/>
    <x v="4"/>
    <x v="3"/>
    <n v="13.99"/>
    <n v="0"/>
    <n v="0"/>
    <x v="4"/>
    <n v="5"/>
    <n v="7.0000000000000007E-2"/>
    <s v="Comedy"/>
  </r>
  <r>
    <s v="5c0b46c2-c510-45ff-98bb-beb686d84154"/>
    <n v="19"/>
    <s v="Female"/>
    <s v="Standard"/>
    <n v="24.66"/>
    <x v="16"/>
    <x v="5"/>
    <x v="3"/>
    <n v="13.99"/>
    <n v="0"/>
    <n v="0"/>
    <x v="1"/>
    <n v="2"/>
    <n v="0.88"/>
    <s v="Horror"/>
  </r>
  <r>
    <s v="58ded57a-ec90-49e9-963f-dfea5dc82a15"/>
    <n v="46"/>
    <s v="Male"/>
    <s v="Basic"/>
    <n v="11.72"/>
    <x v="11"/>
    <x v="1"/>
    <x v="0"/>
    <n v="8.99"/>
    <n v="0"/>
    <n v="0"/>
    <x v="1"/>
    <n v="4"/>
    <n v="0.49"/>
    <s v="Drama"/>
  </r>
  <r>
    <s v="66dec43e-1ffc-4923-9e95-3d865f5b8ef2"/>
    <n v="35"/>
    <s v="Female"/>
    <s v="Standard"/>
    <n v="20.45"/>
    <x v="2"/>
    <x v="1"/>
    <x v="4"/>
    <n v="13.99"/>
    <n v="0"/>
    <n v="0"/>
    <x v="4"/>
    <n v="2"/>
    <n v="1.86"/>
    <s v="Sci-Fi"/>
  </r>
  <r>
    <s v="fde12247-9936-42f7-8be1-77087b2ccb06"/>
    <n v="33"/>
    <s v="Other"/>
    <s v="Standard"/>
    <n v="8.94"/>
    <x v="34"/>
    <x v="0"/>
    <x v="3"/>
    <n v="13.99"/>
    <n v="1"/>
    <n v="13.99"/>
    <x v="1"/>
    <n v="3"/>
    <n v="0.18"/>
    <s v="Sci-Fi"/>
  </r>
  <r>
    <s v="b54bde1d-fa6b-4376-8f85-5daf9af3baf0"/>
    <n v="65"/>
    <s v="Female"/>
    <s v="Basic"/>
    <n v="10.94"/>
    <x v="20"/>
    <x v="2"/>
    <x v="2"/>
    <n v="8.99"/>
    <n v="0"/>
    <n v="0"/>
    <x v="1"/>
    <n v="3"/>
    <n v="0.57999999999999996"/>
    <s v="Sci-Fi"/>
  </r>
  <r>
    <s v="fa32fedc-ac88-4f28-b1a5-911aa754bb54"/>
    <n v="61"/>
    <s v="Other"/>
    <s v="Premium"/>
    <n v="24.63"/>
    <x v="1"/>
    <x v="0"/>
    <x v="4"/>
    <n v="17.989999999999998"/>
    <n v="0"/>
    <n v="0"/>
    <x v="1"/>
    <n v="1"/>
    <n v="1.23"/>
    <s v="Drama"/>
  </r>
  <r>
    <s v="4acf70a4-4601-4a7b-ba60-ec429e02ed93"/>
    <n v="57"/>
    <s v="Other"/>
    <s v="Standard"/>
    <n v="45.93"/>
    <x v="23"/>
    <x v="5"/>
    <x v="3"/>
    <n v="13.99"/>
    <n v="0"/>
    <n v="0"/>
    <x v="4"/>
    <n v="2"/>
    <n v="0.85"/>
    <s v="Drama"/>
  </r>
  <r>
    <s v="1f93face-05de-4411-bebd-d5f0d5ca63cd"/>
    <n v="38"/>
    <s v="Male"/>
    <s v="Premium"/>
    <n v="11.96"/>
    <x v="39"/>
    <x v="5"/>
    <x v="0"/>
    <n v="17.989999999999998"/>
    <n v="0"/>
    <n v="0"/>
    <x v="2"/>
    <n v="4"/>
    <n v="0.52"/>
    <s v="Drama"/>
  </r>
  <r>
    <s v="e81aef30-e7a7-4aeb-8eef-c4967596a893"/>
    <n v="24"/>
    <s v="Female"/>
    <s v="Standard"/>
    <n v="8.4"/>
    <x v="0"/>
    <x v="5"/>
    <x v="4"/>
    <n v="13.99"/>
    <n v="0"/>
    <n v="0"/>
    <x v="2"/>
    <n v="1"/>
    <n v="0.28000000000000003"/>
    <s v="Romance"/>
  </r>
  <r>
    <s v="99bc6deb-c00c-4e60-bf79-57535827e446"/>
    <n v="20"/>
    <s v="Female"/>
    <s v="Basic"/>
    <n v="25.17"/>
    <x v="47"/>
    <x v="3"/>
    <x v="3"/>
    <n v="8.99"/>
    <n v="0"/>
    <n v="0"/>
    <x v="1"/>
    <n v="2"/>
    <n v="6.29"/>
    <s v="Documentary"/>
  </r>
  <r>
    <s v="44ae8a3c-93f0-4ffa-80ab-a04b49d288ce"/>
    <n v="31"/>
    <s v="Other"/>
    <s v="Basic"/>
    <n v="2.82"/>
    <x v="1"/>
    <x v="0"/>
    <x v="2"/>
    <n v="8.99"/>
    <n v="1"/>
    <n v="8.99"/>
    <x v="2"/>
    <n v="4"/>
    <n v="0.14000000000000001"/>
    <s v="Sci-Fi"/>
  </r>
  <r>
    <s v="0bc417ee-3f71-4373-a8cc-331b1aa4a350"/>
    <n v="48"/>
    <s v="Other"/>
    <s v="Basic"/>
    <n v="1.61"/>
    <x v="45"/>
    <x v="0"/>
    <x v="2"/>
    <n v="8.99"/>
    <n v="1"/>
    <n v="8.99"/>
    <x v="4"/>
    <n v="2"/>
    <n v="0.04"/>
    <s v="Drama"/>
  </r>
  <r>
    <s v="4cbbe2c6-93a6-4f4a-8a58-cb0568992128"/>
    <n v="22"/>
    <s v="Male"/>
    <s v="Premium"/>
    <n v="14.69"/>
    <x v="3"/>
    <x v="2"/>
    <x v="3"/>
    <n v="17.989999999999998"/>
    <n v="0"/>
    <n v="0"/>
    <x v="3"/>
    <n v="1"/>
    <n v="1.1299999999999999"/>
    <s v="Romance"/>
  </r>
  <r>
    <s v="842e532f-eafa-43c3-91e1-043216a3a1b9"/>
    <n v="35"/>
    <s v="Female"/>
    <s v="Basic"/>
    <n v="20.74"/>
    <x v="48"/>
    <x v="3"/>
    <x v="1"/>
    <n v="8.99"/>
    <n v="0"/>
    <n v="0"/>
    <x v="2"/>
    <n v="5"/>
    <n v="0.4"/>
    <s v="Horror"/>
  </r>
  <r>
    <s v="ce76d2eb-7452-44f4-bfe8-8f14ea2d179f"/>
    <n v="56"/>
    <s v="Other"/>
    <s v="Basic"/>
    <n v="1.62"/>
    <x v="60"/>
    <x v="3"/>
    <x v="4"/>
    <n v="8.99"/>
    <n v="1"/>
    <n v="8.99"/>
    <x v="4"/>
    <n v="1"/>
    <n v="0.18"/>
    <s v="Sci-Fi"/>
  </r>
  <r>
    <s v="b944a82d-8935-4ec4-a9a8-ee375c046361"/>
    <n v="27"/>
    <s v="Female"/>
    <s v="Standard"/>
    <n v="5.85"/>
    <x v="47"/>
    <x v="3"/>
    <x v="2"/>
    <n v="13.99"/>
    <n v="0"/>
    <n v="0"/>
    <x v="1"/>
    <n v="5"/>
    <n v="1.46"/>
    <s v="Sci-Fi"/>
  </r>
  <r>
    <s v="56fc1cd3-f46c-45b1-86c8-a8d814b4b01f"/>
    <n v="37"/>
    <s v="Female"/>
    <s v="Basic"/>
    <n v="12.73"/>
    <x v="52"/>
    <x v="0"/>
    <x v="1"/>
    <n v="8.99"/>
    <n v="1"/>
    <n v="8.99"/>
    <x v="4"/>
    <n v="3"/>
    <n v="0.25"/>
    <s v="Action"/>
  </r>
  <r>
    <s v="eeecc979-d06f-4951-a2cd-655a554aeab5"/>
    <n v="18"/>
    <s v="Female"/>
    <s v="Premium"/>
    <n v="22"/>
    <x v="31"/>
    <x v="1"/>
    <x v="2"/>
    <n v="17.989999999999998"/>
    <n v="0"/>
    <n v="0"/>
    <x v="2"/>
    <n v="5"/>
    <n v="1.38"/>
    <s v="Sci-Fi"/>
  </r>
  <r>
    <s v="8cba73af-fdd2-40c5-a047-ad5892347414"/>
    <n v="68"/>
    <s v="Male"/>
    <s v="Premium"/>
    <n v="18.66"/>
    <x v="18"/>
    <x v="0"/>
    <x v="3"/>
    <n v="17.989999999999998"/>
    <n v="1"/>
    <n v="17.989999999999998"/>
    <x v="4"/>
    <n v="1"/>
    <n v="0.32"/>
    <s v="Drama"/>
  </r>
  <r>
    <s v="ce9e2886-8929-4783-b4c6-606c0b390a67"/>
    <n v="28"/>
    <s v="Other"/>
    <s v="Premium"/>
    <n v="11.92"/>
    <x v="24"/>
    <x v="3"/>
    <x v="0"/>
    <n v="17.989999999999998"/>
    <n v="1"/>
    <n v="17.989999999999998"/>
    <x v="1"/>
    <n v="3"/>
    <n v="0.22"/>
    <s v="Horror"/>
  </r>
  <r>
    <s v="de4b41a5-0849-4e62-8e1a-8a8402d632bc"/>
    <n v="52"/>
    <s v="Other"/>
    <s v="Premium"/>
    <n v="7.17"/>
    <x v="26"/>
    <x v="3"/>
    <x v="3"/>
    <n v="17.989999999999998"/>
    <n v="1"/>
    <n v="17.989999999999998"/>
    <x v="4"/>
    <n v="3"/>
    <n v="0.15"/>
    <s v="Comedy"/>
  </r>
  <r>
    <s v="2def8921-9bc9-4018-94e5-e01583cb4a8a"/>
    <n v="45"/>
    <s v="Female"/>
    <s v="Basic"/>
    <n v="5.12"/>
    <x v="33"/>
    <x v="3"/>
    <x v="0"/>
    <n v="8.99"/>
    <n v="0"/>
    <n v="0"/>
    <x v="1"/>
    <n v="5"/>
    <n v="0.2"/>
    <s v="Horror"/>
  </r>
  <r>
    <s v="c6866d13-0b06-4e37-9951-7419fe48f070"/>
    <n v="30"/>
    <s v="Male"/>
    <s v="Standard"/>
    <n v="31.65"/>
    <x v="0"/>
    <x v="1"/>
    <x v="1"/>
    <n v="13.99"/>
    <n v="0"/>
    <n v="0"/>
    <x v="2"/>
    <n v="4"/>
    <n v="1.05"/>
    <s v="Horror"/>
  </r>
  <r>
    <s v="35f91264-6cc8-4a3a-ba35-f41a1f8845b8"/>
    <n v="29"/>
    <s v="Female"/>
    <s v="Basic"/>
    <n v="5.55"/>
    <x v="6"/>
    <x v="4"/>
    <x v="0"/>
    <n v="8.99"/>
    <n v="1"/>
    <n v="8.99"/>
    <x v="0"/>
    <n v="2"/>
    <n v="0.26"/>
    <s v="Comedy"/>
  </r>
  <r>
    <s v="6322cad7-9bab-45ba-974b-e2761a226ff6"/>
    <n v="30"/>
    <s v="Female"/>
    <s v="Standard"/>
    <n v="6.42"/>
    <x v="5"/>
    <x v="2"/>
    <x v="4"/>
    <n v="13.99"/>
    <n v="0"/>
    <n v="0"/>
    <x v="3"/>
    <n v="1"/>
    <n v="0.24"/>
    <s v="Horror"/>
  </r>
  <r>
    <s v="0c62aef7-ef41-42aa-8500-89a6c481df76"/>
    <n v="63"/>
    <s v="Other"/>
    <s v="Premium"/>
    <n v="16.38"/>
    <x v="16"/>
    <x v="4"/>
    <x v="1"/>
    <n v="17.989999999999998"/>
    <n v="0"/>
    <n v="0"/>
    <x v="3"/>
    <n v="3"/>
    <n v="0.57999999999999996"/>
    <s v="Documentary"/>
  </r>
  <r>
    <s v="37791795-8e12-4220-89b1-1fcdde816eba"/>
    <n v="34"/>
    <s v="Other"/>
    <s v="Premium"/>
    <n v="29.29"/>
    <x v="1"/>
    <x v="0"/>
    <x v="0"/>
    <n v="17.989999999999998"/>
    <n v="0"/>
    <n v="0"/>
    <x v="0"/>
    <n v="4"/>
    <n v="1.46"/>
    <s v="Sci-Fi"/>
  </r>
  <r>
    <s v="48b9de50-6724-44ad-a0d2-d78beb2554c4"/>
    <n v="55"/>
    <s v="Female"/>
    <s v="Standard"/>
    <n v="13.62"/>
    <x v="58"/>
    <x v="2"/>
    <x v="2"/>
    <n v="13.99"/>
    <n v="1"/>
    <n v="13.99"/>
    <x v="1"/>
    <n v="4"/>
    <n v="0.28000000000000003"/>
    <s v="Romance"/>
  </r>
  <r>
    <s v="0c872601-857c-425d-813a-07043f66be87"/>
    <n v="62"/>
    <s v="Other"/>
    <s v="Basic"/>
    <n v="4.1399999999999997"/>
    <x v="10"/>
    <x v="5"/>
    <x v="1"/>
    <n v="8.99"/>
    <n v="1"/>
    <n v="8.99"/>
    <x v="3"/>
    <n v="1"/>
    <n v="0.11"/>
    <s v="Comedy"/>
  </r>
  <r>
    <s v="9c36838f-6eaf-4bb4-9024-1e2b376b94ab"/>
    <n v="45"/>
    <s v="Female"/>
    <s v="Premium"/>
    <n v="32.96"/>
    <x v="34"/>
    <x v="3"/>
    <x v="4"/>
    <n v="17.989999999999998"/>
    <n v="0"/>
    <n v="0"/>
    <x v="2"/>
    <n v="5"/>
    <n v="0.65"/>
    <s v="Romance"/>
  </r>
  <r>
    <s v="3a184b71-300b-4893-b4aa-92cff705b7c7"/>
    <n v="60"/>
    <s v="Male"/>
    <s v="Standard"/>
    <n v="8.17"/>
    <x v="3"/>
    <x v="0"/>
    <x v="4"/>
    <n v="13.99"/>
    <n v="0"/>
    <n v="0"/>
    <x v="4"/>
    <n v="3"/>
    <n v="0.63"/>
    <s v="Romance"/>
  </r>
  <r>
    <s v="d1eea60c-8922-461e-97b9-7c8c3634e4a8"/>
    <n v="46"/>
    <s v="Male"/>
    <s v="Premium"/>
    <n v="14.63"/>
    <x v="25"/>
    <x v="3"/>
    <x v="1"/>
    <n v="17.989999999999998"/>
    <n v="0"/>
    <n v="0"/>
    <x v="3"/>
    <n v="2"/>
    <n v="14.63"/>
    <s v="Documentary"/>
  </r>
  <r>
    <s v="ad4116a1-d841-48bb-b96d-4474cbf84c68"/>
    <n v="44"/>
    <s v="Female"/>
    <s v="Premium"/>
    <n v="7.59"/>
    <x v="44"/>
    <x v="2"/>
    <x v="0"/>
    <n v="17.989999999999998"/>
    <n v="1"/>
    <n v="17.989999999999998"/>
    <x v="3"/>
    <n v="2"/>
    <n v="0.16"/>
    <s v="Romance"/>
  </r>
  <r>
    <s v="1ee48ca0-f336-47e8-bc94-950b8fb7b8e4"/>
    <n v="39"/>
    <s v="Male"/>
    <s v="Standard"/>
    <n v="6.8"/>
    <x v="35"/>
    <x v="0"/>
    <x v="3"/>
    <n v="13.99"/>
    <n v="1"/>
    <n v="13.99"/>
    <x v="1"/>
    <n v="3"/>
    <n v="0.15"/>
    <s v="Romance"/>
  </r>
  <r>
    <s v="e256a69a-08fe-4384-91d9-c1bc7bb74c96"/>
    <n v="69"/>
    <s v="Other"/>
    <s v="Basic"/>
    <n v="1.9"/>
    <x v="13"/>
    <x v="1"/>
    <x v="3"/>
    <n v="8.99"/>
    <n v="1"/>
    <n v="8.99"/>
    <x v="4"/>
    <n v="5"/>
    <n v="0.24"/>
    <s v="Documentary"/>
  </r>
  <r>
    <s v="01b9a552-c129-4000-a259-2125118a2d05"/>
    <n v="44"/>
    <s v="Female"/>
    <s v="Basic"/>
    <n v="1.69"/>
    <x v="13"/>
    <x v="5"/>
    <x v="1"/>
    <n v="8.99"/>
    <n v="1"/>
    <n v="8.99"/>
    <x v="1"/>
    <n v="5"/>
    <n v="0.21"/>
    <s v="Romance"/>
  </r>
  <r>
    <s v="f3763f9d-ced2-4983-9cfa-203770b1f23d"/>
    <n v="60"/>
    <s v="Male"/>
    <s v="Basic"/>
    <n v="3.09"/>
    <x v="28"/>
    <x v="4"/>
    <x v="4"/>
    <n v="8.99"/>
    <n v="1"/>
    <n v="8.99"/>
    <x v="0"/>
    <n v="2"/>
    <n v="0.09"/>
    <s v="Romance"/>
  </r>
  <r>
    <s v="5f4ae876-26fa-4e2d-a50c-06cc47a357a5"/>
    <n v="18"/>
    <s v="Other"/>
    <s v="Standard"/>
    <n v="0.24"/>
    <x v="37"/>
    <x v="0"/>
    <x v="1"/>
    <n v="13.99"/>
    <n v="1"/>
    <n v="13.99"/>
    <x v="0"/>
    <n v="5"/>
    <n v="0.01"/>
    <s v="Drama"/>
  </r>
  <r>
    <s v="23701bff-2f61-4efb-8367-a2b937e0a8c4"/>
    <n v="58"/>
    <s v="Female"/>
    <s v="Standard"/>
    <n v="17.899999999999999"/>
    <x v="24"/>
    <x v="3"/>
    <x v="3"/>
    <n v="13.99"/>
    <n v="1"/>
    <n v="13.99"/>
    <x v="1"/>
    <n v="4"/>
    <n v="0.34"/>
    <s v="Documentary"/>
  </r>
  <r>
    <s v="6065d8f7-08e7-421c-ab2c-0f3401c1007e"/>
    <n v="54"/>
    <s v="Male"/>
    <s v="Premium"/>
    <n v="4.8099999999999996"/>
    <x v="16"/>
    <x v="5"/>
    <x v="0"/>
    <n v="17.989999999999998"/>
    <n v="1"/>
    <n v="17.989999999999998"/>
    <x v="2"/>
    <n v="3"/>
    <n v="0.17"/>
    <s v="Documentary"/>
  </r>
  <r>
    <s v="38c98f6f-3535-415c-bfba-78244c1ba199"/>
    <n v="61"/>
    <s v="Male"/>
    <s v="Standard"/>
    <n v="7.28"/>
    <x v="40"/>
    <x v="5"/>
    <x v="2"/>
    <n v="13.99"/>
    <n v="0"/>
    <n v="0"/>
    <x v="3"/>
    <n v="2"/>
    <n v="0.61"/>
    <s v="Romance"/>
  </r>
  <r>
    <s v="7af0ed2d-08ed-400c-a8e7-b764ab1e1b78"/>
    <n v="68"/>
    <s v="Other"/>
    <s v="Premium"/>
    <n v="7.65"/>
    <x v="34"/>
    <x v="5"/>
    <x v="1"/>
    <n v="17.989999999999998"/>
    <n v="0"/>
    <n v="0"/>
    <x v="4"/>
    <n v="4"/>
    <n v="0.15"/>
    <s v="Drama"/>
  </r>
  <r>
    <s v="14ce19c7-ffce-41b5-b4a1-67314cd5974a"/>
    <n v="35"/>
    <s v="Female"/>
    <s v="Basic"/>
    <n v="8.85"/>
    <x v="26"/>
    <x v="3"/>
    <x v="1"/>
    <n v="8.99"/>
    <n v="1"/>
    <n v="8.99"/>
    <x v="1"/>
    <n v="5"/>
    <n v="0.18"/>
    <s v="Romance"/>
  </r>
  <r>
    <s v="46849fbb-5a52-4e73-bb8f-ae01b6fb599c"/>
    <n v="45"/>
    <s v="Female"/>
    <s v="Standard"/>
    <n v="21.09"/>
    <x v="17"/>
    <x v="0"/>
    <x v="4"/>
    <n v="13.99"/>
    <n v="0"/>
    <n v="0"/>
    <x v="0"/>
    <n v="5"/>
    <n v="4.22"/>
    <s v="Romance"/>
  </r>
  <r>
    <s v="c916c9b4-1164-4387-81e7-0c2d0565b9b1"/>
    <n v="32"/>
    <s v="Other"/>
    <s v="Basic"/>
    <n v="15.46"/>
    <x v="21"/>
    <x v="5"/>
    <x v="2"/>
    <n v="8.99"/>
    <n v="0"/>
    <n v="0"/>
    <x v="4"/>
    <n v="4"/>
    <n v="2.21"/>
    <s v="Horror"/>
  </r>
  <r>
    <s v="44cc0ae8-cb94-4b3f-9d0d-0c24c1a57267"/>
    <n v="63"/>
    <s v="Female"/>
    <s v="Standard"/>
    <n v="9.75"/>
    <x v="38"/>
    <x v="0"/>
    <x v="4"/>
    <n v="13.99"/>
    <n v="0"/>
    <n v="0"/>
    <x v="2"/>
    <n v="1"/>
    <n v="0.44"/>
    <s v="Horror"/>
  </r>
  <r>
    <s v="4b3a58cf-f92e-40ab-bfe3-9203f6b813ea"/>
    <n v="53"/>
    <s v="Female"/>
    <s v="Standard"/>
    <n v="2.23"/>
    <x v="39"/>
    <x v="1"/>
    <x v="3"/>
    <n v="13.99"/>
    <n v="1"/>
    <n v="13.99"/>
    <x v="4"/>
    <n v="2"/>
    <n v="0.1"/>
    <s v="Romance"/>
  </r>
  <r>
    <s v="7e08b75e-d8c2-4370-917d-99e19d660ed3"/>
    <n v="52"/>
    <s v="Other"/>
    <s v="Basic"/>
    <n v="4.08"/>
    <x v="42"/>
    <x v="0"/>
    <x v="3"/>
    <n v="8.99"/>
    <n v="1"/>
    <n v="8.99"/>
    <x v="3"/>
    <n v="4"/>
    <n v="0.11"/>
    <s v="Romance"/>
  </r>
  <r>
    <s v="ecd05571-5133-452b-a15c-58b1d6fcf55b"/>
    <n v="70"/>
    <s v="Female"/>
    <s v="Standard"/>
    <n v="2.21"/>
    <x v="7"/>
    <x v="1"/>
    <x v="4"/>
    <n v="13.99"/>
    <n v="1"/>
    <n v="13.99"/>
    <x v="0"/>
    <n v="5"/>
    <n v="0.04"/>
    <s v="Documentary"/>
  </r>
  <r>
    <s v="ad1386aa-c4a6-4fef-ac7d-8d017bc1834d"/>
    <n v="46"/>
    <s v="Other"/>
    <s v="Standard"/>
    <n v="7.14"/>
    <x v="11"/>
    <x v="3"/>
    <x v="0"/>
    <n v="13.99"/>
    <n v="0"/>
    <n v="0"/>
    <x v="1"/>
    <n v="5"/>
    <n v="0.3"/>
    <s v="Sci-Fi"/>
  </r>
  <r>
    <s v="5c0d251e-ecf0-42b1-a8a3-92879c7759d2"/>
    <n v="19"/>
    <s v="Female"/>
    <s v="Basic"/>
    <n v="6.32"/>
    <x v="47"/>
    <x v="2"/>
    <x v="1"/>
    <n v="8.99"/>
    <n v="0"/>
    <n v="0"/>
    <x v="4"/>
    <n v="2"/>
    <n v="1.58"/>
    <s v="Drama"/>
  </r>
  <r>
    <s v="1c50a915-b685-4954-b75e-50696b67585c"/>
    <n v="24"/>
    <s v="Male"/>
    <s v="Standard"/>
    <n v="22.15"/>
    <x v="2"/>
    <x v="1"/>
    <x v="0"/>
    <n v="13.99"/>
    <n v="0"/>
    <n v="0"/>
    <x v="0"/>
    <n v="5"/>
    <n v="2.0099999999999998"/>
    <s v="Horror"/>
  </r>
  <r>
    <s v="0dbd65af-cebd-466e-8dae-0faefae015d0"/>
    <n v="59"/>
    <s v="Male"/>
    <s v="Premium"/>
    <n v="2.83"/>
    <x v="3"/>
    <x v="0"/>
    <x v="2"/>
    <n v="17.989999999999998"/>
    <n v="0"/>
    <n v="0"/>
    <x v="4"/>
    <n v="5"/>
    <n v="0.22"/>
    <s v="Comedy"/>
  </r>
  <r>
    <s v="b0e1e6b6-595d-40f5-9190-bda8ffaf670c"/>
    <n v="49"/>
    <s v="Female"/>
    <s v="Standard"/>
    <n v="4.38"/>
    <x v="19"/>
    <x v="1"/>
    <x v="0"/>
    <n v="13.99"/>
    <n v="1"/>
    <n v="13.99"/>
    <x v="2"/>
    <n v="3"/>
    <n v="0.1"/>
    <s v="Romance"/>
  </r>
  <r>
    <s v="af3333ad-218a-4c59-a505-0bdc6c3a8ff9"/>
    <n v="43"/>
    <s v="Male"/>
    <s v="Standard"/>
    <n v="9.1300000000000008"/>
    <x v="3"/>
    <x v="0"/>
    <x v="1"/>
    <n v="13.99"/>
    <n v="0"/>
    <n v="0"/>
    <x v="2"/>
    <n v="3"/>
    <n v="0.7"/>
    <s v="Documentary"/>
  </r>
  <r>
    <s v="b86d66cb-9189-4291-b58a-ff82f1400a1b"/>
    <n v="31"/>
    <s v="Other"/>
    <s v="Premium"/>
    <n v="13.34"/>
    <x v="36"/>
    <x v="0"/>
    <x v="4"/>
    <n v="17.989999999999998"/>
    <n v="1"/>
    <n v="17.989999999999998"/>
    <x v="1"/>
    <n v="4"/>
    <n v="0.33"/>
    <s v="Horror"/>
  </r>
  <r>
    <s v="8792f856-e6dc-4e01-9e66-5da330500bb1"/>
    <n v="70"/>
    <s v="Other"/>
    <s v="Basic"/>
    <n v="26.98"/>
    <x v="18"/>
    <x v="5"/>
    <x v="0"/>
    <n v="8.99"/>
    <n v="1"/>
    <n v="8.99"/>
    <x v="1"/>
    <n v="4"/>
    <n v="0.47"/>
    <s v="Horror"/>
  </r>
  <r>
    <s v="9ee323d9-03fd-4243-b725-0799969eebe5"/>
    <n v="56"/>
    <s v="Male"/>
    <s v="Standard"/>
    <n v="0.93"/>
    <x v="46"/>
    <x v="3"/>
    <x v="4"/>
    <n v="13.99"/>
    <n v="0"/>
    <n v="0"/>
    <x v="4"/>
    <n v="5"/>
    <n v="0.31"/>
    <s v="Horror"/>
  </r>
  <r>
    <s v="ed30d9dc-3b8b-4568-90b0-9a4ab37c0b43"/>
    <n v="33"/>
    <s v="Other"/>
    <s v="Standard"/>
    <n v="4.18"/>
    <x v="2"/>
    <x v="4"/>
    <x v="2"/>
    <n v="13.99"/>
    <n v="1"/>
    <n v="13.99"/>
    <x v="1"/>
    <n v="5"/>
    <n v="0.38"/>
    <s v="Horror"/>
  </r>
  <r>
    <s v="5fd52a5c-0e8a-4c1f-bce7-fb565f654413"/>
    <n v="58"/>
    <s v="Other"/>
    <s v="Basic"/>
    <n v="5.36"/>
    <x v="55"/>
    <x v="3"/>
    <x v="0"/>
    <n v="8.99"/>
    <n v="1"/>
    <n v="8.99"/>
    <x v="1"/>
    <n v="1"/>
    <n v="0.09"/>
    <s v="Comedy"/>
  </r>
  <r>
    <s v="646fdaf5-1306-44f0-b02d-00ae75a929ae"/>
    <n v="31"/>
    <s v="Female"/>
    <s v="Basic"/>
    <n v="3.77"/>
    <x v="3"/>
    <x v="4"/>
    <x v="2"/>
    <n v="8.99"/>
    <n v="1"/>
    <n v="8.99"/>
    <x v="4"/>
    <n v="2"/>
    <n v="0.28999999999999998"/>
    <s v="Documentary"/>
  </r>
  <r>
    <s v="a29a6a04-1baa-41ca-a6f8-8975da13ccac"/>
    <n v="29"/>
    <s v="Other"/>
    <s v="Premium"/>
    <n v="2.06"/>
    <x v="37"/>
    <x v="1"/>
    <x v="1"/>
    <n v="17.989999999999998"/>
    <n v="1"/>
    <n v="17.989999999999998"/>
    <x v="0"/>
    <n v="1"/>
    <n v="0.08"/>
    <s v="Horror"/>
  </r>
  <r>
    <s v="35687a5e-84aa-4fd3-8a35-6d2c4ede909e"/>
    <n v="46"/>
    <s v="Female"/>
    <s v="Premium"/>
    <n v="4.16"/>
    <x v="4"/>
    <x v="5"/>
    <x v="4"/>
    <n v="17.989999999999998"/>
    <n v="1"/>
    <n v="17.989999999999998"/>
    <x v="2"/>
    <n v="2"/>
    <n v="0.3"/>
    <s v="Sci-Fi"/>
  </r>
  <r>
    <s v="092b1c55-371b-4499-a9ba-03a34d3efd9e"/>
    <n v="50"/>
    <s v="Other"/>
    <s v="Basic"/>
    <n v="13.21"/>
    <x v="9"/>
    <x v="2"/>
    <x v="4"/>
    <n v="8.99"/>
    <n v="1"/>
    <n v="8.99"/>
    <x v="1"/>
    <n v="4"/>
    <n v="0.36"/>
    <s v="Comedy"/>
  </r>
  <r>
    <s v="30f6ab29-5f0d-44e0-b094-8a26164d5303"/>
    <n v="23"/>
    <s v="Female"/>
    <s v="Basic"/>
    <n v="6.86"/>
    <x v="55"/>
    <x v="0"/>
    <x v="3"/>
    <n v="8.99"/>
    <n v="1"/>
    <n v="8.99"/>
    <x v="0"/>
    <n v="4"/>
    <n v="0.11"/>
    <s v="Action"/>
  </r>
  <r>
    <s v="5709d5c3-d7e3-44cb-a414-0401be7a414d"/>
    <n v="43"/>
    <s v="Female"/>
    <s v="Basic"/>
    <n v="1.51"/>
    <x v="0"/>
    <x v="5"/>
    <x v="3"/>
    <n v="8.99"/>
    <n v="1"/>
    <n v="8.99"/>
    <x v="4"/>
    <n v="2"/>
    <n v="0.05"/>
    <s v="Documentary"/>
  </r>
  <r>
    <s v="ff149146-918e-4a05-802a-08e696b05ca5"/>
    <n v="28"/>
    <s v="Female"/>
    <s v="Premium"/>
    <n v="0.01"/>
    <x v="13"/>
    <x v="4"/>
    <x v="0"/>
    <n v="17.989999999999998"/>
    <n v="1"/>
    <n v="17.989999999999998"/>
    <x v="1"/>
    <n v="1"/>
    <n v="0"/>
    <s v="Sci-Fi"/>
  </r>
  <r>
    <s v="8d3f248e-ed7c-42cd-b3d4-60774b897d71"/>
    <n v="28"/>
    <s v="Male"/>
    <s v="Standard"/>
    <n v="14.02"/>
    <x v="12"/>
    <x v="3"/>
    <x v="1"/>
    <n v="13.99"/>
    <n v="1"/>
    <n v="13.99"/>
    <x v="2"/>
    <n v="1"/>
    <n v="0.41"/>
    <s v="Drama"/>
  </r>
  <r>
    <s v="f0d90afa-ac9b-4248-9f1f-d262d266696b"/>
    <n v="44"/>
    <s v="Female"/>
    <s v="Standard"/>
    <n v="0.55000000000000004"/>
    <x v="48"/>
    <x v="2"/>
    <x v="4"/>
    <n v="13.99"/>
    <n v="1"/>
    <n v="13.99"/>
    <x v="1"/>
    <n v="2"/>
    <n v="0.01"/>
    <s v="Documentary"/>
  </r>
  <r>
    <s v="efe7aef5-61d4-4046-b949-8ebb253ea4df"/>
    <n v="62"/>
    <s v="Male"/>
    <s v="Standard"/>
    <n v="3.58"/>
    <x v="31"/>
    <x v="3"/>
    <x v="4"/>
    <n v="13.99"/>
    <n v="0"/>
    <n v="0"/>
    <x v="4"/>
    <n v="5"/>
    <n v="0.22"/>
    <s v="Horror"/>
  </r>
  <r>
    <s v="5f99dc80-0876-4938-9f32-32f8121def1d"/>
    <n v="54"/>
    <s v="Male"/>
    <s v="Basic"/>
    <n v="2.2799999999999998"/>
    <x v="51"/>
    <x v="2"/>
    <x v="0"/>
    <n v="8.99"/>
    <n v="1"/>
    <n v="8.99"/>
    <x v="3"/>
    <n v="2"/>
    <n v="0.13"/>
    <s v="Horror"/>
  </r>
  <r>
    <s v="7dcf21e0-1891-4a67-8762-5475e064b562"/>
    <n v="24"/>
    <s v="Female"/>
    <s v="Basic"/>
    <n v="9.58"/>
    <x v="35"/>
    <x v="4"/>
    <x v="4"/>
    <n v="8.99"/>
    <n v="1"/>
    <n v="8.99"/>
    <x v="4"/>
    <n v="5"/>
    <n v="0.21"/>
    <s v="Documentary"/>
  </r>
  <r>
    <s v="8891ec31-2a81-4f19-a0fb-9f092f2fa076"/>
    <n v="27"/>
    <s v="Other"/>
    <s v="Basic"/>
    <n v="6.3"/>
    <x v="8"/>
    <x v="0"/>
    <x v="4"/>
    <n v="8.99"/>
    <n v="1"/>
    <n v="8.99"/>
    <x v="2"/>
    <n v="4"/>
    <n v="0.18"/>
    <s v="Documentary"/>
  </r>
  <r>
    <s v="b253557e-7e9f-42e7-a964-08409512972c"/>
    <n v="52"/>
    <s v="Female"/>
    <s v="Basic"/>
    <n v="1.59"/>
    <x v="0"/>
    <x v="4"/>
    <x v="0"/>
    <n v="8.99"/>
    <n v="1"/>
    <n v="8.99"/>
    <x v="3"/>
    <n v="3"/>
    <n v="0.05"/>
    <s v="Action"/>
  </r>
  <r>
    <s v="80fa0811-9079-4a4e-bee3-27d5d809118c"/>
    <n v="55"/>
    <s v="Other"/>
    <s v="Basic"/>
    <n v="1.38"/>
    <x v="24"/>
    <x v="4"/>
    <x v="4"/>
    <n v="8.99"/>
    <n v="1"/>
    <n v="8.99"/>
    <x v="0"/>
    <n v="5"/>
    <n v="0.03"/>
    <s v="Documentary"/>
  </r>
  <r>
    <s v="e0ed8133-983b-499f-aaa2-d55fed500c39"/>
    <n v="62"/>
    <s v="Male"/>
    <s v="Standard"/>
    <n v="18.07"/>
    <x v="6"/>
    <x v="0"/>
    <x v="3"/>
    <n v="13.99"/>
    <n v="0"/>
    <n v="0"/>
    <x v="3"/>
    <n v="2"/>
    <n v="0.86"/>
    <s v="Romance"/>
  </r>
  <r>
    <s v="0742f86e-5f2d-44ef-99e9-17701ba583e9"/>
    <n v="64"/>
    <s v="Female"/>
    <s v="Premium"/>
    <n v="6.41"/>
    <x v="50"/>
    <x v="1"/>
    <x v="1"/>
    <n v="17.989999999999998"/>
    <n v="1"/>
    <n v="17.989999999999998"/>
    <x v="0"/>
    <n v="1"/>
    <n v="0.12"/>
    <s v="Romance"/>
  </r>
  <r>
    <s v="b75366bb-d3d5-426f-bf5e-c38759e966bc"/>
    <n v="31"/>
    <s v="Other"/>
    <s v="Premium"/>
    <n v="18.73"/>
    <x v="30"/>
    <x v="3"/>
    <x v="1"/>
    <n v="17.989999999999998"/>
    <n v="0"/>
    <n v="0"/>
    <x v="1"/>
    <n v="1"/>
    <n v="9.3699999999999992"/>
    <s v="Action"/>
  </r>
  <r>
    <s v="394cb1e4-055f-4966-83e6-243beaeb3aca"/>
    <n v="47"/>
    <s v="Other"/>
    <s v="Basic"/>
    <n v="14.08"/>
    <x v="6"/>
    <x v="0"/>
    <x v="3"/>
    <n v="8.99"/>
    <n v="0"/>
    <n v="0"/>
    <x v="0"/>
    <n v="3"/>
    <n v="0.67"/>
    <s v="Comedy"/>
  </r>
  <r>
    <s v="3a9ecfb2-33d3-4bee-a44a-630de00fbd01"/>
    <n v="37"/>
    <s v="Other"/>
    <s v="Standard"/>
    <n v="18.23"/>
    <x v="9"/>
    <x v="3"/>
    <x v="3"/>
    <n v="13.99"/>
    <n v="1"/>
    <n v="13.99"/>
    <x v="0"/>
    <n v="5"/>
    <n v="0.49"/>
    <s v="Action"/>
  </r>
  <r>
    <s v="38e8f595-7ae2-478a-ad6b-449334d7fc96"/>
    <n v="65"/>
    <s v="Other"/>
    <s v="Standard"/>
    <n v="28.86"/>
    <x v="4"/>
    <x v="2"/>
    <x v="2"/>
    <n v="13.99"/>
    <n v="0"/>
    <n v="0"/>
    <x v="0"/>
    <n v="4"/>
    <n v="2.06"/>
    <s v="Horror"/>
  </r>
  <r>
    <s v="24796c47-3ab2-4476-834f-b8ee3062a37e"/>
    <n v="20"/>
    <s v="Female"/>
    <s v="Premium"/>
    <n v="49.3"/>
    <x v="33"/>
    <x v="3"/>
    <x v="4"/>
    <n v="17.989999999999998"/>
    <n v="0"/>
    <n v="0"/>
    <x v="0"/>
    <n v="3"/>
    <n v="1.9"/>
    <s v="Drama"/>
  </r>
  <r>
    <s v="41816b3f-56f6-43bf-9115-971ba7dc242f"/>
    <n v="45"/>
    <s v="Other"/>
    <s v="Basic"/>
    <n v="3.95"/>
    <x v="10"/>
    <x v="0"/>
    <x v="4"/>
    <n v="8.99"/>
    <n v="1"/>
    <n v="8.99"/>
    <x v="0"/>
    <n v="1"/>
    <n v="0.1"/>
    <s v="Documentary"/>
  </r>
  <r>
    <s v="5cde086f-eb25-4291-b2ee-0c6d1c6b5459"/>
    <n v="67"/>
    <s v="Female"/>
    <s v="Basic"/>
    <n v="11.06"/>
    <x v="27"/>
    <x v="5"/>
    <x v="3"/>
    <n v="8.99"/>
    <n v="0"/>
    <n v="0"/>
    <x v="4"/>
    <n v="4"/>
    <n v="0.65"/>
    <s v="Sci-Fi"/>
  </r>
  <r>
    <s v="1dfb56be-d12c-4739-aab0-0f6cd8c3031c"/>
    <n v="70"/>
    <s v="Male"/>
    <s v="Basic"/>
    <n v="6.66"/>
    <x v="22"/>
    <x v="3"/>
    <x v="3"/>
    <n v="8.99"/>
    <n v="1"/>
    <n v="8.99"/>
    <x v="0"/>
    <n v="4"/>
    <n v="0.12"/>
    <s v="Romance"/>
  </r>
  <r>
    <s v="d8653e82-a487-4adf-9ac9-64f6664ed08c"/>
    <n v="67"/>
    <s v="Male"/>
    <s v="Basic"/>
    <n v="9.5399999999999991"/>
    <x v="15"/>
    <x v="5"/>
    <x v="2"/>
    <n v="8.99"/>
    <n v="1"/>
    <n v="8.99"/>
    <x v="1"/>
    <n v="2"/>
    <n v="0.23"/>
    <s v="Comedy"/>
  </r>
  <r>
    <s v="0cb3b1b4-f56d-4937-a509-b7c79a125bc7"/>
    <n v="28"/>
    <s v="Female"/>
    <s v="Basic"/>
    <n v="10.43"/>
    <x v="33"/>
    <x v="3"/>
    <x v="4"/>
    <n v="8.99"/>
    <n v="0"/>
    <n v="0"/>
    <x v="0"/>
    <n v="4"/>
    <n v="0.4"/>
    <s v="Horror"/>
  </r>
  <r>
    <s v="e33b05be-fc1b-4cf1-9fcc-185be5525bac"/>
    <n v="53"/>
    <s v="Other"/>
    <s v="Premium"/>
    <n v="5.79"/>
    <x v="8"/>
    <x v="0"/>
    <x v="1"/>
    <n v="17.989999999999998"/>
    <n v="1"/>
    <n v="17.989999999999998"/>
    <x v="0"/>
    <n v="5"/>
    <n v="0.17"/>
    <s v="Documentary"/>
  </r>
  <r>
    <s v="e674aba0-35ab-4d84-9283-901a58d5ece9"/>
    <n v="36"/>
    <s v="Male"/>
    <s v="Basic"/>
    <n v="34.97"/>
    <x v="27"/>
    <x v="1"/>
    <x v="0"/>
    <n v="8.99"/>
    <n v="0"/>
    <n v="0"/>
    <x v="3"/>
    <n v="2"/>
    <n v="2.06"/>
    <s v="Action"/>
  </r>
  <r>
    <s v="98504084-75ee-40c1-a61e-c01ebf8377d5"/>
    <n v="48"/>
    <s v="Female"/>
    <s v="Basic"/>
    <n v="5.71"/>
    <x v="15"/>
    <x v="0"/>
    <x v="4"/>
    <n v="8.99"/>
    <n v="1"/>
    <n v="8.99"/>
    <x v="1"/>
    <n v="1"/>
    <n v="0.14000000000000001"/>
    <s v="Romance"/>
  </r>
  <r>
    <s v="db86ffd3-430d-4f21-99a0-d0c002b24dfb"/>
    <n v="19"/>
    <s v="Other"/>
    <s v="Standard"/>
    <n v="6.31"/>
    <x v="20"/>
    <x v="5"/>
    <x v="0"/>
    <n v="13.99"/>
    <n v="0"/>
    <n v="0"/>
    <x v="1"/>
    <n v="1"/>
    <n v="0.33"/>
    <s v="Sci-Fi"/>
  </r>
  <r>
    <s v="f2148f5b-1c1c-4924-8f23-c2781fe5c869"/>
    <n v="25"/>
    <s v="Male"/>
    <s v="Premium"/>
    <n v="6.08"/>
    <x v="12"/>
    <x v="0"/>
    <x v="2"/>
    <n v="17.989999999999998"/>
    <n v="0"/>
    <n v="0"/>
    <x v="2"/>
    <n v="5"/>
    <n v="0.18"/>
    <s v="Documentary"/>
  </r>
  <r>
    <s v="6b12da3c-c538-4257-b3a8-6ecaaeb07210"/>
    <n v="31"/>
    <s v="Other"/>
    <s v="Standard"/>
    <n v="6.59"/>
    <x v="1"/>
    <x v="0"/>
    <x v="3"/>
    <n v="13.99"/>
    <n v="0"/>
    <n v="0"/>
    <x v="1"/>
    <n v="3"/>
    <n v="0.33"/>
    <s v="Documentary"/>
  </r>
  <r>
    <s v="4419096c-eab3-4723-920e-eac48bdbf287"/>
    <n v="56"/>
    <s v="Female"/>
    <s v="Basic"/>
    <n v="15.59"/>
    <x v="47"/>
    <x v="4"/>
    <x v="3"/>
    <n v="8.99"/>
    <n v="0"/>
    <n v="0"/>
    <x v="0"/>
    <n v="3"/>
    <n v="3.9"/>
    <s v="Action"/>
  </r>
  <r>
    <s v="6579bce5-dc6a-481c-b1fe-a22518a7a609"/>
    <n v="51"/>
    <s v="Other"/>
    <s v="Standard"/>
    <n v="7.43"/>
    <x v="33"/>
    <x v="5"/>
    <x v="1"/>
    <n v="13.99"/>
    <n v="0"/>
    <n v="0"/>
    <x v="1"/>
    <n v="5"/>
    <n v="0.28999999999999998"/>
    <s v="Comedy"/>
  </r>
  <r>
    <s v="891cf0f4-f86f-4ad3-9336-c08226ab832f"/>
    <n v="23"/>
    <s v="Female"/>
    <s v="Basic"/>
    <n v="21.34"/>
    <x v="1"/>
    <x v="4"/>
    <x v="0"/>
    <n v="8.99"/>
    <n v="0"/>
    <n v="0"/>
    <x v="0"/>
    <n v="2"/>
    <n v="1.07"/>
    <s v="Romance"/>
  </r>
  <r>
    <s v="3a412682-0c12-4379-8613-f752dadfc41d"/>
    <n v="67"/>
    <s v="Male"/>
    <s v="Standard"/>
    <n v="17.3"/>
    <x v="41"/>
    <x v="5"/>
    <x v="3"/>
    <n v="13.99"/>
    <n v="0"/>
    <n v="0"/>
    <x v="0"/>
    <n v="4"/>
    <n v="0.56000000000000005"/>
    <s v="Action"/>
  </r>
  <r>
    <s v="3ea62e22-d039-4d10-bdfb-ff1b821675bb"/>
    <n v="29"/>
    <s v="Other"/>
    <s v="Premium"/>
    <n v="14.26"/>
    <x v="11"/>
    <x v="4"/>
    <x v="2"/>
    <n v="17.989999999999998"/>
    <n v="0"/>
    <n v="0"/>
    <x v="3"/>
    <n v="5"/>
    <n v="0.59"/>
    <s v="Horror"/>
  </r>
  <r>
    <s v="71e228f4-5b7f-4806-8a29-28bf53814d83"/>
    <n v="25"/>
    <s v="Male"/>
    <s v="Premium"/>
    <n v="9.9499999999999993"/>
    <x v="19"/>
    <x v="4"/>
    <x v="4"/>
    <n v="17.989999999999998"/>
    <n v="0"/>
    <n v="0"/>
    <x v="2"/>
    <n v="4"/>
    <n v="0.23"/>
    <s v="Sci-Fi"/>
  </r>
  <r>
    <s v="422bf1a4-f0ed-4bab-a1ff-8269c1c70ecc"/>
    <n v="37"/>
    <s v="Female"/>
    <s v="Basic"/>
    <n v="5.62"/>
    <x v="1"/>
    <x v="2"/>
    <x v="2"/>
    <n v="8.99"/>
    <n v="1"/>
    <n v="8.99"/>
    <x v="1"/>
    <n v="3"/>
    <n v="0.28000000000000003"/>
    <s v="Romance"/>
  </r>
  <r>
    <s v="963809c1-1498-4951-b893-a42cd0b8038a"/>
    <n v="69"/>
    <s v="Male"/>
    <s v="Premium"/>
    <n v="9.07"/>
    <x v="58"/>
    <x v="0"/>
    <x v="3"/>
    <n v="17.989999999999998"/>
    <n v="0"/>
    <n v="0"/>
    <x v="3"/>
    <n v="5"/>
    <n v="0.19"/>
    <s v="Comedy"/>
  </r>
  <r>
    <s v="32c89f45-a6e5-450a-991b-ca55e7d3bc65"/>
    <n v="37"/>
    <s v="Other"/>
    <s v="Basic"/>
    <n v="10.37"/>
    <x v="56"/>
    <x v="4"/>
    <x v="4"/>
    <n v="8.99"/>
    <n v="1"/>
    <n v="8.99"/>
    <x v="4"/>
    <n v="1"/>
    <n v="0.18"/>
    <s v="Horror"/>
  </r>
  <r>
    <s v="25c15fc4-5df8-45a4-a8f3-4477b6549bb9"/>
    <n v="31"/>
    <s v="Female"/>
    <s v="Premium"/>
    <n v="19.72"/>
    <x v="15"/>
    <x v="4"/>
    <x v="0"/>
    <n v="17.989999999999998"/>
    <n v="1"/>
    <n v="17.989999999999998"/>
    <x v="0"/>
    <n v="3"/>
    <n v="0.48"/>
    <s v="Horror"/>
  </r>
  <r>
    <s v="f80d6eaf-dae4-43ce-8c83-bd1c6ae38c81"/>
    <n v="39"/>
    <s v="Other"/>
    <s v="Premium"/>
    <n v="22.35"/>
    <x v="9"/>
    <x v="2"/>
    <x v="0"/>
    <n v="17.989999999999998"/>
    <n v="0"/>
    <n v="0"/>
    <x v="0"/>
    <n v="5"/>
    <n v="0.6"/>
    <s v="Romance"/>
  </r>
  <r>
    <s v="6861742f-e225-4a48-a899-10515f5fe14a"/>
    <n v="26"/>
    <s v="Male"/>
    <s v="Standard"/>
    <n v="11.26"/>
    <x v="34"/>
    <x v="3"/>
    <x v="4"/>
    <n v="13.99"/>
    <n v="1"/>
    <n v="13.99"/>
    <x v="4"/>
    <n v="2"/>
    <n v="0.22"/>
    <s v="Documentary"/>
  </r>
  <r>
    <s v="3d12f279-fec1-42b9-8628-9191b773a7f4"/>
    <n v="49"/>
    <s v="Male"/>
    <s v="Standard"/>
    <n v="14.28"/>
    <x v="13"/>
    <x v="0"/>
    <x v="3"/>
    <n v="13.99"/>
    <n v="0"/>
    <n v="0"/>
    <x v="1"/>
    <n v="3"/>
    <n v="1.78"/>
    <s v="Sci-Fi"/>
  </r>
  <r>
    <s v="36490c08-2bed-473e-b421-f79d03e44d36"/>
    <n v="34"/>
    <s v="Other"/>
    <s v="Standard"/>
    <n v="1.55"/>
    <x v="31"/>
    <x v="2"/>
    <x v="3"/>
    <n v="13.99"/>
    <n v="1"/>
    <n v="13.99"/>
    <x v="2"/>
    <n v="3"/>
    <n v="0.1"/>
    <s v="Sci-Fi"/>
  </r>
  <r>
    <s v="952c3b4f-7921-4f45-bb74-2b229a8312d4"/>
    <n v="64"/>
    <s v="Male"/>
    <s v="Basic"/>
    <n v="26.45"/>
    <x v="45"/>
    <x v="0"/>
    <x v="2"/>
    <n v="8.99"/>
    <n v="0"/>
    <n v="0"/>
    <x v="2"/>
    <n v="1"/>
    <n v="0.63"/>
    <s v="Romance"/>
  </r>
  <r>
    <s v="b8fdc9d1-5b33-44ff-8112-c60df62d6f32"/>
    <n v="60"/>
    <s v="Male"/>
    <s v="Standard"/>
    <n v="5.77"/>
    <x v="25"/>
    <x v="1"/>
    <x v="4"/>
    <n v="13.99"/>
    <n v="0"/>
    <n v="0"/>
    <x v="2"/>
    <n v="5"/>
    <n v="5.77"/>
    <s v="Comedy"/>
  </r>
  <r>
    <s v="0fe47c7b-385a-478d-bda2-22b84a8712a2"/>
    <n v="29"/>
    <s v="Male"/>
    <s v="Basic"/>
    <n v="13"/>
    <x v="44"/>
    <x v="3"/>
    <x v="4"/>
    <n v="8.99"/>
    <n v="1"/>
    <n v="8.99"/>
    <x v="4"/>
    <n v="4"/>
    <n v="0.28000000000000003"/>
    <s v="Drama"/>
  </r>
  <r>
    <s v="18f6b306-a34c-4cfc-9798-99a919a0992f"/>
    <n v="30"/>
    <s v="Male"/>
    <s v="Standard"/>
    <n v="0.74"/>
    <x v="25"/>
    <x v="4"/>
    <x v="2"/>
    <n v="13.99"/>
    <n v="0"/>
    <n v="0"/>
    <x v="4"/>
    <n v="4"/>
    <n v="0.74"/>
    <s v="Action"/>
  </r>
  <r>
    <s v="e975682c-48c9-49b9-8381-1fe0f4943c3b"/>
    <n v="67"/>
    <s v="Male"/>
    <s v="Standard"/>
    <n v="26.05"/>
    <x v="38"/>
    <x v="1"/>
    <x v="0"/>
    <n v="13.99"/>
    <n v="0"/>
    <n v="0"/>
    <x v="3"/>
    <n v="4"/>
    <n v="1.18"/>
    <s v="Drama"/>
  </r>
  <r>
    <s v="b041cc34-ff46-4f7c-8983-f68f29c0d3ef"/>
    <n v="23"/>
    <s v="Other"/>
    <s v="Premium"/>
    <n v="4.46"/>
    <x v="34"/>
    <x v="5"/>
    <x v="3"/>
    <n v="17.989999999999998"/>
    <n v="1"/>
    <n v="17.989999999999998"/>
    <x v="1"/>
    <n v="3"/>
    <n v="0.09"/>
    <s v="Horror"/>
  </r>
  <r>
    <s v="dd14a766-3108-4397-9422-525fac071e57"/>
    <n v="34"/>
    <s v="Male"/>
    <s v="Standard"/>
    <n v="4.26"/>
    <x v="39"/>
    <x v="4"/>
    <x v="2"/>
    <n v="13.99"/>
    <n v="1"/>
    <n v="13.99"/>
    <x v="4"/>
    <n v="3"/>
    <n v="0.19"/>
    <s v="Sci-Fi"/>
  </r>
  <r>
    <s v="f7e212bf-14ed-4017-ad80-dacd5d6b7be5"/>
    <n v="57"/>
    <s v="Female"/>
    <s v="Basic"/>
    <n v="14.31"/>
    <x v="25"/>
    <x v="3"/>
    <x v="1"/>
    <n v="8.99"/>
    <n v="0"/>
    <n v="0"/>
    <x v="3"/>
    <n v="5"/>
    <n v="14.31"/>
    <s v="Romance"/>
  </r>
  <r>
    <s v="c33f8bd1-b44c-4e7b-af87-b85574c2bec5"/>
    <n v="52"/>
    <s v="Male"/>
    <s v="Premium"/>
    <n v="45.18"/>
    <x v="29"/>
    <x v="0"/>
    <x v="0"/>
    <n v="17.989999999999998"/>
    <n v="0"/>
    <n v="0"/>
    <x v="0"/>
    <n v="5"/>
    <n v="0.98"/>
    <s v="Action"/>
  </r>
  <r>
    <s v="d96d507e-5f27-43fc-b25e-c80f3e52f49d"/>
    <n v="59"/>
    <s v="Female"/>
    <s v="Standard"/>
    <n v="23.07"/>
    <x v="7"/>
    <x v="5"/>
    <x v="0"/>
    <n v="13.99"/>
    <n v="0"/>
    <n v="0"/>
    <x v="4"/>
    <n v="2"/>
    <n v="0.4"/>
    <s v="Romance"/>
  </r>
  <r>
    <s v="2224f87a-30da-4c5e-9ff3-dbdac8e1592e"/>
    <n v="26"/>
    <s v="Male"/>
    <s v="Premium"/>
    <n v="3.67"/>
    <x v="46"/>
    <x v="5"/>
    <x v="3"/>
    <n v="17.989999999999998"/>
    <n v="0"/>
    <n v="0"/>
    <x v="0"/>
    <n v="1"/>
    <n v="1.22"/>
    <s v="Documentary"/>
  </r>
  <r>
    <s v="3cb33869-2004-4ce2-8d6d-bcfe4432e0cf"/>
    <n v="40"/>
    <s v="Male"/>
    <s v="Basic"/>
    <n v="14.79"/>
    <x v="17"/>
    <x v="5"/>
    <x v="0"/>
    <n v="8.99"/>
    <n v="0"/>
    <n v="0"/>
    <x v="3"/>
    <n v="3"/>
    <n v="2.96"/>
    <s v="Sci-Fi"/>
  </r>
  <r>
    <s v="1accc892-44fa-4be9-bfc4-c9168ec4417a"/>
    <n v="28"/>
    <s v="Male"/>
    <s v="Standard"/>
    <n v="1.17"/>
    <x v="8"/>
    <x v="2"/>
    <x v="2"/>
    <n v="13.99"/>
    <n v="1"/>
    <n v="13.99"/>
    <x v="3"/>
    <n v="4"/>
    <n v="0.03"/>
    <s v="Comedy"/>
  </r>
  <r>
    <s v="f06a4e35-9aad-42e2-97b8-88c0876364ae"/>
    <n v="50"/>
    <s v="Male"/>
    <s v="Standard"/>
    <n v="13.5"/>
    <x v="52"/>
    <x v="2"/>
    <x v="4"/>
    <n v="13.99"/>
    <n v="1"/>
    <n v="13.99"/>
    <x v="4"/>
    <n v="2"/>
    <n v="0.27"/>
    <s v="Drama"/>
  </r>
  <r>
    <s v="07c019ac-78fd-4f04-99b3-ed1efce17ed2"/>
    <n v="37"/>
    <s v="Male"/>
    <s v="Standard"/>
    <n v="4.6500000000000004"/>
    <x v="31"/>
    <x v="0"/>
    <x v="2"/>
    <n v="13.99"/>
    <n v="1"/>
    <n v="13.99"/>
    <x v="4"/>
    <n v="3"/>
    <n v="0.28999999999999998"/>
    <s v="Horror"/>
  </r>
  <r>
    <s v="2114f4a9-f892-40f2-ad83-1f6431f06ad6"/>
    <n v="26"/>
    <s v="Male"/>
    <s v="Premium"/>
    <n v="11.88"/>
    <x v="33"/>
    <x v="1"/>
    <x v="2"/>
    <n v="17.989999999999998"/>
    <n v="0"/>
    <n v="0"/>
    <x v="0"/>
    <n v="3"/>
    <n v="0.46"/>
    <s v="Drama"/>
  </r>
  <r>
    <s v="eeafbbe8-c130-4215-98cb-2c50590d4c36"/>
    <n v="64"/>
    <s v="Female"/>
    <s v="Basic"/>
    <n v="3.25"/>
    <x v="35"/>
    <x v="2"/>
    <x v="2"/>
    <n v="8.99"/>
    <n v="1"/>
    <n v="8.99"/>
    <x v="4"/>
    <n v="1"/>
    <n v="7.0000000000000007E-2"/>
    <s v="Drama"/>
  </r>
  <r>
    <s v="b6c7f41f-f9fd-4915-a4b5-eb9eddfcca2f"/>
    <n v="69"/>
    <s v="Female"/>
    <s v="Basic"/>
    <n v="4.8099999999999996"/>
    <x v="44"/>
    <x v="5"/>
    <x v="2"/>
    <n v="8.99"/>
    <n v="1"/>
    <n v="8.99"/>
    <x v="2"/>
    <n v="3"/>
    <n v="0.1"/>
    <s v="Action"/>
  </r>
  <r>
    <s v="b60244ce-c9ab-4ca7-af7b-a752e7569f20"/>
    <n v="29"/>
    <s v="Male"/>
    <s v="Premium"/>
    <n v="7.54"/>
    <x v="2"/>
    <x v="1"/>
    <x v="1"/>
    <n v="17.989999999999998"/>
    <n v="0"/>
    <n v="0"/>
    <x v="2"/>
    <n v="3"/>
    <n v="0.69"/>
    <s v="Action"/>
  </r>
  <r>
    <s v="a6af82cf-a6a1-4305-a839-e70b51783c32"/>
    <n v="36"/>
    <s v="Other"/>
    <s v="Basic"/>
    <n v="13.88"/>
    <x v="16"/>
    <x v="4"/>
    <x v="0"/>
    <n v="8.99"/>
    <n v="0"/>
    <n v="0"/>
    <x v="3"/>
    <n v="3"/>
    <n v="0.5"/>
    <s v="Horror"/>
  </r>
  <r>
    <s v="a70da997-2a45-4bb6-bb24-e40964941eff"/>
    <n v="55"/>
    <s v="Female"/>
    <s v="Standard"/>
    <n v="3.68"/>
    <x v="28"/>
    <x v="5"/>
    <x v="2"/>
    <n v="13.99"/>
    <n v="1"/>
    <n v="13.99"/>
    <x v="1"/>
    <n v="5"/>
    <n v="0.1"/>
    <s v="Horror"/>
  </r>
  <r>
    <s v="c306dc87-45f3-4bee-bfbc-2e928cd8c63f"/>
    <n v="35"/>
    <s v="Male"/>
    <s v="Premium"/>
    <n v="9.2100000000000009"/>
    <x v="8"/>
    <x v="5"/>
    <x v="4"/>
    <n v="17.989999999999998"/>
    <n v="0"/>
    <n v="0"/>
    <x v="3"/>
    <n v="5"/>
    <n v="0.26"/>
    <s v="Sci-Fi"/>
  </r>
  <r>
    <s v="f898a1fd-293e-40b3-9a40-e21de4828852"/>
    <n v="62"/>
    <s v="Female"/>
    <s v="Premium"/>
    <n v="25.53"/>
    <x v="48"/>
    <x v="3"/>
    <x v="2"/>
    <n v="17.989999999999998"/>
    <n v="0"/>
    <n v="0"/>
    <x v="3"/>
    <n v="3"/>
    <n v="0.49"/>
    <s v="Action"/>
  </r>
  <r>
    <s v="b47423e0-fc07-4c45-93e9-5de5f180c69b"/>
    <n v="44"/>
    <s v="Male"/>
    <s v="Basic"/>
    <n v="0.6"/>
    <x v="58"/>
    <x v="0"/>
    <x v="3"/>
    <n v="8.99"/>
    <n v="1"/>
    <n v="8.99"/>
    <x v="3"/>
    <n v="5"/>
    <n v="0.01"/>
    <s v="Comedy"/>
  </r>
  <r>
    <s v="4bb2258b-b1bf-4e4a-8e25-5738517e9917"/>
    <n v="35"/>
    <s v="Other"/>
    <s v="Premium"/>
    <n v="2.4300000000000002"/>
    <x v="56"/>
    <x v="0"/>
    <x v="0"/>
    <n v="17.989999999999998"/>
    <n v="1"/>
    <n v="17.989999999999998"/>
    <x v="4"/>
    <n v="2"/>
    <n v="0.04"/>
    <s v="Action"/>
  </r>
  <r>
    <s v="4ca18b96-1fce-4bcc-9b1e-85c0f699523e"/>
    <n v="64"/>
    <s v="Female"/>
    <s v="Premium"/>
    <n v="8.24"/>
    <x v="0"/>
    <x v="3"/>
    <x v="1"/>
    <n v="17.989999999999998"/>
    <n v="0"/>
    <n v="0"/>
    <x v="0"/>
    <n v="5"/>
    <n v="0.27"/>
    <s v="Action"/>
  </r>
  <r>
    <s v="45cd4327-0de3-43a8-a581-0bdd0432030d"/>
    <n v="45"/>
    <s v="Female"/>
    <s v="Standard"/>
    <n v="2.52"/>
    <x v="11"/>
    <x v="1"/>
    <x v="3"/>
    <n v="13.99"/>
    <n v="1"/>
    <n v="13.99"/>
    <x v="2"/>
    <n v="1"/>
    <n v="0.1"/>
    <s v="Documentary"/>
  </r>
  <r>
    <s v="d263f088-0d09-494b-83b1-268d497cbcd0"/>
    <n v="55"/>
    <s v="Other"/>
    <s v="Premium"/>
    <n v="10.130000000000001"/>
    <x v="4"/>
    <x v="3"/>
    <x v="2"/>
    <n v="17.989999999999998"/>
    <n v="0"/>
    <n v="0"/>
    <x v="3"/>
    <n v="3"/>
    <n v="0.72"/>
    <s v="Romance"/>
  </r>
  <r>
    <s v="7e16b964-d803-4cb8-94da-29f5660c1027"/>
    <n v="45"/>
    <s v="Other"/>
    <s v="Standard"/>
    <n v="6.84"/>
    <x v="15"/>
    <x v="4"/>
    <x v="4"/>
    <n v="13.99"/>
    <n v="1"/>
    <n v="13.99"/>
    <x v="1"/>
    <n v="2"/>
    <n v="0.17"/>
    <s v="Documentary"/>
  </r>
  <r>
    <s v="672a8d38-e6ed-4649-8b8f-e31ceedeea37"/>
    <n v="52"/>
    <s v="Male"/>
    <s v="Premium"/>
    <n v="1.81"/>
    <x v="11"/>
    <x v="5"/>
    <x v="1"/>
    <n v="17.989999999999998"/>
    <n v="1"/>
    <n v="17.989999999999998"/>
    <x v="2"/>
    <n v="3"/>
    <n v="0.08"/>
    <s v="Documentary"/>
  </r>
  <r>
    <s v="3cffe3c7-6583-4e5a-b615-1fdf922642f9"/>
    <n v="63"/>
    <s v="Other"/>
    <s v="Standard"/>
    <n v="11.43"/>
    <x v="52"/>
    <x v="1"/>
    <x v="0"/>
    <n v="13.99"/>
    <n v="1"/>
    <n v="13.99"/>
    <x v="2"/>
    <n v="1"/>
    <n v="0.23"/>
    <s v="Horror"/>
  </r>
  <r>
    <s v="744bf5e8-5096-4082-8903-70e4cfdd1e64"/>
    <n v="33"/>
    <s v="Other"/>
    <s v="Basic"/>
    <n v="33.229999999999997"/>
    <x v="56"/>
    <x v="3"/>
    <x v="0"/>
    <n v="8.99"/>
    <n v="0"/>
    <n v="0"/>
    <x v="2"/>
    <n v="5"/>
    <n v="0.56000000000000005"/>
    <s v="Romance"/>
  </r>
  <r>
    <s v="b9802ea9-5c98-4d4a-a77c-6de878d22ea4"/>
    <n v="34"/>
    <s v="Female"/>
    <s v="Premium"/>
    <n v="4.59"/>
    <x v="43"/>
    <x v="3"/>
    <x v="3"/>
    <n v="17.989999999999998"/>
    <n v="1"/>
    <n v="17.989999999999998"/>
    <x v="0"/>
    <n v="2"/>
    <n v="0.14000000000000001"/>
    <s v="Sci-Fi"/>
  </r>
  <r>
    <s v="9363bef2-c9cb-4a76-971e-f1a5bb357d58"/>
    <n v="37"/>
    <s v="Female"/>
    <s v="Standard"/>
    <n v="10.29"/>
    <x v="52"/>
    <x v="4"/>
    <x v="3"/>
    <n v="13.99"/>
    <n v="1"/>
    <n v="13.99"/>
    <x v="1"/>
    <n v="1"/>
    <n v="0.21"/>
    <s v="Drama"/>
  </r>
  <r>
    <s v="349f7e43-7477-4e48-860d-b838ad415b1c"/>
    <n v="25"/>
    <s v="Male"/>
    <s v="Standard"/>
    <n v="2.96"/>
    <x v="33"/>
    <x v="0"/>
    <x v="2"/>
    <n v="13.99"/>
    <n v="1"/>
    <n v="13.99"/>
    <x v="4"/>
    <n v="1"/>
    <n v="0.11"/>
    <s v="Comedy"/>
  </r>
  <r>
    <s v="9cc41b86-9e5f-40f1-91f1-5c431290571a"/>
    <n v="46"/>
    <s v="Other"/>
    <s v="Premium"/>
    <n v="30.01"/>
    <x v="7"/>
    <x v="5"/>
    <x v="1"/>
    <n v="17.989999999999998"/>
    <n v="0"/>
    <n v="0"/>
    <x v="0"/>
    <n v="5"/>
    <n v="0.53"/>
    <s v="Romance"/>
  </r>
  <r>
    <s v="6f5a2958-cb64-47b5-af53-1d70ba016494"/>
    <n v="63"/>
    <s v="Male"/>
    <s v="Standard"/>
    <n v="26.63"/>
    <x v="43"/>
    <x v="2"/>
    <x v="0"/>
    <n v="13.99"/>
    <n v="0"/>
    <n v="0"/>
    <x v="1"/>
    <n v="2"/>
    <n v="0.83"/>
    <s v="Horror"/>
  </r>
  <r>
    <s v="887de878-c150-46f7-9bf5-58c7ef8ce74e"/>
    <n v="55"/>
    <s v="Male"/>
    <s v="Basic"/>
    <n v="3.66"/>
    <x v="40"/>
    <x v="2"/>
    <x v="0"/>
    <n v="8.99"/>
    <n v="1"/>
    <n v="8.99"/>
    <x v="4"/>
    <n v="4"/>
    <n v="0.3"/>
    <s v="Sci-Fi"/>
  </r>
  <r>
    <s v="291d76b3-d8c3-406e-803f-c9e04fb283de"/>
    <n v="55"/>
    <s v="Other"/>
    <s v="Basic"/>
    <n v="0.67"/>
    <x v="37"/>
    <x v="1"/>
    <x v="3"/>
    <n v="8.99"/>
    <n v="1"/>
    <n v="8.99"/>
    <x v="3"/>
    <n v="3"/>
    <n v="0.03"/>
    <s v="Horror"/>
  </r>
  <r>
    <s v="46b5db3d-c2b2-4188-9424-4f7172f15112"/>
    <n v="61"/>
    <s v="Male"/>
    <s v="Standard"/>
    <n v="14.57"/>
    <x v="27"/>
    <x v="3"/>
    <x v="1"/>
    <n v="13.99"/>
    <n v="0"/>
    <n v="0"/>
    <x v="0"/>
    <n v="1"/>
    <n v="0.86"/>
    <s v="Horror"/>
  </r>
  <r>
    <s v="aaa4f493-b841-42d0-a7ca-644ad0512c3a"/>
    <n v="28"/>
    <s v="Male"/>
    <s v="Basic"/>
    <n v="3.72"/>
    <x v="7"/>
    <x v="2"/>
    <x v="2"/>
    <n v="8.99"/>
    <n v="1"/>
    <n v="8.99"/>
    <x v="2"/>
    <n v="3"/>
    <n v="7.0000000000000007E-2"/>
    <s v="Horror"/>
  </r>
  <r>
    <s v="43c97b11-0e8d-4947-9bdb-12af35174f31"/>
    <n v="62"/>
    <s v="Other"/>
    <s v="Basic"/>
    <n v="21.41"/>
    <x v="39"/>
    <x v="1"/>
    <x v="0"/>
    <n v="8.99"/>
    <n v="0"/>
    <n v="0"/>
    <x v="3"/>
    <n v="3"/>
    <n v="0.93"/>
    <s v="Sci-Fi"/>
  </r>
  <r>
    <s v="565b0478-0a6f-4900-b6b6-285e6656bb91"/>
    <n v="66"/>
    <s v="Other"/>
    <s v="Basic"/>
    <n v="1.89"/>
    <x v="39"/>
    <x v="0"/>
    <x v="3"/>
    <n v="8.99"/>
    <n v="1"/>
    <n v="8.99"/>
    <x v="3"/>
    <n v="2"/>
    <n v="0.08"/>
    <s v="Action"/>
  </r>
  <r>
    <s v="2240c2c4-f736-4caa-bc9f-6500eb1501ba"/>
    <n v="63"/>
    <s v="Male"/>
    <s v="Basic"/>
    <n v="14.4"/>
    <x v="47"/>
    <x v="1"/>
    <x v="3"/>
    <n v="8.99"/>
    <n v="0"/>
    <n v="0"/>
    <x v="2"/>
    <n v="3"/>
    <n v="3.6"/>
    <s v="Documentary"/>
  </r>
  <r>
    <s v="c9ca7e43-bb03-4e5c-82be-057200bc6f32"/>
    <n v="46"/>
    <s v="Other"/>
    <s v="Premium"/>
    <n v="7.29"/>
    <x v="17"/>
    <x v="5"/>
    <x v="2"/>
    <n v="17.989999999999998"/>
    <n v="0"/>
    <n v="0"/>
    <x v="4"/>
    <n v="2"/>
    <n v="1.46"/>
    <s v="Comedy"/>
  </r>
  <r>
    <s v="32f97948-ac90-446f-ba8f-0da203d8d523"/>
    <n v="34"/>
    <s v="Other"/>
    <s v="Basic"/>
    <n v="5.95"/>
    <x v="42"/>
    <x v="4"/>
    <x v="4"/>
    <n v="8.99"/>
    <n v="1"/>
    <n v="8.99"/>
    <x v="1"/>
    <n v="2"/>
    <n v="0.16"/>
    <s v="Comedy"/>
  </r>
  <r>
    <s v="501823e6-8ea5-433b-b0f6-d8c5f53c8907"/>
    <n v="56"/>
    <s v="Male"/>
    <s v="Standard"/>
    <n v="5.83"/>
    <x v="55"/>
    <x v="1"/>
    <x v="1"/>
    <n v="13.99"/>
    <n v="0"/>
    <n v="0"/>
    <x v="3"/>
    <n v="5"/>
    <n v="0.1"/>
    <s v="Action"/>
  </r>
  <r>
    <s v="c4c39eed-21ee-4f06-be68-f9f4899be76b"/>
    <n v="35"/>
    <s v="Other"/>
    <s v="Basic"/>
    <n v="2.19"/>
    <x v="59"/>
    <x v="3"/>
    <x v="2"/>
    <n v="8.99"/>
    <n v="1"/>
    <n v="8.99"/>
    <x v="0"/>
    <n v="5"/>
    <n v="0.36"/>
    <s v="Action"/>
  </r>
  <r>
    <s v="16c333fc-47cb-49f9-819b-b9853c0254d7"/>
    <n v="52"/>
    <s v="Other"/>
    <s v="Basic"/>
    <n v="8.7200000000000006"/>
    <x v="54"/>
    <x v="0"/>
    <x v="2"/>
    <n v="8.99"/>
    <n v="1"/>
    <n v="8.99"/>
    <x v="2"/>
    <n v="1"/>
    <n v="0.3"/>
    <s v="Horror"/>
  </r>
  <r>
    <s v="3790887a-7a19-4201-9f39-fec333345e97"/>
    <n v="54"/>
    <s v="Female"/>
    <s v="Basic"/>
    <n v="12.12"/>
    <x v="10"/>
    <x v="5"/>
    <x v="0"/>
    <n v="8.99"/>
    <n v="1"/>
    <n v="8.99"/>
    <x v="0"/>
    <n v="5"/>
    <n v="0.31"/>
    <s v="Romance"/>
  </r>
  <r>
    <s v="7bd51ef6-d0f6-4894-ade9-af2b4f2f45b1"/>
    <n v="42"/>
    <s v="Female"/>
    <s v="Standard"/>
    <n v="25.68"/>
    <x v="12"/>
    <x v="2"/>
    <x v="2"/>
    <n v="13.99"/>
    <n v="0"/>
    <n v="0"/>
    <x v="2"/>
    <n v="5"/>
    <n v="0.76"/>
    <s v="Comedy"/>
  </r>
  <r>
    <s v="67db947c-f035-417e-8883-71b4780b4fc0"/>
    <n v="39"/>
    <s v="Other"/>
    <s v="Basic"/>
    <n v="10.6"/>
    <x v="23"/>
    <x v="5"/>
    <x v="2"/>
    <n v="8.99"/>
    <n v="1"/>
    <n v="8.99"/>
    <x v="3"/>
    <n v="3"/>
    <n v="0.2"/>
    <s v="Comedy"/>
  </r>
  <r>
    <s v="3d394651-d7f9-455c-b308-058cb52f8df8"/>
    <n v="65"/>
    <s v="Other"/>
    <s v="Premium"/>
    <n v="13.71"/>
    <x v="17"/>
    <x v="4"/>
    <x v="3"/>
    <n v="17.989999999999998"/>
    <n v="0"/>
    <n v="0"/>
    <x v="1"/>
    <n v="3"/>
    <n v="2.74"/>
    <s v="Sci-Fi"/>
  </r>
  <r>
    <s v="356a678e-8341-481b-b1dd-c3bf8085cdf3"/>
    <n v="70"/>
    <s v="Female"/>
    <s v="Basic"/>
    <n v="4.04"/>
    <x v="24"/>
    <x v="2"/>
    <x v="1"/>
    <n v="8.99"/>
    <n v="1"/>
    <n v="8.99"/>
    <x v="1"/>
    <n v="3"/>
    <n v="0.08"/>
    <s v="Drama"/>
  </r>
  <r>
    <s v="af9ce006-0bc4-48ee-ad39-730a74359d03"/>
    <n v="23"/>
    <s v="Male"/>
    <s v="Premium"/>
    <n v="22.77"/>
    <x v="2"/>
    <x v="4"/>
    <x v="0"/>
    <n v="17.989999999999998"/>
    <n v="0"/>
    <n v="0"/>
    <x v="4"/>
    <n v="1"/>
    <n v="2.0699999999999998"/>
    <s v="Sci-Fi"/>
  </r>
  <r>
    <s v="466baf83-d1b8-4d98-9f30-06b1e654f463"/>
    <n v="54"/>
    <s v="Female"/>
    <s v="Basic"/>
    <n v="18.84"/>
    <x v="52"/>
    <x v="4"/>
    <x v="1"/>
    <n v="8.99"/>
    <n v="1"/>
    <n v="8.99"/>
    <x v="0"/>
    <n v="1"/>
    <n v="0.38"/>
    <s v="Comedy"/>
  </r>
  <r>
    <s v="a902ec06-7bed-4c3d-b664-5e26fc183d7c"/>
    <n v="30"/>
    <s v="Male"/>
    <s v="Basic"/>
    <n v="1.5"/>
    <x v="45"/>
    <x v="1"/>
    <x v="4"/>
    <n v="8.99"/>
    <n v="1"/>
    <n v="8.99"/>
    <x v="1"/>
    <n v="1"/>
    <n v="0.04"/>
    <s v="Romance"/>
  </r>
  <r>
    <s v="32484385-55d4-4c6a-ad1a-834abeaaa883"/>
    <n v="44"/>
    <s v="Other"/>
    <s v="Standard"/>
    <n v="1.46"/>
    <x v="55"/>
    <x v="5"/>
    <x v="4"/>
    <n v="13.99"/>
    <n v="1"/>
    <n v="13.99"/>
    <x v="3"/>
    <n v="1"/>
    <n v="0.02"/>
    <s v="Documentary"/>
  </r>
  <r>
    <s v="1227b01e-1600-46ac-b14f-3991a895796a"/>
    <n v="56"/>
    <s v="Male"/>
    <s v="Basic"/>
    <n v="2.02"/>
    <x v="11"/>
    <x v="5"/>
    <x v="0"/>
    <n v="8.99"/>
    <n v="1"/>
    <n v="8.99"/>
    <x v="4"/>
    <n v="5"/>
    <n v="0.08"/>
    <s v="Documentary"/>
  </r>
  <r>
    <s v="64f688c6-0b4c-451a-94f9-48a66dd0139d"/>
    <n v="48"/>
    <s v="Male"/>
    <s v="Premium"/>
    <n v="0.84"/>
    <x v="19"/>
    <x v="0"/>
    <x v="1"/>
    <n v="17.989999999999998"/>
    <n v="1"/>
    <n v="17.989999999999998"/>
    <x v="1"/>
    <n v="4"/>
    <n v="0.02"/>
    <s v="Horror"/>
  </r>
  <r>
    <s v="d20c3cd3-e949-4026-a0af-1b9392f4d466"/>
    <n v="56"/>
    <s v="Female"/>
    <s v="Basic"/>
    <n v="0.8"/>
    <x v="20"/>
    <x v="5"/>
    <x v="3"/>
    <n v="8.99"/>
    <n v="1"/>
    <n v="8.99"/>
    <x v="3"/>
    <n v="3"/>
    <n v="0.04"/>
    <s v="Romance"/>
  </r>
  <r>
    <s v="16baff30-d637-4241-9b5f-1d0451f30375"/>
    <n v="40"/>
    <s v="Other"/>
    <s v="Premium"/>
    <n v="0.52"/>
    <x v="5"/>
    <x v="5"/>
    <x v="1"/>
    <n v="17.989999999999998"/>
    <n v="1"/>
    <n v="17.989999999999998"/>
    <x v="3"/>
    <n v="2"/>
    <n v="0.02"/>
    <s v="Documentary"/>
  </r>
  <r>
    <s v="8b811175-e9c7-4a47-9e23-1b92a6a498aa"/>
    <n v="58"/>
    <s v="Male"/>
    <s v="Premium"/>
    <n v="3.2"/>
    <x v="23"/>
    <x v="0"/>
    <x v="3"/>
    <n v="17.989999999999998"/>
    <n v="1"/>
    <n v="17.989999999999998"/>
    <x v="1"/>
    <n v="1"/>
    <n v="0.06"/>
    <s v="Sci-Fi"/>
  </r>
  <r>
    <s v="a2796611-e145-4000-823c-16e30e8f2d03"/>
    <n v="20"/>
    <s v="Male"/>
    <s v="Basic"/>
    <n v="3.02"/>
    <x v="46"/>
    <x v="0"/>
    <x v="4"/>
    <n v="8.99"/>
    <n v="0"/>
    <n v="0"/>
    <x v="2"/>
    <n v="5"/>
    <n v="1.01"/>
    <s v="Action"/>
  </r>
  <r>
    <s v="d1f48191-4dfa-474e-b7ca-3b935aee6531"/>
    <n v="44"/>
    <s v="Other"/>
    <s v="Premium"/>
    <n v="3.38"/>
    <x v="21"/>
    <x v="1"/>
    <x v="1"/>
    <n v="17.989999999999998"/>
    <n v="0"/>
    <n v="0"/>
    <x v="4"/>
    <n v="5"/>
    <n v="0.48"/>
    <s v="Horror"/>
  </r>
  <r>
    <s v="e724e4f3-9542-43f8-ab8f-e817d88999a3"/>
    <n v="58"/>
    <s v="Other"/>
    <s v="Basic"/>
    <n v="6.47"/>
    <x v="44"/>
    <x v="0"/>
    <x v="4"/>
    <n v="8.99"/>
    <n v="1"/>
    <n v="8.99"/>
    <x v="1"/>
    <n v="1"/>
    <n v="0.14000000000000001"/>
    <s v="Horror"/>
  </r>
  <r>
    <s v="45c7566b-3b5b-4112-8ed2-89a4d20a3eae"/>
    <n v="58"/>
    <s v="Male"/>
    <s v="Standard"/>
    <n v="19.25"/>
    <x v="46"/>
    <x v="1"/>
    <x v="1"/>
    <n v="13.99"/>
    <n v="0"/>
    <n v="0"/>
    <x v="4"/>
    <n v="2"/>
    <n v="6.42"/>
    <s v="Drama"/>
  </r>
  <r>
    <s v="6b1bb258-a4c9-41c1-abb5-811dbb60701a"/>
    <n v="46"/>
    <s v="Other"/>
    <s v="Premium"/>
    <n v="26.06"/>
    <x v="17"/>
    <x v="3"/>
    <x v="3"/>
    <n v="17.989999999999998"/>
    <n v="0"/>
    <n v="0"/>
    <x v="3"/>
    <n v="4"/>
    <n v="5.21"/>
    <s v="Action"/>
  </r>
  <r>
    <s v="d13f6fc0-7d6e-4dce-9798-93a1c6162887"/>
    <n v="51"/>
    <s v="Other"/>
    <s v="Standard"/>
    <n v="1.1399999999999999"/>
    <x v="22"/>
    <x v="2"/>
    <x v="2"/>
    <n v="13.99"/>
    <n v="1"/>
    <n v="13.99"/>
    <x v="1"/>
    <n v="1"/>
    <n v="0.02"/>
    <s v="Drama"/>
  </r>
  <r>
    <s v="8018cc4c-3924-46b3-8fc8-a31de1b42fc2"/>
    <n v="19"/>
    <s v="Female"/>
    <s v="Standard"/>
    <n v="6.61"/>
    <x v="20"/>
    <x v="3"/>
    <x v="3"/>
    <n v="13.99"/>
    <n v="0"/>
    <n v="0"/>
    <x v="1"/>
    <n v="1"/>
    <n v="0.35"/>
    <s v="Documentary"/>
  </r>
  <r>
    <s v="00108bd6-c0ee-42f0-8809-e5be2b6cd12a"/>
    <n v="25"/>
    <s v="Male"/>
    <s v="Premium"/>
    <n v="0.98"/>
    <x v="41"/>
    <x v="5"/>
    <x v="1"/>
    <n v="17.989999999999998"/>
    <n v="1"/>
    <n v="17.989999999999998"/>
    <x v="1"/>
    <n v="1"/>
    <n v="0.03"/>
    <s v="Horror"/>
  </r>
  <r>
    <s v="a7607adf-e66d-431e-ad89-61a216125690"/>
    <n v="25"/>
    <s v="Male"/>
    <s v="Standard"/>
    <n v="0.45"/>
    <x v="46"/>
    <x v="3"/>
    <x v="0"/>
    <n v="13.99"/>
    <n v="1"/>
    <n v="13.99"/>
    <x v="2"/>
    <n v="1"/>
    <n v="0.15"/>
    <s v="Comedy"/>
  </r>
  <r>
    <s v="5a5cf094-cda6-4488-9171-9747ec590ad0"/>
    <n v="50"/>
    <s v="Female"/>
    <s v="Basic"/>
    <n v="8.09"/>
    <x v="17"/>
    <x v="5"/>
    <x v="1"/>
    <n v="8.99"/>
    <n v="0"/>
    <n v="0"/>
    <x v="2"/>
    <n v="1"/>
    <n v="1.62"/>
    <s v="Action"/>
  </r>
  <r>
    <s v="5254de27-f444-44d4-bc79-08efebefaa4b"/>
    <n v="30"/>
    <s v="Male"/>
    <s v="Standard"/>
    <n v="1.65"/>
    <x v="56"/>
    <x v="1"/>
    <x v="1"/>
    <n v="13.99"/>
    <n v="1"/>
    <n v="13.99"/>
    <x v="1"/>
    <n v="5"/>
    <n v="0.03"/>
    <s v="Horror"/>
  </r>
  <r>
    <s v="c6d7aa04-5235-4214-b413-8a53f966b119"/>
    <n v="41"/>
    <s v="Female"/>
    <s v="Premium"/>
    <n v="8.27"/>
    <x v="34"/>
    <x v="4"/>
    <x v="0"/>
    <n v="17.989999999999998"/>
    <n v="0"/>
    <n v="0"/>
    <x v="4"/>
    <n v="5"/>
    <n v="0.16"/>
    <s v="Romance"/>
  </r>
  <r>
    <s v="fde18152-cb7b-433c-98b4-cc7b6016b750"/>
    <n v="40"/>
    <s v="Female"/>
    <s v="Standard"/>
    <n v="8.89"/>
    <x v="38"/>
    <x v="3"/>
    <x v="4"/>
    <n v="13.99"/>
    <n v="0"/>
    <n v="0"/>
    <x v="0"/>
    <n v="1"/>
    <n v="0.4"/>
    <s v="Documentary"/>
  </r>
  <r>
    <s v="3155d3e9-2213-4d16-8587-5137a087ef3b"/>
    <n v="23"/>
    <s v="Female"/>
    <s v="Standard"/>
    <n v="6.25"/>
    <x v="50"/>
    <x v="5"/>
    <x v="0"/>
    <n v="13.99"/>
    <n v="0"/>
    <n v="0"/>
    <x v="3"/>
    <n v="4"/>
    <n v="0.11"/>
    <s v="Documentary"/>
  </r>
  <r>
    <s v="104484a9-8ace-4877-a90c-bf2c7e79be7b"/>
    <n v="28"/>
    <s v="Male"/>
    <s v="Basic"/>
    <n v="15.79"/>
    <x v="3"/>
    <x v="4"/>
    <x v="3"/>
    <n v="8.99"/>
    <n v="0"/>
    <n v="0"/>
    <x v="0"/>
    <n v="2"/>
    <n v="1.21"/>
    <s v="Action"/>
  </r>
  <r>
    <s v="65fcb9c7-6e5a-4058-86ee-93af0d7bd2fb"/>
    <n v="56"/>
    <s v="Male"/>
    <s v="Basic"/>
    <n v="5.08"/>
    <x v="57"/>
    <x v="4"/>
    <x v="4"/>
    <n v="8.99"/>
    <n v="1"/>
    <n v="8.99"/>
    <x v="4"/>
    <n v="4"/>
    <n v="0.08"/>
    <s v="Romance"/>
  </r>
  <r>
    <s v="94b1c205-4fe9-431a-bba7-ca1d0d013436"/>
    <n v="52"/>
    <s v="Other"/>
    <s v="Premium"/>
    <n v="21.99"/>
    <x v="1"/>
    <x v="2"/>
    <x v="2"/>
    <n v="17.989999999999998"/>
    <n v="0"/>
    <n v="0"/>
    <x v="0"/>
    <n v="2"/>
    <n v="1.1000000000000001"/>
    <s v="Drama"/>
  </r>
  <r>
    <s v="55725796-857e-4b59-b253-187bd5f07d1b"/>
    <n v="40"/>
    <s v="Female"/>
    <s v="Standard"/>
    <n v="11.91"/>
    <x v="17"/>
    <x v="1"/>
    <x v="1"/>
    <n v="13.99"/>
    <n v="0"/>
    <n v="0"/>
    <x v="2"/>
    <n v="5"/>
    <n v="2.38"/>
    <s v="Comedy"/>
  </r>
  <r>
    <s v="d2f0f6e0-fa3c-4b50-97fd-a84f8b4707fe"/>
    <n v="69"/>
    <s v="Other"/>
    <s v="Premium"/>
    <n v="8.09"/>
    <x v="50"/>
    <x v="2"/>
    <x v="3"/>
    <n v="17.989999999999998"/>
    <n v="1"/>
    <n v="17.989999999999998"/>
    <x v="3"/>
    <n v="2"/>
    <n v="0.15"/>
    <s v="Romance"/>
  </r>
  <r>
    <s v="ddb275d9-4e72-4fa7-8ce6-d3d458a81cf3"/>
    <n v="67"/>
    <s v="Female"/>
    <s v="Standard"/>
    <n v="0.28000000000000003"/>
    <x v="48"/>
    <x v="2"/>
    <x v="2"/>
    <n v="13.99"/>
    <n v="1"/>
    <n v="13.99"/>
    <x v="0"/>
    <n v="1"/>
    <n v="0.01"/>
    <s v="Drama"/>
  </r>
  <r>
    <s v="606adbe6-dd8a-4eb8-8ddf-baf3d62da553"/>
    <n v="63"/>
    <s v="Other"/>
    <s v="Basic"/>
    <n v="19.68"/>
    <x v="13"/>
    <x v="3"/>
    <x v="0"/>
    <n v="8.99"/>
    <n v="0"/>
    <n v="0"/>
    <x v="4"/>
    <n v="3"/>
    <n v="2.46"/>
    <s v="Documentary"/>
  </r>
  <r>
    <s v="c172eab0-fd92-44ea-aed5-4119fdf3d104"/>
    <n v="48"/>
    <s v="Other"/>
    <s v="Standard"/>
    <n v="3.97"/>
    <x v="30"/>
    <x v="4"/>
    <x v="0"/>
    <n v="13.99"/>
    <n v="0"/>
    <n v="0"/>
    <x v="2"/>
    <n v="5"/>
    <n v="1.99"/>
    <s v="Horror"/>
  </r>
  <r>
    <s v="6e118d2b-80ba-4226-8a1a-cdacad3f4448"/>
    <n v="27"/>
    <s v="Female"/>
    <s v="Basic"/>
    <n v="0.67"/>
    <x v="39"/>
    <x v="0"/>
    <x v="1"/>
    <n v="8.99"/>
    <n v="1"/>
    <n v="8.99"/>
    <x v="1"/>
    <n v="2"/>
    <n v="0.03"/>
    <s v="Drama"/>
  </r>
  <r>
    <s v="ca6c9e3c-8993-450d-b1fb-49cc7afd440e"/>
    <n v="18"/>
    <s v="Female"/>
    <s v="Premium"/>
    <n v="4.9400000000000004"/>
    <x v="36"/>
    <x v="4"/>
    <x v="1"/>
    <n v="17.989999999999998"/>
    <n v="1"/>
    <n v="17.989999999999998"/>
    <x v="1"/>
    <n v="5"/>
    <n v="0.12"/>
    <s v="Horror"/>
  </r>
  <r>
    <s v="e4e34065-9917-4bec-9673-b0f75e992985"/>
    <n v="61"/>
    <s v="Female"/>
    <s v="Premium"/>
    <n v="41.68"/>
    <x v="50"/>
    <x v="0"/>
    <x v="2"/>
    <n v="17.989999999999998"/>
    <n v="0"/>
    <n v="0"/>
    <x v="1"/>
    <n v="3"/>
    <n v="0.76"/>
    <s v="Action"/>
  </r>
  <r>
    <s v="0512ed5b-de30-4681-8b7c-8f2aeaf80725"/>
    <n v="24"/>
    <s v="Male"/>
    <s v="Standard"/>
    <n v="16.21"/>
    <x v="21"/>
    <x v="2"/>
    <x v="1"/>
    <n v="13.99"/>
    <n v="0"/>
    <n v="0"/>
    <x v="0"/>
    <n v="1"/>
    <n v="2.3199999999999998"/>
    <s v="Documentary"/>
  </r>
  <r>
    <s v="1257021f-5cd1-4213-821c-e0a323d6e2ee"/>
    <n v="60"/>
    <s v="Male"/>
    <s v="Premium"/>
    <n v="6.21"/>
    <x v="31"/>
    <x v="2"/>
    <x v="1"/>
    <n v="17.989999999999998"/>
    <n v="0"/>
    <n v="0"/>
    <x v="2"/>
    <n v="3"/>
    <n v="0.39"/>
    <s v="Horror"/>
  </r>
  <r>
    <s v="9356ab66-a890-48cf-86d8-a569664d9b56"/>
    <n v="19"/>
    <s v="Female"/>
    <s v="Premium"/>
    <n v="3.9"/>
    <x v="49"/>
    <x v="5"/>
    <x v="2"/>
    <n v="17.989999999999998"/>
    <n v="0"/>
    <n v="0"/>
    <x v="4"/>
    <n v="5"/>
    <n v="0.39"/>
    <s v="Romance"/>
  </r>
  <r>
    <s v="3daa3b0c-08d0-4763-876b-dc2c86533963"/>
    <n v="50"/>
    <s v="Male"/>
    <s v="Premium"/>
    <n v="10.83"/>
    <x v="47"/>
    <x v="0"/>
    <x v="2"/>
    <n v="17.989999999999998"/>
    <n v="0"/>
    <n v="0"/>
    <x v="4"/>
    <n v="3"/>
    <n v="2.71"/>
    <s v="Drama"/>
  </r>
  <r>
    <s v="47366ae4-467f-4bec-b49d-a7f22b794f59"/>
    <n v="62"/>
    <s v="Other"/>
    <s v="Premium"/>
    <n v="5.98"/>
    <x v="26"/>
    <x v="5"/>
    <x v="4"/>
    <n v="17.989999999999998"/>
    <n v="1"/>
    <n v="17.989999999999998"/>
    <x v="1"/>
    <n v="5"/>
    <n v="0.12"/>
    <s v="Documentary"/>
  </r>
  <r>
    <s v="1b077aeb-57d0-438b-adab-48691727b847"/>
    <n v="53"/>
    <s v="Female"/>
    <s v="Standard"/>
    <n v="6.68"/>
    <x v="40"/>
    <x v="5"/>
    <x v="1"/>
    <n v="13.99"/>
    <n v="0"/>
    <n v="0"/>
    <x v="3"/>
    <n v="4"/>
    <n v="0.56000000000000005"/>
    <s v="Action"/>
  </r>
  <r>
    <s v="49725105-8575-4217-87f4-5733bd288d03"/>
    <n v="18"/>
    <s v="Male"/>
    <s v="Premium"/>
    <n v="36.340000000000003"/>
    <x v="31"/>
    <x v="4"/>
    <x v="3"/>
    <n v="17.989999999999998"/>
    <n v="0"/>
    <n v="0"/>
    <x v="2"/>
    <n v="3"/>
    <n v="2.27"/>
    <s v="Action"/>
  </r>
  <r>
    <s v="6b2ff669-1b0a-4f76-acfe-421153087710"/>
    <n v="52"/>
    <s v="Other"/>
    <s v="Standard"/>
    <n v="6.41"/>
    <x v="31"/>
    <x v="3"/>
    <x v="0"/>
    <n v="13.99"/>
    <n v="0"/>
    <n v="0"/>
    <x v="3"/>
    <n v="1"/>
    <n v="0.4"/>
    <s v="Sci-Fi"/>
  </r>
  <r>
    <s v="a22669d5-6da6-4097-a4e4-4ff4655a0d38"/>
    <n v="40"/>
    <s v="Other"/>
    <s v="Basic"/>
    <n v="6.48"/>
    <x v="48"/>
    <x v="2"/>
    <x v="3"/>
    <n v="8.99"/>
    <n v="1"/>
    <n v="8.99"/>
    <x v="4"/>
    <n v="4"/>
    <n v="0.12"/>
    <s v="Drama"/>
  </r>
  <r>
    <s v="aef0ea56-6758-44c7-88b6-32d7ca0556ca"/>
    <n v="51"/>
    <s v="Female"/>
    <s v="Premium"/>
    <n v="1.46"/>
    <x v="28"/>
    <x v="3"/>
    <x v="4"/>
    <n v="17.989999999999998"/>
    <n v="1"/>
    <n v="17.989999999999998"/>
    <x v="3"/>
    <n v="3"/>
    <n v="0.04"/>
    <s v="Action"/>
  </r>
  <r>
    <s v="fb963246-a793-4d70-a015-0402e3173f5a"/>
    <n v="36"/>
    <s v="Female"/>
    <s v="Standard"/>
    <n v="2.59"/>
    <x v="9"/>
    <x v="5"/>
    <x v="3"/>
    <n v="13.99"/>
    <n v="1"/>
    <n v="13.99"/>
    <x v="2"/>
    <n v="2"/>
    <n v="7.0000000000000007E-2"/>
    <s v="Comedy"/>
  </r>
  <r>
    <s v="b1806254-48df-4ade-8024-ce14aab30781"/>
    <n v="30"/>
    <s v="Male"/>
    <s v="Standard"/>
    <n v="13.25"/>
    <x v="58"/>
    <x v="2"/>
    <x v="2"/>
    <n v="13.99"/>
    <n v="0"/>
    <n v="0"/>
    <x v="4"/>
    <n v="4"/>
    <n v="0.28000000000000003"/>
    <s v="Drama"/>
  </r>
  <r>
    <s v="cfce115a-0bc5-4aac-bf51-59898240c4a1"/>
    <n v="54"/>
    <s v="Male"/>
    <s v="Standard"/>
    <n v="23.35"/>
    <x v="15"/>
    <x v="5"/>
    <x v="1"/>
    <n v="13.99"/>
    <n v="0"/>
    <n v="0"/>
    <x v="4"/>
    <n v="5"/>
    <n v="0.56999999999999995"/>
    <s v="Horror"/>
  </r>
  <r>
    <s v="4c6ba635-f6a3-47b0-b165-d6654655de23"/>
    <n v="31"/>
    <s v="Female"/>
    <s v="Basic"/>
    <n v="35.35"/>
    <x v="32"/>
    <x v="1"/>
    <x v="1"/>
    <n v="8.99"/>
    <n v="0"/>
    <n v="0"/>
    <x v="1"/>
    <n v="5"/>
    <n v="2.36"/>
    <s v="Romance"/>
  </r>
  <r>
    <s v="5fe4f40a-4055-446d-8d46-e7cb6a540c72"/>
    <n v="26"/>
    <s v="Other"/>
    <s v="Standard"/>
    <n v="24.89"/>
    <x v="27"/>
    <x v="2"/>
    <x v="3"/>
    <n v="13.99"/>
    <n v="0"/>
    <n v="0"/>
    <x v="3"/>
    <n v="4"/>
    <n v="1.46"/>
    <s v="Romance"/>
  </r>
  <r>
    <s v="266be772-0a13-4114-bd1b-dc40b0516ce2"/>
    <n v="30"/>
    <s v="Male"/>
    <s v="Standard"/>
    <n v="45.29"/>
    <x v="0"/>
    <x v="4"/>
    <x v="4"/>
    <n v="13.99"/>
    <n v="0"/>
    <n v="0"/>
    <x v="4"/>
    <n v="5"/>
    <n v="1.51"/>
    <s v="Documentary"/>
  </r>
  <r>
    <s v="fc9cfb2b-7e44-456d-ad56-cb91f2b276fb"/>
    <n v="67"/>
    <s v="Male"/>
    <s v="Basic"/>
    <n v="15.98"/>
    <x v="49"/>
    <x v="4"/>
    <x v="0"/>
    <n v="8.99"/>
    <n v="0"/>
    <n v="0"/>
    <x v="4"/>
    <n v="4"/>
    <n v="1.6"/>
    <s v="Sci-Fi"/>
  </r>
  <r>
    <s v="1c1ef7b5-72cc-4aa6-95d8-7b26897e9a21"/>
    <n v="60"/>
    <s v="Male"/>
    <s v="Standard"/>
    <n v="1.24"/>
    <x v="17"/>
    <x v="5"/>
    <x v="3"/>
    <n v="13.99"/>
    <n v="0"/>
    <n v="0"/>
    <x v="3"/>
    <n v="2"/>
    <n v="0.25"/>
    <s v="Drama"/>
  </r>
  <r>
    <s v="baa40e1d-e279-4770-b5fa-1da71e3ab2e2"/>
    <n v="67"/>
    <s v="Female"/>
    <s v="Basic"/>
    <n v="9.91"/>
    <x v="20"/>
    <x v="5"/>
    <x v="3"/>
    <n v="8.99"/>
    <n v="0"/>
    <n v="0"/>
    <x v="0"/>
    <n v="5"/>
    <n v="0.52"/>
    <s v="Comedy"/>
  </r>
  <r>
    <s v="edd9b3d1-bdde-4f75-a7f9-8012744512ba"/>
    <n v="51"/>
    <s v="Male"/>
    <s v="Basic"/>
    <n v="5.69"/>
    <x v="9"/>
    <x v="1"/>
    <x v="0"/>
    <n v="8.99"/>
    <n v="1"/>
    <n v="8.99"/>
    <x v="3"/>
    <n v="3"/>
    <n v="0.15"/>
    <s v="Horror"/>
  </r>
  <r>
    <s v="255dd7cf-6113-435a-a958-00f25e1987e5"/>
    <n v="31"/>
    <s v="Female"/>
    <s v="Standard"/>
    <n v="7.48"/>
    <x v="47"/>
    <x v="0"/>
    <x v="4"/>
    <n v="13.99"/>
    <n v="0"/>
    <n v="0"/>
    <x v="0"/>
    <n v="2"/>
    <n v="1.87"/>
    <s v="Sci-Fi"/>
  </r>
  <r>
    <s v="0fa1ce67-73cf-4d9b-a171-81ef2ba271fd"/>
    <n v="70"/>
    <s v="Male"/>
    <s v="Standard"/>
    <n v="9.5399999999999991"/>
    <x v="57"/>
    <x v="1"/>
    <x v="0"/>
    <n v="13.99"/>
    <n v="0"/>
    <n v="0"/>
    <x v="3"/>
    <n v="5"/>
    <n v="0.16"/>
    <s v="Sci-Fi"/>
  </r>
  <r>
    <s v="23e2a122-9e50-41d8-a434-c25675765f79"/>
    <n v="42"/>
    <s v="Male"/>
    <s v="Basic"/>
    <n v="98.42"/>
    <x v="25"/>
    <x v="2"/>
    <x v="3"/>
    <n v="8.99"/>
    <n v="0"/>
    <n v="0"/>
    <x v="0"/>
    <n v="5"/>
    <n v="98.42"/>
    <s v="Documentary"/>
  </r>
  <r>
    <s v="7ec26427-23a6-4cc3-a188-ac08968e6f3e"/>
    <n v="63"/>
    <s v="Male"/>
    <s v="Premium"/>
    <n v="7.82"/>
    <x v="18"/>
    <x v="4"/>
    <x v="0"/>
    <n v="17.989999999999998"/>
    <n v="0"/>
    <n v="0"/>
    <x v="2"/>
    <n v="5"/>
    <n v="0.13"/>
    <s v="Romance"/>
  </r>
  <r>
    <s v="e012b536-8421-45de-a8ca-caab61d9b1e4"/>
    <n v="58"/>
    <s v="Female"/>
    <s v="Basic"/>
    <n v="7.31"/>
    <x v="52"/>
    <x v="5"/>
    <x v="2"/>
    <n v="8.99"/>
    <n v="1"/>
    <n v="8.99"/>
    <x v="0"/>
    <n v="2"/>
    <n v="0.15"/>
    <s v="Romance"/>
  </r>
  <r>
    <s v="7069b89a-b443-4895-89a4-44b719c1e347"/>
    <n v="28"/>
    <s v="Female"/>
    <s v="Standard"/>
    <n v="14.34"/>
    <x v="40"/>
    <x v="2"/>
    <x v="3"/>
    <n v="13.99"/>
    <n v="0"/>
    <n v="0"/>
    <x v="4"/>
    <n v="5"/>
    <n v="1.2"/>
    <s v="Comedy"/>
  </r>
  <r>
    <s v="1dcf08f8-357b-4740-98c1-bb768f842126"/>
    <n v="67"/>
    <s v="Other"/>
    <s v="Premium"/>
    <n v="22.63"/>
    <x v="12"/>
    <x v="0"/>
    <x v="2"/>
    <n v="17.989999999999998"/>
    <n v="0"/>
    <n v="0"/>
    <x v="0"/>
    <n v="2"/>
    <n v="0.67"/>
    <s v="Documentary"/>
  </r>
  <r>
    <s v="9ffd0956-8b70-4483-ac93-63f2e5e101cc"/>
    <n v="21"/>
    <s v="Other"/>
    <s v="Standard"/>
    <n v="17.63"/>
    <x v="54"/>
    <x v="4"/>
    <x v="2"/>
    <n v="13.99"/>
    <n v="0"/>
    <n v="0"/>
    <x v="4"/>
    <n v="1"/>
    <n v="0.61"/>
    <s v="Documentary"/>
  </r>
  <r>
    <s v="bfbe5804-1dc1-452b-b92b-a483c5eeb76b"/>
    <n v="67"/>
    <s v="Other"/>
    <s v="Premium"/>
    <n v="2.5099999999999998"/>
    <x v="33"/>
    <x v="0"/>
    <x v="4"/>
    <n v="17.989999999999998"/>
    <n v="1"/>
    <n v="17.989999999999998"/>
    <x v="4"/>
    <n v="3"/>
    <n v="0.1"/>
    <s v="Romance"/>
  </r>
  <r>
    <s v="7bf23b3d-ab59-48e0-a558-db5c48b1a206"/>
    <n v="64"/>
    <s v="Other"/>
    <s v="Standard"/>
    <n v="8.08"/>
    <x v="3"/>
    <x v="1"/>
    <x v="1"/>
    <n v="13.99"/>
    <n v="0"/>
    <n v="0"/>
    <x v="3"/>
    <n v="4"/>
    <n v="0.62"/>
    <s v="Romance"/>
  </r>
  <r>
    <s v="02ec20f5-ed7f-4f0e-8c1c-e95b386c28b5"/>
    <n v="40"/>
    <s v="Female"/>
    <s v="Basic"/>
    <n v="31.43"/>
    <x v="5"/>
    <x v="5"/>
    <x v="4"/>
    <n v="8.99"/>
    <n v="0"/>
    <n v="0"/>
    <x v="1"/>
    <n v="1"/>
    <n v="1.1599999999999999"/>
    <s v="Action"/>
  </r>
  <r>
    <s v="7954dfc1-63a1-4207-b3e0-4d55b73f564f"/>
    <n v="20"/>
    <s v="Male"/>
    <s v="Basic"/>
    <n v="8.91"/>
    <x v="54"/>
    <x v="0"/>
    <x v="0"/>
    <n v="8.99"/>
    <n v="1"/>
    <n v="8.99"/>
    <x v="1"/>
    <n v="2"/>
    <n v="0.31"/>
    <s v="Comedy"/>
  </r>
  <r>
    <s v="48692c47-9278-4198-be47-f921a8ab8299"/>
    <n v="37"/>
    <s v="Female"/>
    <s v="Standard"/>
    <n v="47.74"/>
    <x v="24"/>
    <x v="3"/>
    <x v="2"/>
    <n v="13.99"/>
    <n v="0"/>
    <n v="0"/>
    <x v="0"/>
    <n v="4"/>
    <n v="0.9"/>
    <s v="Action"/>
  </r>
  <r>
    <s v="57a8fb5f-c293-4702-ad9e-71cbdb4aa6e8"/>
    <n v="30"/>
    <s v="Other"/>
    <s v="Premium"/>
    <n v="12.88"/>
    <x v="50"/>
    <x v="3"/>
    <x v="3"/>
    <n v="17.989999999999998"/>
    <n v="1"/>
    <n v="17.989999999999998"/>
    <x v="0"/>
    <n v="4"/>
    <n v="0.23"/>
    <s v="Documentary"/>
  </r>
  <r>
    <s v="3fe822d8-7078-4018-a420-b4496d29ccf2"/>
    <n v="33"/>
    <s v="Other"/>
    <s v="Basic"/>
    <n v="24.5"/>
    <x v="44"/>
    <x v="0"/>
    <x v="0"/>
    <n v="8.99"/>
    <n v="0"/>
    <n v="0"/>
    <x v="4"/>
    <n v="3"/>
    <n v="0.52"/>
    <s v="Sci-Fi"/>
  </r>
  <r>
    <s v="fcd90302-e7f6-4679-ac49-cffe71a7ee46"/>
    <n v="54"/>
    <s v="Other"/>
    <s v="Premium"/>
    <n v="3.66"/>
    <x v="15"/>
    <x v="3"/>
    <x v="0"/>
    <n v="17.989999999999998"/>
    <n v="1"/>
    <n v="17.989999999999998"/>
    <x v="0"/>
    <n v="1"/>
    <n v="0.09"/>
    <s v="Documentary"/>
  </r>
  <r>
    <s v="aae4b13b-2247-4c8b-bdfd-f94dc5ac45e9"/>
    <n v="48"/>
    <s v="Male"/>
    <s v="Premium"/>
    <n v="7.86"/>
    <x v="15"/>
    <x v="3"/>
    <x v="3"/>
    <n v="17.989999999999998"/>
    <n v="1"/>
    <n v="17.989999999999998"/>
    <x v="1"/>
    <n v="3"/>
    <n v="0.19"/>
    <s v="Horror"/>
  </r>
  <r>
    <s v="5d298906-96ce-4a2a-b1f1-8e7b18bbbd25"/>
    <n v="41"/>
    <s v="Female"/>
    <s v="Basic"/>
    <n v="8.14"/>
    <x v="50"/>
    <x v="1"/>
    <x v="1"/>
    <n v="8.99"/>
    <n v="1"/>
    <n v="8.99"/>
    <x v="0"/>
    <n v="5"/>
    <n v="0.15"/>
    <s v="Romance"/>
  </r>
  <r>
    <s v="ba02bc00-8be5-478d-92ba-eb993ed9e571"/>
    <n v="48"/>
    <s v="Other"/>
    <s v="Standard"/>
    <n v="6.66"/>
    <x v="8"/>
    <x v="4"/>
    <x v="3"/>
    <n v="13.99"/>
    <n v="0"/>
    <n v="0"/>
    <x v="2"/>
    <n v="5"/>
    <n v="0.19"/>
    <s v="Horror"/>
  </r>
  <r>
    <s v="05f5d068-70f9-45f7-a440-2eca2e0af6df"/>
    <n v="57"/>
    <s v="Other"/>
    <s v="Standard"/>
    <n v="7.92"/>
    <x v="1"/>
    <x v="3"/>
    <x v="1"/>
    <n v="13.99"/>
    <n v="0"/>
    <n v="0"/>
    <x v="0"/>
    <n v="2"/>
    <n v="0.4"/>
    <s v="Horror"/>
  </r>
  <r>
    <s v="f57d69c1-f51d-4ec3-b0f7-7cfcc5f49e3b"/>
    <n v="36"/>
    <s v="Female"/>
    <s v="Premium"/>
    <n v="19.63"/>
    <x v="30"/>
    <x v="5"/>
    <x v="3"/>
    <n v="17.989999999999998"/>
    <n v="0"/>
    <n v="0"/>
    <x v="0"/>
    <n v="2"/>
    <n v="9.81"/>
    <s v="Action"/>
  </r>
  <r>
    <s v="403d8e8c-bc7b-4d0a-8339-07365f767b62"/>
    <n v="47"/>
    <s v="Male"/>
    <s v="Premium"/>
    <n v="7.22"/>
    <x v="10"/>
    <x v="1"/>
    <x v="3"/>
    <n v="17.989999999999998"/>
    <n v="1"/>
    <n v="17.989999999999998"/>
    <x v="4"/>
    <n v="2"/>
    <n v="0.19"/>
    <s v="Drama"/>
  </r>
  <r>
    <s v="792136ad-a56c-4505-abf3-22d4b8fe35d9"/>
    <n v="57"/>
    <s v="Other"/>
    <s v="Standard"/>
    <n v="1.1000000000000001"/>
    <x v="5"/>
    <x v="1"/>
    <x v="3"/>
    <n v="13.99"/>
    <n v="0"/>
    <n v="0"/>
    <x v="4"/>
    <n v="5"/>
    <n v="0.04"/>
    <s v="Sci-Fi"/>
  </r>
  <r>
    <s v="82eb568e-1658-4648-8809-2a53fafc3dc7"/>
    <n v="39"/>
    <s v="Female"/>
    <s v="Basic"/>
    <n v="2.09"/>
    <x v="47"/>
    <x v="3"/>
    <x v="2"/>
    <n v="8.99"/>
    <n v="1"/>
    <n v="8.99"/>
    <x v="1"/>
    <n v="3"/>
    <n v="0.52"/>
    <s v="Documentary"/>
  </r>
  <r>
    <s v="8ff8e23b-ac00-4e86-9748-01556e3ecc32"/>
    <n v="48"/>
    <s v="Female"/>
    <s v="Basic"/>
    <n v="22.06"/>
    <x v="58"/>
    <x v="0"/>
    <x v="3"/>
    <n v="8.99"/>
    <n v="1"/>
    <n v="8.99"/>
    <x v="1"/>
    <n v="1"/>
    <n v="0.46"/>
    <s v="Sci-Fi"/>
  </r>
  <r>
    <s v="5626606a-8708-469e-a1c9-d0d93478c2e1"/>
    <n v="41"/>
    <s v="Female"/>
    <s v="Basic"/>
    <n v="17.37"/>
    <x v="27"/>
    <x v="3"/>
    <x v="1"/>
    <n v="8.99"/>
    <n v="0"/>
    <n v="0"/>
    <x v="3"/>
    <n v="2"/>
    <n v="1.02"/>
    <s v="Comedy"/>
  </r>
  <r>
    <s v="b3b8b32a-3b18-4ef3-86ff-424d50eef43f"/>
    <n v="68"/>
    <s v="Female"/>
    <s v="Standard"/>
    <n v="3.06"/>
    <x v="55"/>
    <x v="1"/>
    <x v="3"/>
    <n v="13.99"/>
    <n v="1"/>
    <n v="13.99"/>
    <x v="0"/>
    <n v="5"/>
    <n v="0.05"/>
    <s v="Documentary"/>
  </r>
  <r>
    <s v="ee0c0189-40a6-4894-a64a-5c23b3f6b5a2"/>
    <n v="48"/>
    <s v="Male"/>
    <s v="Standard"/>
    <n v="1.93"/>
    <x v="34"/>
    <x v="2"/>
    <x v="0"/>
    <n v="13.99"/>
    <n v="1"/>
    <n v="13.99"/>
    <x v="0"/>
    <n v="4"/>
    <n v="0.04"/>
    <s v="Drama"/>
  </r>
  <r>
    <s v="d20a61c2-fa3d-4e57-8b09-3e19ade44d10"/>
    <n v="46"/>
    <s v="Other"/>
    <s v="Basic"/>
    <n v="9.61"/>
    <x v="31"/>
    <x v="3"/>
    <x v="4"/>
    <n v="8.99"/>
    <n v="0"/>
    <n v="0"/>
    <x v="3"/>
    <n v="1"/>
    <n v="0.6"/>
    <s v="Comedy"/>
  </r>
  <r>
    <s v="0301a4b5-7475-4b89-bac5-00093859216d"/>
    <n v="31"/>
    <s v="Male"/>
    <s v="Standard"/>
    <n v="18.75"/>
    <x v="19"/>
    <x v="3"/>
    <x v="1"/>
    <n v="13.99"/>
    <n v="1"/>
    <n v="13.99"/>
    <x v="0"/>
    <n v="3"/>
    <n v="0.43"/>
    <s v="Action"/>
  </r>
  <r>
    <s v="6236413f-44f4-4429-85ba-6ba5dbf37e89"/>
    <n v="61"/>
    <s v="Male"/>
    <s v="Premium"/>
    <n v="9.7100000000000009"/>
    <x v="9"/>
    <x v="2"/>
    <x v="2"/>
    <n v="17.989999999999998"/>
    <n v="1"/>
    <n v="17.989999999999998"/>
    <x v="2"/>
    <n v="1"/>
    <n v="0.26"/>
    <s v="Drama"/>
  </r>
  <r>
    <s v="154ec30a-7a10-4161-9386-87abd5a14b98"/>
    <n v="38"/>
    <s v="Male"/>
    <s v="Basic"/>
    <n v="6.75"/>
    <x v="19"/>
    <x v="2"/>
    <x v="1"/>
    <n v="8.99"/>
    <n v="1"/>
    <n v="8.99"/>
    <x v="3"/>
    <n v="2"/>
    <n v="0.15"/>
    <s v="Horror"/>
  </r>
  <r>
    <s v="88848d87-d7aa-4f30-85e6-af72905dd402"/>
    <n v="40"/>
    <s v="Female"/>
    <s v="Basic"/>
    <n v="3.8"/>
    <x v="2"/>
    <x v="0"/>
    <x v="3"/>
    <n v="8.99"/>
    <n v="1"/>
    <n v="8.99"/>
    <x v="4"/>
    <n v="3"/>
    <n v="0.35"/>
    <s v="Comedy"/>
  </r>
  <r>
    <s v="e4768262-43e0-4321-929d-d7ac85194afa"/>
    <n v="31"/>
    <s v="Male"/>
    <s v="Premium"/>
    <n v="5.69"/>
    <x v="39"/>
    <x v="5"/>
    <x v="1"/>
    <n v="17.989999999999998"/>
    <n v="0"/>
    <n v="0"/>
    <x v="2"/>
    <n v="4"/>
    <n v="0.25"/>
    <s v="Horror"/>
  </r>
  <r>
    <s v="fd0ebde2-f8c0-4963-a1af-402dd9fe9fb6"/>
    <n v="62"/>
    <s v="Male"/>
    <s v="Standard"/>
    <n v="8.25"/>
    <x v="42"/>
    <x v="4"/>
    <x v="3"/>
    <n v="13.99"/>
    <n v="0"/>
    <n v="0"/>
    <x v="3"/>
    <n v="5"/>
    <n v="0.22"/>
    <s v="Comedy"/>
  </r>
  <r>
    <s v="60d8375e-e90b-4db1-827d-29f59ee209a7"/>
    <n v="66"/>
    <s v="Female"/>
    <s v="Premium"/>
    <n v="12.91"/>
    <x v="8"/>
    <x v="2"/>
    <x v="0"/>
    <n v="17.989999999999998"/>
    <n v="1"/>
    <n v="17.989999999999998"/>
    <x v="1"/>
    <n v="5"/>
    <n v="0.37"/>
    <s v="Sci-Fi"/>
  </r>
  <r>
    <s v="dd57db1b-a539-458a-a190-1fa9d3961f20"/>
    <n v="20"/>
    <s v="Female"/>
    <s v="Premium"/>
    <n v="11.48"/>
    <x v="41"/>
    <x v="4"/>
    <x v="4"/>
    <n v="17.989999999999998"/>
    <n v="0"/>
    <n v="0"/>
    <x v="2"/>
    <n v="1"/>
    <n v="0.37"/>
    <s v="Romance"/>
  </r>
  <r>
    <s v="54089806-c774-4d4b-b323-e5f2d42fbb5c"/>
    <n v="68"/>
    <s v="Other"/>
    <s v="Premium"/>
    <n v="21.72"/>
    <x v="54"/>
    <x v="1"/>
    <x v="3"/>
    <n v="17.989999999999998"/>
    <n v="0"/>
    <n v="0"/>
    <x v="1"/>
    <n v="3"/>
    <n v="0.75"/>
    <s v="Sci-Fi"/>
  </r>
  <r>
    <s v="f6c76b05-75ec-4bf4-a63d-e8eede4026c6"/>
    <n v="39"/>
    <s v="Other"/>
    <s v="Basic"/>
    <n v="8.16"/>
    <x v="32"/>
    <x v="4"/>
    <x v="2"/>
    <n v="8.99"/>
    <n v="0"/>
    <n v="0"/>
    <x v="3"/>
    <n v="1"/>
    <n v="0.54"/>
    <s v="Comedy"/>
  </r>
  <r>
    <s v="2d1781ac-2416-4df0-8681-e86766db1d33"/>
    <n v="32"/>
    <s v="Male"/>
    <s v="Basic"/>
    <n v="11.91"/>
    <x v="9"/>
    <x v="2"/>
    <x v="0"/>
    <n v="8.99"/>
    <n v="1"/>
    <n v="8.99"/>
    <x v="4"/>
    <n v="5"/>
    <n v="0.32"/>
    <s v="Drama"/>
  </r>
  <r>
    <s v="838bc2fe-a146-4520-97ba-0f710f7b1ea3"/>
    <n v="51"/>
    <s v="Male"/>
    <s v="Premium"/>
    <n v="26.92"/>
    <x v="37"/>
    <x v="5"/>
    <x v="4"/>
    <n v="17.989999999999998"/>
    <n v="0"/>
    <n v="0"/>
    <x v="3"/>
    <n v="1"/>
    <n v="1.08"/>
    <s v="Drama"/>
  </r>
  <r>
    <s v="38dde078-8a79-4e50-8d44-dad952e9ae22"/>
    <n v="38"/>
    <s v="Female"/>
    <s v="Basic"/>
    <n v="24.57"/>
    <x v="46"/>
    <x v="0"/>
    <x v="4"/>
    <n v="8.99"/>
    <n v="0"/>
    <n v="0"/>
    <x v="0"/>
    <n v="4"/>
    <n v="8.19"/>
    <s v="Comedy"/>
  </r>
  <r>
    <s v="c0b4153b-d0b1-4974-90f4-28dbb8c88ff8"/>
    <n v="57"/>
    <s v="Male"/>
    <s v="Basic"/>
    <n v="5.09"/>
    <x v="23"/>
    <x v="1"/>
    <x v="3"/>
    <n v="8.99"/>
    <n v="1"/>
    <n v="8.99"/>
    <x v="1"/>
    <n v="2"/>
    <n v="0.09"/>
    <s v="Sci-Fi"/>
  </r>
  <r>
    <s v="b5c5a9ff-0db7-466e-b0cd-e2948bd83e94"/>
    <n v="54"/>
    <s v="Male"/>
    <s v="Basic"/>
    <n v="2.54"/>
    <x v="24"/>
    <x v="1"/>
    <x v="2"/>
    <n v="8.99"/>
    <n v="1"/>
    <n v="8.99"/>
    <x v="3"/>
    <n v="4"/>
    <n v="0.05"/>
    <s v="Romance"/>
  </r>
  <r>
    <s v="aeff1496-6b97-4258-870d-670cd28f4ada"/>
    <n v="55"/>
    <s v="Female"/>
    <s v="Standard"/>
    <n v="25.31"/>
    <x v="48"/>
    <x v="1"/>
    <x v="0"/>
    <n v="13.99"/>
    <n v="0"/>
    <n v="0"/>
    <x v="0"/>
    <n v="4"/>
    <n v="0.49"/>
    <s v="Horror"/>
  </r>
  <r>
    <s v="c71e9898-65ce-47bd-918c-3ebdd3ffcac9"/>
    <n v="63"/>
    <s v="Male"/>
    <s v="Premium"/>
    <n v="13.77"/>
    <x v="48"/>
    <x v="0"/>
    <x v="1"/>
    <n v="17.989999999999998"/>
    <n v="1"/>
    <n v="17.989999999999998"/>
    <x v="0"/>
    <n v="5"/>
    <n v="0.26"/>
    <s v="Romance"/>
  </r>
  <r>
    <s v="1f9e775f-0ade-4083-9cb5-11b1324985ec"/>
    <n v="18"/>
    <s v="Other"/>
    <s v="Premium"/>
    <n v="1.63"/>
    <x v="2"/>
    <x v="0"/>
    <x v="3"/>
    <n v="17.989999999999998"/>
    <n v="0"/>
    <n v="0"/>
    <x v="4"/>
    <n v="4"/>
    <n v="0.15"/>
    <s v="Comedy"/>
  </r>
  <r>
    <s v="a577834a-41c6-489f-9666-5eafe78530a5"/>
    <n v="40"/>
    <s v="Female"/>
    <s v="Standard"/>
    <n v="6.2"/>
    <x v="2"/>
    <x v="5"/>
    <x v="4"/>
    <n v="13.99"/>
    <n v="0"/>
    <n v="0"/>
    <x v="4"/>
    <n v="3"/>
    <n v="0.56000000000000005"/>
    <s v="Drama"/>
  </r>
  <r>
    <s v="796a5f77-018a-451d-abc9-46948b6456b2"/>
    <n v="35"/>
    <s v="Other"/>
    <s v="Basic"/>
    <n v="25.11"/>
    <x v="47"/>
    <x v="0"/>
    <x v="1"/>
    <n v="8.99"/>
    <n v="0"/>
    <n v="0"/>
    <x v="1"/>
    <n v="2"/>
    <n v="6.28"/>
    <s v="Drama"/>
  </r>
  <r>
    <s v="dc518d2a-a7f9-4120-8407-01ccb6efe5cb"/>
    <n v="47"/>
    <s v="Male"/>
    <s v="Premium"/>
    <n v="2.11"/>
    <x v="56"/>
    <x v="3"/>
    <x v="4"/>
    <n v="17.989999999999998"/>
    <n v="1"/>
    <n v="17.989999999999998"/>
    <x v="0"/>
    <n v="2"/>
    <n v="0.04"/>
    <s v="Horror"/>
  </r>
  <r>
    <s v="49ff3afb-cb6c-4dfc-8468-530f9c0abfd6"/>
    <n v="39"/>
    <s v="Female"/>
    <s v="Standard"/>
    <n v="57.19"/>
    <x v="1"/>
    <x v="0"/>
    <x v="1"/>
    <n v="13.99"/>
    <n v="0"/>
    <n v="0"/>
    <x v="0"/>
    <n v="5"/>
    <n v="2.86"/>
    <s v="Documentary"/>
  </r>
  <r>
    <s v="6c561eec-2d63-4ef6-9d9a-18c9c6f1bac1"/>
    <n v="52"/>
    <s v="Male"/>
    <s v="Basic"/>
    <n v="27.37"/>
    <x v="3"/>
    <x v="4"/>
    <x v="0"/>
    <n v="8.99"/>
    <n v="0"/>
    <n v="0"/>
    <x v="4"/>
    <n v="2"/>
    <n v="2.11"/>
    <s v="Romance"/>
  </r>
  <r>
    <s v="560576d9-5dd5-4ce5-9c25-319ce946f39e"/>
    <n v="68"/>
    <s v="Other"/>
    <s v="Basic"/>
    <n v="20.54"/>
    <x v="32"/>
    <x v="0"/>
    <x v="0"/>
    <n v="8.99"/>
    <n v="0"/>
    <n v="0"/>
    <x v="3"/>
    <n v="5"/>
    <n v="1.37"/>
    <s v="Sci-Fi"/>
  </r>
  <r>
    <s v="3ab879fb-d01a-4c51-b3f9-625d2c4e1860"/>
    <n v="47"/>
    <s v="Other"/>
    <s v="Basic"/>
    <n v="14.8"/>
    <x v="1"/>
    <x v="1"/>
    <x v="1"/>
    <n v="8.99"/>
    <n v="0"/>
    <n v="0"/>
    <x v="4"/>
    <n v="2"/>
    <n v="0.74"/>
    <s v="Romance"/>
  </r>
  <r>
    <s v="ee70356f-8d7b-4674-bdc8-ee84bf93e296"/>
    <n v="45"/>
    <s v="Female"/>
    <s v="Premium"/>
    <n v="3.91"/>
    <x v="35"/>
    <x v="0"/>
    <x v="3"/>
    <n v="17.989999999999998"/>
    <n v="1"/>
    <n v="17.989999999999998"/>
    <x v="4"/>
    <n v="3"/>
    <n v="0.09"/>
    <s v="Comedy"/>
  </r>
  <r>
    <s v="d43ee357-4a11-411a-be89-1e938a2b03c5"/>
    <n v="18"/>
    <s v="Other"/>
    <s v="Premium"/>
    <n v="5.09"/>
    <x v="4"/>
    <x v="2"/>
    <x v="3"/>
    <n v="17.989999999999998"/>
    <n v="0"/>
    <n v="0"/>
    <x v="0"/>
    <n v="2"/>
    <n v="0.36"/>
    <s v="Drama"/>
  </r>
  <r>
    <s v="950d7dad-d93e-43ae-ab6f-1e24d330f4b3"/>
    <n v="46"/>
    <s v="Other"/>
    <s v="Standard"/>
    <n v="16.079999999999998"/>
    <x v="15"/>
    <x v="3"/>
    <x v="3"/>
    <n v="13.99"/>
    <n v="1"/>
    <n v="13.99"/>
    <x v="1"/>
    <n v="3"/>
    <n v="0.39"/>
    <s v="Action"/>
  </r>
  <r>
    <s v="a085a33f-40ea-44f0-a592-3869a8fb76d6"/>
    <n v="44"/>
    <s v="Other"/>
    <s v="Standard"/>
    <n v="8.65"/>
    <x v="57"/>
    <x v="3"/>
    <x v="4"/>
    <n v="13.99"/>
    <n v="1"/>
    <n v="13.99"/>
    <x v="4"/>
    <n v="1"/>
    <n v="0.14000000000000001"/>
    <s v="Comedy"/>
  </r>
  <r>
    <s v="f1bf566a-dde7-4e4f-8895-4e30277b67fe"/>
    <n v="36"/>
    <s v="Other"/>
    <s v="Basic"/>
    <n v="1.82"/>
    <x v="22"/>
    <x v="1"/>
    <x v="2"/>
    <n v="8.99"/>
    <n v="1"/>
    <n v="8.99"/>
    <x v="3"/>
    <n v="2"/>
    <n v="0.03"/>
    <s v="Sci-Fi"/>
  </r>
  <r>
    <s v="ff0381b1-21b5-4e1c-9f32-a33104814ce9"/>
    <n v="35"/>
    <s v="Other"/>
    <s v="Standard"/>
    <n v="9.43"/>
    <x v="2"/>
    <x v="4"/>
    <x v="2"/>
    <n v="13.99"/>
    <n v="0"/>
    <n v="0"/>
    <x v="3"/>
    <n v="2"/>
    <n v="0.86"/>
    <s v="Horror"/>
  </r>
  <r>
    <s v="b02aafea-c911-43ca-8034-748cdba41d79"/>
    <n v="43"/>
    <s v="Male"/>
    <s v="Premium"/>
    <n v="8.9700000000000006"/>
    <x v="25"/>
    <x v="5"/>
    <x v="0"/>
    <n v="17.989999999999998"/>
    <n v="0"/>
    <n v="0"/>
    <x v="0"/>
    <n v="5"/>
    <n v="8.9700000000000006"/>
    <s v="Documentary"/>
  </r>
  <r>
    <s v="58d12b76-d7ee-481e-b9f8-6d8513ea063d"/>
    <n v="57"/>
    <s v="Female"/>
    <s v="Standard"/>
    <n v="4.91"/>
    <x v="21"/>
    <x v="5"/>
    <x v="3"/>
    <n v="13.99"/>
    <n v="0"/>
    <n v="0"/>
    <x v="3"/>
    <n v="1"/>
    <n v="0.7"/>
    <s v="Sci-Fi"/>
  </r>
  <r>
    <s v="08141b17-2f86-464f-ac79-eac660142aab"/>
    <n v="58"/>
    <s v="Male"/>
    <s v="Standard"/>
    <n v="4.83"/>
    <x v="52"/>
    <x v="2"/>
    <x v="0"/>
    <n v="13.99"/>
    <n v="1"/>
    <n v="13.99"/>
    <x v="3"/>
    <n v="4"/>
    <n v="0.1"/>
    <s v="Documentary"/>
  </r>
  <r>
    <s v="1560ad96-084e-4aee-9acd-5e46ee8105e4"/>
    <n v="65"/>
    <s v="Female"/>
    <s v="Basic"/>
    <n v="4.09"/>
    <x v="20"/>
    <x v="1"/>
    <x v="1"/>
    <n v="8.99"/>
    <n v="1"/>
    <n v="8.99"/>
    <x v="4"/>
    <n v="2"/>
    <n v="0.22"/>
    <s v="Drama"/>
  </r>
  <r>
    <s v="0d26aff1-5dcd-4c72-8853-ac6efd34ca2a"/>
    <n v="22"/>
    <s v="Female"/>
    <s v="Premium"/>
    <n v="26.81"/>
    <x v="17"/>
    <x v="2"/>
    <x v="0"/>
    <n v="17.989999999999998"/>
    <n v="0"/>
    <n v="0"/>
    <x v="2"/>
    <n v="5"/>
    <n v="5.36"/>
    <s v="Romance"/>
  </r>
  <r>
    <s v="84080a5b-af89-4c17-b1f8-6859842d4e5b"/>
    <n v="68"/>
    <s v="Female"/>
    <s v="Basic"/>
    <n v="15.85"/>
    <x v="10"/>
    <x v="4"/>
    <x v="0"/>
    <n v="8.99"/>
    <n v="1"/>
    <n v="8.99"/>
    <x v="1"/>
    <n v="2"/>
    <n v="0.41"/>
    <s v="Horror"/>
  </r>
  <r>
    <s v="c0d31bac-2ab7-4f02-a3b0-d9b5a0e1c03d"/>
    <n v="68"/>
    <s v="Male"/>
    <s v="Basic"/>
    <n v="3.01"/>
    <x v="16"/>
    <x v="0"/>
    <x v="4"/>
    <n v="8.99"/>
    <n v="1"/>
    <n v="8.99"/>
    <x v="1"/>
    <n v="3"/>
    <n v="0.11"/>
    <s v="Drama"/>
  </r>
  <r>
    <s v="8196f9c1-0f8f-4a56-9eb3-baa2012b65d4"/>
    <n v="28"/>
    <s v="Male"/>
    <s v="Premium"/>
    <n v="4.49"/>
    <x v="34"/>
    <x v="3"/>
    <x v="3"/>
    <n v="17.989999999999998"/>
    <n v="1"/>
    <n v="17.989999999999998"/>
    <x v="1"/>
    <n v="4"/>
    <n v="0.09"/>
    <s v="Drama"/>
  </r>
  <r>
    <s v="01e7ba0e-23f7-4c43-91c2-97ccea703e51"/>
    <n v="23"/>
    <s v="Female"/>
    <s v="Standard"/>
    <n v="2.63"/>
    <x v="17"/>
    <x v="3"/>
    <x v="1"/>
    <n v="13.99"/>
    <n v="0"/>
    <n v="0"/>
    <x v="3"/>
    <n v="3"/>
    <n v="0.53"/>
    <s v="Comedy"/>
  </r>
  <r>
    <s v="4fe787fa-8786-4d56-93d0-ed72f11b7241"/>
    <n v="51"/>
    <s v="Male"/>
    <s v="Standard"/>
    <n v="8.6300000000000008"/>
    <x v="11"/>
    <x v="3"/>
    <x v="4"/>
    <n v="13.99"/>
    <n v="0"/>
    <n v="0"/>
    <x v="2"/>
    <n v="1"/>
    <n v="0.36"/>
    <s v="Drama"/>
  </r>
  <r>
    <s v="a9284906-2f35-4b1c-85bb-7eb60338cc2d"/>
    <n v="36"/>
    <s v="Male"/>
    <s v="Standard"/>
    <n v="8.8699999999999992"/>
    <x v="9"/>
    <x v="5"/>
    <x v="3"/>
    <n v="13.99"/>
    <n v="1"/>
    <n v="13.99"/>
    <x v="0"/>
    <n v="2"/>
    <n v="0.24"/>
    <s v="Romance"/>
  </r>
  <r>
    <s v="26b2ed27-68f5-4d21-a1f2-1cd87d048e06"/>
    <n v="68"/>
    <s v="Female"/>
    <s v="Premium"/>
    <n v="5.99"/>
    <x v="1"/>
    <x v="5"/>
    <x v="4"/>
    <n v="17.989999999999998"/>
    <n v="0"/>
    <n v="0"/>
    <x v="0"/>
    <n v="4"/>
    <n v="0.3"/>
    <s v="Romance"/>
  </r>
  <r>
    <s v="92c683ff-034e-4bdd-8c27-d196a4676bed"/>
    <n v="25"/>
    <s v="Female"/>
    <s v="Premium"/>
    <n v="4.05"/>
    <x v="8"/>
    <x v="2"/>
    <x v="3"/>
    <n v="17.989999999999998"/>
    <n v="1"/>
    <n v="17.989999999999998"/>
    <x v="0"/>
    <n v="2"/>
    <n v="0.12"/>
    <s v="Documentary"/>
  </r>
  <r>
    <s v="64a5562b-1eeb-4de7-90d8-9eba0b1c09ff"/>
    <n v="25"/>
    <s v="Male"/>
    <s v="Basic"/>
    <n v="14.39"/>
    <x v="23"/>
    <x v="5"/>
    <x v="4"/>
    <n v="8.99"/>
    <n v="1"/>
    <n v="8.99"/>
    <x v="0"/>
    <n v="4"/>
    <n v="0.27"/>
    <s v="Documentary"/>
  </r>
  <r>
    <s v="1524b909-0e45-44be-8e93-1855b614339c"/>
    <n v="56"/>
    <s v="Female"/>
    <s v="Premium"/>
    <n v="19.03"/>
    <x v="42"/>
    <x v="4"/>
    <x v="4"/>
    <n v="17.989999999999998"/>
    <n v="0"/>
    <n v="0"/>
    <x v="4"/>
    <n v="1"/>
    <n v="0.5"/>
    <s v="Romance"/>
  </r>
  <r>
    <s v="693f8ac0-ef10-4a05-9f43-07e089edab75"/>
    <n v="51"/>
    <s v="Other"/>
    <s v="Standard"/>
    <n v="4.9800000000000004"/>
    <x v="54"/>
    <x v="4"/>
    <x v="4"/>
    <n v="13.99"/>
    <n v="1"/>
    <n v="13.99"/>
    <x v="0"/>
    <n v="5"/>
    <n v="0.17"/>
    <s v="Sci-Fi"/>
  </r>
  <r>
    <s v="c31b9740-ad76-4178-9256-2c00a1c7290a"/>
    <n v="57"/>
    <s v="Other"/>
    <s v="Basic"/>
    <n v="27.17"/>
    <x v="10"/>
    <x v="4"/>
    <x v="0"/>
    <n v="8.99"/>
    <n v="0"/>
    <n v="0"/>
    <x v="3"/>
    <n v="5"/>
    <n v="0.7"/>
    <s v="Comedy"/>
  </r>
  <r>
    <s v="c7f1727b-e0a3-4f06-86ba-cc1a3dedfa85"/>
    <n v="24"/>
    <s v="Other"/>
    <s v="Standard"/>
    <n v="5.81"/>
    <x v="14"/>
    <x v="5"/>
    <x v="0"/>
    <n v="13.99"/>
    <n v="0"/>
    <n v="0"/>
    <x v="3"/>
    <n v="4"/>
    <n v="0.18"/>
    <s v="Romance"/>
  </r>
  <r>
    <s v="f376f532-f75b-4c60-b56e-08527a7facca"/>
    <n v="23"/>
    <s v="Male"/>
    <s v="Standard"/>
    <n v="0.28999999999999998"/>
    <x v="56"/>
    <x v="1"/>
    <x v="3"/>
    <n v="13.99"/>
    <n v="1"/>
    <n v="13.99"/>
    <x v="0"/>
    <n v="2"/>
    <n v="0"/>
    <s v="Documentary"/>
  </r>
  <r>
    <s v="4a212db8-6b5d-4f86-96c6-027c1d4c5a60"/>
    <n v="66"/>
    <s v="Other"/>
    <s v="Premium"/>
    <n v="10.48"/>
    <x v="0"/>
    <x v="1"/>
    <x v="1"/>
    <n v="17.989999999999998"/>
    <n v="0"/>
    <n v="0"/>
    <x v="3"/>
    <n v="3"/>
    <n v="0.35"/>
    <s v="Horror"/>
  </r>
  <r>
    <s v="16993e91-870b-47d2-9098-b687b2f20336"/>
    <n v="36"/>
    <s v="Female"/>
    <s v="Premium"/>
    <n v="4.26"/>
    <x v="38"/>
    <x v="1"/>
    <x v="0"/>
    <n v="17.989999999999998"/>
    <n v="0"/>
    <n v="0"/>
    <x v="3"/>
    <n v="4"/>
    <n v="0.19"/>
    <s v="Horror"/>
  </r>
  <r>
    <s v="5b5ea547-92ab-40fa-8576-69d92d37557b"/>
    <n v="23"/>
    <s v="Other"/>
    <s v="Basic"/>
    <n v="0.03"/>
    <x v="57"/>
    <x v="5"/>
    <x v="0"/>
    <n v="8.99"/>
    <n v="1"/>
    <n v="8.99"/>
    <x v="3"/>
    <n v="1"/>
    <n v="0"/>
    <s v="Comedy"/>
  </r>
  <r>
    <s v="80545107-3bf0-4bad-8c8e-98950b1e8738"/>
    <n v="69"/>
    <s v="Male"/>
    <s v="Premium"/>
    <n v="9.8000000000000007"/>
    <x v="7"/>
    <x v="3"/>
    <x v="0"/>
    <n v="17.989999999999998"/>
    <n v="1"/>
    <n v="17.989999999999998"/>
    <x v="0"/>
    <n v="2"/>
    <n v="0.17"/>
    <s v="Documentary"/>
  </r>
  <r>
    <s v="0376ecc1-f7bd-41b0-bb41-719f1cdf0853"/>
    <n v="21"/>
    <s v="Male"/>
    <s v="Standard"/>
    <n v="13.79"/>
    <x v="36"/>
    <x v="2"/>
    <x v="1"/>
    <n v="13.99"/>
    <n v="0"/>
    <n v="0"/>
    <x v="3"/>
    <n v="5"/>
    <n v="0.34"/>
    <s v="Horror"/>
  </r>
  <r>
    <s v="e7aeeddd-1450-47d9-a18a-0e209f5af835"/>
    <n v="27"/>
    <s v="Male"/>
    <s v="Premium"/>
    <n v="18.170000000000002"/>
    <x v="57"/>
    <x v="5"/>
    <x v="1"/>
    <n v="17.989999999999998"/>
    <n v="1"/>
    <n v="17.989999999999998"/>
    <x v="3"/>
    <n v="2"/>
    <n v="0.3"/>
    <s v="Documentary"/>
  </r>
  <r>
    <s v="19646dbb-a0c8-44c8-a262-169801a59f2f"/>
    <n v="58"/>
    <s v="Male"/>
    <s v="Premium"/>
    <n v="27.98"/>
    <x v="60"/>
    <x v="5"/>
    <x v="1"/>
    <n v="17.989999999999998"/>
    <n v="0"/>
    <n v="0"/>
    <x v="1"/>
    <n v="1"/>
    <n v="3.11"/>
    <s v="Romance"/>
  </r>
  <r>
    <s v="ae7779f6-13a0-43e7-a356-45a7c3965e23"/>
    <n v="37"/>
    <s v="Other"/>
    <s v="Standard"/>
    <n v="10.84"/>
    <x v="0"/>
    <x v="5"/>
    <x v="1"/>
    <n v="13.99"/>
    <n v="0"/>
    <n v="0"/>
    <x v="1"/>
    <n v="4"/>
    <n v="0.36"/>
    <s v="Sci-Fi"/>
  </r>
  <r>
    <s v="2dc2f017-c762-4922-8704-ed47a421afb6"/>
    <n v="45"/>
    <s v="Male"/>
    <s v="Premium"/>
    <n v="2.7"/>
    <x v="46"/>
    <x v="1"/>
    <x v="0"/>
    <n v="17.989999999999998"/>
    <n v="0"/>
    <n v="0"/>
    <x v="4"/>
    <n v="4"/>
    <n v="0.9"/>
    <s v="Sci-Fi"/>
  </r>
  <r>
    <s v="d34b78fd-e9fd-4af2-8185-ecad66520d4b"/>
    <n v="25"/>
    <s v="Female"/>
    <s v="Premium"/>
    <n v="28.54"/>
    <x v="34"/>
    <x v="1"/>
    <x v="4"/>
    <n v="17.989999999999998"/>
    <n v="0"/>
    <n v="0"/>
    <x v="3"/>
    <n v="2"/>
    <n v="0.56000000000000005"/>
    <s v="Documentary"/>
  </r>
  <r>
    <s v="910ccab4-1c1a-4591-94c7-8399939f3480"/>
    <n v="58"/>
    <s v="Female"/>
    <s v="Premium"/>
    <n v="3.44"/>
    <x v="51"/>
    <x v="1"/>
    <x v="2"/>
    <n v="17.989999999999998"/>
    <n v="1"/>
    <n v="17.989999999999998"/>
    <x v="1"/>
    <n v="3"/>
    <n v="0.19"/>
    <s v="Comedy"/>
  </r>
  <r>
    <s v="cb2b7b7c-60aa-4222-a711-cb109e2aa2b8"/>
    <n v="64"/>
    <s v="Female"/>
    <s v="Basic"/>
    <n v="12.14"/>
    <x v="34"/>
    <x v="1"/>
    <x v="3"/>
    <n v="8.99"/>
    <n v="1"/>
    <n v="8.99"/>
    <x v="3"/>
    <n v="3"/>
    <n v="0.24"/>
    <s v="Horror"/>
  </r>
  <r>
    <s v="a7b3553d-e719-4b4d-802d-33622723dd5d"/>
    <n v="19"/>
    <s v="Female"/>
    <s v="Standard"/>
    <n v="10.38"/>
    <x v="56"/>
    <x v="1"/>
    <x v="2"/>
    <n v="13.99"/>
    <n v="0"/>
    <n v="0"/>
    <x v="3"/>
    <n v="5"/>
    <n v="0.18"/>
    <s v="Documentary"/>
  </r>
  <r>
    <s v="d2f0f59a-fd2c-4f32-9da0-a09c7b877025"/>
    <n v="44"/>
    <s v="Other"/>
    <s v="Basic"/>
    <n v="26.37"/>
    <x v="38"/>
    <x v="3"/>
    <x v="1"/>
    <n v="8.99"/>
    <n v="0"/>
    <n v="0"/>
    <x v="3"/>
    <n v="5"/>
    <n v="1.2"/>
    <s v="Romance"/>
  </r>
  <r>
    <s v="6e99dfd5-3046-4724-8933-41ed69d81932"/>
    <n v="57"/>
    <s v="Male"/>
    <s v="Basic"/>
    <n v="0.06"/>
    <x v="36"/>
    <x v="5"/>
    <x v="0"/>
    <n v="8.99"/>
    <n v="1"/>
    <n v="8.99"/>
    <x v="1"/>
    <n v="4"/>
    <n v="0"/>
    <s v="Sci-Fi"/>
  </r>
  <r>
    <s v="97bb6237-30a3-4795-b9dd-036113d4b3b3"/>
    <n v="26"/>
    <s v="Female"/>
    <s v="Premium"/>
    <n v="0.97"/>
    <x v="52"/>
    <x v="4"/>
    <x v="1"/>
    <n v="17.989999999999998"/>
    <n v="1"/>
    <n v="17.989999999999998"/>
    <x v="3"/>
    <n v="1"/>
    <n v="0.02"/>
    <s v="Action"/>
  </r>
  <r>
    <s v="efba9209-3221-4892-8d96-23146aef4424"/>
    <n v="37"/>
    <s v="Male"/>
    <s v="Basic"/>
    <n v="3.05"/>
    <x v="31"/>
    <x v="4"/>
    <x v="4"/>
    <n v="8.99"/>
    <n v="1"/>
    <n v="8.99"/>
    <x v="0"/>
    <n v="3"/>
    <n v="0.19"/>
    <s v="Sci-Fi"/>
  </r>
  <r>
    <s v="8eb5037d-cf60-465e-a7b6-fc940311b87b"/>
    <n v="63"/>
    <s v="Other"/>
    <s v="Standard"/>
    <n v="0.83"/>
    <x v="45"/>
    <x v="2"/>
    <x v="1"/>
    <n v="13.99"/>
    <n v="1"/>
    <n v="13.99"/>
    <x v="0"/>
    <n v="2"/>
    <n v="0.02"/>
    <s v="Comedy"/>
  </r>
  <r>
    <s v="a9aa274f-d581-457a-ad8e-94d886058ed8"/>
    <n v="59"/>
    <s v="Female"/>
    <s v="Basic"/>
    <n v="12.13"/>
    <x v="11"/>
    <x v="2"/>
    <x v="0"/>
    <n v="8.99"/>
    <n v="0"/>
    <n v="0"/>
    <x v="2"/>
    <n v="5"/>
    <n v="0.51"/>
    <s v="Drama"/>
  </r>
  <r>
    <s v="92ba884c-d467-4b97-aba0-7032878c1e03"/>
    <n v="65"/>
    <s v="Female"/>
    <s v="Basic"/>
    <n v="11.25"/>
    <x v="39"/>
    <x v="3"/>
    <x v="3"/>
    <n v="8.99"/>
    <n v="1"/>
    <n v="8.99"/>
    <x v="1"/>
    <n v="3"/>
    <n v="0.49"/>
    <s v="Drama"/>
  </r>
  <r>
    <s v="0a8bc259-eb14-4cdf-8add-0d96ac8f1646"/>
    <n v="18"/>
    <s v="Other"/>
    <s v="Premium"/>
    <n v="2.19"/>
    <x v="37"/>
    <x v="0"/>
    <x v="1"/>
    <n v="17.989999999999998"/>
    <n v="1"/>
    <n v="17.989999999999998"/>
    <x v="1"/>
    <n v="1"/>
    <n v="0.09"/>
    <s v="Documentary"/>
  </r>
  <r>
    <s v="748be132-1b1e-4306-ba23-735a539d422e"/>
    <n v="49"/>
    <s v="Female"/>
    <s v="Basic"/>
    <n v="17.05"/>
    <x v="27"/>
    <x v="1"/>
    <x v="2"/>
    <n v="8.99"/>
    <n v="0"/>
    <n v="0"/>
    <x v="3"/>
    <n v="4"/>
    <n v="1"/>
    <s v="Horror"/>
  </r>
  <r>
    <s v="298435d0-1f7a-4dd4-b065-7801de7e23fd"/>
    <n v="59"/>
    <s v="Female"/>
    <s v="Basic"/>
    <n v="17.34"/>
    <x v="15"/>
    <x v="1"/>
    <x v="1"/>
    <n v="8.99"/>
    <n v="1"/>
    <n v="8.99"/>
    <x v="2"/>
    <n v="3"/>
    <n v="0.42"/>
    <s v="Comedy"/>
  </r>
  <r>
    <s v="07bb46a2-c255-4133-8fec-c0b3ac944990"/>
    <n v="25"/>
    <s v="Female"/>
    <s v="Premium"/>
    <n v="0.27"/>
    <x v="57"/>
    <x v="5"/>
    <x v="4"/>
    <n v="17.989999999999998"/>
    <n v="1"/>
    <n v="17.989999999999998"/>
    <x v="0"/>
    <n v="1"/>
    <n v="0"/>
    <s v="Drama"/>
  </r>
  <r>
    <s v="92c53048-5882-489d-856d-aa142eaf9d80"/>
    <n v="25"/>
    <s v="Other"/>
    <s v="Basic"/>
    <n v="17.899999999999999"/>
    <x v="47"/>
    <x v="3"/>
    <x v="4"/>
    <n v="8.99"/>
    <n v="0"/>
    <n v="0"/>
    <x v="1"/>
    <n v="3"/>
    <n v="4.47"/>
    <s v="Romance"/>
  </r>
  <r>
    <s v="8f16a933-2d0f-43f7-af59-63dba7b6db8d"/>
    <n v="48"/>
    <s v="Male"/>
    <s v="Standard"/>
    <n v="5.33"/>
    <x v="43"/>
    <x v="5"/>
    <x v="4"/>
    <n v="13.99"/>
    <n v="1"/>
    <n v="13.99"/>
    <x v="1"/>
    <n v="3"/>
    <n v="0.17"/>
    <s v="Documentary"/>
  </r>
  <r>
    <s v="a673ecc2-3f9e-49c8-a8a0-33518170fc75"/>
    <n v="26"/>
    <s v="Other"/>
    <s v="Basic"/>
    <n v="0.75"/>
    <x v="55"/>
    <x v="5"/>
    <x v="4"/>
    <n v="8.99"/>
    <n v="1"/>
    <n v="8.99"/>
    <x v="1"/>
    <n v="2"/>
    <n v="0.01"/>
    <s v="Horror"/>
  </r>
  <r>
    <s v="e4c0bdd0-8887-4794-83d0-90bcf550e7f8"/>
    <n v="25"/>
    <s v="Male"/>
    <s v="Standard"/>
    <n v="4.45"/>
    <x v="45"/>
    <x v="5"/>
    <x v="0"/>
    <n v="13.99"/>
    <n v="1"/>
    <n v="13.99"/>
    <x v="0"/>
    <n v="2"/>
    <n v="0.11"/>
    <s v="Documentary"/>
  </r>
  <r>
    <s v="e1400ac9-2fdf-4207-8c65-82d322a55539"/>
    <n v="42"/>
    <s v="Female"/>
    <s v="Standard"/>
    <n v="2.96"/>
    <x v="41"/>
    <x v="1"/>
    <x v="0"/>
    <n v="13.99"/>
    <n v="0"/>
    <n v="0"/>
    <x v="3"/>
    <n v="5"/>
    <n v="0.1"/>
    <s v="Sci-Fi"/>
  </r>
  <r>
    <s v="f6271f82-73c1-4c68-94f0-00a8c7ee3ec1"/>
    <n v="33"/>
    <s v="Female"/>
    <s v="Basic"/>
    <n v="0.6"/>
    <x v="45"/>
    <x v="4"/>
    <x v="4"/>
    <n v="8.99"/>
    <n v="1"/>
    <n v="8.99"/>
    <x v="2"/>
    <n v="3"/>
    <n v="0.01"/>
    <s v="Documentary"/>
  </r>
  <r>
    <s v="2af3f4c7-9797-4e72-b0e8-7005376ce267"/>
    <n v="58"/>
    <s v="Male"/>
    <s v="Standard"/>
    <n v="10.77"/>
    <x v="35"/>
    <x v="3"/>
    <x v="0"/>
    <n v="13.99"/>
    <n v="1"/>
    <n v="13.99"/>
    <x v="3"/>
    <n v="1"/>
    <n v="0.24"/>
    <s v="Romance"/>
  </r>
  <r>
    <s v="246e7b39-0755-4a0a-9d9b-dfe34ab133cb"/>
    <n v="66"/>
    <s v="Female"/>
    <s v="Premium"/>
    <n v="13.36"/>
    <x v="31"/>
    <x v="0"/>
    <x v="3"/>
    <n v="17.989999999999998"/>
    <n v="0"/>
    <n v="0"/>
    <x v="0"/>
    <n v="5"/>
    <n v="0.83"/>
    <s v="Sci-Fi"/>
  </r>
  <r>
    <s v="9fb45fe7-6937-4239-8548-115936dfce77"/>
    <n v="42"/>
    <s v="Male"/>
    <s v="Basic"/>
    <n v="20.9"/>
    <x v="53"/>
    <x v="1"/>
    <x v="4"/>
    <n v="8.99"/>
    <n v="1"/>
    <n v="8.99"/>
    <x v="4"/>
    <n v="3"/>
    <n v="0.49"/>
    <s v="Drama"/>
  </r>
  <r>
    <s v="bae9ac0c-dcd5-429b-88df-2af895fc1f3e"/>
    <n v="50"/>
    <s v="Male"/>
    <s v="Premium"/>
    <n v="7.18"/>
    <x v="11"/>
    <x v="5"/>
    <x v="0"/>
    <n v="17.989999999999998"/>
    <n v="0"/>
    <n v="0"/>
    <x v="4"/>
    <n v="3"/>
    <n v="0.3"/>
    <s v="Action"/>
  </r>
  <r>
    <s v="fbeabb4d-6f7e-4465-881f-bcb265b21ca0"/>
    <n v="40"/>
    <s v="Other"/>
    <s v="Basic"/>
    <n v="14.01"/>
    <x v="32"/>
    <x v="1"/>
    <x v="2"/>
    <n v="8.99"/>
    <n v="0"/>
    <n v="0"/>
    <x v="2"/>
    <n v="3"/>
    <n v="0.93"/>
    <s v="Romance"/>
  </r>
  <r>
    <s v="db369245-5a2d-4fd1-8463-4679d35d7cd2"/>
    <n v="36"/>
    <s v="Female"/>
    <s v="Premium"/>
    <n v="16.68"/>
    <x v="57"/>
    <x v="0"/>
    <x v="0"/>
    <n v="17.989999999999998"/>
    <n v="0"/>
    <n v="0"/>
    <x v="4"/>
    <n v="5"/>
    <n v="0.27"/>
    <s v="Horror"/>
  </r>
  <r>
    <s v="fbdfea76-1ced-4cf1-96dd-6c38e159ddbb"/>
    <n v="48"/>
    <s v="Other"/>
    <s v="Premium"/>
    <n v="1.67"/>
    <x v="32"/>
    <x v="2"/>
    <x v="2"/>
    <n v="17.989999999999998"/>
    <n v="1"/>
    <n v="17.989999999999998"/>
    <x v="0"/>
    <n v="3"/>
    <n v="0.11"/>
    <s v="Sci-Fi"/>
  </r>
  <r>
    <s v="df1f5e40-48f8-4501-b220-53ba2a1001d3"/>
    <n v="60"/>
    <s v="Other"/>
    <s v="Basic"/>
    <n v="14.45"/>
    <x v="24"/>
    <x v="3"/>
    <x v="0"/>
    <n v="8.99"/>
    <n v="1"/>
    <n v="8.99"/>
    <x v="3"/>
    <n v="5"/>
    <n v="0.27"/>
    <s v="Drama"/>
  </r>
  <r>
    <s v="fe420cef-9ccb-473e-9ae5-d7ca920ec4fc"/>
    <n v="42"/>
    <s v="Male"/>
    <s v="Standard"/>
    <n v="7.63"/>
    <x v="14"/>
    <x v="3"/>
    <x v="4"/>
    <n v="13.99"/>
    <n v="1"/>
    <n v="13.99"/>
    <x v="4"/>
    <n v="2"/>
    <n v="0.23"/>
    <s v="Action"/>
  </r>
  <r>
    <s v="9b8878c6-238f-44c8-9dfe-4676c66e11f7"/>
    <n v="31"/>
    <s v="Male"/>
    <s v="Standard"/>
    <n v="6.29"/>
    <x v="37"/>
    <x v="2"/>
    <x v="2"/>
    <n v="13.99"/>
    <n v="0"/>
    <n v="0"/>
    <x v="0"/>
    <n v="3"/>
    <n v="0.25"/>
    <s v="Sci-Fi"/>
  </r>
  <r>
    <s v="3cdcd810-39e5-4f28-989b-378a9b976a5d"/>
    <n v="34"/>
    <s v="Male"/>
    <s v="Standard"/>
    <n v="45.52"/>
    <x v="24"/>
    <x v="4"/>
    <x v="2"/>
    <n v="13.99"/>
    <n v="0"/>
    <n v="0"/>
    <x v="4"/>
    <n v="3"/>
    <n v="0.86"/>
    <s v="Action"/>
  </r>
  <r>
    <s v="c95f2368-372e-46c4-9f3d-1c82a301fd78"/>
    <n v="21"/>
    <s v="Other"/>
    <s v="Basic"/>
    <n v="0.15"/>
    <x v="26"/>
    <x v="2"/>
    <x v="1"/>
    <n v="8.99"/>
    <n v="1"/>
    <n v="8.99"/>
    <x v="4"/>
    <n v="4"/>
    <n v="0"/>
    <s v="Action"/>
  </r>
  <r>
    <s v="c43449fd-4ad5-429d-89c4-74d268dcb6bc"/>
    <n v="67"/>
    <s v="Female"/>
    <s v="Basic"/>
    <n v="19.579999999999998"/>
    <x v="35"/>
    <x v="1"/>
    <x v="4"/>
    <n v="8.99"/>
    <n v="1"/>
    <n v="8.99"/>
    <x v="2"/>
    <n v="3"/>
    <n v="0.44"/>
    <s v="Romance"/>
  </r>
  <r>
    <s v="365dc778-c1e5-4ab8-8687-f9583f9308e1"/>
    <n v="30"/>
    <s v="Male"/>
    <s v="Standard"/>
    <n v="2.27"/>
    <x v="25"/>
    <x v="5"/>
    <x v="4"/>
    <n v="13.99"/>
    <n v="0"/>
    <n v="0"/>
    <x v="1"/>
    <n v="2"/>
    <n v="2.27"/>
    <s v="Action"/>
  </r>
  <r>
    <s v="639cda74-2249-449f-a7f2-64228302647b"/>
    <n v="55"/>
    <s v="Other"/>
    <s v="Premium"/>
    <n v="18.02"/>
    <x v="9"/>
    <x v="5"/>
    <x v="1"/>
    <n v="17.989999999999998"/>
    <n v="0"/>
    <n v="0"/>
    <x v="4"/>
    <n v="4"/>
    <n v="0.49"/>
    <s v="Romance"/>
  </r>
  <r>
    <s v="4fd24bc2-10ac-4a18-96cd-1f062ba5024c"/>
    <n v="20"/>
    <s v="Male"/>
    <s v="Standard"/>
    <n v="2.89"/>
    <x v="4"/>
    <x v="4"/>
    <x v="3"/>
    <n v="13.99"/>
    <n v="1"/>
    <n v="13.99"/>
    <x v="2"/>
    <n v="2"/>
    <n v="0.21"/>
    <s v="Sci-Fi"/>
  </r>
  <r>
    <s v="7fa02534-0dd1-455f-84ac-dcbef3aa4168"/>
    <n v="52"/>
    <s v="Male"/>
    <s v="Premium"/>
    <n v="10.6"/>
    <x v="10"/>
    <x v="0"/>
    <x v="3"/>
    <n v="17.989999999999998"/>
    <n v="0"/>
    <n v="0"/>
    <x v="4"/>
    <n v="4"/>
    <n v="0.27"/>
    <s v="Romance"/>
  </r>
  <r>
    <s v="27fd0327-3305-449e-b4df-20aeb99d6ea2"/>
    <n v="45"/>
    <s v="Male"/>
    <s v="Premium"/>
    <n v="14"/>
    <x v="12"/>
    <x v="5"/>
    <x v="0"/>
    <n v="17.989999999999998"/>
    <n v="1"/>
    <n v="17.989999999999998"/>
    <x v="4"/>
    <n v="2"/>
    <n v="0.41"/>
    <s v="Horror"/>
  </r>
  <r>
    <s v="66284077-a6c7-4460-9cc9-df93097a5fb5"/>
    <n v="31"/>
    <s v="Male"/>
    <s v="Basic"/>
    <n v="7.69"/>
    <x v="18"/>
    <x v="1"/>
    <x v="3"/>
    <n v="8.99"/>
    <n v="1"/>
    <n v="8.99"/>
    <x v="0"/>
    <n v="5"/>
    <n v="0.13"/>
    <s v="Documentary"/>
  </r>
  <r>
    <s v="9f1d9e64-d5eb-4014-a291-033be9ad6031"/>
    <n v="68"/>
    <s v="Female"/>
    <s v="Standard"/>
    <n v="20.239999999999998"/>
    <x v="27"/>
    <x v="2"/>
    <x v="3"/>
    <n v="13.99"/>
    <n v="0"/>
    <n v="0"/>
    <x v="3"/>
    <n v="3"/>
    <n v="1.19"/>
    <s v="Comedy"/>
  </r>
  <r>
    <s v="81f9ef23-4a14-44ac-9c0d-8322b1588958"/>
    <n v="44"/>
    <s v="Female"/>
    <s v="Basic"/>
    <n v="0.65"/>
    <x v="55"/>
    <x v="0"/>
    <x v="0"/>
    <n v="8.99"/>
    <n v="1"/>
    <n v="8.99"/>
    <x v="3"/>
    <n v="4"/>
    <n v="0.01"/>
    <s v="Horror"/>
  </r>
  <r>
    <s v="fd89085e-0ec9-40aa-8b8b-b72b7ca501da"/>
    <n v="29"/>
    <s v="Other"/>
    <s v="Premium"/>
    <n v="4.1900000000000004"/>
    <x v="50"/>
    <x v="4"/>
    <x v="3"/>
    <n v="17.989999999999998"/>
    <n v="1"/>
    <n v="17.989999999999998"/>
    <x v="4"/>
    <n v="1"/>
    <n v="0.08"/>
    <s v="Sci-Fi"/>
  </r>
  <r>
    <s v="b3aa4ed8-5a94-461b-8446-d653fc705466"/>
    <n v="34"/>
    <s v="Male"/>
    <s v="Standard"/>
    <n v="16.36"/>
    <x v="39"/>
    <x v="3"/>
    <x v="3"/>
    <n v="13.99"/>
    <n v="0"/>
    <n v="0"/>
    <x v="0"/>
    <n v="2"/>
    <n v="0.71"/>
    <s v="Romance"/>
  </r>
  <r>
    <s v="099bd55e-eb92-4b54-b33a-c148619d6148"/>
    <n v="35"/>
    <s v="Male"/>
    <s v="Premium"/>
    <n v="7.93"/>
    <x v="1"/>
    <x v="5"/>
    <x v="0"/>
    <n v="17.989999999999998"/>
    <n v="0"/>
    <n v="0"/>
    <x v="3"/>
    <n v="5"/>
    <n v="0.4"/>
    <s v="Horror"/>
  </r>
  <r>
    <s v="90ad70cd-6152-4d45-a6a3-9289f33ed606"/>
    <n v="49"/>
    <s v="Male"/>
    <s v="Premium"/>
    <n v="6.06"/>
    <x v="3"/>
    <x v="2"/>
    <x v="0"/>
    <n v="17.989999999999998"/>
    <n v="0"/>
    <n v="0"/>
    <x v="3"/>
    <n v="5"/>
    <n v="0.47"/>
    <s v="Comedy"/>
  </r>
  <r>
    <s v="1a69031e-2a84-46b5-a375-e94e60ab0bc7"/>
    <n v="54"/>
    <s v="Other"/>
    <s v="Basic"/>
    <n v="9.44"/>
    <x v="9"/>
    <x v="4"/>
    <x v="4"/>
    <n v="8.99"/>
    <n v="1"/>
    <n v="8.99"/>
    <x v="1"/>
    <n v="4"/>
    <n v="0.26"/>
    <s v="Comedy"/>
  </r>
  <r>
    <s v="065606ab-5f1f-428f-b2c5-c6da4baf9597"/>
    <n v="27"/>
    <s v="Male"/>
    <s v="Premium"/>
    <n v="6.31"/>
    <x v="22"/>
    <x v="0"/>
    <x v="4"/>
    <n v="17.989999999999998"/>
    <n v="0"/>
    <n v="0"/>
    <x v="3"/>
    <n v="4"/>
    <n v="0.11"/>
    <s v="Comedy"/>
  </r>
  <r>
    <s v="1660ae96-d64f-496c-91cb-bdac9b7722aa"/>
    <n v="44"/>
    <s v="Male"/>
    <s v="Standard"/>
    <n v="15.75"/>
    <x v="58"/>
    <x v="2"/>
    <x v="3"/>
    <n v="13.99"/>
    <n v="1"/>
    <n v="13.99"/>
    <x v="0"/>
    <n v="4"/>
    <n v="0.33"/>
    <s v="Comedy"/>
  </r>
  <r>
    <s v="eb8761bc-db4a-4e20-951a-e00522afcb18"/>
    <n v="50"/>
    <s v="Other"/>
    <s v="Premium"/>
    <n v="2.77"/>
    <x v="52"/>
    <x v="4"/>
    <x v="1"/>
    <n v="17.989999999999998"/>
    <n v="1"/>
    <n v="17.989999999999998"/>
    <x v="2"/>
    <n v="4"/>
    <n v="0.06"/>
    <s v="Drama"/>
  </r>
  <r>
    <s v="c7d025b0-f633-4505-8793-1401f9c0f412"/>
    <n v="49"/>
    <s v="Other"/>
    <s v="Basic"/>
    <n v="3.07"/>
    <x v="35"/>
    <x v="4"/>
    <x v="4"/>
    <n v="8.99"/>
    <n v="1"/>
    <n v="8.99"/>
    <x v="1"/>
    <n v="1"/>
    <n v="7.0000000000000007E-2"/>
    <s v="Romance"/>
  </r>
  <r>
    <s v="4585284f-5848-44b3-83e5-aac36e6bfe1e"/>
    <n v="32"/>
    <s v="Male"/>
    <s v="Premium"/>
    <n v="28.92"/>
    <x v="31"/>
    <x v="1"/>
    <x v="4"/>
    <n v="17.989999999999998"/>
    <n v="0"/>
    <n v="0"/>
    <x v="1"/>
    <n v="4"/>
    <n v="1.81"/>
    <s v="Romance"/>
  </r>
  <r>
    <s v="ab1a4a62-5d67-4e91-bceb-bfd5cf9779c9"/>
    <n v="45"/>
    <s v="Female"/>
    <s v="Basic"/>
    <n v="4.0199999999999996"/>
    <x v="59"/>
    <x v="5"/>
    <x v="4"/>
    <n v="8.99"/>
    <n v="1"/>
    <n v="8.99"/>
    <x v="3"/>
    <n v="1"/>
    <n v="0.67"/>
    <s v="Documentary"/>
  </r>
  <r>
    <s v="a29e03cc-8960-45b2-b2dd-608515080f08"/>
    <n v="27"/>
    <s v="Female"/>
    <s v="Basic"/>
    <n v="35.36"/>
    <x v="56"/>
    <x v="2"/>
    <x v="3"/>
    <n v="8.99"/>
    <n v="0"/>
    <n v="0"/>
    <x v="3"/>
    <n v="4"/>
    <n v="0.6"/>
    <s v="Drama"/>
  </r>
  <r>
    <s v="f0e1c2de-9251-4a9a-a28d-083519f93a99"/>
    <n v="43"/>
    <s v="Other"/>
    <s v="Basic"/>
    <n v="13.19"/>
    <x v="2"/>
    <x v="2"/>
    <x v="0"/>
    <n v="8.99"/>
    <n v="0"/>
    <n v="0"/>
    <x v="1"/>
    <n v="5"/>
    <n v="1.2"/>
    <s v="Comedy"/>
  </r>
  <r>
    <s v="b7da6db6-172a-4970-b38a-4a375cfa375b"/>
    <n v="64"/>
    <s v="Other"/>
    <s v="Premium"/>
    <n v="23.36"/>
    <x v="24"/>
    <x v="5"/>
    <x v="1"/>
    <n v="17.989999999999998"/>
    <n v="0"/>
    <n v="0"/>
    <x v="2"/>
    <n v="4"/>
    <n v="0.44"/>
    <s v="Drama"/>
  </r>
  <r>
    <s v="a9876912-824c-4e5a-846e-819e55d8269f"/>
    <n v="58"/>
    <s v="Other"/>
    <s v="Premium"/>
    <n v="15.12"/>
    <x v="55"/>
    <x v="0"/>
    <x v="4"/>
    <n v="17.989999999999998"/>
    <n v="0"/>
    <n v="0"/>
    <x v="2"/>
    <n v="5"/>
    <n v="0.25"/>
    <s v="Action"/>
  </r>
  <r>
    <s v="94f9f356-3b73-4a86-95d0-d27829bd0717"/>
    <n v="23"/>
    <s v="Other"/>
    <s v="Premium"/>
    <n v="1.43"/>
    <x v="41"/>
    <x v="1"/>
    <x v="0"/>
    <n v="17.989999999999998"/>
    <n v="1"/>
    <n v="17.989999999999998"/>
    <x v="0"/>
    <n v="5"/>
    <n v="0.05"/>
    <s v="Sci-Fi"/>
  </r>
  <r>
    <s v="a1e0529c-84b2-4403-b3c1-6c64aa9e23cc"/>
    <n v="21"/>
    <s v="Male"/>
    <s v="Basic"/>
    <n v="0.92"/>
    <x v="18"/>
    <x v="0"/>
    <x v="2"/>
    <n v="8.99"/>
    <n v="1"/>
    <n v="8.99"/>
    <x v="1"/>
    <n v="2"/>
    <n v="0.02"/>
    <s v="Action"/>
  </r>
  <r>
    <s v="2e278144-386b-48ff-9777-dbe15a249e13"/>
    <n v="44"/>
    <s v="Male"/>
    <s v="Standard"/>
    <n v="2"/>
    <x v="15"/>
    <x v="3"/>
    <x v="2"/>
    <n v="13.99"/>
    <n v="1"/>
    <n v="13.99"/>
    <x v="0"/>
    <n v="1"/>
    <n v="0.05"/>
    <s v="Action"/>
  </r>
  <r>
    <s v="5675244b-3663-4d14-9b6b-b076128889a5"/>
    <n v="57"/>
    <s v="Female"/>
    <s v="Basic"/>
    <n v="0.95"/>
    <x v="56"/>
    <x v="2"/>
    <x v="0"/>
    <n v="8.99"/>
    <n v="1"/>
    <n v="8.99"/>
    <x v="4"/>
    <n v="5"/>
    <n v="0.02"/>
    <s v="Comedy"/>
  </r>
  <r>
    <s v="6b0cde7d-0f34-41bc-bc64-a3254a2d7561"/>
    <n v="34"/>
    <s v="Male"/>
    <s v="Premium"/>
    <n v="18.98"/>
    <x v="15"/>
    <x v="0"/>
    <x v="4"/>
    <n v="17.989999999999998"/>
    <n v="0"/>
    <n v="0"/>
    <x v="4"/>
    <n v="5"/>
    <n v="0.46"/>
    <s v="Documentary"/>
  </r>
  <r>
    <s v="d3911e59-4ea8-4fa9-aeef-5bfb155c103b"/>
    <n v="63"/>
    <s v="Male"/>
    <s v="Premium"/>
    <n v="0.3"/>
    <x v="7"/>
    <x v="3"/>
    <x v="1"/>
    <n v="17.989999999999998"/>
    <n v="1"/>
    <n v="17.989999999999998"/>
    <x v="1"/>
    <n v="3"/>
    <n v="0.01"/>
    <s v="Horror"/>
  </r>
  <r>
    <s v="8c796d6a-ee93-4640-b9a9-7556b5a1a07d"/>
    <n v="57"/>
    <s v="Female"/>
    <s v="Premium"/>
    <n v="0.66"/>
    <x v="55"/>
    <x v="3"/>
    <x v="4"/>
    <n v="17.989999999999998"/>
    <n v="1"/>
    <n v="17.989999999999998"/>
    <x v="3"/>
    <n v="5"/>
    <n v="0.01"/>
    <s v="Comedy"/>
  </r>
  <r>
    <s v="1241fd90-c3c5-4a10-a69b-708ba8b4633e"/>
    <n v="56"/>
    <s v="Male"/>
    <s v="Premium"/>
    <n v="8.36"/>
    <x v="56"/>
    <x v="5"/>
    <x v="1"/>
    <n v="17.989999999999998"/>
    <n v="1"/>
    <n v="17.989999999999998"/>
    <x v="0"/>
    <n v="2"/>
    <n v="0.14000000000000001"/>
    <s v="Horror"/>
  </r>
  <r>
    <s v="eab99641-f7e9-4cba-a913-e1880044e640"/>
    <n v="22"/>
    <s v="Female"/>
    <s v="Standard"/>
    <n v="0.48"/>
    <x v="37"/>
    <x v="5"/>
    <x v="3"/>
    <n v="13.99"/>
    <n v="1"/>
    <n v="13.99"/>
    <x v="0"/>
    <n v="2"/>
    <n v="0.02"/>
    <s v="Romance"/>
  </r>
  <r>
    <s v="5acce646-5752-40e2-bc51-1c308240464e"/>
    <n v="63"/>
    <s v="Female"/>
    <s v="Standard"/>
    <n v="15.97"/>
    <x v="10"/>
    <x v="4"/>
    <x v="4"/>
    <n v="13.99"/>
    <n v="1"/>
    <n v="13.99"/>
    <x v="0"/>
    <n v="3"/>
    <n v="0.41"/>
    <s v="Drama"/>
  </r>
  <r>
    <s v="b76c3506-251d-4836-a3f7-f3bb62d02ad1"/>
    <n v="62"/>
    <s v="Female"/>
    <s v="Basic"/>
    <n v="4.82"/>
    <x v="2"/>
    <x v="1"/>
    <x v="2"/>
    <n v="8.99"/>
    <n v="1"/>
    <n v="8.99"/>
    <x v="2"/>
    <n v="5"/>
    <n v="0.44"/>
    <s v="Sci-Fi"/>
  </r>
  <r>
    <s v="bbcb20f1-75b4-4393-95dd-6e2b65d5ff4f"/>
    <n v="63"/>
    <s v="Other"/>
    <s v="Premium"/>
    <n v="21.62"/>
    <x v="34"/>
    <x v="3"/>
    <x v="3"/>
    <n v="17.989999999999998"/>
    <n v="0"/>
    <n v="0"/>
    <x v="0"/>
    <n v="4"/>
    <n v="0.42"/>
    <s v="Romance"/>
  </r>
  <r>
    <s v="59cbff4b-2d9f-4539-b6d6-0d89eddde6bc"/>
    <n v="21"/>
    <s v="Other"/>
    <s v="Premium"/>
    <n v="0.2"/>
    <x v="38"/>
    <x v="3"/>
    <x v="1"/>
    <n v="17.989999999999998"/>
    <n v="0"/>
    <n v="0"/>
    <x v="2"/>
    <n v="5"/>
    <n v="0.01"/>
    <s v="Drama"/>
  </r>
  <r>
    <s v="d8f3a1ce-a034-4298-bdec-7a1edd116231"/>
    <n v="52"/>
    <s v="Male"/>
    <s v="Standard"/>
    <n v="22.33"/>
    <x v="54"/>
    <x v="4"/>
    <x v="3"/>
    <n v="13.99"/>
    <n v="0"/>
    <n v="0"/>
    <x v="3"/>
    <n v="5"/>
    <n v="0.77"/>
    <s v="Sci-Fi"/>
  </r>
  <r>
    <s v="cd82c04b-852d-4e0c-8d5e-68645248bd6f"/>
    <n v="33"/>
    <s v="Female"/>
    <s v="Premium"/>
    <n v="18.3"/>
    <x v="32"/>
    <x v="1"/>
    <x v="4"/>
    <n v="17.989999999999998"/>
    <n v="0"/>
    <n v="0"/>
    <x v="1"/>
    <n v="1"/>
    <n v="1.22"/>
    <s v="Sci-Fi"/>
  </r>
  <r>
    <s v="c3335df7-3db5-44c4-bc70-1b03ba03048a"/>
    <n v="39"/>
    <s v="Female"/>
    <s v="Standard"/>
    <n v="17.05"/>
    <x v="42"/>
    <x v="1"/>
    <x v="3"/>
    <n v="13.99"/>
    <n v="1"/>
    <n v="13.99"/>
    <x v="2"/>
    <n v="1"/>
    <n v="0.45"/>
    <s v="Drama"/>
  </r>
  <r>
    <s v="dbdbfa7c-7932-46fa-ad10-d53bbd798cf5"/>
    <n v="48"/>
    <s v="Female"/>
    <s v="Basic"/>
    <n v="16.75"/>
    <x v="27"/>
    <x v="0"/>
    <x v="2"/>
    <n v="8.99"/>
    <n v="0"/>
    <n v="0"/>
    <x v="0"/>
    <n v="5"/>
    <n v="0.99"/>
    <s v="Documentary"/>
  </r>
  <r>
    <s v="f608833d-8f7e-4184-a3fc-665f57aba3b0"/>
    <n v="46"/>
    <s v="Female"/>
    <s v="Premium"/>
    <n v="23.02"/>
    <x v="55"/>
    <x v="2"/>
    <x v="4"/>
    <n v="17.989999999999998"/>
    <n v="0"/>
    <n v="0"/>
    <x v="1"/>
    <n v="2"/>
    <n v="0.38"/>
    <s v="Documentary"/>
  </r>
  <r>
    <s v="ef61f409-a614-4271-986a-5d40d27e053c"/>
    <n v="25"/>
    <s v="Male"/>
    <s v="Basic"/>
    <n v="5.88"/>
    <x v="25"/>
    <x v="1"/>
    <x v="1"/>
    <n v="8.99"/>
    <n v="0"/>
    <n v="0"/>
    <x v="4"/>
    <n v="3"/>
    <n v="5.88"/>
    <s v="Drama"/>
  </r>
  <r>
    <s v="aad6f51a-1c6f-46b7-aa7b-768352ed8d1c"/>
    <n v="57"/>
    <s v="Other"/>
    <s v="Basic"/>
    <n v="2.08"/>
    <x v="32"/>
    <x v="5"/>
    <x v="1"/>
    <n v="8.99"/>
    <n v="1"/>
    <n v="8.99"/>
    <x v="4"/>
    <n v="5"/>
    <n v="0.14000000000000001"/>
    <s v="Action"/>
  </r>
  <r>
    <s v="2723dca3-d1e9-4198-829f-f9ed1fb396b4"/>
    <n v="18"/>
    <s v="Male"/>
    <s v="Premium"/>
    <n v="28.08"/>
    <x v="40"/>
    <x v="3"/>
    <x v="2"/>
    <n v="17.989999999999998"/>
    <n v="0"/>
    <n v="0"/>
    <x v="0"/>
    <n v="2"/>
    <n v="2.34"/>
    <s v="Romance"/>
  </r>
  <r>
    <s v="7984e2c6-c353-4a41-b094-e1dafb4edf8b"/>
    <n v="62"/>
    <s v="Female"/>
    <s v="Basic"/>
    <n v="16.100000000000001"/>
    <x v="50"/>
    <x v="0"/>
    <x v="0"/>
    <n v="8.99"/>
    <n v="1"/>
    <n v="8.99"/>
    <x v="3"/>
    <n v="2"/>
    <n v="0.28999999999999998"/>
    <s v="Documentary"/>
  </r>
  <r>
    <s v="07dbcfe6-abc1-4d18-8461-eb3989c5462b"/>
    <n v="57"/>
    <s v="Female"/>
    <s v="Standard"/>
    <n v="15.02"/>
    <x v="59"/>
    <x v="4"/>
    <x v="4"/>
    <n v="13.99"/>
    <n v="0"/>
    <n v="0"/>
    <x v="4"/>
    <n v="2"/>
    <n v="2.5"/>
    <s v="Drama"/>
  </r>
  <r>
    <s v="132aaf5f-1300-43ed-bae5-4887a7e7e6aa"/>
    <n v="54"/>
    <s v="Male"/>
    <s v="Basic"/>
    <n v="22.85"/>
    <x v="2"/>
    <x v="4"/>
    <x v="3"/>
    <n v="8.99"/>
    <n v="0"/>
    <n v="0"/>
    <x v="1"/>
    <n v="5"/>
    <n v="2.08"/>
    <s v="Drama"/>
  </r>
  <r>
    <s v="08b55574-a0b5-45c8-abea-e84eb7b32975"/>
    <n v="38"/>
    <s v="Other"/>
    <s v="Basic"/>
    <n v="6.49"/>
    <x v="8"/>
    <x v="5"/>
    <x v="0"/>
    <n v="8.99"/>
    <n v="1"/>
    <n v="8.99"/>
    <x v="2"/>
    <n v="2"/>
    <n v="0.19"/>
    <s v="Horror"/>
  </r>
  <r>
    <s v="09f04fe7-9954-4df3-9431-cd35713dbc1a"/>
    <n v="68"/>
    <s v="Male"/>
    <s v="Basic"/>
    <n v="19.16"/>
    <x v="37"/>
    <x v="5"/>
    <x v="0"/>
    <n v="8.99"/>
    <n v="0"/>
    <n v="0"/>
    <x v="2"/>
    <n v="4"/>
    <n v="0.77"/>
    <s v="Comedy"/>
  </r>
  <r>
    <s v="f078167b-f855-4987-bfda-6527e54e8d44"/>
    <n v="36"/>
    <s v="Female"/>
    <s v="Premium"/>
    <n v="14.18"/>
    <x v="21"/>
    <x v="3"/>
    <x v="4"/>
    <n v="17.989999999999998"/>
    <n v="0"/>
    <n v="0"/>
    <x v="0"/>
    <n v="2"/>
    <n v="2.0299999999999998"/>
    <s v="Sci-Fi"/>
  </r>
  <r>
    <s v="cabf84bd-b268-4013-af9d-cbe9ffc044af"/>
    <n v="38"/>
    <s v="Male"/>
    <s v="Basic"/>
    <n v="8.32"/>
    <x v="39"/>
    <x v="2"/>
    <x v="2"/>
    <n v="8.99"/>
    <n v="1"/>
    <n v="8.99"/>
    <x v="2"/>
    <n v="1"/>
    <n v="0.36"/>
    <s v="Documentary"/>
  </r>
  <r>
    <s v="da313250-0337-4225-a411-b5b75ca190d9"/>
    <n v="40"/>
    <s v="Other"/>
    <s v="Premium"/>
    <n v="9.64"/>
    <x v="8"/>
    <x v="5"/>
    <x v="4"/>
    <n v="17.989999999999998"/>
    <n v="1"/>
    <n v="17.989999999999998"/>
    <x v="4"/>
    <n v="1"/>
    <n v="0.28000000000000003"/>
    <s v="Action"/>
  </r>
  <r>
    <s v="a7cc0271-0b4c-4da5-869b-7b59ce57d0bd"/>
    <n v="54"/>
    <s v="Other"/>
    <s v="Standard"/>
    <n v="3.22"/>
    <x v="3"/>
    <x v="0"/>
    <x v="2"/>
    <n v="13.99"/>
    <n v="1"/>
    <n v="13.99"/>
    <x v="4"/>
    <n v="1"/>
    <n v="0.25"/>
    <s v="Drama"/>
  </r>
  <r>
    <s v="cd0e79d8-3857-4dfb-b7f9-8d7106aa1fce"/>
    <n v="59"/>
    <s v="Male"/>
    <s v="Basic"/>
    <n v="14.96"/>
    <x v="60"/>
    <x v="2"/>
    <x v="2"/>
    <n v="8.99"/>
    <n v="0"/>
    <n v="0"/>
    <x v="4"/>
    <n v="2"/>
    <n v="1.66"/>
    <s v="Romance"/>
  </r>
  <r>
    <s v="954dcb74-100f-4ceb-8eed-376103cf5436"/>
    <n v="46"/>
    <s v="Other"/>
    <s v="Basic"/>
    <n v="6.99"/>
    <x v="8"/>
    <x v="2"/>
    <x v="2"/>
    <n v="8.99"/>
    <n v="1"/>
    <n v="8.99"/>
    <x v="1"/>
    <n v="2"/>
    <n v="0.2"/>
    <s v="Horror"/>
  </r>
  <r>
    <s v="a4c72480-839c-4b10-9139-e602b10215b8"/>
    <n v="65"/>
    <s v="Male"/>
    <s v="Premium"/>
    <n v="13.83"/>
    <x v="49"/>
    <x v="4"/>
    <x v="4"/>
    <n v="17.989999999999998"/>
    <n v="0"/>
    <n v="0"/>
    <x v="4"/>
    <n v="3"/>
    <n v="1.38"/>
    <s v="Documentary"/>
  </r>
  <r>
    <s v="06768e6d-9118-44cd-852c-32cce8bfe898"/>
    <n v="35"/>
    <s v="Female"/>
    <s v="Standard"/>
    <n v="13.03"/>
    <x v="25"/>
    <x v="0"/>
    <x v="3"/>
    <n v="13.99"/>
    <n v="0"/>
    <n v="0"/>
    <x v="3"/>
    <n v="5"/>
    <n v="13.03"/>
    <s v="Sci-Fi"/>
  </r>
  <r>
    <s v="d0885607-812a-49f6-b5a4-dbc7a59549f4"/>
    <n v="22"/>
    <s v="Other"/>
    <s v="Standard"/>
    <n v="5.32"/>
    <x v="27"/>
    <x v="2"/>
    <x v="2"/>
    <n v="13.99"/>
    <n v="0"/>
    <n v="0"/>
    <x v="4"/>
    <n v="3"/>
    <n v="0.31"/>
    <s v="Comedy"/>
  </r>
  <r>
    <s v="4bc6206b-a4ee-4f43-a69f-13a03aa8adbe"/>
    <n v="53"/>
    <s v="Female"/>
    <s v="Basic"/>
    <n v="20.16"/>
    <x v="30"/>
    <x v="5"/>
    <x v="4"/>
    <n v="8.99"/>
    <n v="0"/>
    <n v="0"/>
    <x v="2"/>
    <n v="5"/>
    <n v="10.08"/>
    <s v="Documentary"/>
  </r>
  <r>
    <s v="6afbc377-c531-4b4b-ba2d-f616107bea3e"/>
    <n v="18"/>
    <s v="Other"/>
    <s v="Premium"/>
    <n v="25.3"/>
    <x v="48"/>
    <x v="5"/>
    <x v="0"/>
    <n v="17.989999999999998"/>
    <n v="0"/>
    <n v="0"/>
    <x v="1"/>
    <n v="3"/>
    <n v="0.49"/>
    <s v="Horror"/>
  </r>
  <r>
    <s v="e7069522-df6f-43e5-acd7-050d7c3f1fe3"/>
    <n v="22"/>
    <s v="Female"/>
    <s v="Basic"/>
    <n v="16.66"/>
    <x v="20"/>
    <x v="4"/>
    <x v="1"/>
    <n v="8.99"/>
    <n v="0"/>
    <n v="0"/>
    <x v="3"/>
    <n v="1"/>
    <n v="0.88"/>
    <s v="Comedy"/>
  </r>
  <r>
    <s v="9d8871fd-6726-4bdd-b846-4a19c7d197bc"/>
    <n v="18"/>
    <s v="Male"/>
    <s v="Standard"/>
    <n v="1.68"/>
    <x v="1"/>
    <x v="4"/>
    <x v="2"/>
    <n v="13.99"/>
    <n v="1"/>
    <n v="13.99"/>
    <x v="1"/>
    <n v="4"/>
    <n v="0.08"/>
    <s v="Sci-Fi"/>
  </r>
  <r>
    <s v="fd485b3c-f7bd-4eb2-a742-1d2431bcbb2a"/>
    <n v="53"/>
    <s v="Other"/>
    <s v="Basic"/>
    <n v="8.33"/>
    <x v="17"/>
    <x v="2"/>
    <x v="4"/>
    <n v="8.99"/>
    <n v="0"/>
    <n v="0"/>
    <x v="1"/>
    <n v="2"/>
    <n v="1.67"/>
    <s v="Romance"/>
  </r>
  <r>
    <s v="efb1d2d1-e437-4a9d-a0e4-6b1da652541e"/>
    <n v="47"/>
    <s v="Female"/>
    <s v="Premium"/>
    <n v="3.51"/>
    <x v="34"/>
    <x v="3"/>
    <x v="1"/>
    <n v="17.989999999999998"/>
    <n v="1"/>
    <n v="17.989999999999998"/>
    <x v="1"/>
    <n v="1"/>
    <n v="7.0000000000000007E-2"/>
    <s v="Romance"/>
  </r>
  <r>
    <s v="d553a8df-d604-4a85-b7cc-c11980bd7ce2"/>
    <n v="69"/>
    <s v="Female"/>
    <s v="Basic"/>
    <n v="6.16"/>
    <x v="30"/>
    <x v="4"/>
    <x v="4"/>
    <n v="8.99"/>
    <n v="0"/>
    <n v="0"/>
    <x v="1"/>
    <n v="1"/>
    <n v="3.08"/>
    <s v="Horror"/>
  </r>
  <r>
    <s v="7f73a9ec-fb82-4eb0-bc55-bff60ca0afc4"/>
    <n v="42"/>
    <s v="Female"/>
    <s v="Standard"/>
    <n v="13.17"/>
    <x v="34"/>
    <x v="0"/>
    <x v="1"/>
    <n v="13.99"/>
    <n v="0"/>
    <n v="0"/>
    <x v="3"/>
    <n v="4"/>
    <n v="0.26"/>
    <s v="Documentary"/>
  </r>
  <r>
    <s v="cd3e92be-8dbb-4f0f-a7b7-80be21d85db8"/>
    <n v="41"/>
    <s v="Other"/>
    <s v="Premium"/>
    <n v="1.65"/>
    <x v="49"/>
    <x v="1"/>
    <x v="4"/>
    <n v="17.989999999999998"/>
    <n v="1"/>
    <n v="17.989999999999998"/>
    <x v="3"/>
    <n v="2"/>
    <n v="0.16"/>
    <s v="Comedy"/>
  </r>
  <r>
    <s v="7843f07d-f2c8-4ebc-8dc1-9a25d28b8d28"/>
    <n v="19"/>
    <s v="Male"/>
    <s v="Premium"/>
    <n v="0.17"/>
    <x v="49"/>
    <x v="4"/>
    <x v="3"/>
    <n v="17.989999999999998"/>
    <n v="0"/>
    <n v="0"/>
    <x v="2"/>
    <n v="4"/>
    <n v="0.02"/>
    <s v="Horror"/>
  </r>
  <r>
    <s v="8b92d68f-3baa-431c-b556-472d9638ce45"/>
    <n v="45"/>
    <s v="Other"/>
    <s v="Basic"/>
    <n v="11.74"/>
    <x v="51"/>
    <x v="3"/>
    <x v="4"/>
    <n v="8.99"/>
    <n v="0"/>
    <n v="0"/>
    <x v="2"/>
    <n v="4"/>
    <n v="0.65"/>
    <s v="Documentary"/>
  </r>
  <r>
    <s v="6c580d81-de0f-4db3-b8dd-bd1ab10919e4"/>
    <n v="41"/>
    <s v="Female"/>
    <s v="Premium"/>
    <n v="13.2"/>
    <x v="0"/>
    <x v="0"/>
    <x v="2"/>
    <n v="17.989999999999998"/>
    <n v="0"/>
    <n v="0"/>
    <x v="1"/>
    <n v="3"/>
    <n v="0.44"/>
    <s v="Horror"/>
  </r>
  <r>
    <s v="3997f8f9-ed0e-4bda-94b0-6f06372c9506"/>
    <n v="25"/>
    <s v="Female"/>
    <s v="Premium"/>
    <n v="36.4"/>
    <x v="54"/>
    <x v="1"/>
    <x v="1"/>
    <n v="17.989999999999998"/>
    <n v="0"/>
    <n v="0"/>
    <x v="1"/>
    <n v="5"/>
    <n v="1.26"/>
    <s v="Drama"/>
  </r>
  <r>
    <s v="8f556804-a1d0-41b1-930d-96be4a33e606"/>
    <n v="23"/>
    <s v="Female"/>
    <s v="Standard"/>
    <n v="51.87"/>
    <x v="33"/>
    <x v="2"/>
    <x v="3"/>
    <n v="13.99"/>
    <n v="0"/>
    <n v="0"/>
    <x v="1"/>
    <n v="2"/>
    <n v="1.99"/>
    <s v="Action"/>
  </r>
  <r>
    <s v="369b918f-c741-4cd7-8f5a-74eaebb3ba16"/>
    <n v="21"/>
    <s v="Female"/>
    <s v="Standard"/>
    <n v="14.17"/>
    <x v="57"/>
    <x v="5"/>
    <x v="0"/>
    <n v="13.99"/>
    <n v="1"/>
    <n v="13.99"/>
    <x v="0"/>
    <n v="5"/>
    <n v="0.23"/>
    <s v="Documentary"/>
  </r>
  <r>
    <s v="ebd6f9c6-f04e-402a-b3b5-e35e3d1752ca"/>
    <n v="29"/>
    <s v="Female"/>
    <s v="Basic"/>
    <n v="0.39"/>
    <x v="29"/>
    <x v="0"/>
    <x v="0"/>
    <n v="8.99"/>
    <n v="1"/>
    <n v="8.99"/>
    <x v="2"/>
    <n v="5"/>
    <n v="0.01"/>
    <s v="Comedy"/>
  </r>
  <r>
    <s v="d26a52b3-d9f5-4b5d-8aca-afa2484875ee"/>
    <n v="34"/>
    <s v="Female"/>
    <s v="Standard"/>
    <n v="5.67"/>
    <x v="6"/>
    <x v="4"/>
    <x v="1"/>
    <n v="13.99"/>
    <n v="0"/>
    <n v="0"/>
    <x v="1"/>
    <n v="4"/>
    <n v="0.27"/>
    <s v="Sci-Fi"/>
  </r>
  <r>
    <s v="6a3430a2-4a88-41a8-beaf-fccdd1d45517"/>
    <n v="36"/>
    <s v="Other"/>
    <s v="Standard"/>
    <n v="14.25"/>
    <x v="39"/>
    <x v="3"/>
    <x v="1"/>
    <n v="13.99"/>
    <n v="0"/>
    <n v="0"/>
    <x v="3"/>
    <n v="5"/>
    <n v="0.62"/>
    <s v="Horror"/>
  </r>
  <r>
    <s v="03572a83-a989-4602-bb89-d6ed424bb61a"/>
    <n v="35"/>
    <s v="Other"/>
    <s v="Premium"/>
    <n v="28.04"/>
    <x v="55"/>
    <x v="3"/>
    <x v="1"/>
    <n v="17.989999999999998"/>
    <n v="0"/>
    <n v="0"/>
    <x v="1"/>
    <n v="2"/>
    <n v="0.47"/>
    <s v="Horror"/>
  </r>
  <r>
    <s v="a0338b15-ee5a-46b7-9ff5-6efb2eb8f5ab"/>
    <n v="31"/>
    <s v="Male"/>
    <s v="Standard"/>
    <n v="6.11"/>
    <x v="51"/>
    <x v="1"/>
    <x v="1"/>
    <n v="13.99"/>
    <n v="0"/>
    <n v="0"/>
    <x v="4"/>
    <n v="5"/>
    <n v="0.34"/>
    <s v="Sci-Fi"/>
  </r>
  <r>
    <s v="30d8cd44-a1a8-4ab7-87f1-99111c75cb6f"/>
    <n v="57"/>
    <s v="Male"/>
    <s v="Premium"/>
    <n v="6.13"/>
    <x v="47"/>
    <x v="2"/>
    <x v="3"/>
    <n v="17.989999999999998"/>
    <n v="0"/>
    <n v="0"/>
    <x v="3"/>
    <n v="3"/>
    <n v="1.53"/>
    <s v="Sci-Fi"/>
  </r>
  <r>
    <s v="4efe87f8-2bf7-48e1-85cf-5c1457df9d9d"/>
    <n v="46"/>
    <s v="Other"/>
    <s v="Basic"/>
    <n v="3.39"/>
    <x v="59"/>
    <x v="5"/>
    <x v="4"/>
    <n v="8.99"/>
    <n v="0"/>
    <n v="0"/>
    <x v="2"/>
    <n v="4"/>
    <n v="0.56999999999999995"/>
    <s v="Horror"/>
  </r>
  <r>
    <s v="0fc80a72-2d05-4c3c-8136-f544df2093c3"/>
    <n v="26"/>
    <s v="Female"/>
    <s v="Standard"/>
    <n v="5.67"/>
    <x v="9"/>
    <x v="4"/>
    <x v="0"/>
    <n v="13.99"/>
    <n v="0"/>
    <n v="0"/>
    <x v="3"/>
    <n v="5"/>
    <n v="0.15"/>
    <s v="Sci-Fi"/>
  </r>
  <r>
    <s v="5bde9c98-533b-4ba8-8d0d-aed2782d2684"/>
    <n v="30"/>
    <s v="Other"/>
    <s v="Basic"/>
    <n v="0.28000000000000003"/>
    <x v="7"/>
    <x v="0"/>
    <x v="1"/>
    <n v="8.99"/>
    <n v="1"/>
    <n v="8.99"/>
    <x v="3"/>
    <n v="2"/>
    <n v="0"/>
    <s v="Horror"/>
  </r>
  <r>
    <s v="074974ed-7713-4edf-abcc-5e200bc8537d"/>
    <n v="57"/>
    <s v="Female"/>
    <s v="Premium"/>
    <n v="6.49"/>
    <x v="11"/>
    <x v="3"/>
    <x v="2"/>
    <n v="17.989999999999998"/>
    <n v="0"/>
    <n v="0"/>
    <x v="0"/>
    <n v="1"/>
    <n v="0.27"/>
    <s v="Romance"/>
  </r>
  <r>
    <s v="5bb7086d-a632-48c5-9b57-a2ff4dc934f8"/>
    <n v="24"/>
    <s v="Male"/>
    <s v="Basic"/>
    <n v="3.55"/>
    <x v="55"/>
    <x v="2"/>
    <x v="2"/>
    <n v="8.99"/>
    <n v="1"/>
    <n v="8.99"/>
    <x v="3"/>
    <n v="3"/>
    <n v="0.06"/>
    <s v="Drama"/>
  </r>
  <r>
    <s v="b48455fa-fbdf-4a42-aa4e-cbf8da5d9ee1"/>
    <n v="20"/>
    <s v="Female"/>
    <s v="Basic"/>
    <n v="14.05"/>
    <x v="13"/>
    <x v="0"/>
    <x v="1"/>
    <n v="8.99"/>
    <n v="0"/>
    <n v="0"/>
    <x v="4"/>
    <n v="3"/>
    <n v="1.76"/>
    <s v="Action"/>
  </r>
  <r>
    <s v="fcd98704-3381-4da8-a9d0-85206456ca0b"/>
    <n v="22"/>
    <s v="Female"/>
    <s v="Premium"/>
    <n v="1.03"/>
    <x v="35"/>
    <x v="0"/>
    <x v="0"/>
    <n v="17.989999999999998"/>
    <n v="1"/>
    <n v="17.989999999999998"/>
    <x v="2"/>
    <n v="2"/>
    <n v="0.02"/>
    <s v="Drama"/>
  </r>
  <r>
    <s v="03473cbb-116f-4f83-86c0-50d5889eff11"/>
    <n v="62"/>
    <s v="Female"/>
    <s v="Basic"/>
    <n v="3.62"/>
    <x v="8"/>
    <x v="0"/>
    <x v="1"/>
    <n v="8.99"/>
    <n v="1"/>
    <n v="8.99"/>
    <x v="3"/>
    <n v="3"/>
    <n v="0.1"/>
    <s v="Drama"/>
  </r>
  <r>
    <s v="1cec8e1a-078f-4340-ba27-a583a615df39"/>
    <n v="56"/>
    <s v="Female"/>
    <s v="Basic"/>
    <n v="2.54"/>
    <x v="36"/>
    <x v="5"/>
    <x v="3"/>
    <n v="8.99"/>
    <n v="1"/>
    <n v="8.99"/>
    <x v="3"/>
    <n v="5"/>
    <n v="0.06"/>
    <s v="Sci-Fi"/>
  </r>
  <r>
    <s v="9a1b7476-d0e7-436f-ae1b-959aafbad559"/>
    <n v="22"/>
    <s v="Other"/>
    <s v="Basic"/>
    <n v="2.59"/>
    <x v="46"/>
    <x v="0"/>
    <x v="0"/>
    <n v="8.99"/>
    <n v="1"/>
    <n v="8.99"/>
    <x v="0"/>
    <n v="1"/>
    <n v="0.86"/>
    <s v="Documentary"/>
  </r>
  <r>
    <s v="e8ba80fd-2a67-4540-bd98-b356fd9e2dd2"/>
    <n v="43"/>
    <s v="Other"/>
    <s v="Basic"/>
    <n v="8.0500000000000007"/>
    <x v="4"/>
    <x v="5"/>
    <x v="3"/>
    <n v="8.99"/>
    <n v="0"/>
    <n v="0"/>
    <x v="3"/>
    <n v="5"/>
    <n v="0.57999999999999996"/>
    <s v="Horror"/>
  </r>
  <r>
    <s v="d5959062-3681-408a-a01a-53c7403a89be"/>
    <n v="46"/>
    <s v="Other"/>
    <s v="Standard"/>
    <n v="16.95"/>
    <x v="14"/>
    <x v="3"/>
    <x v="2"/>
    <n v="13.99"/>
    <n v="0"/>
    <n v="0"/>
    <x v="2"/>
    <n v="2"/>
    <n v="0.51"/>
    <s v="Drama"/>
  </r>
  <r>
    <s v="33fa6e25-f271-47d9-8a29-de91bc1af0d5"/>
    <n v="38"/>
    <s v="Male"/>
    <s v="Standard"/>
    <n v="2.76"/>
    <x v="41"/>
    <x v="5"/>
    <x v="3"/>
    <n v="13.99"/>
    <n v="1"/>
    <n v="13.99"/>
    <x v="0"/>
    <n v="4"/>
    <n v="0.09"/>
    <s v="Drama"/>
  </r>
  <r>
    <s v="cdfc45e7-7f97-429e-bb8b-09a7c29b9bd0"/>
    <n v="36"/>
    <s v="Other"/>
    <s v="Premium"/>
    <n v="13.25"/>
    <x v="1"/>
    <x v="5"/>
    <x v="4"/>
    <n v="17.989999999999998"/>
    <n v="0"/>
    <n v="0"/>
    <x v="0"/>
    <n v="1"/>
    <n v="0.66"/>
    <s v="Romance"/>
  </r>
  <r>
    <s v="85a4f95c-60cc-4cb9-814d-d8f745f82325"/>
    <n v="41"/>
    <s v="Male"/>
    <s v="Standard"/>
    <n v="14.82"/>
    <x v="12"/>
    <x v="1"/>
    <x v="2"/>
    <n v="13.99"/>
    <n v="1"/>
    <n v="13.99"/>
    <x v="2"/>
    <n v="2"/>
    <n v="0.44"/>
    <s v="Romance"/>
  </r>
  <r>
    <s v="8388cf02-9398-4b74-b67b-56d7a074612e"/>
    <n v="39"/>
    <s v="Other"/>
    <s v="Basic"/>
    <n v="2.52"/>
    <x v="24"/>
    <x v="3"/>
    <x v="3"/>
    <n v="8.99"/>
    <n v="1"/>
    <n v="8.99"/>
    <x v="3"/>
    <n v="2"/>
    <n v="0.05"/>
    <s v="Romance"/>
  </r>
  <r>
    <s v="ab956cd0-1819-451c-b8c1-d22b4b6796b2"/>
    <n v="31"/>
    <s v="Male"/>
    <s v="Basic"/>
    <n v="9.7100000000000009"/>
    <x v="27"/>
    <x v="5"/>
    <x v="0"/>
    <n v="8.99"/>
    <n v="0"/>
    <n v="0"/>
    <x v="1"/>
    <n v="3"/>
    <n v="0.56999999999999995"/>
    <s v="Sci-Fi"/>
  </r>
  <r>
    <s v="5d77fa6c-4508-4088-9722-5a2902285a19"/>
    <n v="29"/>
    <s v="Female"/>
    <s v="Premium"/>
    <n v="5.29"/>
    <x v="60"/>
    <x v="3"/>
    <x v="4"/>
    <n v="17.989999999999998"/>
    <n v="0"/>
    <n v="0"/>
    <x v="2"/>
    <n v="3"/>
    <n v="0.59"/>
    <s v="Horror"/>
  </r>
  <r>
    <s v="2312ef5d-8274-4e8c-90e6-0f5c3eadd031"/>
    <n v="33"/>
    <s v="Female"/>
    <s v="Basic"/>
    <n v="9.81"/>
    <x v="36"/>
    <x v="5"/>
    <x v="4"/>
    <n v="8.99"/>
    <n v="1"/>
    <n v="8.99"/>
    <x v="0"/>
    <n v="3"/>
    <n v="0.25"/>
    <s v="Sci-Fi"/>
  </r>
  <r>
    <s v="5a7ab9d8-b064-4994-8477-3a606aad924c"/>
    <n v="30"/>
    <s v="Other"/>
    <s v="Standard"/>
    <n v="5.21"/>
    <x v="40"/>
    <x v="3"/>
    <x v="4"/>
    <n v="13.99"/>
    <n v="0"/>
    <n v="0"/>
    <x v="3"/>
    <n v="3"/>
    <n v="0.43"/>
    <s v="Romance"/>
  </r>
  <r>
    <s v="3c779e4e-ccc4-4d72-b98e-a1757ac6797f"/>
    <n v="51"/>
    <s v="Other"/>
    <s v="Basic"/>
    <n v="6.7"/>
    <x v="56"/>
    <x v="3"/>
    <x v="4"/>
    <n v="8.99"/>
    <n v="1"/>
    <n v="8.99"/>
    <x v="0"/>
    <n v="4"/>
    <n v="0.11"/>
    <s v="Horror"/>
  </r>
  <r>
    <s v="eca1d876-576b-4434-b47b-1bebd8f426d2"/>
    <n v="40"/>
    <s v="Female"/>
    <s v="Standard"/>
    <n v="7.88"/>
    <x v="49"/>
    <x v="3"/>
    <x v="1"/>
    <n v="13.99"/>
    <n v="0"/>
    <n v="0"/>
    <x v="1"/>
    <n v="2"/>
    <n v="0.79"/>
    <s v="Sci-Fi"/>
  </r>
  <r>
    <s v="cb4b90e7-5dcc-4e06-92b4-2aeb4db98cdf"/>
    <n v="36"/>
    <s v="Other"/>
    <s v="Premium"/>
    <n v="41.02"/>
    <x v="58"/>
    <x v="1"/>
    <x v="0"/>
    <n v="17.989999999999998"/>
    <n v="0"/>
    <n v="0"/>
    <x v="2"/>
    <n v="3"/>
    <n v="0.85"/>
    <s v="Drama"/>
  </r>
  <r>
    <s v="08a14bb8-ab48-4170-bccf-ef04ab15c43a"/>
    <n v="65"/>
    <s v="Male"/>
    <s v="Basic"/>
    <n v="46.29"/>
    <x v="36"/>
    <x v="5"/>
    <x v="4"/>
    <n v="8.99"/>
    <n v="0"/>
    <n v="0"/>
    <x v="3"/>
    <n v="5"/>
    <n v="1.1599999999999999"/>
    <s v="Drama"/>
  </r>
  <r>
    <s v="05eaae1b-e321-499c-be9b-b6599ad1a880"/>
    <n v="58"/>
    <s v="Female"/>
    <s v="Premium"/>
    <n v="59.99"/>
    <x v="40"/>
    <x v="5"/>
    <x v="3"/>
    <n v="17.989999999999998"/>
    <n v="0"/>
    <n v="0"/>
    <x v="4"/>
    <n v="2"/>
    <n v="5"/>
    <s v="Comedy"/>
  </r>
  <r>
    <s v="1a594ae9-af38-4c31-a00b-a1cf439139bc"/>
    <n v="43"/>
    <s v="Male"/>
    <s v="Basic"/>
    <n v="1.18"/>
    <x v="43"/>
    <x v="2"/>
    <x v="3"/>
    <n v="8.99"/>
    <n v="1"/>
    <n v="8.99"/>
    <x v="2"/>
    <n v="1"/>
    <n v="0.04"/>
    <s v="Action"/>
  </r>
  <r>
    <s v="ead812db-d371-4bc2-abb4-ca8c8471ca77"/>
    <n v="70"/>
    <s v="Other"/>
    <s v="Basic"/>
    <n v="8.26"/>
    <x v="46"/>
    <x v="2"/>
    <x v="0"/>
    <n v="8.99"/>
    <n v="0"/>
    <n v="0"/>
    <x v="2"/>
    <n v="4"/>
    <n v="2.75"/>
    <s v="Comedy"/>
  </r>
  <r>
    <s v="a3dfcf7d-3765-40d2-8a11-2111df14899b"/>
    <n v="49"/>
    <s v="Male"/>
    <s v="Standard"/>
    <n v="20.37"/>
    <x v="41"/>
    <x v="1"/>
    <x v="1"/>
    <n v="13.99"/>
    <n v="0"/>
    <n v="0"/>
    <x v="1"/>
    <n v="1"/>
    <n v="0.66"/>
    <s v="Drama"/>
  </r>
  <r>
    <s v="46bdbd12-f628-49d0-850d-40ed37757cdc"/>
    <n v="30"/>
    <s v="Other"/>
    <s v="Standard"/>
    <n v="3.36"/>
    <x v="46"/>
    <x v="3"/>
    <x v="2"/>
    <n v="13.99"/>
    <n v="0"/>
    <n v="0"/>
    <x v="1"/>
    <n v="2"/>
    <n v="1.1200000000000001"/>
    <s v="Sci-Fi"/>
  </r>
  <r>
    <s v="7dca795d-ec1e-44b2-a87c-daa04461915a"/>
    <n v="43"/>
    <s v="Male"/>
    <s v="Basic"/>
    <n v="17.66"/>
    <x v="13"/>
    <x v="2"/>
    <x v="2"/>
    <n v="8.99"/>
    <n v="0"/>
    <n v="0"/>
    <x v="1"/>
    <n v="1"/>
    <n v="2.21"/>
    <s v="Horror"/>
  </r>
  <r>
    <s v="ea9dd8be-c392-42e1-8ccc-ace56b211966"/>
    <n v="47"/>
    <s v="Male"/>
    <s v="Basic"/>
    <n v="0.83"/>
    <x v="53"/>
    <x v="5"/>
    <x v="0"/>
    <n v="8.99"/>
    <n v="1"/>
    <n v="8.99"/>
    <x v="4"/>
    <n v="2"/>
    <n v="0.02"/>
    <s v="Horror"/>
  </r>
  <r>
    <s v="6d7cc8e5-2cc5-46a0-84c8-43c7f87daf9a"/>
    <n v="47"/>
    <s v="Male"/>
    <s v="Premium"/>
    <n v="25.17"/>
    <x v="30"/>
    <x v="0"/>
    <x v="3"/>
    <n v="17.989999999999998"/>
    <n v="0"/>
    <n v="0"/>
    <x v="1"/>
    <n v="5"/>
    <n v="12.59"/>
    <s v="Sci-Fi"/>
  </r>
  <r>
    <s v="1b88d370-7853-4579-99af-dc942e3f248f"/>
    <n v="51"/>
    <s v="Female"/>
    <s v="Standard"/>
    <n v="6.79"/>
    <x v="47"/>
    <x v="2"/>
    <x v="4"/>
    <n v="13.99"/>
    <n v="0"/>
    <n v="0"/>
    <x v="0"/>
    <n v="4"/>
    <n v="1.7"/>
    <s v="Action"/>
  </r>
  <r>
    <s v="b8c06b97-66a7-492f-9ee4-a115b51e9dcf"/>
    <n v="38"/>
    <s v="Male"/>
    <s v="Premium"/>
    <n v="11.56"/>
    <x v="10"/>
    <x v="5"/>
    <x v="1"/>
    <n v="17.989999999999998"/>
    <n v="1"/>
    <n v="17.989999999999998"/>
    <x v="0"/>
    <n v="4"/>
    <n v="0.3"/>
    <s v="Romance"/>
  </r>
  <r>
    <s v="ee89f93f-b2ff-459e-93a2-ea8bfa7992f6"/>
    <n v="48"/>
    <s v="Other"/>
    <s v="Basic"/>
    <n v="60.85"/>
    <x v="2"/>
    <x v="0"/>
    <x v="3"/>
    <n v="8.99"/>
    <n v="0"/>
    <n v="0"/>
    <x v="2"/>
    <n v="5"/>
    <n v="5.53"/>
    <s v="Horror"/>
  </r>
  <r>
    <s v="4473c5da-f69b-4fd8-9a33-1838c1e09fc6"/>
    <n v="28"/>
    <s v="Male"/>
    <s v="Standard"/>
    <n v="5.29"/>
    <x v="20"/>
    <x v="1"/>
    <x v="3"/>
    <n v="13.99"/>
    <n v="0"/>
    <n v="0"/>
    <x v="2"/>
    <n v="1"/>
    <n v="0.28000000000000003"/>
    <s v="Horror"/>
  </r>
  <r>
    <s v="6b31ebd3-0df5-4c2f-a137-a81d2c18e90a"/>
    <n v="32"/>
    <s v="Female"/>
    <s v="Standard"/>
    <n v="1.7"/>
    <x v="29"/>
    <x v="0"/>
    <x v="1"/>
    <n v="13.99"/>
    <n v="1"/>
    <n v="13.99"/>
    <x v="0"/>
    <n v="5"/>
    <n v="0.04"/>
    <s v="Comedy"/>
  </r>
  <r>
    <s v="cadbece8-fd1a-4fcf-a4f5-3dd2e6bdd969"/>
    <n v="57"/>
    <s v="Other"/>
    <s v="Premium"/>
    <n v="27.17"/>
    <x v="45"/>
    <x v="4"/>
    <x v="0"/>
    <n v="17.989999999999998"/>
    <n v="0"/>
    <n v="0"/>
    <x v="3"/>
    <n v="4"/>
    <n v="0.65"/>
    <s v="Sci-Fi"/>
  </r>
  <r>
    <s v="33a69d90-e90a-45af-a9ce-eda2a1ab0d7c"/>
    <n v="44"/>
    <s v="Male"/>
    <s v="Standard"/>
    <n v="8.0299999999999994"/>
    <x v="18"/>
    <x v="4"/>
    <x v="0"/>
    <n v="13.99"/>
    <n v="1"/>
    <n v="13.99"/>
    <x v="1"/>
    <n v="5"/>
    <n v="0.14000000000000001"/>
    <s v="Horror"/>
  </r>
  <r>
    <s v="a59ad549-bbaa-4fee-9eb0-10d7e64b5e3b"/>
    <n v="18"/>
    <s v="Other"/>
    <s v="Standard"/>
    <n v="5.41"/>
    <x v="6"/>
    <x v="0"/>
    <x v="4"/>
    <n v="13.99"/>
    <n v="0"/>
    <n v="0"/>
    <x v="1"/>
    <n v="3"/>
    <n v="0.26"/>
    <s v="Action"/>
  </r>
  <r>
    <s v="837a5bb7-7d0f-4315-8528-d5a30bf12108"/>
    <n v="18"/>
    <s v="Male"/>
    <s v="Basic"/>
    <n v="10.17"/>
    <x v="44"/>
    <x v="1"/>
    <x v="1"/>
    <n v="8.99"/>
    <n v="1"/>
    <n v="8.99"/>
    <x v="2"/>
    <n v="1"/>
    <n v="0.22"/>
    <s v="Drama"/>
  </r>
  <r>
    <s v="396f6900-f042-44d8-be21-0b167b912ff9"/>
    <n v="21"/>
    <s v="Female"/>
    <s v="Standard"/>
    <n v="16.739999999999998"/>
    <x v="36"/>
    <x v="3"/>
    <x v="2"/>
    <n v="13.99"/>
    <n v="1"/>
    <n v="13.99"/>
    <x v="0"/>
    <n v="3"/>
    <n v="0.42"/>
    <s v="Action"/>
  </r>
  <r>
    <s v="c8fb5434-5cc6-4b80-85f4-3bcd5205a7a8"/>
    <n v="29"/>
    <s v="Female"/>
    <s v="Premium"/>
    <n v="1.38"/>
    <x v="17"/>
    <x v="1"/>
    <x v="2"/>
    <n v="17.989999999999998"/>
    <n v="1"/>
    <n v="17.989999999999998"/>
    <x v="0"/>
    <n v="3"/>
    <n v="0.28000000000000003"/>
    <s v="Sci-Fi"/>
  </r>
  <r>
    <s v="59512720-e88a-468c-adda-27695b946960"/>
    <n v="63"/>
    <s v="Female"/>
    <s v="Premium"/>
    <n v="21.06"/>
    <x v="51"/>
    <x v="0"/>
    <x v="3"/>
    <n v="17.989999999999998"/>
    <n v="0"/>
    <n v="0"/>
    <x v="1"/>
    <n v="1"/>
    <n v="1.17"/>
    <s v="Comedy"/>
  </r>
  <r>
    <s v="7b7aa94d-7978-405d-874b-593805447b56"/>
    <n v="64"/>
    <s v="Female"/>
    <s v="Basic"/>
    <n v="11.77"/>
    <x v="49"/>
    <x v="0"/>
    <x v="1"/>
    <n v="8.99"/>
    <n v="0"/>
    <n v="0"/>
    <x v="1"/>
    <n v="2"/>
    <n v="1.18"/>
    <s v="Action"/>
  </r>
  <r>
    <s v="8134248c-be39-48b8-ae98-f9e508dbb240"/>
    <n v="21"/>
    <s v="Female"/>
    <s v="Premium"/>
    <n v="20.56"/>
    <x v="25"/>
    <x v="0"/>
    <x v="2"/>
    <n v="17.989999999999998"/>
    <n v="0"/>
    <n v="0"/>
    <x v="1"/>
    <n v="5"/>
    <n v="20.56"/>
    <s v="Documentary"/>
  </r>
  <r>
    <s v="c86981de-a762-42d2-8576-c52e61cf46b6"/>
    <n v="50"/>
    <s v="Other"/>
    <s v="Basic"/>
    <n v="6.36"/>
    <x v="18"/>
    <x v="1"/>
    <x v="1"/>
    <n v="8.99"/>
    <n v="1"/>
    <n v="8.99"/>
    <x v="2"/>
    <n v="5"/>
    <n v="0.11"/>
    <s v="Documentary"/>
  </r>
  <r>
    <s v="435e0df1-9dc6-4dbc-8a22-d98d9287743f"/>
    <n v="23"/>
    <s v="Female"/>
    <s v="Standard"/>
    <n v="12.14"/>
    <x v="49"/>
    <x v="5"/>
    <x v="0"/>
    <n v="13.99"/>
    <n v="0"/>
    <n v="0"/>
    <x v="1"/>
    <n v="3"/>
    <n v="1.21"/>
    <s v="Romance"/>
  </r>
  <r>
    <s v="4e273869-ee28-46a6-b32d-41c1b291af1e"/>
    <n v="65"/>
    <s v="Female"/>
    <s v="Standard"/>
    <n v="15.97"/>
    <x v="46"/>
    <x v="0"/>
    <x v="0"/>
    <n v="13.99"/>
    <n v="0"/>
    <n v="0"/>
    <x v="1"/>
    <n v="1"/>
    <n v="5.32"/>
    <s v="Drama"/>
  </r>
  <r>
    <s v="c93b183b-6934-4630-b9b9-727cf3a44d9f"/>
    <n v="49"/>
    <s v="Male"/>
    <s v="Standard"/>
    <n v="3.75"/>
    <x v="25"/>
    <x v="5"/>
    <x v="4"/>
    <n v="13.99"/>
    <n v="0"/>
    <n v="0"/>
    <x v="4"/>
    <n v="4"/>
    <n v="3.75"/>
    <s v="Horror"/>
  </r>
  <r>
    <s v="984f7f4a-0e12-47d7-8f25-00433e9a81ab"/>
    <n v="29"/>
    <s v="Female"/>
    <s v="Standard"/>
    <n v="0.24"/>
    <x v="11"/>
    <x v="3"/>
    <x v="0"/>
    <n v="13.99"/>
    <n v="1"/>
    <n v="13.99"/>
    <x v="4"/>
    <n v="2"/>
    <n v="0.01"/>
    <s v="Documentary"/>
  </r>
  <r>
    <s v="2c7ccf0f-852f-4359-a5bf-1e15605d2411"/>
    <n v="55"/>
    <s v="Female"/>
    <s v="Basic"/>
    <n v="18.98"/>
    <x v="8"/>
    <x v="4"/>
    <x v="3"/>
    <n v="8.99"/>
    <n v="0"/>
    <n v="0"/>
    <x v="3"/>
    <n v="5"/>
    <n v="0.54"/>
    <s v="Documentary"/>
  </r>
  <r>
    <s v="e0203e9a-2724-4032-b679-6c33795c4d13"/>
    <n v="63"/>
    <s v="Male"/>
    <s v="Premium"/>
    <n v="2.96"/>
    <x v="33"/>
    <x v="5"/>
    <x v="3"/>
    <n v="17.989999999999998"/>
    <n v="0"/>
    <n v="0"/>
    <x v="2"/>
    <n v="4"/>
    <n v="0.11"/>
    <s v="Action"/>
  </r>
  <r>
    <s v="b2976ddf-b2bb-4870-8fcf-2377c119d2cd"/>
    <n v="66"/>
    <s v="Other"/>
    <s v="Premium"/>
    <n v="1.4"/>
    <x v="11"/>
    <x v="2"/>
    <x v="2"/>
    <n v="17.989999999999998"/>
    <n v="1"/>
    <n v="17.989999999999998"/>
    <x v="0"/>
    <n v="2"/>
    <n v="0.06"/>
    <s v="Documentary"/>
  </r>
  <r>
    <s v="4b4e57f2-0dce-4598-885f-71fa5662cf0e"/>
    <n v="24"/>
    <s v="Other"/>
    <s v="Basic"/>
    <n v="3.05"/>
    <x v="50"/>
    <x v="3"/>
    <x v="3"/>
    <n v="8.99"/>
    <n v="1"/>
    <n v="8.99"/>
    <x v="0"/>
    <n v="3"/>
    <n v="0.06"/>
    <s v="Drama"/>
  </r>
  <r>
    <s v="521d1f0d-3f5f-438f-8c6d-6c9aab0299af"/>
    <n v="22"/>
    <s v="Male"/>
    <s v="Basic"/>
    <n v="5.15"/>
    <x v="33"/>
    <x v="0"/>
    <x v="2"/>
    <n v="8.99"/>
    <n v="0"/>
    <n v="0"/>
    <x v="1"/>
    <n v="4"/>
    <n v="0.2"/>
    <s v="Documentary"/>
  </r>
  <r>
    <s v="c8a08658-20ab-4f89-a0e7-3f614340eb78"/>
    <n v="34"/>
    <s v="Male"/>
    <s v="Premium"/>
    <n v="26.14"/>
    <x v="31"/>
    <x v="3"/>
    <x v="1"/>
    <n v="17.989999999999998"/>
    <n v="0"/>
    <n v="0"/>
    <x v="2"/>
    <n v="3"/>
    <n v="1.63"/>
    <s v="Romance"/>
  </r>
  <r>
    <s v="b010be93-76b2-4b4d-bdbc-a420fc96aeaf"/>
    <n v="64"/>
    <s v="Other"/>
    <s v="Premium"/>
    <n v="8.4600000000000009"/>
    <x v="6"/>
    <x v="2"/>
    <x v="2"/>
    <n v="17.989999999999998"/>
    <n v="0"/>
    <n v="0"/>
    <x v="2"/>
    <n v="4"/>
    <n v="0.4"/>
    <s v="Romance"/>
  </r>
  <r>
    <s v="7e4e462c-f211-4671-b964-ee732464853e"/>
    <n v="67"/>
    <s v="Female"/>
    <s v="Basic"/>
    <n v="3.68"/>
    <x v="8"/>
    <x v="5"/>
    <x v="4"/>
    <n v="8.99"/>
    <n v="1"/>
    <n v="8.99"/>
    <x v="3"/>
    <n v="1"/>
    <n v="0.11"/>
    <s v="Sci-Fi"/>
  </r>
  <r>
    <s v="35cdcfe1-c48a-43b6-8533-8f70aa35c713"/>
    <n v="38"/>
    <s v="Male"/>
    <s v="Standard"/>
    <n v="6.77"/>
    <x v="52"/>
    <x v="1"/>
    <x v="1"/>
    <n v="13.99"/>
    <n v="1"/>
    <n v="13.99"/>
    <x v="0"/>
    <n v="3"/>
    <n v="0.14000000000000001"/>
    <s v="Romance"/>
  </r>
  <r>
    <s v="1df5b1e8-8112-471d-80aa-74af1982324f"/>
    <n v="57"/>
    <s v="Female"/>
    <s v="Basic"/>
    <n v="1.24"/>
    <x v="24"/>
    <x v="1"/>
    <x v="3"/>
    <n v="8.99"/>
    <n v="1"/>
    <n v="8.99"/>
    <x v="4"/>
    <n v="4"/>
    <n v="0.02"/>
    <s v="Sci-Fi"/>
  </r>
  <r>
    <s v="eb295874-e3cf-4c03-8fcc-0d20f7002487"/>
    <n v="31"/>
    <s v="Male"/>
    <s v="Basic"/>
    <n v="1.04"/>
    <x v="44"/>
    <x v="4"/>
    <x v="0"/>
    <n v="8.99"/>
    <n v="1"/>
    <n v="8.99"/>
    <x v="3"/>
    <n v="1"/>
    <n v="0.02"/>
    <s v="Romance"/>
  </r>
  <r>
    <s v="b46fb518-339f-4c79-a429-f00e662c7085"/>
    <n v="43"/>
    <s v="Male"/>
    <s v="Basic"/>
    <n v="1.63"/>
    <x v="25"/>
    <x v="3"/>
    <x v="1"/>
    <n v="8.99"/>
    <n v="0"/>
    <n v="0"/>
    <x v="4"/>
    <n v="3"/>
    <n v="1.63"/>
    <s v="Documentary"/>
  </r>
  <r>
    <s v="d6b8270f-7185-40df-9965-535dc995fafb"/>
    <n v="69"/>
    <s v="Other"/>
    <s v="Premium"/>
    <n v="3.66"/>
    <x v="23"/>
    <x v="3"/>
    <x v="0"/>
    <n v="17.989999999999998"/>
    <n v="1"/>
    <n v="17.989999999999998"/>
    <x v="1"/>
    <n v="4"/>
    <n v="7.0000000000000007E-2"/>
    <s v="Sci-Fi"/>
  </r>
  <r>
    <s v="5f8bdd64-2a4f-404d-9cdc-a1ada06cafe8"/>
    <n v="55"/>
    <s v="Male"/>
    <s v="Basic"/>
    <n v="9.2799999999999994"/>
    <x v="53"/>
    <x v="2"/>
    <x v="2"/>
    <n v="8.99"/>
    <n v="1"/>
    <n v="8.99"/>
    <x v="3"/>
    <n v="2"/>
    <n v="0.22"/>
    <s v="Horror"/>
  </r>
  <r>
    <s v="cb5d5d80-7f94-421c-a76a-fb560beeb1ba"/>
    <n v="43"/>
    <s v="Other"/>
    <s v="Standard"/>
    <n v="77.569999999999993"/>
    <x v="21"/>
    <x v="4"/>
    <x v="1"/>
    <n v="13.99"/>
    <n v="0"/>
    <n v="0"/>
    <x v="4"/>
    <n v="4"/>
    <n v="11.08"/>
    <s v="Comedy"/>
  </r>
  <r>
    <s v="1de5ede5-f00c-473f-9a4c-adb67defa9a2"/>
    <n v="46"/>
    <s v="Female"/>
    <s v="Premium"/>
    <n v="3.16"/>
    <x v="59"/>
    <x v="2"/>
    <x v="0"/>
    <n v="17.989999999999998"/>
    <n v="0"/>
    <n v="0"/>
    <x v="2"/>
    <n v="5"/>
    <n v="0.53"/>
    <s v="Action"/>
  </r>
  <r>
    <s v="31cd336c-f793-4bec-bc4c-039d941c2490"/>
    <n v="60"/>
    <s v="Female"/>
    <s v="Premium"/>
    <n v="9.31"/>
    <x v="46"/>
    <x v="1"/>
    <x v="3"/>
    <n v="17.989999999999998"/>
    <n v="0"/>
    <n v="0"/>
    <x v="3"/>
    <n v="5"/>
    <n v="3.1"/>
    <s v="Horror"/>
  </r>
  <r>
    <s v="29208590-743a-425b-9077-67234e055f13"/>
    <n v="32"/>
    <s v="Male"/>
    <s v="Premium"/>
    <n v="24.08"/>
    <x v="42"/>
    <x v="3"/>
    <x v="4"/>
    <n v="17.989999999999998"/>
    <n v="0"/>
    <n v="0"/>
    <x v="2"/>
    <n v="3"/>
    <n v="0.63"/>
    <s v="Action"/>
  </r>
  <r>
    <s v="3db1dae5-386e-4bcd-8696-37840c900ccf"/>
    <n v="42"/>
    <s v="Other"/>
    <s v="Basic"/>
    <n v="12.95"/>
    <x v="45"/>
    <x v="3"/>
    <x v="3"/>
    <n v="8.99"/>
    <n v="1"/>
    <n v="8.99"/>
    <x v="0"/>
    <n v="1"/>
    <n v="0.31"/>
    <s v="Comedy"/>
  </r>
  <r>
    <s v="7ba75cd9-df14-4e14-a22c-3ddc259ef325"/>
    <n v="32"/>
    <s v="Female"/>
    <s v="Standard"/>
    <n v="9.8000000000000007"/>
    <x v="59"/>
    <x v="5"/>
    <x v="4"/>
    <n v="13.99"/>
    <n v="0"/>
    <n v="0"/>
    <x v="4"/>
    <n v="3"/>
    <n v="1.63"/>
    <s v="Drama"/>
  </r>
  <r>
    <s v="8109f1c7-ba4f-46ec-b3c5-46243b944811"/>
    <n v="35"/>
    <s v="Male"/>
    <s v="Standard"/>
    <n v="23.05"/>
    <x v="32"/>
    <x v="0"/>
    <x v="2"/>
    <n v="13.99"/>
    <n v="0"/>
    <n v="0"/>
    <x v="2"/>
    <n v="4"/>
    <n v="1.54"/>
    <s v="Documentary"/>
  </r>
  <r>
    <s v="06465985-0b74-4942-bae3-5d65186df92b"/>
    <n v="60"/>
    <s v="Other"/>
    <s v="Basic"/>
    <n v="12.11"/>
    <x v="12"/>
    <x v="3"/>
    <x v="3"/>
    <n v="8.99"/>
    <n v="1"/>
    <n v="8.99"/>
    <x v="1"/>
    <n v="4"/>
    <n v="0.36"/>
    <s v="Comedy"/>
  </r>
  <r>
    <s v="ca45e25e-8bdd-4799-8c0c-2eccdcb6bbf2"/>
    <n v="68"/>
    <s v="Female"/>
    <s v="Standard"/>
    <n v="2.58"/>
    <x v="42"/>
    <x v="4"/>
    <x v="4"/>
    <n v="13.99"/>
    <n v="1"/>
    <n v="13.99"/>
    <x v="2"/>
    <n v="3"/>
    <n v="7.0000000000000007E-2"/>
    <s v="Sci-Fi"/>
  </r>
  <r>
    <s v="b2b6a0a2-6478-467c-b4f6-901fde495cec"/>
    <n v="43"/>
    <s v="Male"/>
    <s v="Standard"/>
    <n v="16.48"/>
    <x v="51"/>
    <x v="5"/>
    <x v="4"/>
    <n v="13.99"/>
    <n v="0"/>
    <n v="0"/>
    <x v="0"/>
    <n v="3"/>
    <n v="0.92"/>
    <s v="Comedy"/>
  </r>
  <r>
    <s v="9181fa02-7760-4f1e-a008-1a54d063fb9b"/>
    <n v="64"/>
    <s v="Male"/>
    <s v="Standard"/>
    <n v="10.46"/>
    <x v="48"/>
    <x v="4"/>
    <x v="2"/>
    <n v="13.99"/>
    <n v="1"/>
    <n v="13.99"/>
    <x v="4"/>
    <n v="2"/>
    <n v="0.2"/>
    <s v="Comedy"/>
  </r>
  <r>
    <s v="bb097e87-3e4e-40ad-b791-cd342f7ad67b"/>
    <n v="56"/>
    <s v="Female"/>
    <s v="Basic"/>
    <n v="2.15"/>
    <x v="3"/>
    <x v="4"/>
    <x v="2"/>
    <n v="8.99"/>
    <n v="1"/>
    <n v="8.99"/>
    <x v="3"/>
    <n v="5"/>
    <n v="0.17"/>
    <s v="Drama"/>
  </r>
  <r>
    <s v="1c813952-7e02-4264-a834-416e29ccb810"/>
    <n v="56"/>
    <s v="Other"/>
    <s v="Premium"/>
    <n v="19.25"/>
    <x v="54"/>
    <x v="5"/>
    <x v="2"/>
    <n v="17.989999999999998"/>
    <n v="0"/>
    <n v="0"/>
    <x v="4"/>
    <n v="5"/>
    <n v="0.66"/>
    <s v="Action"/>
  </r>
  <r>
    <s v="f4d7fadf-5c3b-41d9-b4fb-f6df2bfaaa2d"/>
    <n v="57"/>
    <s v="Other"/>
    <s v="Premium"/>
    <n v="8.6199999999999992"/>
    <x v="15"/>
    <x v="0"/>
    <x v="3"/>
    <n v="17.989999999999998"/>
    <n v="1"/>
    <n v="17.989999999999998"/>
    <x v="3"/>
    <n v="2"/>
    <n v="0.21"/>
    <s v="Romance"/>
  </r>
  <r>
    <s v="7b2aae74-2b75-4973-93ec-b657bff5a9a1"/>
    <n v="38"/>
    <s v="Other"/>
    <s v="Standard"/>
    <n v="10.23"/>
    <x v="20"/>
    <x v="0"/>
    <x v="0"/>
    <n v="13.99"/>
    <n v="0"/>
    <n v="0"/>
    <x v="3"/>
    <n v="5"/>
    <n v="0.54"/>
    <s v="Documentary"/>
  </r>
  <r>
    <s v="09263d5f-674e-482d-a8c0-324762193672"/>
    <n v="35"/>
    <s v="Other"/>
    <s v="Premium"/>
    <n v="21.23"/>
    <x v="49"/>
    <x v="2"/>
    <x v="0"/>
    <n v="17.989999999999998"/>
    <n v="0"/>
    <n v="0"/>
    <x v="3"/>
    <n v="5"/>
    <n v="2.12"/>
    <s v="Horror"/>
  </r>
  <r>
    <s v="3dd65018-61b5-4329-a9cc-bac8c15a6b25"/>
    <n v="35"/>
    <s v="Male"/>
    <s v="Basic"/>
    <n v="16.649999999999999"/>
    <x v="44"/>
    <x v="2"/>
    <x v="0"/>
    <n v="8.99"/>
    <n v="1"/>
    <n v="8.99"/>
    <x v="1"/>
    <n v="3"/>
    <n v="0.35"/>
    <s v="Romance"/>
  </r>
  <r>
    <s v="516e93d4-bbed-4673-9afd-e3e853754100"/>
    <n v="58"/>
    <s v="Other"/>
    <s v="Standard"/>
    <n v="6.62"/>
    <x v="33"/>
    <x v="0"/>
    <x v="0"/>
    <n v="13.99"/>
    <n v="0"/>
    <n v="0"/>
    <x v="2"/>
    <n v="2"/>
    <n v="0.25"/>
    <s v="Drama"/>
  </r>
  <r>
    <s v="42466881-a58b-4057-a0ea-615af204f9a6"/>
    <n v="38"/>
    <s v="Male"/>
    <s v="Basic"/>
    <n v="6.67"/>
    <x v="36"/>
    <x v="5"/>
    <x v="2"/>
    <n v="8.99"/>
    <n v="1"/>
    <n v="8.99"/>
    <x v="0"/>
    <n v="3"/>
    <n v="0.17"/>
    <s v="Drama"/>
  </r>
  <r>
    <s v="6dde2c86-7593-4d49-aee0-38ae33b01060"/>
    <n v="69"/>
    <s v="Male"/>
    <s v="Standard"/>
    <n v="4.8600000000000003"/>
    <x v="16"/>
    <x v="5"/>
    <x v="3"/>
    <n v="13.99"/>
    <n v="1"/>
    <n v="13.99"/>
    <x v="0"/>
    <n v="3"/>
    <n v="0.17"/>
    <s v="Horror"/>
  </r>
  <r>
    <s v="1a0feffc-117c-4e7c-a2cf-8c2c3548f658"/>
    <n v="47"/>
    <s v="Male"/>
    <s v="Basic"/>
    <n v="19.260000000000002"/>
    <x v="18"/>
    <x v="1"/>
    <x v="0"/>
    <n v="8.99"/>
    <n v="1"/>
    <n v="8.99"/>
    <x v="3"/>
    <n v="2"/>
    <n v="0.33"/>
    <s v="Action"/>
  </r>
  <r>
    <s v="a0acfed2-3ecb-4404-a39e-2fc473381219"/>
    <n v="49"/>
    <s v="Male"/>
    <s v="Premium"/>
    <n v="7.9"/>
    <x v="6"/>
    <x v="1"/>
    <x v="1"/>
    <n v="17.989999999999998"/>
    <n v="0"/>
    <n v="0"/>
    <x v="1"/>
    <n v="2"/>
    <n v="0.38"/>
    <s v="Horror"/>
  </r>
  <r>
    <s v="3cef2ed3-dfec-427e-ba70-5d08fa92a631"/>
    <n v="26"/>
    <s v="Female"/>
    <s v="Standard"/>
    <n v="8.8800000000000008"/>
    <x v="53"/>
    <x v="0"/>
    <x v="3"/>
    <n v="13.99"/>
    <n v="1"/>
    <n v="13.99"/>
    <x v="2"/>
    <n v="1"/>
    <n v="0.21"/>
    <s v="Documentary"/>
  </r>
  <r>
    <s v="25c3f6c6-d0d4-4135-b2e8-67e3d423fa2d"/>
    <n v="28"/>
    <s v="Female"/>
    <s v="Premium"/>
    <n v="25.32"/>
    <x v="21"/>
    <x v="4"/>
    <x v="2"/>
    <n v="17.989999999999998"/>
    <n v="0"/>
    <n v="0"/>
    <x v="0"/>
    <n v="1"/>
    <n v="3.62"/>
    <s v="Action"/>
  </r>
  <r>
    <s v="fa6410af-b085-4a71-9789-00ccefdeb848"/>
    <n v="36"/>
    <s v="Female"/>
    <s v="Standard"/>
    <n v="12.08"/>
    <x v="57"/>
    <x v="1"/>
    <x v="1"/>
    <n v="13.99"/>
    <n v="1"/>
    <n v="13.99"/>
    <x v="3"/>
    <n v="2"/>
    <n v="0.2"/>
    <s v="Comedy"/>
  </r>
  <r>
    <s v="ea172916-31b9-429f-b590-a746507bb20e"/>
    <n v="28"/>
    <s v="Male"/>
    <s v="Premium"/>
    <n v="2.0099999999999998"/>
    <x v="28"/>
    <x v="1"/>
    <x v="4"/>
    <n v="17.989999999999998"/>
    <n v="1"/>
    <n v="17.989999999999998"/>
    <x v="0"/>
    <n v="2"/>
    <n v="0.06"/>
    <s v="Documentary"/>
  </r>
  <r>
    <s v="b36b2e7d-ddd2-41ee-8a2f-00154f07b184"/>
    <n v="24"/>
    <s v="Male"/>
    <s v="Premium"/>
    <n v="9.24"/>
    <x v="11"/>
    <x v="3"/>
    <x v="3"/>
    <n v="17.989999999999998"/>
    <n v="0"/>
    <n v="0"/>
    <x v="2"/>
    <n v="3"/>
    <n v="0.39"/>
    <s v="Documentary"/>
  </r>
  <r>
    <s v="1b82995d-cc3f-4f27-a87f-2dd1b6c9fc2e"/>
    <n v="59"/>
    <s v="Other"/>
    <s v="Premium"/>
    <n v="18.05"/>
    <x v="1"/>
    <x v="2"/>
    <x v="0"/>
    <n v="17.989999999999998"/>
    <n v="0"/>
    <n v="0"/>
    <x v="3"/>
    <n v="3"/>
    <n v="0.9"/>
    <s v="Documentary"/>
  </r>
  <r>
    <s v="eb0149c4-6c4f-4467-92f1-32a3745766f7"/>
    <n v="69"/>
    <s v="Other"/>
    <s v="Basic"/>
    <n v="3.12"/>
    <x v="58"/>
    <x v="4"/>
    <x v="1"/>
    <n v="8.99"/>
    <n v="1"/>
    <n v="8.99"/>
    <x v="1"/>
    <n v="3"/>
    <n v="7.0000000000000007E-2"/>
    <s v="Documentary"/>
  </r>
  <r>
    <s v="eb6c6692-bbc5-40f1-b191-88b47869c368"/>
    <n v="46"/>
    <s v="Male"/>
    <s v="Premium"/>
    <n v="26.01"/>
    <x v="47"/>
    <x v="2"/>
    <x v="1"/>
    <n v="17.989999999999998"/>
    <n v="0"/>
    <n v="0"/>
    <x v="2"/>
    <n v="3"/>
    <n v="6.5"/>
    <s v="Horror"/>
  </r>
  <r>
    <s v="181aa143-101d-4965-9ab4-80edcaedd194"/>
    <n v="62"/>
    <s v="Other"/>
    <s v="Standard"/>
    <n v="36.03"/>
    <x v="44"/>
    <x v="5"/>
    <x v="1"/>
    <n v="13.99"/>
    <n v="0"/>
    <n v="0"/>
    <x v="0"/>
    <n v="2"/>
    <n v="0.77"/>
    <s v="Documentary"/>
  </r>
  <r>
    <s v="0066a45e-d10f-4519-9e4a-15e32388ad00"/>
    <n v="60"/>
    <s v="Female"/>
    <s v="Standard"/>
    <n v="1.85"/>
    <x v="54"/>
    <x v="0"/>
    <x v="1"/>
    <n v="13.99"/>
    <n v="1"/>
    <n v="13.99"/>
    <x v="3"/>
    <n v="3"/>
    <n v="0.06"/>
    <s v="Comedy"/>
  </r>
  <r>
    <s v="41750832-10d6-4ce6-ae6c-494a1d849b0a"/>
    <n v="33"/>
    <s v="Female"/>
    <s v="Standard"/>
    <n v="1.32"/>
    <x v="9"/>
    <x v="4"/>
    <x v="2"/>
    <n v="13.99"/>
    <n v="1"/>
    <n v="13.99"/>
    <x v="1"/>
    <n v="1"/>
    <n v="0.04"/>
    <s v="Drama"/>
  </r>
  <r>
    <s v="e55e1e83-d28d-4691-a909-185781512ae0"/>
    <n v="51"/>
    <s v="Female"/>
    <s v="Premium"/>
    <n v="16.96"/>
    <x v="31"/>
    <x v="3"/>
    <x v="2"/>
    <n v="17.989999999999998"/>
    <n v="0"/>
    <n v="0"/>
    <x v="4"/>
    <n v="5"/>
    <n v="1.06"/>
    <s v="Sci-Fi"/>
  </r>
  <r>
    <s v="1ad376c4-db63-48e2-92ea-1f2f94d583ce"/>
    <n v="32"/>
    <s v="Female"/>
    <s v="Basic"/>
    <n v="0.54"/>
    <x v="59"/>
    <x v="3"/>
    <x v="2"/>
    <n v="8.99"/>
    <n v="1"/>
    <n v="8.99"/>
    <x v="3"/>
    <n v="2"/>
    <n v="0.09"/>
    <s v="Drama"/>
  </r>
  <r>
    <s v="79d11806-228a-4fab-8270-a7d65c9cecf7"/>
    <n v="40"/>
    <s v="Other"/>
    <s v="Standard"/>
    <n v="11.56"/>
    <x v="26"/>
    <x v="2"/>
    <x v="4"/>
    <n v="13.99"/>
    <n v="1"/>
    <n v="13.99"/>
    <x v="0"/>
    <n v="5"/>
    <n v="0.24"/>
    <s v="Documentary"/>
  </r>
  <r>
    <s v="b69ffd1c-443e-47a7-ac67-b304ee8ece03"/>
    <n v="62"/>
    <s v="Other"/>
    <s v="Premium"/>
    <n v="9.58"/>
    <x v="33"/>
    <x v="2"/>
    <x v="4"/>
    <n v="17.989999999999998"/>
    <n v="0"/>
    <n v="0"/>
    <x v="4"/>
    <n v="2"/>
    <n v="0.37"/>
    <s v="Comedy"/>
  </r>
  <r>
    <s v="cff04a7a-b133-49e2-9a12-16c9c89c1a7a"/>
    <n v="56"/>
    <s v="Male"/>
    <s v="Premium"/>
    <n v="6.24"/>
    <x v="46"/>
    <x v="3"/>
    <x v="4"/>
    <n v="17.989999999999998"/>
    <n v="0"/>
    <n v="0"/>
    <x v="1"/>
    <n v="4"/>
    <n v="2.08"/>
    <s v="Sci-Fi"/>
  </r>
  <r>
    <s v="2d6e45f9-c626-4f26-b7ca-7fbea55a3773"/>
    <n v="22"/>
    <s v="Male"/>
    <s v="Premium"/>
    <n v="12.87"/>
    <x v="55"/>
    <x v="1"/>
    <x v="4"/>
    <n v="17.989999999999998"/>
    <n v="1"/>
    <n v="17.989999999999998"/>
    <x v="0"/>
    <n v="4"/>
    <n v="0.21"/>
    <s v="Romance"/>
  </r>
  <r>
    <s v="78a91b6f-0e0a-4432-b7cf-170f0d378356"/>
    <n v="31"/>
    <s v="Male"/>
    <s v="Standard"/>
    <n v="11.93"/>
    <x v="31"/>
    <x v="0"/>
    <x v="4"/>
    <n v="13.99"/>
    <n v="0"/>
    <n v="0"/>
    <x v="0"/>
    <n v="4"/>
    <n v="0.75"/>
    <s v="Horror"/>
  </r>
  <r>
    <s v="ce4be12e-c15f-46e0-8026-f3e4935d04b4"/>
    <n v="60"/>
    <s v="Male"/>
    <s v="Premium"/>
    <n v="7.25"/>
    <x v="28"/>
    <x v="2"/>
    <x v="0"/>
    <n v="17.989999999999998"/>
    <n v="0"/>
    <n v="0"/>
    <x v="2"/>
    <n v="5"/>
    <n v="0.2"/>
    <s v="Sci-Fi"/>
  </r>
  <r>
    <s v="1c8ec967-8010-404b-b7d6-767a09e543bc"/>
    <n v="64"/>
    <s v="Male"/>
    <s v="Basic"/>
    <n v="6.68"/>
    <x v="37"/>
    <x v="2"/>
    <x v="2"/>
    <n v="8.99"/>
    <n v="1"/>
    <n v="8.99"/>
    <x v="1"/>
    <n v="2"/>
    <n v="0.27"/>
    <s v="Horror"/>
  </r>
  <r>
    <s v="a35353ba-7e5d-4a4e-b1e2-851b4ce3ed64"/>
    <n v="53"/>
    <s v="Male"/>
    <s v="Basic"/>
    <n v="6.64"/>
    <x v="42"/>
    <x v="0"/>
    <x v="3"/>
    <n v="8.99"/>
    <n v="1"/>
    <n v="8.99"/>
    <x v="4"/>
    <n v="5"/>
    <n v="0.17"/>
    <s v="Documentary"/>
  </r>
  <r>
    <s v="ab117f6f-73fc-4211-b264-db6211bd97f3"/>
    <n v="21"/>
    <s v="Female"/>
    <s v="Standard"/>
    <n v="8.6"/>
    <x v="44"/>
    <x v="1"/>
    <x v="1"/>
    <n v="13.99"/>
    <n v="0"/>
    <n v="0"/>
    <x v="3"/>
    <n v="4"/>
    <n v="0.18"/>
    <s v="Action"/>
  </r>
  <r>
    <s v="a060eae1-66cc-4f52-9aef-d512ccc77f47"/>
    <n v="45"/>
    <s v="Other"/>
    <s v="Standard"/>
    <n v="25.59"/>
    <x v="39"/>
    <x v="1"/>
    <x v="0"/>
    <n v="13.99"/>
    <n v="0"/>
    <n v="0"/>
    <x v="4"/>
    <n v="2"/>
    <n v="1.1100000000000001"/>
    <s v="Sci-Fi"/>
  </r>
  <r>
    <s v="1663f5da-a60e-41d7-a9ae-5704f4c7a196"/>
    <n v="37"/>
    <s v="Male"/>
    <s v="Basic"/>
    <n v="11.52"/>
    <x v="10"/>
    <x v="3"/>
    <x v="0"/>
    <n v="8.99"/>
    <n v="1"/>
    <n v="8.99"/>
    <x v="3"/>
    <n v="4"/>
    <n v="0.3"/>
    <s v="Action"/>
  </r>
  <r>
    <s v="24be0465-3bee-4952-bc5b-8b0227a6baaa"/>
    <n v="18"/>
    <s v="Female"/>
    <s v="Basic"/>
    <n v="47.29"/>
    <x v="11"/>
    <x v="2"/>
    <x v="0"/>
    <n v="8.99"/>
    <n v="0"/>
    <n v="0"/>
    <x v="3"/>
    <n v="3"/>
    <n v="1.97"/>
    <s v="Romance"/>
  </r>
  <r>
    <s v="a952d34f-2ec1-4daf-9ee0-9c06351caa91"/>
    <n v="28"/>
    <s v="Female"/>
    <s v="Basic"/>
    <n v="2.66"/>
    <x v="22"/>
    <x v="0"/>
    <x v="2"/>
    <n v="8.99"/>
    <n v="1"/>
    <n v="8.99"/>
    <x v="1"/>
    <n v="5"/>
    <n v="0.05"/>
    <s v="Action"/>
  </r>
  <r>
    <s v="f7b5a5d9-ce05-4088-8839-e0ee991872ec"/>
    <n v="38"/>
    <s v="Other"/>
    <s v="Basic"/>
    <n v="8.81"/>
    <x v="30"/>
    <x v="5"/>
    <x v="3"/>
    <n v="8.99"/>
    <n v="0"/>
    <n v="0"/>
    <x v="0"/>
    <n v="4"/>
    <n v="4.41"/>
    <s v="Action"/>
  </r>
  <r>
    <s v="8f38ef25-91a6-42e2-947f-9d9d094a2d0d"/>
    <n v="54"/>
    <s v="Other"/>
    <s v="Basic"/>
    <n v="1.07"/>
    <x v="55"/>
    <x v="1"/>
    <x v="0"/>
    <n v="8.99"/>
    <n v="1"/>
    <n v="8.99"/>
    <x v="4"/>
    <n v="1"/>
    <n v="0.02"/>
    <s v="Documentary"/>
  </r>
  <r>
    <s v="2756a817-e711-4a26-b146-2e793e01d065"/>
    <n v="36"/>
    <s v="Male"/>
    <s v="Standard"/>
    <n v="48.01"/>
    <x v="0"/>
    <x v="0"/>
    <x v="4"/>
    <n v="13.99"/>
    <n v="0"/>
    <n v="0"/>
    <x v="1"/>
    <n v="5"/>
    <n v="1.6"/>
    <s v="Sci-Fi"/>
  </r>
  <r>
    <s v="f1bbc7ec-707d-4d01-b7fc-ceb06bd4de36"/>
    <n v="61"/>
    <s v="Male"/>
    <s v="Standard"/>
    <n v="26.05"/>
    <x v="38"/>
    <x v="5"/>
    <x v="4"/>
    <n v="13.99"/>
    <n v="0"/>
    <n v="0"/>
    <x v="2"/>
    <n v="1"/>
    <n v="1.18"/>
    <s v="Documentary"/>
  </r>
  <r>
    <s v="4b488ecd-4021-414b-9e79-052a51e982e6"/>
    <n v="65"/>
    <s v="Other"/>
    <s v="Premium"/>
    <n v="16.68"/>
    <x v="49"/>
    <x v="2"/>
    <x v="1"/>
    <n v="17.989999999999998"/>
    <n v="0"/>
    <n v="0"/>
    <x v="2"/>
    <n v="2"/>
    <n v="1.67"/>
    <s v="Romance"/>
  </r>
  <r>
    <s v="2919e65b-e387-49f7-8afa-26b4cb2f5d35"/>
    <n v="25"/>
    <s v="Female"/>
    <s v="Standard"/>
    <n v="9.64"/>
    <x v="50"/>
    <x v="3"/>
    <x v="0"/>
    <n v="13.99"/>
    <n v="1"/>
    <n v="13.99"/>
    <x v="4"/>
    <n v="3"/>
    <n v="0.18"/>
    <s v="Drama"/>
  </r>
  <r>
    <s v="abe07eca-d0df-4a23-8b09-738a81049742"/>
    <n v="37"/>
    <s v="Male"/>
    <s v="Basic"/>
    <n v="18.78"/>
    <x v="12"/>
    <x v="5"/>
    <x v="4"/>
    <n v="8.99"/>
    <n v="1"/>
    <n v="8.99"/>
    <x v="2"/>
    <n v="3"/>
    <n v="0.55000000000000004"/>
    <s v="Horror"/>
  </r>
  <r>
    <s v="03e076ee-865e-440a-bf29-41053d4f0b3b"/>
    <n v="59"/>
    <s v="Male"/>
    <s v="Premium"/>
    <n v="4.9000000000000004"/>
    <x v="7"/>
    <x v="3"/>
    <x v="2"/>
    <n v="17.989999999999998"/>
    <n v="1"/>
    <n v="17.989999999999998"/>
    <x v="1"/>
    <n v="4"/>
    <n v="0.09"/>
    <s v="Documentary"/>
  </r>
  <r>
    <s v="37cfcd56-9185-4c3d-8049-8ac6b15e6cbb"/>
    <n v="64"/>
    <s v="Female"/>
    <s v="Basic"/>
    <n v="3.98"/>
    <x v="56"/>
    <x v="3"/>
    <x v="2"/>
    <n v="8.99"/>
    <n v="1"/>
    <n v="8.99"/>
    <x v="3"/>
    <n v="5"/>
    <n v="7.0000000000000007E-2"/>
    <s v="Sci-Fi"/>
  </r>
  <r>
    <s v="7e65ef60-0906-4e1e-9b54-b8d89cefddae"/>
    <n v="44"/>
    <s v="Male"/>
    <s v="Basic"/>
    <n v="8.02"/>
    <x v="49"/>
    <x v="5"/>
    <x v="0"/>
    <n v="8.99"/>
    <n v="0"/>
    <n v="0"/>
    <x v="1"/>
    <n v="4"/>
    <n v="0.8"/>
    <s v="Comedy"/>
  </r>
  <r>
    <s v="5c619083-1760-4a87-a00a-3ca15ffccf0c"/>
    <n v="21"/>
    <s v="Male"/>
    <s v="Premium"/>
    <n v="1.83"/>
    <x v="38"/>
    <x v="5"/>
    <x v="0"/>
    <n v="17.989999999999998"/>
    <n v="1"/>
    <n v="17.989999999999998"/>
    <x v="0"/>
    <n v="1"/>
    <n v="0.08"/>
    <s v="Comedy"/>
  </r>
  <r>
    <s v="4d396fff-770c-4879-ab7d-562cd5347d99"/>
    <n v="31"/>
    <s v="Other"/>
    <s v="Standard"/>
    <n v="3.9"/>
    <x v="12"/>
    <x v="3"/>
    <x v="2"/>
    <n v="13.99"/>
    <n v="1"/>
    <n v="13.99"/>
    <x v="2"/>
    <n v="3"/>
    <n v="0.11"/>
    <s v="Action"/>
  </r>
  <r>
    <s v="e1c24850-9ba6-4b3c-b64c-b3dc0e49a8f0"/>
    <n v="46"/>
    <s v="Other"/>
    <s v="Basic"/>
    <n v="7.63"/>
    <x v="43"/>
    <x v="2"/>
    <x v="4"/>
    <n v="8.99"/>
    <n v="1"/>
    <n v="8.99"/>
    <x v="0"/>
    <n v="5"/>
    <n v="0.24"/>
    <s v="Romance"/>
  </r>
  <r>
    <s v="80ae474f-2e01-4732-a930-00d3e2cd07ba"/>
    <n v="32"/>
    <s v="Male"/>
    <s v="Premium"/>
    <n v="2.38"/>
    <x v="47"/>
    <x v="2"/>
    <x v="1"/>
    <n v="17.989999999999998"/>
    <n v="0"/>
    <n v="0"/>
    <x v="0"/>
    <n v="4"/>
    <n v="0.59"/>
    <s v="Drama"/>
  </r>
  <r>
    <s v="e9c0e33c-d11c-49fe-8c0a-7cd7c19bccb6"/>
    <n v="20"/>
    <s v="Female"/>
    <s v="Basic"/>
    <n v="1.27"/>
    <x v="44"/>
    <x v="2"/>
    <x v="3"/>
    <n v="8.99"/>
    <n v="1"/>
    <n v="8.99"/>
    <x v="3"/>
    <n v="1"/>
    <n v="0.03"/>
    <s v="Horror"/>
  </r>
  <r>
    <s v="eb61a935-8dbb-40cc-83eb-a4b86a1c5f82"/>
    <n v="49"/>
    <s v="Male"/>
    <s v="Basic"/>
    <n v="5.3"/>
    <x v="35"/>
    <x v="3"/>
    <x v="0"/>
    <n v="8.99"/>
    <n v="1"/>
    <n v="8.99"/>
    <x v="4"/>
    <n v="3"/>
    <n v="0.12"/>
    <s v="Comedy"/>
  </r>
  <r>
    <s v="6ef75419-014d-484f-b0b5-ad892dc6355a"/>
    <n v="18"/>
    <s v="Male"/>
    <s v="Basic"/>
    <n v="3.11"/>
    <x v="26"/>
    <x v="1"/>
    <x v="0"/>
    <n v="8.99"/>
    <n v="1"/>
    <n v="8.99"/>
    <x v="4"/>
    <n v="2"/>
    <n v="0.06"/>
    <s v="Sci-Fi"/>
  </r>
  <r>
    <s v="78881b37-93a3-40e3-af3f-0ed648260308"/>
    <n v="65"/>
    <s v="Male"/>
    <s v="Premium"/>
    <n v="23.31"/>
    <x v="33"/>
    <x v="4"/>
    <x v="4"/>
    <n v="17.989999999999998"/>
    <n v="0"/>
    <n v="0"/>
    <x v="2"/>
    <n v="2"/>
    <n v="0.9"/>
    <s v="Action"/>
  </r>
  <r>
    <s v="3e5ca0e8-0ee4-442c-a7d5-42e317f42e32"/>
    <n v="28"/>
    <s v="Female"/>
    <s v="Standard"/>
    <n v="0.61"/>
    <x v="55"/>
    <x v="0"/>
    <x v="2"/>
    <n v="13.99"/>
    <n v="1"/>
    <n v="13.99"/>
    <x v="0"/>
    <n v="5"/>
    <n v="0.01"/>
    <s v="Romance"/>
  </r>
  <r>
    <s v="1ef03e82-e34c-4c29-b256-b321b3a5ce99"/>
    <n v="62"/>
    <s v="Male"/>
    <s v="Premium"/>
    <n v="0.99"/>
    <x v="19"/>
    <x v="2"/>
    <x v="1"/>
    <n v="17.989999999999998"/>
    <n v="1"/>
    <n v="17.989999999999998"/>
    <x v="2"/>
    <n v="5"/>
    <n v="0.02"/>
    <s v="Documentary"/>
  </r>
  <r>
    <s v="74321b67-ea33-4478-a9a2-a5d32e6eab48"/>
    <n v="22"/>
    <s v="Male"/>
    <s v="Standard"/>
    <n v="10.96"/>
    <x v="34"/>
    <x v="2"/>
    <x v="2"/>
    <n v="13.99"/>
    <n v="1"/>
    <n v="13.99"/>
    <x v="1"/>
    <n v="4"/>
    <n v="0.21"/>
    <s v="Drama"/>
  </r>
  <r>
    <s v="5a8ba2fb-5253-47fd-8008-44384430edf1"/>
    <n v="29"/>
    <s v="Other"/>
    <s v="Premium"/>
    <n v="16.95"/>
    <x v="23"/>
    <x v="0"/>
    <x v="1"/>
    <n v="17.989999999999998"/>
    <n v="1"/>
    <n v="17.989999999999998"/>
    <x v="3"/>
    <n v="3"/>
    <n v="0.31"/>
    <s v="Romance"/>
  </r>
  <r>
    <s v="ba7257d0-99c8-4c55-a657-6537eb677dfb"/>
    <n v="37"/>
    <s v="Female"/>
    <s v="Standard"/>
    <n v="5.31"/>
    <x v="10"/>
    <x v="2"/>
    <x v="0"/>
    <n v="13.99"/>
    <n v="0"/>
    <n v="0"/>
    <x v="3"/>
    <n v="5"/>
    <n v="0.14000000000000001"/>
    <s v="Sci-Fi"/>
  </r>
  <r>
    <s v="fa287c41-72cd-40a9-82b6-1fc0737ab235"/>
    <n v="34"/>
    <s v="Other"/>
    <s v="Standard"/>
    <n v="8.59"/>
    <x v="6"/>
    <x v="1"/>
    <x v="0"/>
    <n v="13.99"/>
    <n v="0"/>
    <n v="0"/>
    <x v="0"/>
    <n v="1"/>
    <n v="0.41"/>
    <s v="Romance"/>
  </r>
  <r>
    <s v="09054f5f-12f8-4050-a4a3-0200272daaa0"/>
    <n v="60"/>
    <s v="Other"/>
    <s v="Basic"/>
    <n v="36.07"/>
    <x v="10"/>
    <x v="3"/>
    <x v="0"/>
    <n v="8.99"/>
    <n v="0"/>
    <n v="0"/>
    <x v="2"/>
    <n v="5"/>
    <n v="0.92"/>
    <s v="Romance"/>
  </r>
  <r>
    <s v="900d8e75-3067-4dfb-8193-9f2a21e0678e"/>
    <n v="57"/>
    <s v="Female"/>
    <s v="Basic"/>
    <n v="2.86"/>
    <x v="52"/>
    <x v="1"/>
    <x v="3"/>
    <n v="8.99"/>
    <n v="1"/>
    <n v="8.99"/>
    <x v="2"/>
    <n v="2"/>
    <n v="0.06"/>
    <s v="Documentary"/>
  </r>
  <r>
    <s v="e158767d-d404-4c70-9ab1-df830be9d0d7"/>
    <n v="33"/>
    <s v="Other"/>
    <s v="Basic"/>
    <n v="24.94"/>
    <x v="27"/>
    <x v="4"/>
    <x v="1"/>
    <n v="8.99"/>
    <n v="0"/>
    <n v="0"/>
    <x v="4"/>
    <n v="1"/>
    <n v="1.47"/>
    <s v="Drama"/>
  </r>
  <r>
    <s v="804256f3-09b1-43a2-9e9b-2e12ed16cffe"/>
    <n v="26"/>
    <s v="Male"/>
    <s v="Standard"/>
    <n v="26.4"/>
    <x v="39"/>
    <x v="5"/>
    <x v="0"/>
    <n v="13.99"/>
    <n v="0"/>
    <n v="0"/>
    <x v="4"/>
    <n v="1"/>
    <n v="1.1499999999999999"/>
    <s v="Romance"/>
  </r>
  <r>
    <s v="210b9c3e-61bd-419b-842d-72ed78d38e9e"/>
    <n v="28"/>
    <s v="Other"/>
    <s v="Standard"/>
    <n v="14.45"/>
    <x v="17"/>
    <x v="1"/>
    <x v="2"/>
    <n v="13.99"/>
    <n v="0"/>
    <n v="0"/>
    <x v="4"/>
    <n v="5"/>
    <n v="2.89"/>
    <s v="Horror"/>
  </r>
  <r>
    <s v="5ab5431d-4185-4b4f-be21-4183473aa0a9"/>
    <n v="53"/>
    <s v="Other"/>
    <s v="Premium"/>
    <n v="4.49"/>
    <x v="2"/>
    <x v="4"/>
    <x v="4"/>
    <n v="17.989999999999998"/>
    <n v="1"/>
    <n v="17.989999999999998"/>
    <x v="2"/>
    <n v="1"/>
    <n v="0.41"/>
    <s v="Action"/>
  </r>
  <r>
    <s v="eb0d1e13-35b7-472c-a39c-c5211ebb80e4"/>
    <n v="45"/>
    <s v="Male"/>
    <s v="Basic"/>
    <n v="4.22"/>
    <x v="20"/>
    <x v="0"/>
    <x v="3"/>
    <n v="8.99"/>
    <n v="1"/>
    <n v="8.99"/>
    <x v="1"/>
    <n v="3"/>
    <n v="0.22"/>
    <s v="Sci-Fi"/>
  </r>
  <r>
    <s v="83f21fb5-7cfa-45e9-875e-819c773032fb"/>
    <n v="62"/>
    <s v="Other"/>
    <s v="Basic"/>
    <n v="16.62"/>
    <x v="38"/>
    <x v="4"/>
    <x v="3"/>
    <n v="8.99"/>
    <n v="0"/>
    <n v="0"/>
    <x v="0"/>
    <n v="3"/>
    <n v="0.76"/>
    <s v="Action"/>
  </r>
  <r>
    <s v="33bca94a-0b75-4ad7-b4fe-db44cfdd6992"/>
    <n v="28"/>
    <s v="Other"/>
    <s v="Standard"/>
    <n v="1.07"/>
    <x v="49"/>
    <x v="0"/>
    <x v="1"/>
    <n v="13.99"/>
    <n v="1"/>
    <n v="13.99"/>
    <x v="3"/>
    <n v="1"/>
    <n v="0.11"/>
    <s v="Comedy"/>
  </r>
  <r>
    <s v="ac790561-30ba-49da-b38b-56e3f1d6898d"/>
    <n v="53"/>
    <s v="Other"/>
    <s v="Premium"/>
    <n v="27.73"/>
    <x v="14"/>
    <x v="0"/>
    <x v="3"/>
    <n v="17.989999999999998"/>
    <n v="0"/>
    <n v="0"/>
    <x v="2"/>
    <n v="4"/>
    <n v="0.84"/>
    <s v="Comedy"/>
  </r>
  <r>
    <s v="1b49ab1b-80c6-48a5-8fa2-99155b0d743d"/>
    <n v="20"/>
    <s v="Male"/>
    <s v="Basic"/>
    <n v="1.4"/>
    <x v="48"/>
    <x v="4"/>
    <x v="0"/>
    <n v="8.99"/>
    <n v="1"/>
    <n v="8.99"/>
    <x v="0"/>
    <n v="4"/>
    <n v="0.03"/>
    <s v="Comedy"/>
  </r>
  <r>
    <s v="2053f03c-0aff-41b0-be01-b4b81f0b1c6b"/>
    <n v="59"/>
    <s v="Male"/>
    <s v="Standard"/>
    <n v="10.64"/>
    <x v="9"/>
    <x v="3"/>
    <x v="3"/>
    <n v="13.99"/>
    <n v="1"/>
    <n v="13.99"/>
    <x v="0"/>
    <n v="2"/>
    <n v="0.28999999999999998"/>
    <s v="Drama"/>
  </r>
  <r>
    <s v="77b85c42-c67d-4876-b26b-6ab89ed8bbaf"/>
    <n v="66"/>
    <s v="Male"/>
    <s v="Basic"/>
    <n v="8.01"/>
    <x v="23"/>
    <x v="1"/>
    <x v="4"/>
    <n v="8.99"/>
    <n v="1"/>
    <n v="8.99"/>
    <x v="4"/>
    <n v="1"/>
    <n v="0.15"/>
    <s v="Comedy"/>
  </r>
  <r>
    <s v="6b608954-fb0e-409e-bb61-f6b97fea7fb5"/>
    <n v="41"/>
    <s v="Male"/>
    <s v="Basic"/>
    <n v="7.04"/>
    <x v="41"/>
    <x v="4"/>
    <x v="4"/>
    <n v="8.99"/>
    <n v="0"/>
    <n v="0"/>
    <x v="2"/>
    <n v="5"/>
    <n v="0.23"/>
    <s v="Sci-Fi"/>
  </r>
  <r>
    <s v="7fc041a7-0fd1-44e9-b505-6dd1e752a78c"/>
    <n v="51"/>
    <s v="Male"/>
    <s v="Basic"/>
    <n v="7.54"/>
    <x v="59"/>
    <x v="1"/>
    <x v="3"/>
    <n v="8.99"/>
    <n v="0"/>
    <n v="0"/>
    <x v="2"/>
    <n v="4"/>
    <n v="1.26"/>
    <s v="Action"/>
  </r>
  <r>
    <s v="cd3d65e9-6653-4206-8809-0665721a1af5"/>
    <n v="29"/>
    <s v="Female"/>
    <s v="Standard"/>
    <n v="17.260000000000002"/>
    <x v="51"/>
    <x v="3"/>
    <x v="4"/>
    <n v="13.99"/>
    <n v="0"/>
    <n v="0"/>
    <x v="0"/>
    <n v="2"/>
    <n v="0.96"/>
    <s v="Drama"/>
  </r>
  <r>
    <s v="d7fbf7d7-9302-402c-a84e-d8303dedc8cd"/>
    <n v="58"/>
    <s v="Other"/>
    <s v="Premium"/>
    <n v="14.44"/>
    <x v="19"/>
    <x v="5"/>
    <x v="4"/>
    <n v="17.989999999999998"/>
    <n v="1"/>
    <n v="17.989999999999998"/>
    <x v="0"/>
    <n v="3"/>
    <n v="0.33"/>
    <s v="Horror"/>
  </r>
  <r>
    <s v="4715e1c8-4447-49fb-aaf6-d1f7cdc5a4a3"/>
    <n v="28"/>
    <s v="Other"/>
    <s v="Standard"/>
    <n v="6.97"/>
    <x v="49"/>
    <x v="0"/>
    <x v="3"/>
    <n v="13.99"/>
    <n v="0"/>
    <n v="0"/>
    <x v="2"/>
    <n v="4"/>
    <n v="0.7"/>
    <s v="Horror"/>
  </r>
  <r>
    <s v="e6d043fa-2dd1-45d0-876c-a7c704f2ce1f"/>
    <n v="29"/>
    <s v="Female"/>
    <s v="Premium"/>
    <n v="14.87"/>
    <x v="3"/>
    <x v="5"/>
    <x v="2"/>
    <n v="17.989999999999998"/>
    <n v="0"/>
    <n v="0"/>
    <x v="4"/>
    <n v="4"/>
    <n v="1.1399999999999999"/>
    <s v="Action"/>
  </r>
  <r>
    <s v="84e37d64-6055-4386-ba92-21d96a511b3b"/>
    <n v="62"/>
    <s v="Other"/>
    <s v="Standard"/>
    <n v="4.16"/>
    <x v="0"/>
    <x v="1"/>
    <x v="3"/>
    <n v="13.99"/>
    <n v="1"/>
    <n v="13.99"/>
    <x v="3"/>
    <n v="3"/>
    <n v="0.14000000000000001"/>
    <s v="Sci-Fi"/>
  </r>
  <r>
    <s v="b16c9135-2798-4e1d-a48a-1d9c64d459f2"/>
    <n v="62"/>
    <s v="Other"/>
    <s v="Basic"/>
    <n v="21.86"/>
    <x v="39"/>
    <x v="3"/>
    <x v="0"/>
    <n v="8.99"/>
    <n v="0"/>
    <n v="0"/>
    <x v="1"/>
    <n v="5"/>
    <n v="0.95"/>
    <s v="Sci-Fi"/>
  </r>
  <r>
    <s v="029e94b4-bc1c-4602-a8ef-7fe92c78f4c2"/>
    <n v="58"/>
    <s v="Female"/>
    <s v="Basic"/>
    <n v="8.4"/>
    <x v="35"/>
    <x v="0"/>
    <x v="2"/>
    <n v="8.99"/>
    <n v="1"/>
    <n v="8.99"/>
    <x v="0"/>
    <n v="2"/>
    <n v="0.19"/>
    <s v="Documentary"/>
  </r>
  <r>
    <s v="28c6e751-2511-479d-83c1-455a6e1fc02a"/>
    <n v="21"/>
    <s v="Female"/>
    <s v="Standard"/>
    <n v="25.32"/>
    <x v="57"/>
    <x v="1"/>
    <x v="1"/>
    <n v="13.99"/>
    <n v="0"/>
    <n v="0"/>
    <x v="1"/>
    <n v="4"/>
    <n v="0.42"/>
    <s v="Comedy"/>
  </r>
  <r>
    <s v="727e553f-d207-4563-9a00-8d82561e7817"/>
    <n v="38"/>
    <s v="Male"/>
    <s v="Basic"/>
    <n v="22.74"/>
    <x v="57"/>
    <x v="2"/>
    <x v="3"/>
    <n v="8.99"/>
    <n v="1"/>
    <n v="8.99"/>
    <x v="0"/>
    <n v="3"/>
    <n v="0.37"/>
    <s v="Documentary"/>
  </r>
  <r>
    <s v="3f14d6e0-dd02-4fe1-82ff-bd5cec08118b"/>
    <n v="19"/>
    <s v="Female"/>
    <s v="Standard"/>
    <n v="16.260000000000002"/>
    <x v="51"/>
    <x v="1"/>
    <x v="4"/>
    <n v="13.99"/>
    <n v="0"/>
    <n v="0"/>
    <x v="4"/>
    <n v="1"/>
    <n v="0.9"/>
    <s v="Drama"/>
  </r>
  <r>
    <s v="43c2a767-ad49-4977-b9b7-e87e81e9e93d"/>
    <n v="46"/>
    <s v="Other"/>
    <s v="Basic"/>
    <n v="13.83"/>
    <x v="35"/>
    <x v="5"/>
    <x v="1"/>
    <n v="8.99"/>
    <n v="1"/>
    <n v="8.99"/>
    <x v="2"/>
    <n v="4"/>
    <n v="0.31"/>
    <s v="Action"/>
  </r>
  <r>
    <s v="2b7bf795-ccef-4bca-93a6-d00318b73c50"/>
    <n v="38"/>
    <s v="Female"/>
    <s v="Standard"/>
    <n v="0.9"/>
    <x v="28"/>
    <x v="5"/>
    <x v="3"/>
    <n v="13.99"/>
    <n v="1"/>
    <n v="13.99"/>
    <x v="3"/>
    <n v="2"/>
    <n v="0.03"/>
    <s v="Sci-Fi"/>
  </r>
  <r>
    <s v="f1200806-6780-4b17-b062-50507384f5ce"/>
    <n v="36"/>
    <s v="Male"/>
    <s v="Standard"/>
    <n v="37.54"/>
    <x v="50"/>
    <x v="1"/>
    <x v="0"/>
    <n v="13.99"/>
    <n v="0"/>
    <n v="0"/>
    <x v="3"/>
    <n v="2"/>
    <n v="0.68"/>
    <s v="Romance"/>
  </r>
  <r>
    <s v="e3a57085-5027-4193-90fd-91b31d51ffe8"/>
    <n v="42"/>
    <s v="Male"/>
    <s v="Standard"/>
    <n v="1.64"/>
    <x v="51"/>
    <x v="3"/>
    <x v="3"/>
    <n v="13.99"/>
    <n v="0"/>
    <n v="0"/>
    <x v="2"/>
    <n v="5"/>
    <n v="0.09"/>
    <s v="Comedy"/>
  </r>
  <r>
    <s v="214cb42c-b964-4040-9c71-0251fb9a4a1e"/>
    <n v="43"/>
    <s v="Male"/>
    <s v="Standard"/>
    <n v="5.61"/>
    <x v="45"/>
    <x v="1"/>
    <x v="4"/>
    <n v="13.99"/>
    <n v="1"/>
    <n v="13.99"/>
    <x v="3"/>
    <n v="1"/>
    <n v="0.13"/>
    <s v="Horror"/>
  </r>
  <r>
    <s v="e8e2671b-ef4f-4d9b-a1b3-0b642a8eff25"/>
    <n v="60"/>
    <s v="Other"/>
    <s v="Premium"/>
    <n v="7.61"/>
    <x v="6"/>
    <x v="1"/>
    <x v="2"/>
    <n v="17.989999999999998"/>
    <n v="0"/>
    <n v="0"/>
    <x v="3"/>
    <n v="1"/>
    <n v="0.36"/>
    <s v="Action"/>
  </r>
  <r>
    <s v="4d29e9ee-d620-4826-934a-0ad009294493"/>
    <n v="55"/>
    <s v="Female"/>
    <s v="Standard"/>
    <n v="14.71"/>
    <x v="6"/>
    <x v="4"/>
    <x v="3"/>
    <n v="13.99"/>
    <n v="0"/>
    <n v="0"/>
    <x v="4"/>
    <n v="2"/>
    <n v="0.7"/>
    <s v="Horror"/>
  </r>
  <r>
    <s v="ecb0426b-5580-4337-a6c4-add3b523895d"/>
    <n v="41"/>
    <s v="Female"/>
    <s v="Basic"/>
    <n v="27.09"/>
    <x v="13"/>
    <x v="4"/>
    <x v="0"/>
    <n v="8.99"/>
    <n v="0"/>
    <n v="0"/>
    <x v="4"/>
    <n v="5"/>
    <n v="3.39"/>
    <s v="Action"/>
  </r>
  <r>
    <s v="83a192a7-6748-40bc-a60b-004e4a03e87b"/>
    <n v="51"/>
    <s v="Male"/>
    <s v="Premium"/>
    <n v="7.92"/>
    <x v="27"/>
    <x v="0"/>
    <x v="1"/>
    <n v="17.989999999999998"/>
    <n v="0"/>
    <n v="0"/>
    <x v="2"/>
    <n v="2"/>
    <n v="0.47"/>
    <s v="Documentary"/>
  </r>
  <r>
    <s v="85420440-ebf6-49e6-af14-16079557b57a"/>
    <n v="32"/>
    <s v="Other"/>
    <s v="Basic"/>
    <n v="12.06"/>
    <x v="5"/>
    <x v="2"/>
    <x v="2"/>
    <n v="8.99"/>
    <n v="0"/>
    <n v="0"/>
    <x v="3"/>
    <n v="3"/>
    <n v="0.45"/>
    <s v="Drama"/>
  </r>
  <r>
    <s v="57212dcb-1d06-4d90-8679-277113d72959"/>
    <n v="35"/>
    <s v="Female"/>
    <s v="Basic"/>
    <n v="2.2200000000000002"/>
    <x v="17"/>
    <x v="0"/>
    <x v="3"/>
    <n v="8.99"/>
    <n v="1"/>
    <n v="8.99"/>
    <x v="3"/>
    <n v="2"/>
    <n v="0.44"/>
    <s v="Comedy"/>
  </r>
  <r>
    <s v="69f107ad-0d39-475d-850e-6d718d486ae4"/>
    <n v="63"/>
    <s v="Male"/>
    <s v="Premium"/>
    <n v="20.68"/>
    <x v="5"/>
    <x v="2"/>
    <x v="4"/>
    <n v="17.989999999999998"/>
    <n v="0"/>
    <n v="0"/>
    <x v="1"/>
    <n v="5"/>
    <n v="0.77"/>
    <s v="Horror"/>
  </r>
  <r>
    <s v="18a5612d-f555-46c6-ad9a-ec247c068c0e"/>
    <n v="39"/>
    <s v="Other"/>
    <s v="Premium"/>
    <n v="4"/>
    <x v="14"/>
    <x v="4"/>
    <x v="1"/>
    <n v="17.989999999999998"/>
    <n v="1"/>
    <n v="17.989999999999998"/>
    <x v="2"/>
    <n v="2"/>
    <n v="0.12"/>
    <s v="Horror"/>
  </r>
  <r>
    <s v="cc8ec647-33c7-46cf-af2b-141363c9314f"/>
    <n v="19"/>
    <s v="Male"/>
    <s v="Basic"/>
    <n v="2.79"/>
    <x v="12"/>
    <x v="3"/>
    <x v="4"/>
    <n v="8.99"/>
    <n v="1"/>
    <n v="8.99"/>
    <x v="3"/>
    <n v="4"/>
    <n v="0.08"/>
    <s v="Sci-Fi"/>
  </r>
  <r>
    <s v="63c3d866-4c2f-4b50-9e58-332a2bbea4e5"/>
    <n v="33"/>
    <s v="Female"/>
    <s v="Basic"/>
    <n v="9.64"/>
    <x v="41"/>
    <x v="2"/>
    <x v="1"/>
    <n v="8.99"/>
    <n v="0"/>
    <n v="0"/>
    <x v="1"/>
    <n v="5"/>
    <n v="0.31"/>
    <s v="Documentary"/>
  </r>
  <r>
    <s v="981b303b-c6cd-438a-9e2a-d360db261b75"/>
    <n v="63"/>
    <s v="Male"/>
    <s v="Basic"/>
    <n v="39.549999999999997"/>
    <x v="53"/>
    <x v="5"/>
    <x v="4"/>
    <n v="8.99"/>
    <n v="1"/>
    <n v="8.99"/>
    <x v="0"/>
    <n v="1"/>
    <n v="0.92"/>
    <s v="Sci-Fi"/>
  </r>
  <r>
    <s v="b6a5e8ca-ccd7-4fca-a1d3-949bffc746cf"/>
    <n v="18"/>
    <s v="Other"/>
    <s v="Basic"/>
    <n v="2.13"/>
    <x v="6"/>
    <x v="3"/>
    <x v="2"/>
    <n v="8.99"/>
    <n v="1"/>
    <n v="8.99"/>
    <x v="4"/>
    <n v="1"/>
    <n v="0.1"/>
    <s v="Sci-Fi"/>
  </r>
  <r>
    <s v="c3bb2207-5913-4675-9977-5a1a64de72e1"/>
    <n v="22"/>
    <s v="Other"/>
    <s v="Premium"/>
    <n v="32.64"/>
    <x v="41"/>
    <x v="3"/>
    <x v="1"/>
    <n v="17.989999999999998"/>
    <n v="0"/>
    <n v="0"/>
    <x v="4"/>
    <n v="5"/>
    <n v="1.05"/>
    <s v="Sci-Fi"/>
  </r>
  <r>
    <s v="ac6d762a-91b1-494e-9ce5-cdccfd177f90"/>
    <n v="42"/>
    <s v="Other"/>
    <s v="Basic"/>
    <n v="20.52"/>
    <x v="59"/>
    <x v="1"/>
    <x v="4"/>
    <n v="8.99"/>
    <n v="0"/>
    <n v="0"/>
    <x v="2"/>
    <n v="2"/>
    <n v="3.42"/>
    <s v="Romance"/>
  </r>
  <r>
    <s v="9084d77f-70c5-4e36-91f5-57f8f36c20c7"/>
    <n v="42"/>
    <s v="Male"/>
    <s v="Premium"/>
    <n v="3.49"/>
    <x v="22"/>
    <x v="3"/>
    <x v="4"/>
    <n v="17.989999999999998"/>
    <n v="1"/>
    <n v="17.989999999999998"/>
    <x v="0"/>
    <n v="4"/>
    <n v="0.06"/>
    <s v="Horror"/>
  </r>
  <r>
    <s v="b2bf8c40-7a2a-4695-8a51-354e6021337e"/>
    <n v="24"/>
    <s v="Female"/>
    <s v="Basic"/>
    <n v="14.8"/>
    <x v="54"/>
    <x v="5"/>
    <x v="2"/>
    <n v="8.99"/>
    <n v="0"/>
    <n v="0"/>
    <x v="2"/>
    <n v="5"/>
    <n v="0.51"/>
    <s v="Drama"/>
  </r>
  <r>
    <s v="75213958-6f81-4fc1-a446-5eafb01dca12"/>
    <n v="30"/>
    <s v="Female"/>
    <s v="Basic"/>
    <n v="4.3899999999999997"/>
    <x v="24"/>
    <x v="5"/>
    <x v="0"/>
    <n v="8.99"/>
    <n v="1"/>
    <n v="8.99"/>
    <x v="4"/>
    <n v="3"/>
    <n v="0.08"/>
    <s v="Drama"/>
  </r>
  <r>
    <s v="ead37a59-af0e-4cd8-a764-f2cdbe727457"/>
    <n v="22"/>
    <s v="Male"/>
    <s v="Premium"/>
    <n v="5.45"/>
    <x v="27"/>
    <x v="5"/>
    <x v="3"/>
    <n v="17.989999999999998"/>
    <n v="0"/>
    <n v="0"/>
    <x v="4"/>
    <n v="1"/>
    <n v="0.32"/>
    <s v="Romance"/>
  </r>
  <r>
    <s v="91b02759-584d-4f29-b1a4-5818311708d1"/>
    <n v="54"/>
    <s v="Male"/>
    <s v="Standard"/>
    <n v="15.65"/>
    <x v="23"/>
    <x v="3"/>
    <x v="4"/>
    <n v="13.99"/>
    <n v="1"/>
    <n v="13.99"/>
    <x v="0"/>
    <n v="2"/>
    <n v="0.28999999999999998"/>
    <s v="Sci-Fi"/>
  </r>
  <r>
    <s v="2b8e4729-3d02-40e1-86ba-7cb9241b7f80"/>
    <n v="68"/>
    <s v="Other"/>
    <s v="Standard"/>
    <n v="5.33"/>
    <x v="5"/>
    <x v="5"/>
    <x v="2"/>
    <n v="13.99"/>
    <n v="0"/>
    <n v="0"/>
    <x v="1"/>
    <n v="5"/>
    <n v="0.2"/>
    <s v="Drama"/>
  </r>
  <r>
    <s v="10fe2d39-3e7a-4fd6-afef-fd7885f1fd16"/>
    <n v="51"/>
    <s v="Female"/>
    <s v="Standard"/>
    <n v="5.79"/>
    <x v="58"/>
    <x v="4"/>
    <x v="1"/>
    <n v="13.99"/>
    <n v="1"/>
    <n v="13.99"/>
    <x v="2"/>
    <n v="2"/>
    <n v="0.12"/>
    <s v="Documentary"/>
  </r>
  <r>
    <s v="8f256cb4-eb43-4eaf-a0f9-ee1436424b70"/>
    <n v="68"/>
    <s v="Female"/>
    <s v="Standard"/>
    <n v="14.65"/>
    <x v="40"/>
    <x v="3"/>
    <x v="4"/>
    <n v="13.99"/>
    <n v="0"/>
    <n v="0"/>
    <x v="2"/>
    <n v="5"/>
    <n v="1.22"/>
    <s v="Sci-Fi"/>
  </r>
  <r>
    <s v="47787f39-8e7e-44fb-b179-442e3735f82f"/>
    <n v="58"/>
    <s v="Other"/>
    <s v="Standard"/>
    <n v="0.37"/>
    <x v="57"/>
    <x v="1"/>
    <x v="4"/>
    <n v="13.99"/>
    <n v="1"/>
    <n v="13.99"/>
    <x v="2"/>
    <n v="5"/>
    <n v="0.01"/>
    <s v="Documentary"/>
  </r>
  <r>
    <s v="b6083e69-466b-43ff-bd61-d835ff91dfae"/>
    <n v="32"/>
    <s v="Female"/>
    <s v="Basic"/>
    <n v="9.14"/>
    <x v="48"/>
    <x v="5"/>
    <x v="1"/>
    <n v="8.99"/>
    <n v="1"/>
    <n v="8.99"/>
    <x v="2"/>
    <n v="2"/>
    <n v="0.18"/>
    <s v="Romance"/>
  </r>
  <r>
    <s v="225a3fb2-e273-4726-a0f3-0fea1aa6f0c9"/>
    <n v="59"/>
    <s v="Male"/>
    <s v="Basic"/>
    <n v="25"/>
    <x v="35"/>
    <x v="2"/>
    <x v="4"/>
    <n v="8.99"/>
    <n v="0"/>
    <n v="0"/>
    <x v="1"/>
    <n v="4"/>
    <n v="0.56000000000000005"/>
    <s v="Comedy"/>
  </r>
  <r>
    <s v="bdfa953f-4810-434e-a574-205313689450"/>
    <n v="49"/>
    <s v="Female"/>
    <s v="Premium"/>
    <n v="14.39"/>
    <x v="26"/>
    <x v="2"/>
    <x v="3"/>
    <n v="17.989999999999998"/>
    <n v="1"/>
    <n v="17.989999999999998"/>
    <x v="0"/>
    <n v="1"/>
    <n v="0.28999999999999998"/>
    <s v="Action"/>
  </r>
  <r>
    <s v="9f3553ad-d5b2-4d08-85f8-1560403a619d"/>
    <n v="29"/>
    <s v="Male"/>
    <s v="Premium"/>
    <n v="0.69"/>
    <x v="45"/>
    <x v="3"/>
    <x v="4"/>
    <n v="17.989999999999998"/>
    <n v="1"/>
    <n v="17.989999999999998"/>
    <x v="2"/>
    <n v="5"/>
    <n v="0.02"/>
    <s v="Action"/>
  </r>
  <r>
    <s v="11ea4551-84fd-4d94-b679-4a8f5d4fd69a"/>
    <n v="53"/>
    <s v="Female"/>
    <s v="Basic"/>
    <n v="10.96"/>
    <x v="31"/>
    <x v="4"/>
    <x v="0"/>
    <n v="8.99"/>
    <n v="0"/>
    <n v="0"/>
    <x v="3"/>
    <n v="2"/>
    <n v="0.69"/>
    <s v="Comedy"/>
  </r>
  <r>
    <s v="6a2c245c-1c2b-4aab-8133-182c39000b3a"/>
    <n v="56"/>
    <s v="Male"/>
    <s v="Basic"/>
    <n v="14.36"/>
    <x v="38"/>
    <x v="4"/>
    <x v="4"/>
    <n v="8.99"/>
    <n v="0"/>
    <n v="0"/>
    <x v="1"/>
    <n v="1"/>
    <n v="0.65"/>
    <s v="Romance"/>
  </r>
  <r>
    <s v="435ccceb-38f8-40a8-86eb-7629bd3d9c54"/>
    <n v="56"/>
    <s v="Male"/>
    <s v="Basic"/>
    <n v="3.26"/>
    <x v="6"/>
    <x v="5"/>
    <x v="2"/>
    <n v="8.99"/>
    <n v="1"/>
    <n v="8.99"/>
    <x v="3"/>
    <n v="3"/>
    <n v="0.16"/>
    <s v="Comedy"/>
  </r>
  <r>
    <s v="437ee4e8-fc39-4e80-99a5-3e8aa461522a"/>
    <n v="68"/>
    <s v="Male"/>
    <s v="Standard"/>
    <n v="24.08"/>
    <x v="56"/>
    <x v="4"/>
    <x v="2"/>
    <n v="13.99"/>
    <n v="0"/>
    <n v="0"/>
    <x v="0"/>
    <n v="2"/>
    <n v="0.41"/>
    <s v="Comedy"/>
  </r>
  <r>
    <s v="3a541439-f431-4fbc-9f60-8434d47eaae8"/>
    <n v="62"/>
    <s v="Other"/>
    <s v="Premium"/>
    <n v="7.68"/>
    <x v="7"/>
    <x v="1"/>
    <x v="2"/>
    <n v="17.989999999999998"/>
    <n v="1"/>
    <n v="17.989999999999998"/>
    <x v="3"/>
    <n v="2"/>
    <n v="0.13"/>
    <s v="Horror"/>
  </r>
  <r>
    <s v="28c544f1-3e87-4ae2-bd03-8bb94284b82c"/>
    <n v="26"/>
    <s v="Male"/>
    <s v="Standard"/>
    <n v="67.5"/>
    <x v="0"/>
    <x v="4"/>
    <x v="1"/>
    <n v="13.99"/>
    <n v="0"/>
    <n v="0"/>
    <x v="3"/>
    <n v="4"/>
    <n v="2.25"/>
    <s v="Romance"/>
  </r>
  <r>
    <s v="9927198c-86e3-4f28-a6ce-397acc4caf69"/>
    <n v="26"/>
    <s v="Other"/>
    <s v="Standard"/>
    <n v="4.3099999999999996"/>
    <x v="4"/>
    <x v="4"/>
    <x v="1"/>
    <n v="13.99"/>
    <n v="1"/>
    <n v="13.99"/>
    <x v="2"/>
    <n v="1"/>
    <n v="0.31"/>
    <s v="Comedy"/>
  </r>
  <r>
    <s v="2381eca7-1a48-4bfb-8dab-c7a632ed0058"/>
    <n v="40"/>
    <s v="Female"/>
    <s v="Basic"/>
    <n v="12.67"/>
    <x v="35"/>
    <x v="1"/>
    <x v="2"/>
    <n v="8.99"/>
    <n v="1"/>
    <n v="8.99"/>
    <x v="4"/>
    <n v="1"/>
    <n v="0.28000000000000003"/>
    <s v="Comedy"/>
  </r>
  <r>
    <s v="c6e7dcc7-f791-40a3-ac2e-7604b3a98468"/>
    <n v="52"/>
    <s v="Male"/>
    <s v="Standard"/>
    <n v="5.03"/>
    <x v="17"/>
    <x v="1"/>
    <x v="3"/>
    <n v="13.99"/>
    <n v="0"/>
    <n v="0"/>
    <x v="2"/>
    <n v="5"/>
    <n v="1.01"/>
    <s v="Sci-Fi"/>
  </r>
  <r>
    <s v="0986188b-fb15-47a9-afc2-8a22c131768f"/>
    <n v="37"/>
    <s v="Female"/>
    <s v="Basic"/>
    <n v="25.43"/>
    <x v="59"/>
    <x v="0"/>
    <x v="3"/>
    <n v="8.99"/>
    <n v="0"/>
    <n v="0"/>
    <x v="0"/>
    <n v="4"/>
    <n v="4.24"/>
    <s v="Horror"/>
  </r>
  <r>
    <s v="51846af3-4ee8-4383-b77e-c7941ff99e4f"/>
    <n v="24"/>
    <s v="Female"/>
    <s v="Basic"/>
    <n v="5.59"/>
    <x v="25"/>
    <x v="5"/>
    <x v="4"/>
    <n v="8.99"/>
    <n v="0"/>
    <n v="0"/>
    <x v="1"/>
    <n v="5"/>
    <n v="5.59"/>
    <s v="Documentary"/>
  </r>
  <r>
    <s v="872edb94-4351-4086-b95a-9e27431cc43f"/>
    <n v="19"/>
    <s v="Male"/>
    <s v="Premium"/>
    <n v="11.32"/>
    <x v="43"/>
    <x v="2"/>
    <x v="3"/>
    <n v="17.989999999999998"/>
    <n v="0"/>
    <n v="0"/>
    <x v="2"/>
    <n v="4"/>
    <n v="0.35"/>
    <s v="Action"/>
  </r>
  <r>
    <s v="5387eb2d-2e8e-47aa-a12f-9202951e5f69"/>
    <n v="69"/>
    <s v="Male"/>
    <s v="Basic"/>
    <n v="1.1299999999999999"/>
    <x v="37"/>
    <x v="0"/>
    <x v="4"/>
    <n v="8.99"/>
    <n v="1"/>
    <n v="8.99"/>
    <x v="4"/>
    <n v="3"/>
    <n v="0.05"/>
    <s v="Romance"/>
  </r>
  <r>
    <s v="887211af-46f5-4170-b67d-ae4b857a3e02"/>
    <n v="40"/>
    <s v="Female"/>
    <s v="Standard"/>
    <n v="30.74"/>
    <x v="22"/>
    <x v="3"/>
    <x v="4"/>
    <n v="13.99"/>
    <n v="0"/>
    <n v="0"/>
    <x v="1"/>
    <n v="3"/>
    <n v="0.55000000000000004"/>
    <s v="Drama"/>
  </r>
  <r>
    <s v="19cef185-673b-4519-9fb2-cd85a59f6528"/>
    <n v="39"/>
    <s v="Other"/>
    <s v="Basic"/>
    <n v="16.77"/>
    <x v="26"/>
    <x v="4"/>
    <x v="2"/>
    <n v="8.99"/>
    <n v="1"/>
    <n v="8.99"/>
    <x v="4"/>
    <n v="1"/>
    <n v="0.34"/>
    <s v="Romance"/>
  </r>
  <r>
    <s v="398c5457-acaa-41b1-887c-eb2b44578430"/>
    <n v="51"/>
    <s v="Other"/>
    <s v="Basic"/>
    <n v="51.43"/>
    <x v="8"/>
    <x v="4"/>
    <x v="4"/>
    <n v="8.99"/>
    <n v="0"/>
    <n v="0"/>
    <x v="0"/>
    <n v="5"/>
    <n v="1.47"/>
    <s v="Horror"/>
  </r>
  <r>
    <s v="87224324-13d4-4c0c-b5a2-8f782c47cccd"/>
    <n v="52"/>
    <s v="Male"/>
    <s v="Standard"/>
    <n v="21.89"/>
    <x v="47"/>
    <x v="1"/>
    <x v="1"/>
    <n v="13.99"/>
    <n v="0"/>
    <n v="0"/>
    <x v="3"/>
    <n v="1"/>
    <n v="5.47"/>
    <s v="Horror"/>
  </r>
  <r>
    <s v="67cf164d-d961-4310-8646-8b5792f20876"/>
    <n v="70"/>
    <s v="Other"/>
    <s v="Premium"/>
    <n v="8.68"/>
    <x v="45"/>
    <x v="4"/>
    <x v="3"/>
    <n v="17.989999999999998"/>
    <n v="1"/>
    <n v="17.989999999999998"/>
    <x v="3"/>
    <n v="1"/>
    <n v="0.21"/>
    <s v="Horror"/>
  </r>
  <r>
    <s v="5c55ebb6-04ac-4d5d-9d7c-32ea910c88ba"/>
    <n v="70"/>
    <s v="Other"/>
    <s v="Standard"/>
    <n v="20.329999999999998"/>
    <x v="53"/>
    <x v="1"/>
    <x v="1"/>
    <n v="13.99"/>
    <n v="0"/>
    <n v="0"/>
    <x v="1"/>
    <n v="4"/>
    <n v="0.47"/>
    <s v="Documentary"/>
  </r>
  <r>
    <s v="de02cddd-08a6-42fe-99bc-06cc033f2bd5"/>
    <n v="68"/>
    <s v="Male"/>
    <s v="Premium"/>
    <n v="19.91"/>
    <x v="50"/>
    <x v="1"/>
    <x v="1"/>
    <n v="17.989999999999998"/>
    <n v="1"/>
    <n v="17.989999999999998"/>
    <x v="0"/>
    <n v="3"/>
    <n v="0.36"/>
    <s v="Horror"/>
  </r>
  <r>
    <s v="d625591a-3bbc-429e-a938-e0c608d79b57"/>
    <n v="32"/>
    <s v="Other"/>
    <s v="Standard"/>
    <n v="17.48"/>
    <x v="17"/>
    <x v="5"/>
    <x v="2"/>
    <n v="13.99"/>
    <n v="0"/>
    <n v="0"/>
    <x v="1"/>
    <n v="4"/>
    <n v="3.5"/>
    <s v="Horror"/>
  </r>
  <r>
    <s v="51902957-4d34-4297-ae4b-fb94b2467e14"/>
    <n v="43"/>
    <s v="Female"/>
    <s v="Basic"/>
    <n v="17.899999999999999"/>
    <x v="26"/>
    <x v="2"/>
    <x v="3"/>
    <n v="8.99"/>
    <n v="1"/>
    <n v="8.99"/>
    <x v="1"/>
    <n v="2"/>
    <n v="0.37"/>
    <s v="Documentary"/>
  </r>
  <r>
    <s v="42c50042-91a6-424a-b693-29d883255e61"/>
    <n v="28"/>
    <s v="Other"/>
    <s v="Standard"/>
    <n v="50.73"/>
    <x v="3"/>
    <x v="5"/>
    <x v="3"/>
    <n v="13.99"/>
    <n v="0"/>
    <n v="0"/>
    <x v="4"/>
    <n v="4"/>
    <n v="3.9"/>
    <s v="Documentary"/>
  </r>
  <r>
    <s v="5ad29c73-f218-4cb0-b44c-628973888c49"/>
    <n v="41"/>
    <s v="Male"/>
    <s v="Premium"/>
    <n v="60.32"/>
    <x v="33"/>
    <x v="2"/>
    <x v="0"/>
    <n v="17.989999999999998"/>
    <n v="0"/>
    <n v="0"/>
    <x v="3"/>
    <n v="5"/>
    <n v="2.3199999999999998"/>
    <s v="Comedy"/>
  </r>
  <r>
    <s v="226c0013-0f4e-437e-a087-e806934fc1fb"/>
    <n v="50"/>
    <s v="Other"/>
    <s v="Basic"/>
    <n v="6.53"/>
    <x v="1"/>
    <x v="1"/>
    <x v="1"/>
    <n v="8.99"/>
    <n v="0"/>
    <n v="0"/>
    <x v="1"/>
    <n v="5"/>
    <n v="0.33"/>
    <s v="Sci-Fi"/>
  </r>
  <r>
    <s v="5952e659-bab6-482a-96c4-f44b828be07a"/>
    <n v="59"/>
    <s v="Female"/>
    <s v="Premium"/>
    <n v="23.31"/>
    <x v="34"/>
    <x v="4"/>
    <x v="0"/>
    <n v="17.989999999999998"/>
    <n v="0"/>
    <n v="0"/>
    <x v="0"/>
    <n v="3"/>
    <n v="0.46"/>
    <s v="Comedy"/>
  </r>
  <r>
    <s v="07cbc13d-c375-4955-a2a8-15fd519c8740"/>
    <n v="51"/>
    <s v="Other"/>
    <s v="Premium"/>
    <n v="10.47"/>
    <x v="39"/>
    <x v="4"/>
    <x v="4"/>
    <n v="17.989999999999998"/>
    <n v="0"/>
    <n v="0"/>
    <x v="4"/>
    <n v="2"/>
    <n v="0.46"/>
    <s v="Horror"/>
  </r>
  <r>
    <s v="dbb5d434-8a56-41f9-87eb-1cf8dc563b1b"/>
    <n v="19"/>
    <s v="Male"/>
    <s v="Premium"/>
    <n v="5.34"/>
    <x v="47"/>
    <x v="5"/>
    <x v="4"/>
    <n v="17.989999999999998"/>
    <n v="0"/>
    <n v="0"/>
    <x v="2"/>
    <n v="1"/>
    <n v="1.33"/>
    <s v="Action"/>
  </r>
  <r>
    <s v="40f121cf-8cc7-4e5a-bf91-dfa99f774bca"/>
    <n v="25"/>
    <s v="Other"/>
    <s v="Standard"/>
    <n v="5.36"/>
    <x v="11"/>
    <x v="0"/>
    <x v="1"/>
    <n v="13.99"/>
    <n v="0"/>
    <n v="0"/>
    <x v="1"/>
    <n v="4"/>
    <n v="0.22"/>
    <s v="Comedy"/>
  </r>
  <r>
    <s v="4be265b7-f86a-4d63-913d-f15259bbc9ad"/>
    <n v="61"/>
    <s v="Other"/>
    <s v="Standard"/>
    <n v="19.489999999999998"/>
    <x v="49"/>
    <x v="2"/>
    <x v="0"/>
    <n v="13.99"/>
    <n v="0"/>
    <n v="0"/>
    <x v="3"/>
    <n v="1"/>
    <n v="1.95"/>
    <s v="Drama"/>
  </r>
  <r>
    <s v="4b9cde42-026c-4e54-a2d5-c417ffca15ac"/>
    <n v="39"/>
    <s v="Other"/>
    <s v="Standard"/>
    <n v="14.12"/>
    <x v="3"/>
    <x v="1"/>
    <x v="3"/>
    <n v="13.99"/>
    <n v="0"/>
    <n v="0"/>
    <x v="4"/>
    <n v="5"/>
    <n v="1.0900000000000001"/>
    <s v="Documentary"/>
  </r>
  <r>
    <s v="cd892f9f-b0e1-4c18-b7da-e733c906f25a"/>
    <n v="53"/>
    <s v="Male"/>
    <s v="Basic"/>
    <n v="7.21"/>
    <x v="23"/>
    <x v="5"/>
    <x v="1"/>
    <n v="8.99"/>
    <n v="1"/>
    <n v="8.99"/>
    <x v="4"/>
    <n v="3"/>
    <n v="0.13"/>
    <s v="Comedy"/>
  </r>
  <r>
    <s v="207339d4-84f7-4562-aeab-481ca61807c6"/>
    <n v="21"/>
    <s v="Male"/>
    <s v="Basic"/>
    <n v="24.12"/>
    <x v="20"/>
    <x v="4"/>
    <x v="2"/>
    <n v="8.99"/>
    <n v="0"/>
    <n v="0"/>
    <x v="1"/>
    <n v="1"/>
    <n v="1.27"/>
    <s v="Action"/>
  </r>
  <r>
    <s v="755f3ee0-6334-4300-8117-dd9d43d6b113"/>
    <n v="42"/>
    <s v="Other"/>
    <s v="Premium"/>
    <n v="13.25"/>
    <x v="0"/>
    <x v="0"/>
    <x v="3"/>
    <n v="17.989999999999998"/>
    <n v="0"/>
    <n v="0"/>
    <x v="3"/>
    <n v="4"/>
    <n v="0.44"/>
    <s v="Romance"/>
  </r>
  <r>
    <s v="5cd4bc7f-42fe-4ca5-8903-f154b5473974"/>
    <n v="65"/>
    <s v="Other"/>
    <s v="Basic"/>
    <n v="0.39"/>
    <x v="47"/>
    <x v="3"/>
    <x v="3"/>
    <n v="8.99"/>
    <n v="1"/>
    <n v="8.99"/>
    <x v="3"/>
    <n v="2"/>
    <n v="0.1"/>
    <s v="Action"/>
  </r>
  <r>
    <s v="803b8187-d2cd-405e-9016-a8aa418384e1"/>
    <n v="18"/>
    <s v="Male"/>
    <s v="Basic"/>
    <n v="32.68"/>
    <x v="56"/>
    <x v="0"/>
    <x v="0"/>
    <n v="8.99"/>
    <n v="0"/>
    <n v="0"/>
    <x v="0"/>
    <n v="5"/>
    <n v="0.55000000000000004"/>
    <s v="Romance"/>
  </r>
  <r>
    <s v="61ed2c75-3159-4640-9a7f-adbdcd9f6144"/>
    <n v="45"/>
    <s v="Other"/>
    <s v="Standard"/>
    <n v="12.64"/>
    <x v="12"/>
    <x v="5"/>
    <x v="3"/>
    <n v="13.99"/>
    <n v="1"/>
    <n v="13.99"/>
    <x v="1"/>
    <n v="4"/>
    <n v="0.37"/>
    <s v="Romance"/>
  </r>
  <r>
    <s v="47ef1fd4-7788-481e-829c-abd737dbd61f"/>
    <n v="19"/>
    <s v="Female"/>
    <s v="Premium"/>
    <n v="1.8"/>
    <x v="17"/>
    <x v="0"/>
    <x v="4"/>
    <n v="17.989999999999998"/>
    <n v="0"/>
    <n v="0"/>
    <x v="2"/>
    <n v="2"/>
    <n v="0.36"/>
    <s v="Documentary"/>
  </r>
  <r>
    <s v="2820c5f3-3394-45aa-930f-e4e26a781c66"/>
    <n v="45"/>
    <s v="Other"/>
    <s v="Premium"/>
    <n v="21.12"/>
    <x v="16"/>
    <x v="3"/>
    <x v="3"/>
    <n v="17.989999999999998"/>
    <n v="0"/>
    <n v="0"/>
    <x v="4"/>
    <n v="5"/>
    <n v="0.75"/>
    <s v="Drama"/>
  </r>
  <r>
    <s v="3080b07c-545a-4370-9485-b288de08764f"/>
    <n v="24"/>
    <s v="Female"/>
    <s v="Standard"/>
    <n v="1.68"/>
    <x v="29"/>
    <x v="2"/>
    <x v="1"/>
    <n v="13.99"/>
    <n v="1"/>
    <n v="13.99"/>
    <x v="4"/>
    <n v="3"/>
    <n v="0.04"/>
    <s v="Comedy"/>
  </r>
  <r>
    <s v="c0874a78-dcb0-4a64-b41d-1995f7c54cab"/>
    <n v="48"/>
    <s v="Other"/>
    <s v="Standard"/>
    <n v="3.22"/>
    <x v="12"/>
    <x v="2"/>
    <x v="3"/>
    <n v="13.99"/>
    <n v="1"/>
    <n v="13.99"/>
    <x v="3"/>
    <n v="1"/>
    <n v="0.09"/>
    <s v="Comedy"/>
  </r>
  <r>
    <s v="c2edf117-ec72-4ee9-bf3c-bb67ea3ce636"/>
    <n v="67"/>
    <s v="Female"/>
    <s v="Basic"/>
    <n v="8.0299999999999994"/>
    <x v="8"/>
    <x v="2"/>
    <x v="3"/>
    <n v="8.99"/>
    <n v="1"/>
    <n v="8.99"/>
    <x v="1"/>
    <n v="1"/>
    <n v="0.23"/>
    <s v="Romance"/>
  </r>
  <r>
    <s v="8eebe75f-d578-48f5-9c59-5a5864dfa1c2"/>
    <n v="41"/>
    <s v="Female"/>
    <s v="Basic"/>
    <n v="7.36"/>
    <x v="41"/>
    <x v="4"/>
    <x v="0"/>
    <n v="8.99"/>
    <n v="0"/>
    <n v="0"/>
    <x v="3"/>
    <n v="3"/>
    <n v="0.24"/>
    <s v="Drama"/>
  </r>
  <r>
    <s v="d87c00e4-e192-46ea-a7cf-353a90d06715"/>
    <n v="35"/>
    <s v="Female"/>
    <s v="Premium"/>
    <n v="1.84"/>
    <x v="41"/>
    <x v="2"/>
    <x v="3"/>
    <n v="17.989999999999998"/>
    <n v="1"/>
    <n v="17.989999999999998"/>
    <x v="1"/>
    <n v="3"/>
    <n v="0.06"/>
    <s v="Horror"/>
  </r>
  <r>
    <s v="10d5f159-a06d-4c0b-8ca6-20231beefa15"/>
    <n v="50"/>
    <s v="Female"/>
    <s v="Standard"/>
    <n v="19.48"/>
    <x v="52"/>
    <x v="1"/>
    <x v="2"/>
    <n v="13.99"/>
    <n v="1"/>
    <n v="13.99"/>
    <x v="0"/>
    <n v="3"/>
    <n v="0.39"/>
    <s v="Comedy"/>
  </r>
  <r>
    <s v="7ffed6ac-db02-4e27-9368-551fb7b66687"/>
    <n v="24"/>
    <s v="Male"/>
    <s v="Premium"/>
    <n v="33.35"/>
    <x v="10"/>
    <x v="0"/>
    <x v="0"/>
    <n v="17.989999999999998"/>
    <n v="0"/>
    <n v="0"/>
    <x v="4"/>
    <n v="1"/>
    <n v="0.86"/>
    <s v="Documentary"/>
  </r>
  <r>
    <s v="c8a454e7-9cfd-41de-a06e-f0251becf007"/>
    <n v="30"/>
    <s v="Female"/>
    <s v="Premium"/>
    <n v="3.63"/>
    <x v="28"/>
    <x v="1"/>
    <x v="3"/>
    <n v="17.989999999999998"/>
    <n v="1"/>
    <n v="17.989999999999998"/>
    <x v="3"/>
    <n v="3"/>
    <n v="0.1"/>
    <s v="Drama"/>
  </r>
  <r>
    <s v="2f7bc8a8-1433-4c9e-976d-02584059d9c4"/>
    <n v="44"/>
    <s v="Female"/>
    <s v="Premium"/>
    <n v="15.31"/>
    <x v="5"/>
    <x v="5"/>
    <x v="0"/>
    <n v="17.989999999999998"/>
    <n v="0"/>
    <n v="0"/>
    <x v="1"/>
    <n v="5"/>
    <n v="0.56999999999999995"/>
    <s v="Sci-Fi"/>
  </r>
  <r>
    <s v="724af657-0df2-4775-8850-9e3cd124f620"/>
    <n v="61"/>
    <s v="Female"/>
    <s v="Basic"/>
    <n v="14.55"/>
    <x v="42"/>
    <x v="4"/>
    <x v="2"/>
    <n v="8.99"/>
    <n v="1"/>
    <n v="8.99"/>
    <x v="0"/>
    <n v="2"/>
    <n v="0.38"/>
    <s v="Documentary"/>
  </r>
  <r>
    <s v="5c4b45aa-9549-406c-9b5a-efbc6faf2a36"/>
    <n v="43"/>
    <s v="Female"/>
    <s v="Standard"/>
    <n v="19.95"/>
    <x v="15"/>
    <x v="5"/>
    <x v="2"/>
    <n v="13.99"/>
    <n v="1"/>
    <n v="13.99"/>
    <x v="3"/>
    <n v="1"/>
    <n v="0.49"/>
    <s v="Horror"/>
  </r>
  <r>
    <s v="19ff99c9-4347-4ec5-9ba7-d9680a0268a6"/>
    <n v="54"/>
    <s v="Other"/>
    <s v="Basic"/>
    <n v="9.92"/>
    <x v="16"/>
    <x v="2"/>
    <x v="2"/>
    <n v="8.99"/>
    <n v="1"/>
    <n v="8.99"/>
    <x v="4"/>
    <n v="1"/>
    <n v="0.35"/>
    <s v="Drama"/>
  </r>
  <r>
    <s v="f933c9ef-6e58-4e70-b20d-e7d40e7c0ea2"/>
    <n v="39"/>
    <s v="Female"/>
    <s v="Standard"/>
    <n v="1.72"/>
    <x v="37"/>
    <x v="2"/>
    <x v="4"/>
    <n v="13.99"/>
    <n v="1"/>
    <n v="13.99"/>
    <x v="0"/>
    <n v="5"/>
    <n v="7.0000000000000007E-2"/>
    <s v="Drama"/>
  </r>
  <r>
    <s v="e334edac-479f-4209-a523-985d5244f439"/>
    <n v="43"/>
    <s v="Female"/>
    <s v="Standard"/>
    <n v="8.4499999999999993"/>
    <x v="6"/>
    <x v="0"/>
    <x v="2"/>
    <n v="13.99"/>
    <n v="0"/>
    <n v="0"/>
    <x v="0"/>
    <n v="3"/>
    <n v="0.4"/>
    <s v="Documentary"/>
  </r>
  <r>
    <s v="76cf661d-95cb-4b43-bd4e-a2fb1e1ca16c"/>
    <n v="26"/>
    <s v="Other"/>
    <s v="Standard"/>
    <n v="13.02"/>
    <x v="45"/>
    <x v="5"/>
    <x v="4"/>
    <n v="13.99"/>
    <n v="1"/>
    <n v="13.99"/>
    <x v="1"/>
    <n v="1"/>
    <n v="0.31"/>
    <s v="Sci-Fi"/>
  </r>
  <r>
    <s v="2736897f-a383-4813-bb71-2a3b303dc1be"/>
    <n v="22"/>
    <s v="Male"/>
    <s v="Standard"/>
    <n v="0.12"/>
    <x v="17"/>
    <x v="2"/>
    <x v="2"/>
    <n v="13.99"/>
    <n v="0"/>
    <n v="0"/>
    <x v="3"/>
    <n v="5"/>
    <n v="0.02"/>
    <s v="Drama"/>
  </r>
  <r>
    <s v="d178f7f4-f66b-4f59-8ab8-d15e9b51a915"/>
    <n v="32"/>
    <s v="Male"/>
    <s v="Standard"/>
    <n v="5.6"/>
    <x v="35"/>
    <x v="1"/>
    <x v="1"/>
    <n v="13.99"/>
    <n v="1"/>
    <n v="13.99"/>
    <x v="3"/>
    <n v="3"/>
    <n v="0.12"/>
    <s v="Horror"/>
  </r>
  <r>
    <s v="14505c8a-5d16-4808-8a62-75fcdfbb28d1"/>
    <n v="28"/>
    <s v="Other"/>
    <s v="Premium"/>
    <n v="0.68"/>
    <x v="23"/>
    <x v="5"/>
    <x v="2"/>
    <n v="17.989999999999998"/>
    <n v="1"/>
    <n v="17.989999999999998"/>
    <x v="1"/>
    <n v="1"/>
    <n v="0.01"/>
    <s v="Comedy"/>
  </r>
  <r>
    <s v="a20bd2c0-01c9-46f2-883e-addc3a0b0ab3"/>
    <n v="50"/>
    <s v="Male"/>
    <s v="Standard"/>
    <n v="1.96"/>
    <x v="57"/>
    <x v="3"/>
    <x v="2"/>
    <n v="13.99"/>
    <n v="1"/>
    <n v="13.99"/>
    <x v="1"/>
    <n v="2"/>
    <n v="0.03"/>
    <s v="Horror"/>
  </r>
  <r>
    <s v="3a85cb4f-fbe6-43cd-9e48-561e968a38ba"/>
    <n v="25"/>
    <s v="Other"/>
    <s v="Basic"/>
    <n v="6.38"/>
    <x v="56"/>
    <x v="1"/>
    <x v="3"/>
    <n v="8.99"/>
    <n v="1"/>
    <n v="8.99"/>
    <x v="3"/>
    <n v="3"/>
    <n v="0.11"/>
    <s v="Documentary"/>
  </r>
  <r>
    <s v="df6931fb-0022-4c8a-a665-d7a6fa7e896d"/>
    <n v="46"/>
    <s v="Female"/>
    <s v="Premium"/>
    <n v="0.5"/>
    <x v="48"/>
    <x v="4"/>
    <x v="4"/>
    <n v="17.989999999999998"/>
    <n v="1"/>
    <n v="17.989999999999998"/>
    <x v="2"/>
    <n v="4"/>
    <n v="0.01"/>
    <s v="Comedy"/>
  </r>
  <r>
    <s v="a4cfac30-906c-46c6-9613-799375ab5c8a"/>
    <n v="69"/>
    <s v="Other"/>
    <s v="Premium"/>
    <n v="15.94"/>
    <x v="9"/>
    <x v="4"/>
    <x v="2"/>
    <n v="17.989999999999998"/>
    <n v="1"/>
    <n v="17.989999999999998"/>
    <x v="2"/>
    <n v="2"/>
    <n v="0.43"/>
    <s v="Drama"/>
  </r>
  <r>
    <s v="4accb3d6-cb3e-4912-955e-5c7ab5b2f60a"/>
    <n v="57"/>
    <s v="Female"/>
    <s v="Basic"/>
    <n v="0.71"/>
    <x v="53"/>
    <x v="5"/>
    <x v="0"/>
    <n v="8.99"/>
    <n v="1"/>
    <n v="8.99"/>
    <x v="2"/>
    <n v="4"/>
    <n v="0.02"/>
    <s v="Sci-Fi"/>
  </r>
  <r>
    <s v="ee1c6064-32f6-488d-b0c5-e7ff7fc46d64"/>
    <n v="37"/>
    <s v="Other"/>
    <s v="Premium"/>
    <n v="1.32"/>
    <x v="58"/>
    <x v="5"/>
    <x v="3"/>
    <n v="17.989999999999998"/>
    <n v="1"/>
    <n v="17.989999999999998"/>
    <x v="3"/>
    <n v="3"/>
    <n v="0.03"/>
    <s v="Drama"/>
  </r>
  <r>
    <s v="d3b41960-c2b4-4bf5-92cb-243fd3dd3839"/>
    <n v="66"/>
    <s v="Female"/>
    <s v="Basic"/>
    <n v="37.6"/>
    <x v="28"/>
    <x v="4"/>
    <x v="1"/>
    <n v="8.99"/>
    <n v="0"/>
    <n v="0"/>
    <x v="0"/>
    <n v="3"/>
    <n v="1.04"/>
    <s v="Comedy"/>
  </r>
  <r>
    <s v="88007999-8185-4c2c-8bb7-019af9a4268a"/>
    <n v="44"/>
    <s v="Female"/>
    <s v="Standard"/>
    <n v="2.69"/>
    <x v="3"/>
    <x v="0"/>
    <x v="1"/>
    <n v="13.99"/>
    <n v="0"/>
    <n v="0"/>
    <x v="4"/>
    <n v="5"/>
    <n v="0.21"/>
    <s v="Sci-Fi"/>
  </r>
  <r>
    <s v="bbc959b5-3e2d-486d-afe6-f5604ccd8353"/>
    <n v="66"/>
    <s v="Male"/>
    <s v="Basic"/>
    <n v="5.07"/>
    <x v="10"/>
    <x v="5"/>
    <x v="1"/>
    <n v="8.99"/>
    <n v="1"/>
    <n v="8.99"/>
    <x v="3"/>
    <n v="5"/>
    <n v="0.13"/>
    <s v="Sci-Fi"/>
  </r>
  <r>
    <s v="c7070081-a154-4414-b413-bef90b05e624"/>
    <n v="39"/>
    <s v="Female"/>
    <s v="Premium"/>
    <n v="15.78"/>
    <x v="33"/>
    <x v="3"/>
    <x v="2"/>
    <n v="17.989999999999998"/>
    <n v="0"/>
    <n v="0"/>
    <x v="0"/>
    <n v="4"/>
    <n v="0.61"/>
    <s v="Romance"/>
  </r>
  <r>
    <s v="0048f001-a72c-4307-8f2d-3820bdf4ed80"/>
    <n v="63"/>
    <s v="Female"/>
    <s v="Premium"/>
    <n v="9.84"/>
    <x v="44"/>
    <x v="4"/>
    <x v="1"/>
    <n v="17.989999999999998"/>
    <n v="1"/>
    <n v="17.989999999999998"/>
    <x v="3"/>
    <n v="2"/>
    <n v="0.21"/>
    <s v="Romance"/>
  </r>
  <r>
    <s v="37d89df6-e945-4365-b6bf-f153ff42dba6"/>
    <n v="39"/>
    <s v="Male"/>
    <s v="Basic"/>
    <n v="0.21"/>
    <x v="36"/>
    <x v="4"/>
    <x v="2"/>
    <n v="8.99"/>
    <n v="1"/>
    <n v="8.99"/>
    <x v="3"/>
    <n v="3"/>
    <n v="0.01"/>
    <s v="Action"/>
  </r>
  <r>
    <s v="81264692-e2fd-4344-9f2b-0826d6bb7edf"/>
    <n v="62"/>
    <s v="Male"/>
    <s v="Standard"/>
    <n v="9.15"/>
    <x v="22"/>
    <x v="5"/>
    <x v="4"/>
    <n v="13.99"/>
    <n v="1"/>
    <n v="13.99"/>
    <x v="0"/>
    <n v="5"/>
    <n v="0.16"/>
    <s v="Sci-Fi"/>
  </r>
  <r>
    <s v="0b23f53c-b88a-4f84-9ad7-a5c6c58468c1"/>
    <n v="63"/>
    <s v="Female"/>
    <s v="Standard"/>
    <n v="3.86"/>
    <x v="32"/>
    <x v="1"/>
    <x v="1"/>
    <n v="13.99"/>
    <n v="1"/>
    <n v="13.99"/>
    <x v="1"/>
    <n v="5"/>
    <n v="0.26"/>
    <s v="Documentary"/>
  </r>
  <r>
    <s v="baf77c0b-ae75-441e-a9ca-10dcb0ca8a86"/>
    <n v="33"/>
    <s v="Female"/>
    <s v="Standard"/>
    <n v="6.82"/>
    <x v="51"/>
    <x v="0"/>
    <x v="4"/>
    <n v="13.99"/>
    <n v="0"/>
    <n v="0"/>
    <x v="3"/>
    <n v="3"/>
    <n v="0.38"/>
    <s v="Sci-Fi"/>
  </r>
  <r>
    <s v="e6f30248-cada-456a-9bad-60136760979b"/>
    <n v="18"/>
    <s v="Female"/>
    <s v="Premium"/>
    <n v="11.82"/>
    <x v="55"/>
    <x v="0"/>
    <x v="2"/>
    <n v="17.989999999999998"/>
    <n v="1"/>
    <n v="17.989999999999998"/>
    <x v="4"/>
    <n v="2"/>
    <n v="0.2"/>
    <s v="Drama"/>
  </r>
  <r>
    <s v="07b6de05-0028-418a-9e1c-09a345bd813c"/>
    <n v="68"/>
    <s v="Female"/>
    <s v="Standard"/>
    <n v="6.49"/>
    <x v="21"/>
    <x v="4"/>
    <x v="3"/>
    <n v="13.99"/>
    <n v="0"/>
    <n v="0"/>
    <x v="4"/>
    <n v="1"/>
    <n v="0.93"/>
    <s v="Drama"/>
  </r>
  <r>
    <s v="a07f537a-651f-4bfd-894c-91d437fe5a2f"/>
    <n v="20"/>
    <s v="Male"/>
    <s v="Premium"/>
    <n v="2.04"/>
    <x v="24"/>
    <x v="0"/>
    <x v="2"/>
    <n v="17.989999999999998"/>
    <n v="1"/>
    <n v="17.989999999999998"/>
    <x v="2"/>
    <n v="5"/>
    <n v="0.04"/>
    <s v="Action"/>
  </r>
  <r>
    <s v="49d28e48-9b37-4e3d-b921-06b3c1ff01f3"/>
    <n v="62"/>
    <s v="Other"/>
    <s v="Basic"/>
    <n v="18.420000000000002"/>
    <x v="29"/>
    <x v="5"/>
    <x v="3"/>
    <n v="8.99"/>
    <n v="1"/>
    <n v="8.99"/>
    <x v="2"/>
    <n v="3"/>
    <n v="0.4"/>
    <s v="Documentary"/>
  </r>
  <r>
    <s v="005bfa8f-2b5b-4b77-8285-3bf38fc632da"/>
    <n v="24"/>
    <s v="Female"/>
    <s v="Premium"/>
    <n v="0.98"/>
    <x v="44"/>
    <x v="1"/>
    <x v="2"/>
    <n v="17.989999999999998"/>
    <n v="1"/>
    <n v="17.989999999999998"/>
    <x v="2"/>
    <n v="4"/>
    <n v="0.02"/>
    <s v="Romance"/>
  </r>
  <r>
    <s v="6463ec75-e456-45e7-8cfb-a377f3842234"/>
    <n v="39"/>
    <s v="Female"/>
    <s v="Premium"/>
    <n v="17.260000000000002"/>
    <x v="38"/>
    <x v="4"/>
    <x v="0"/>
    <n v="17.989999999999998"/>
    <n v="0"/>
    <n v="0"/>
    <x v="2"/>
    <n v="5"/>
    <n v="0.78"/>
    <s v="Documentary"/>
  </r>
  <r>
    <s v="acccbbd5-848f-4151-a9e8-33e653d4e494"/>
    <n v="46"/>
    <s v="Other"/>
    <s v="Standard"/>
    <n v="4"/>
    <x v="53"/>
    <x v="2"/>
    <x v="2"/>
    <n v="13.99"/>
    <n v="1"/>
    <n v="13.99"/>
    <x v="4"/>
    <n v="3"/>
    <n v="0.09"/>
    <s v="Comedy"/>
  </r>
  <r>
    <s v="31f056a8-4f89-4d97-a971-d157f79285c2"/>
    <n v="38"/>
    <s v="Female"/>
    <s v="Standard"/>
    <n v="47.25"/>
    <x v="3"/>
    <x v="0"/>
    <x v="2"/>
    <n v="13.99"/>
    <n v="0"/>
    <n v="0"/>
    <x v="0"/>
    <n v="1"/>
    <n v="3.63"/>
    <s v="Documentary"/>
  </r>
  <r>
    <s v="86222aa8-5671-4c15-b626-a0b47e66afcf"/>
    <n v="30"/>
    <s v="Male"/>
    <s v="Premium"/>
    <n v="2.19"/>
    <x v="37"/>
    <x v="2"/>
    <x v="2"/>
    <n v="17.989999999999998"/>
    <n v="1"/>
    <n v="17.989999999999998"/>
    <x v="0"/>
    <n v="5"/>
    <n v="0.09"/>
    <s v="Romance"/>
  </r>
  <r>
    <s v="3a338129-8b57-498d-b986-04c650132c87"/>
    <n v="29"/>
    <s v="Other"/>
    <s v="Basic"/>
    <n v="7.83"/>
    <x v="36"/>
    <x v="3"/>
    <x v="1"/>
    <n v="8.99"/>
    <n v="1"/>
    <n v="8.99"/>
    <x v="3"/>
    <n v="1"/>
    <n v="0.2"/>
    <s v="Romance"/>
  </r>
  <r>
    <s v="119a8e37-6e68-4055-b5bb-012e97bc9ffb"/>
    <n v="66"/>
    <s v="Other"/>
    <s v="Premium"/>
    <n v="8.07"/>
    <x v="6"/>
    <x v="0"/>
    <x v="3"/>
    <n v="17.989999999999998"/>
    <n v="0"/>
    <n v="0"/>
    <x v="0"/>
    <n v="5"/>
    <n v="0.38"/>
    <s v="Romance"/>
  </r>
  <r>
    <s v="8cb6d729-372a-415e-a63f-7460bf042fb5"/>
    <n v="54"/>
    <s v="Female"/>
    <s v="Standard"/>
    <n v="9.9700000000000006"/>
    <x v="46"/>
    <x v="2"/>
    <x v="4"/>
    <n v="13.99"/>
    <n v="0"/>
    <n v="0"/>
    <x v="2"/>
    <n v="2"/>
    <n v="3.32"/>
    <s v="Romance"/>
  </r>
  <r>
    <s v="6cdf0799-8c0c-40af-8522-41cb8dedbd76"/>
    <n v="37"/>
    <s v="Male"/>
    <s v="Standard"/>
    <n v="5.47"/>
    <x v="36"/>
    <x v="2"/>
    <x v="0"/>
    <n v="13.99"/>
    <n v="1"/>
    <n v="13.99"/>
    <x v="0"/>
    <n v="2"/>
    <n v="0.14000000000000001"/>
    <s v="Horror"/>
  </r>
  <r>
    <s v="fd0ef1ea-371a-4e71-8fb7-c9a05f7ccd03"/>
    <n v="41"/>
    <s v="Other"/>
    <s v="Premium"/>
    <n v="0.87"/>
    <x v="12"/>
    <x v="4"/>
    <x v="4"/>
    <n v="17.989999999999998"/>
    <n v="1"/>
    <n v="17.989999999999998"/>
    <x v="3"/>
    <n v="4"/>
    <n v="0.03"/>
    <s v="Documentary"/>
  </r>
  <r>
    <s v="0d84a40e-1adf-46a9-850f-312e3efd401b"/>
    <n v="47"/>
    <s v="Male"/>
    <s v="Standard"/>
    <n v="13.37"/>
    <x v="44"/>
    <x v="2"/>
    <x v="1"/>
    <n v="13.99"/>
    <n v="1"/>
    <n v="13.99"/>
    <x v="1"/>
    <n v="3"/>
    <n v="0.28000000000000003"/>
    <s v="Sci-Fi"/>
  </r>
  <r>
    <s v="3fede56d-0d7a-4aa2-93b7-acc1341f620b"/>
    <n v="41"/>
    <s v="Female"/>
    <s v="Premium"/>
    <n v="0.43"/>
    <x v="57"/>
    <x v="1"/>
    <x v="2"/>
    <n v="17.989999999999998"/>
    <n v="1"/>
    <n v="17.989999999999998"/>
    <x v="2"/>
    <n v="3"/>
    <n v="0.01"/>
    <s v="Action"/>
  </r>
  <r>
    <s v="c55bd57e-3c4f-495c-be97-d55c21b22f6f"/>
    <n v="18"/>
    <s v="Other"/>
    <s v="Premium"/>
    <n v="8.3000000000000007"/>
    <x v="45"/>
    <x v="3"/>
    <x v="1"/>
    <n v="17.989999999999998"/>
    <n v="1"/>
    <n v="17.989999999999998"/>
    <x v="1"/>
    <n v="5"/>
    <n v="0.2"/>
    <s v="Romance"/>
  </r>
  <r>
    <s v="7b4e29be-baa8-42c4-a7e8-3a707d8ef336"/>
    <n v="69"/>
    <s v="Female"/>
    <s v="Basic"/>
    <n v="40.159999999999997"/>
    <x v="27"/>
    <x v="2"/>
    <x v="0"/>
    <n v="8.99"/>
    <n v="0"/>
    <n v="0"/>
    <x v="2"/>
    <n v="4"/>
    <n v="2.36"/>
    <s v="Drama"/>
  </r>
  <r>
    <s v="00e9f683-9379-4296-a5a6-76bc2c9dd117"/>
    <n v="58"/>
    <s v="Female"/>
    <s v="Premium"/>
    <n v="0.45"/>
    <x v="13"/>
    <x v="3"/>
    <x v="0"/>
    <n v="17.989999999999998"/>
    <n v="1"/>
    <n v="17.989999999999998"/>
    <x v="1"/>
    <n v="1"/>
    <n v="0.06"/>
    <s v="Sci-Fi"/>
  </r>
  <r>
    <s v="3c9f262f-a793-4935-8967-c74dbadf9938"/>
    <n v="65"/>
    <s v="Female"/>
    <s v="Standard"/>
    <n v="45.1"/>
    <x v="56"/>
    <x v="0"/>
    <x v="4"/>
    <n v="13.99"/>
    <n v="0"/>
    <n v="0"/>
    <x v="4"/>
    <n v="3"/>
    <n v="0.76"/>
    <s v="Romance"/>
  </r>
  <r>
    <s v="a70e3fc7-66f5-4ab7-ac53-4875558a9a48"/>
    <n v="24"/>
    <s v="Other"/>
    <s v="Premium"/>
    <n v="15.55"/>
    <x v="41"/>
    <x v="0"/>
    <x v="4"/>
    <n v="17.989999999999998"/>
    <n v="0"/>
    <n v="0"/>
    <x v="0"/>
    <n v="1"/>
    <n v="0.5"/>
    <s v="Horror"/>
  </r>
  <r>
    <s v="fb35081c-372b-46f2-afb1-a239c1ca535b"/>
    <n v="65"/>
    <s v="Other"/>
    <s v="Standard"/>
    <n v="1.64"/>
    <x v="31"/>
    <x v="4"/>
    <x v="4"/>
    <n v="13.99"/>
    <n v="1"/>
    <n v="13.99"/>
    <x v="1"/>
    <n v="2"/>
    <n v="0.1"/>
    <s v="Horror"/>
  </r>
  <r>
    <s v="c214a79d-72d0-4384-8a5a-619721b76c8e"/>
    <n v="27"/>
    <s v="Other"/>
    <s v="Premium"/>
    <n v="2.2999999999999998"/>
    <x v="30"/>
    <x v="1"/>
    <x v="1"/>
    <n v="17.989999999999998"/>
    <n v="0"/>
    <n v="0"/>
    <x v="4"/>
    <n v="5"/>
    <n v="1.1499999999999999"/>
    <s v="Romance"/>
  </r>
  <r>
    <s v="0090f79e-a776-489a-9112-5f71e7870f94"/>
    <n v="53"/>
    <s v="Female"/>
    <s v="Standard"/>
    <n v="0.89"/>
    <x v="53"/>
    <x v="1"/>
    <x v="0"/>
    <n v="13.99"/>
    <n v="1"/>
    <n v="13.99"/>
    <x v="4"/>
    <n v="3"/>
    <n v="0.02"/>
    <s v="Romance"/>
  </r>
  <r>
    <s v="df3978cc-64e6-4e40-9cd3-10a6a5dda843"/>
    <n v="22"/>
    <s v="Female"/>
    <s v="Premium"/>
    <n v="26.78"/>
    <x v="10"/>
    <x v="1"/>
    <x v="3"/>
    <n v="17.989999999999998"/>
    <n v="0"/>
    <n v="0"/>
    <x v="3"/>
    <n v="4"/>
    <n v="0.69"/>
    <s v="Comedy"/>
  </r>
  <r>
    <s v="174b96de-7b2d-4934-a5a0-35ba2d435c5a"/>
    <n v="63"/>
    <s v="Female"/>
    <s v="Premium"/>
    <n v="2.81"/>
    <x v="25"/>
    <x v="4"/>
    <x v="4"/>
    <n v="17.989999999999998"/>
    <n v="0"/>
    <n v="0"/>
    <x v="0"/>
    <n v="5"/>
    <n v="2.81"/>
    <s v="Drama"/>
  </r>
  <r>
    <s v="69aedea2-3081-4c29-805a-c76edff4c5a3"/>
    <n v="29"/>
    <s v="Female"/>
    <s v="Standard"/>
    <n v="3.69"/>
    <x v="30"/>
    <x v="5"/>
    <x v="4"/>
    <n v="13.99"/>
    <n v="0"/>
    <n v="0"/>
    <x v="4"/>
    <n v="1"/>
    <n v="1.84"/>
    <s v="Documentary"/>
  </r>
  <r>
    <s v="0bd8dee5-47a9-4349-9d55-e109f81d4394"/>
    <n v="62"/>
    <s v="Male"/>
    <s v="Standard"/>
    <n v="27.16"/>
    <x v="29"/>
    <x v="1"/>
    <x v="3"/>
    <n v="13.99"/>
    <n v="0"/>
    <n v="0"/>
    <x v="4"/>
    <n v="2"/>
    <n v="0.59"/>
    <s v="Comedy"/>
  </r>
  <r>
    <s v="593b2af6-e882-4129-8c49-1deddd7278fb"/>
    <n v="34"/>
    <s v="Male"/>
    <s v="Standard"/>
    <n v="15.02"/>
    <x v="4"/>
    <x v="1"/>
    <x v="1"/>
    <n v="13.99"/>
    <n v="0"/>
    <n v="0"/>
    <x v="3"/>
    <n v="2"/>
    <n v="1.07"/>
    <s v="Romance"/>
  </r>
  <r>
    <s v="cfe10e0f-1aac-495b-b869-4af2359dbb3a"/>
    <n v="21"/>
    <s v="Other"/>
    <s v="Standard"/>
    <n v="3.18"/>
    <x v="45"/>
    <x v="1"/>
    <x v="2"/>
    <n v="13.99"/>
    <n v="1"/>
    <n v="13.99"/>
    <x v="3"/>
    <n v="1"/>
    <n v="0.08"/>
    <s v="Documentary"/>
  </r>
  <r>
    <s v="a65d3fbe-d5b0-4ac7-840c-fdca8d9a9379"/>
    <n v="53"/>
    <s v="Male"/>
    <s v="Basic"/>
    <n v="79.83"/>
    <x v="16"/>
    <x v="3"/>
    <x v="0"/>
    <n v="8.99"/>
    <n v="0"/>
    <n v="0"/>
    <x v="0"/>
    <n v="3"/>
    <n v="2.85"/>
    <s v="Sci-Fi"/>
  </r>
  <r>
    <s v="3fa23200-518c-4593-983c-1114bf8ee2e7"/>
    <n v="63"/>
    <s v="Other"/>
    <s v="Standard"/>
    <n v="3.13"/>
    <x v="29"/>
    <x v="5"/>
    <x v="2"/>
    <n v="13.99"/>
    <n v="1"/>
    <n v="13.99"/>
    <x v="0"/>
    <n v="2"/>
    <n v="7.0000000000000007E-2"/>
    <s v="Sci-Fi"/>
  </r>
  <r>
    <s v="75994c2a-9f9a-4701-b51d-ad8b7e3787cb"/>
    <n v="65"/>
    <s v="Male"/>
    <s v="Standard"/>
    <n v="15.33"/>
    <x v="51"/>
    <x v="5"/>
    <x v="3"/>
    <n v="13.99"/>
    <n v="0"/>
    <n v="0"/>
    <x v="0"/>
    <n v="1"/>
    <n v="0.85"/>
    <s v="Sci-Fi"/>
  </r>
  <r>
    <s v="b96865dc-ec6f-42ff-8d8b-9a0bf7d5b6be"/>
    <n v="45"/>
    <s v="Male"/>
    <s v="Standard"/>
    <n v="2.69"/>
    <x v="60"/>
    <x v="2"/>
    <x v="4"/>
    <n v="13.99"/>
    <n v="1"/>
    <n v="13.99"/>
    <x v="1"/>
    <n v="3"/>
    <n v="0.3"/>
    <s v="Drama"/>
  </r>
  <r>
    <s v="99700d41-55b7-4d78-acd3-86a1060d880c"/>
    <n v="53"/>
    <s v="Female"/>
    <s v="Basic"/>
    <n v="0.19"/>
    <x v="33"/>
    <x v="5"/>
    <x v="2"/>
    <n v="8.99"/>
    <n v="1"/>
    <n v="8.99"/>
    <x v="3"/>
    <n v="4"/>
    <n v="0.01"/>
    <s v="Romance"/>
  </r>
  <r>
    <s v="14032ec1-bd28-4b6e-8baf-e87a673489b1"/>
    <n v="60"/>
    <s v="Male"/>
    <s v="Basic"/>
    <n v="4.37"/>
    <x v="55"/>
    <x v="5"/>
    <x v="2"/>
    <n v="8.99"/>
    <n v="1"/>
    <n v="8.99"/>
    <x v="1"/>
    <n v="2"/>
    <n v="7.0000000000000007E-2"/>
    <s v="Sci-Fi"/>
  </r>
  <r>
    <s v="c73888d0-47c7-49e4-ac1f-8c525c426907"/>
    <n v="35"/>
    <s v="Male"/>
    <s v="Premium"/>
    <n v="28.76"/>
    <x v="11"/>
    <x v="4"/>
    <x v="4"/>
    <n v="17.989999999999998"/>
    <n v="0"/>
    <n v="0"/>
    <x v="0"/>
    <n v="1"/>
    <n v="1.2"/>
    <s v="Sci-Fi"/>
  </r>
  <r>
    <s v="99ac905d-c892-41e1-b9dc-619aace2175a"/>
    <n v="51"/>
    <s v="Female"/>
    <s v="Standard"/>
    <n v="1.91"/>
    <x v="60"/>
    <x v="1"/>
    <x v="2"/>
    <n v="13.99"/>
    <n v="1"/>
    <n v="13.99"/>
    <x v="3"/>
    <n v="3"/>
    <n v="0.21"/>
    <s v="Comedy"/>
  </r>
  <r>
    <s v="d7f8474a-aa5c-452d-b85d-c86132f7e5c0"/>
    <n v="27"/>
    <s v="Female"/>
    <s v="Basic"/>
    <n v="5.3"/>
    <x v="30"/>
    <x v="0"/>
    <x v="1"/>
    <n v="8.99"/>
    <n v="0"/>
    <n v="0"/>
    <x v="3"/>
    <n v="2"/>
    <n v="2.65"/>
    <s v="Documentary"/>
  </r>
  <r>
    <s v="236586ff-c75c-4dfa-b787-19a63e0b4dbd"/>
    <n v="28"/>
    <s v="Other"/>
    <s v="Premium"/>
    <n v="9.9"/>
    <x v="1"/>
    <x v="1"/>
    <x v="4"/>
    <n v="17.989999999999998"/>
    <n v="0"/>
    <n v="0"/>
    <x v="0"/>
    <n v="5"/>
    <n v="0.49"/>
    <s v="Sci-Fi"/>
  </r>
  <r>
    <s v="30bc483c-87d9-4a9a-9863-6eb5c6bdcb66"/>
    <n v="18"/>
    <s v="Female"/>
    <s v="Basic"/>
    <n v="5.64"/>
    <x v="35"/>
    <x v="1"/>
    <x v="4"/>
    <n v="8.99"/>
    <n v="1"/>
    <n v="8.99"/>
    <x v="0"/>
    <n v="4"/>
    <n v="0.13"/>
    <s v="Horror"/>
  </r>
  <r>
    <s v="374de352-5868-4026-b9fb-57fd075b1fb3"/>
    <n v="22"/>
    <s v="Other"/>
    <s v="Basic"/>
    <n v="7.06"/>
    <x v="56"/>
    <x v="2"/>
    <x v="1"/>
    <n v="8.99"/>
    <n v="1"/>
    <n v="8.99"/>
    <x v="4"/>
    <n v="3"/>
    <n v="0.12"/>
    <s v="Documentary"/>
  </r>
  <r>
    <s v="bb31bd8f-7d63-4280-ada1-f1e832fcfdd6"/>
    <n v="61"/>
    <s v="Male"/>
    <s v="Standard"/>
    <n v="2.15"/>
    <x v="12"/>
    <x v="4"/>
    <x v="1"/>
    <n v="13.99"/>
    <n v="1"/>
    <n v="13.99"/>
    <x v="1"/>
    <n v="1"/>
    <n v="0.06"/>
    <s v="Sci-Fi"/>
  </r>
  <r>
    <s v="71c014eb-50d0-488e-9f41-b4db638f20be"/>
    <n v="54"/>
    <s v="Other"/>
    <s v="Standard"/>
    <n v="4.6900000000000004"/>
    <x v="21"/>
    <x v="4"/>
    <x v="2"/>
    <n v="13.99"/>
    <n v="0"/>
    <n v="0"/>
    <x v="0"/>
    <n v="5"/>
    <n v="0.67"/>
    <s v="Documentary"/>
  </r>
  <r>
    <s v="eaafa153-5c55-4d3b-897c-ef6198ece521"/>
    <n v="52"/>
    <s v="Female"/>
    <s v="Premium"/>
    <n v="2.0499999999999998"/>
    <x v="37"/>
    <x v="0"/>
    <x v="1"/>
    <n v="17.989999999999998"/>
    <n v="1"/>
    <n v="17.989999999999998"/>
    <x v="0"/>
    <n v="2"/>
    <n v="0.08"/>
    <s v="Romance"/>
  </r>
  <r>
    <s v="5d64d061-91f4-4dd9-ab18-93007717e295"/>
    <n v="24"/>
    <s v="Male"/>
    <s v="Premium"/>
    <n v="26.44"/>
    <x v="54"/>
    <x v="0"/>
    <x v="1"/>
    <n v="17.989999999999998"/>
    <n v="0"/>
    <n v="0"/>
    <x v="0"/>
    <n v="1"/>
    <n v="0.91"/>
    <s v="Documentary"/>
  </r>
  <r>
    <s v="2e409def-802a-4a41-9972-8c8864802af3"/>
    <n v="38"/>
    <s v="Other"/>
    <s v="Basic"/>
    <n v="4.26"/>
    <x v="53"/>
    <x v="1"/>
    <x v="1"/>
    <n v="8.99"/>
    <n v="1"/>
    <n v="8.99"/>
    <x v="0"/>
    <n v="5"/>
    <n v="0.1"/>
    <s v="Action"/>
  </r>
  <r>
    <s v="4d71c035-c5c9-4da6-907e-171241ea0922"/>
    <n v="44"/>
    <s v="Other"/>
    <s v="Standard"/>
    <n v="6.9"/>
    <x v="38"/>
    <x v="1"/>
    <x v="1"/>
    <n v="13.99"/>
    <n v="0"/>
    <n v="0"/>
    <x v="0"/>
    <n v="4"/>
    <n v="0.31"/>
    <s v="Horror"/>
  </r>
  <r>
    <s v="93a74dd5-ab90-4ce9-a0b9-8eb45b50e030"/>
    <n v="64"/>
    <s v="Male"/>
    <s v="Standard"/>
    <n v="8.4"/>
    <x v="58"/>
    <x v="4"/>
    <x v="0"/>
    <n v="13.99"/>
    <n v="1"/>
    <n v="13.99"/>
    <x v="1"/>
    <n v="4"/>
    <n v="0.18"/>
    <s v="Documentary"/>
  </r>
  <r>
    <s v="8f6ce173-fad9-4b9f-bb9c-54cf1f37d6ef"/>
    <n v="23"/>
    <s v="Female"/>
    <s v="Basic"/>
    <n v="5.22"/>
    <x v="3"/>
    <x v="0"/>
    <x v="0"/>
    <n v="8.99"/>
    <n v="0"/>
    <n v="0"/>
    <x v="3"/>
    <n v="2"/>
    <n v="0.4"/>
    <s v="Horror"/>
  </r>
  <r>
    <s v="9db403c5-08c3-4cee-8e71-59423d132195"/>
    <n v="22"/>
    <s v="Male"/>
    <s v="Premium"/>
    <n v="23.15"/>
    <x v="53"/>
    <x v="4"/>
    <x v="0"/>
    <n v="17.989999999999998"/>
    <n v="0"/>
    <n v="0"/>
    <x v="0"/>
    <n v="1"/>
    <n v="0.54"/>
    <s v="Sci-Fi"/>
  </r>
  <r>
    <s v="a8f4a8ea-a8a6-4ebb-bcd8-b22e7da612a5"/>
    <n v="23"/>
    <s v="Other"/>
    <s v="Basic"/>
    <n v="11.07"/>
    <x v="54"/>
    <x v="4"/>
    <x v="3"/>
    <n v="8.99"/>
    <n v="1"/>
    <n v="8.99"/>
    <x v="3"/>
    <n v="1"/>
    <n v="0.38"/>
    <s v="Sci-Fi"/>
  </r>
  <r>
    <s v="b4866929-b3fb-47af-a191-0afaf68d14c8"/>
    <n v="68"/>
    <s v="Female"/>
    <s v="Basic"/>
    <n v="10.14"/>
    <x v="49"/>
    <x v="1"/>
    <x v="0"/>
    <n v="8.99"/>
    <n v="0"/>
    <n v="0"/>
    <x v="0"/>
    <n v="1"/>
    <n v="1.01"/>
    <s v="Sci-Fi"/>
  </r>
  <r>
    <s v="941a7320-7c18-442a-9184-f56d633b7b8e"/>
    <n v="18"/>
    <s v="Other"/>
    <s v="Basic"/>
    <n v="20.149999999999999"/>
    <x v="17"/>
    <x v="4"/>
    <x v="0"/>
    <n v="8.99"/>
    <n v="0"/>
    <n v="0"/>
    <x v="1"/>
    <n v="4"/>
    <n v="4.03"/>
    <s v="Horror"/>
  </r>
  <r>
    <s v="abb4775a-faff-43c3-8d78-641ec98033a8"/>
    <n v="36"/>
    <s v="Male"/>
    <s v="Premium"/>
    <n v="6.59"/>
    <x v="56"/>
    <x v="4"/>
    <x v="1"/>
    <n v="17.989999999999998"/>
    <n v="1"/>
    <n v="17.989999999999998"/>
    <x v="0"/>
    <n v="5"/>
    <n v="0.11"/>
    <s v="Sci-Fi"/>
  </r>
  <r>
    <s v="f234490c-9b75-4956-9efa-ed1c14b00599"/>
    <n v="26"/>
    <s v="Female"/>
    <s v="Basic"/>
    <n v="2.58"/>
    <x v="27"/>
    <x v="2"/>
    <x v="3"/>
    <n v="8.99"/>
    <n v="1"/>
    <n v="8.99"/>
    <x v="4"/>
    <n v="5"/>
    <n v="0.15"/>
    <s v="Horror"/>
  </r>
  <r>
    <s v="a5796917-05b1-456c-8d56-a2d396ebfcf2"/>
    <n v="33"/>
    <s v="Male"/>
    <s v="Standard"/>
    <n v="8.27"/>
    <x v="56"/>
    <x v="0"/>
    <x v="1"/>
    <n v="13.99"/>
    <n v="1"/>
    <n v="13.99"/>
    <x v="0"/>
    <n v="4"/>
    <n v="0.14000000000000001"/>
    <s v="Romance"/>
  </r>
  <r>
    <s v="8c15047a-4ddf-4b9b-9f42-5e616af49dc1"/>
    <n v="50"/>
    <s v="Other"/>
    <s v="Standard"/>
    <n v="6.11"/>
    <x v="3"/>
    <x v="0"/>
    <x v="0"/>
    <n v="13.99"/>
    <n v="0"/>
    <n v="0"/>
    <x v="2"/>
    <n v="2"/>
    <n v="0.47"/>
    <s v="Documentary"/>
  </r>
  <r>
    <s v="1d4d7280-ee29-4030-8773-d70bea7b2b3b"/>
    <n v="34"/>
    <s v="Male"/>
    <s v="Basic"/>
    <n v="31.66"/>
    <x v="57"/>
    <x v="0"/>
    <x v="0"/>
    <n v="8.99"/>
    <n v="0"/>
    <n v="0"/>
    <x v="0"/>
    <n v="5"/>
    <n v="0.52"/>
    <s v="Sci-Fi"/>
  </r>
  <r>
    <s v="58bf1357-6164-4e5f-a325-69d1bbd93289"/>
    <n v="22"/>
    <s v="Other"/>
    <s v="Premium"/>
    <n v="0.76"/>
    <x v="24"/>
    <x v="4"/>
    <x v="0"/>
    <n v="17.989999999999998"/>
    <n v="1"/>
    <n v="17.989999999999998"/>
    <x v="4"/>
    <n v="1"/>
    <n v="0.01"/>
    <s v="Comedy"/>
  </r>
  <r>
    <s v="919cd49b-f1e4-4deb-82e8-ed7db297d9b8"/>
    <n v="61"/>
    <s v="Female"/>
    <s v="Basic"/>
    <n v="4.18"/>
    <x v="58"/>
    <x v="4"/>
    <x v="2"/>
    <n v="8.99"/>
    <n v="1"/>
    <n v="8.99"/>
    <x v="2"/>
    <n v="2"/>
    <n v="0.09"/>
    <s v="Drama"/>
  </r>
  <r>
    <s v="2f4b3f98-c2e9-49e2-bc44-5bfd637d4dec"/>
    <n v="30"/>
    <s v="Female"/>
    <s v="Basic"/>
    <n v="2.56"/>
    <x v="14"/>
    <x v="3"/>
    <x v="4"/>
    <n v="8.99"/>
    <n v="1"/>
    <n v="8.99"/>
    <x v="1"/>
    <n v="1"/>
    <n v="0.08"/>
    <s v="Horror"/>
  </r>
  <r>
    <s v="18886a51-c0a1-4984-90d4-d4a65e31e03b"/>
    <n v="32"/>
    <s v="Female"/>
    <s v="Basic"/>
    <n v="17.670000000000002"/>
    <x v="32"/>
    <x v="2"/>
    <x v="0"/>
    <n v="8.99"/>
    <n v="0"/>
    <n v="0"/>
    <x v="3"/>
    <n v="4"/>
    <n v="1.18"/>
    <s v="Romance"/>
  </r>
  <r>
    <s v="11ff4157-7112-460a-b2f0-b74ee12ee607"/>
    <n v="56"/>
    <s v="Female"/>
    <s v="Premium"/>
    <n v="17.25"/>
    <x v="24"/>
    <x v="3"/>
    <x v="2"/>
    <n v="17.989999999999998"/>
    <n v="0"/>
    <n v="0"/>
    <x v="3"/>
    <n v="5"/>
    <n v="0.33"/>
    <s v="Sci-Fi"/>
  </r>
  <r>
    <s v="61ad71a3-40b3-487a-9f6d-38a74144f87b"/>
    <n v="58"/>
    <s v="Male"/>
    <s v="Premium"/>
    <n v="21.56"/>
    <x v="36"/>
    <x v="1"/>
    <x v="0"/>
    <n v="17.989999999999998"/>
    <n v="0"/>
    <n v="0"/>
    <x v="1"/>
    <n v="4"/>
    <n v="0.54"/>
    <s v="Drama"/>
  </r>
  <r>
    <s v="70b1a663-57dc-4d65-8665-808f618abbba"/>
    <n v="61"/>
    <s v="Other"/>
    <s v="Premium"/>
    <n v="5.87"/>
    <x v="60"/>
    <x v="0"/>
    <x v="2"/>
    <n v="17.989999999999998"/>
    <n v="0"/>
    <n v="0"/>
    <x v="1"/>
    <n v="5"/>
    <n v="0.65"/>
    <s v="Horror"/>
  </r>
  <r>
    <s v="8790e02e-d917-4c2b-bcae-249e1597109c"/>
    <n v="51"/>
    <s v="Other"/>
    <s v="Basic"/>
    <n v="2.42"/>
    <x v="49"/>
    <x v="1"/>
    <x v="4"/>
    <n v="8.99"/>
    <n v="1"/>
    <n v="8.99"/>
    <x v="1"/>
    <n v="5"/>
    <n v="0.24"/>
    <s v="Documentary"/>
  </r>
  <r>
    <s v="2f38faa5-6695-40e3-892a-ecd94ff19800"/>
    <n v="24"/>
    <s v="Other"/>
    <s v="Premium"/>
    <n v="2.4300000000000002"/>
    <x v="14"/>
    <x v="3"/>
    <x v="0"/>
    <n v="17.989999999999998"/>
    <n v="1"/>
    <n v="17.989999999999998"/>
    <x v="2"/>
    <n v="2"/>
    <n v="7.0000000000000007E-2"/>
    <s v="Documentary"/>
  </r>
  <r>
    <s v="75f21653-1613-4eb8-92a6-5b82721d96df"/>
    <n v="40"/>
    <s v="Male"/>
    <s v="Premium"/>
    <n v="18.059999999999999"/>
    <x v="38"/>
    <x v="3"/>
    <x v="3"/>
    <n v="17.989999999999998"/>
    <n v="0"/>
    <n v="0"/>
    <x v="0"/>
    <n v="1"/>
    <n v="0.82"/>
    <s v="Sci-Fi"/>
  </r>
  <r>
    <s v="6a427566-52a2-4932-9486-979c1bc514d8"/>
    <n v="51"/>
    <s v="Other"/>
    <s v="Premium"/>
    <n v="7.64"/>
    <x v="4"/>
    <x v="0"/>
    <x v="2"/>
    <n v="17.989999999999998"/>
    <n v="0"/>
    <n v="0"/>
    <x v="0"/>
    <n v="2"/>
    <n v="0.55000000000000004"/>
    <s v="Romance"/>
  </r>
  <r>
    <s v="904460bb-b5a1-4450-bc0f-5fec7fd21583"/>
    <n v="56"/>
    <s v="Other"/>
    <s v="Premium"/>
    <n v="1.54"/>
    <x v="2"/>
    <x v="0"/>
    <x v="4"/>
    <n v="17.989999999999998"/>
    <n v="1"/>
    <n v="17.989999999999998"/>
    <x v="4"/>
    <n v="3"/>
    <n v="0.14000000000000001"/>
    <s v="Romance"/>
  </r>
  <r>
    <s v="5fd7658b-f5bb-462e-b9e4-86a4485b0fb0"/>
    <n v="53"/>
    <s v="Other"/>
    <s v="Premium"/>
    <n v="21.9"/>
    <x v="54"/>
    <x v="0"/>
    <x v="3"/>
    <n v="17.989999999999998"/>
    <n v="0"/>
    <n v="0"/>
    <x v="4"/>
    <n v="2"/>
    <n v="0.76"/>
    <s v="Documentary"/>
  </r>
  <r>
    <s v="9e060381-f27b-4fbf-b098-6415f3eb4bbb"/>
    <n v="20"/>
    <s v="Other"/>
    <s v="Standard"/>
    <n v="2.13"/>
    <x v="60"/>
    <x v="3"/>
    <x v="3"/>
    <n v="13.99"/>
    <n v="1"/>
    <n v="13.99"/>
    <x v="0"/>
    <n v="3"/>
    <n v="0.24"/>
    <s v="Horror"/>
  </r>
  <r>
    <s v="5c4d8663-35c7-4f51-a930-5b1a7059a8b0"/>
    <n v="43"/>
    <s v="Other"/>
    <s v="Basic"/>
    <n v="4.07"/>
    <x v="1"/>
    <x v="2"/>
    <x v="3"/>
    <n v="8.99"/>
    <n v="1"/>
    <n v="8.99"/>
    <x v="2"/>
    <n v="3"/>
    <n v="0.2"/>
    <s v="Horror"/>
  </r>
  <r>
    <s v="1934ae7e-6f01-40d2-a15c-ee3db2650f99"/>
    <n v="64"/>
    <s v="Female"/>
    <s v="Basic"/>
    <n v="0.65"/>
    <x v="19"/>
    <x v="2"/>
    <x v="2"/>
    <n v="8.99"/>
    <n v="1"/>
    <n v="8.99"/>
    <x v="3"/>
    <n v="3"/>
    <n v="0.01"/>
    <s v="Drama"/>
  </r>
  <r>
    <s v="9eacdfae-16bb-4a84-8c31-dd5976efb95f"/>
    <n v="40"/>
    <s v="Female"/>
    <s v="Premium"/>
    <n v="6.11"/>
    <x v="54"/>
    <x v="5"/>
    <x v="3"/>
    <n v="17.989999999999998"/>
    <n v="0"/>
    <n v="0"/>
    <x v="4"/>
    <n v="1"/>
    <n v="0.21"/>
    <s v="Romance"/>
  </r>
  <r>
    <s v="9f085e5d-c6b2-4ec1-a43f-1307f1f59222"/>
    <n v="29"/>
    <s v="Female"/>
    <s v="Premium"/>
    <n v="4.53"/>
    <x v="31"/>
    <x v="5"/>
    <x v="1"/>
    <n v="17.989999999999998"/>
    <n v="0"/>
    <n v="0"/>
    <x v="4"/>
    <n v="4"/>
    <n v="0.28000000000000003"/>
    <s v="Horror"/>
  </r>
  <r>
    <s v="444b694b-d1b2-476b-98d7-f05298e37b91"/>
    <n v="47"/>
    <s v="Other"/>
    <s v="Premium"/>
    <n v="15.18"/>
    <x v="41"/>
    <x v="2"/>
    <x v="3"/>
    <n v="17.989999999999998"/>
    <n v="0"/>
    <n v="0"/>
    <x v="1"/>
    <n v="4"/>
    <n v="0.49"/>
    <s v="Horror"/>
  </r>
  <r>
    <s v="e5fa0aa5-41a0-4c47-8547-4d9600229701"/>
    <n v="51"/>
    <s v="Female"/>
    <s v="Basic"/>
    <n v="13.92"/>
    <x v="0"/>
    <x v="4"/>
    <x v="3"/>
    <n v="8.99"/>
    <n v="1"/>
    <n v="8.99"/>
    <x v="0"/>
    <n v="1"/>
    <n v="0.46"/>
    <s v="Drama"/>
  </r>
  <r>
    <s v="4937c49d-70db-459d-b2d1-ac7f33f0dfc5"/>
    <n v="25"/>
    <s v="Male"/>
    <s v="Premium"/>
    <n v="5.62"/>
    <x v="52"/>
    <x v="0"/>
    <x v="4"/>
    <n v="17.989999999999998"/>
    <n v="0"/>
    <n v="0"/>
    <x v="4"/>
    <n v="5"/>
    <n v="0.11"/>
    <s v="Horror"/>
  </r>
  <r>
    <s v="3d36ed49-a4f4-4fb2-80ea-f90f048bc0e1"/>
    <n v="35"/>
    <s v="Female"/>
    <s v="Standard"/>
    <n v="2.42"/>
    <x v="55"/>
    <x v="1"/>
    <x v="2"/>
    <n v="13.99"/>
    <n v="1"/>
    <n v="13.99"/>
    <x v="3"/>
    <n v="3"/>
    <n v="0.04"/>
    <s v="Drama"/>
  </r>
  <r>
    <s v="e5a706a6-0a02-4a59-93ae-8d86ea5fcb6e"/>
    <n v="38"/>
    <s v="Male"/>
    <s v="Basic"/>
    <n v="9.06"/>
    <x v="41"/>
    <x v="1"/>
    <x v="1"/>
    <n v="8.99"/>
    <n v="0"/>
    <n v="0"/>
    <x v="4"/>
    <n v="2"/>
    <n v="0.28999999999999998"/>
    <s v="Drama"/>
  </r>
  <r>
    <s v="511d9a10-669b-4283-bc6d-40c10a595b43"/>
    <n v="58"/>
    <s v="Female"/>
    <s v="Basic"/>
    <n v="34.53"/>
    <x v="25"/>
    <x v="2"/>
    <x v="0"/>
    <n v="8.99"/>
    <n v="0"/>
    <n v="0"/>
    <x v="0"/>
    <n v="4"/>
    <n v="34.53"/>
    <s v="Romance"/>
  </r>
  <r>
    <s v="92bd3cd1-3724-4b30-a56c-4929277c2461"/>
    <n v="68"/>
    <s v="Other"/>
    <s v="Basic"/>
    <n v="2.2799999999999998"/>
    <x v="21"/>
    <x v="2"/>
    <x v="3"/>
    <n v="8.99"/>
    <n v="1"/>
    <n v="8.99"/>
    <x v="4"/>
    <n v="3"/>
    <n v="0.33"/>
    <s v="Romance"/>
  </r>
  <r>
    <s v="68be0bb5-a6ed-4dfd-889d-0e116265290d"/>
    <n v="28"/>
    <s v="Female"/>
    <s v="Standard"/>
    <n v="28.8"/>
    <x v="52"/>
    <x v="4"/>
    <x v="2"/>
    <n v="13.99"/>
    <n v="0"/>
    <n v="0"/>
    <x v="4"/>
    <n v="3"/>
    <n v="0.57999999999999996"/>
    <s v="Documentary"/>
  </r>
  <r>
    <s v="bfe8f1a3-00d5-436f-b79a-553651c553f7"/>
    <n v="57"/>
    <s v="Male"/>
    <s v="Standard"/>
    <n v="14.87"/>
    <x v="44"/>
    <x v="5"/>
    <x v="4"/>
    <n v="13.99"/>
    <n v="0"/>
    <n v="0"/>
    <x v="2"/>
    <n v="4"/>
    <n v="0.32"/>
    <s v="Romance"/>
  </r>
  <r>
    <s v="f4fc7c39-6b78-4437-ab00-8ab2957f73f7"/>
    <n v="52"/>
    <s v="Other"/>
    <s v="Basic"/>
    <n v="13.94"/>
    <x v="7"/>
    <x v="2"/>
    <x v="3"/>
    <n v="8.99"/>
    <n v="1"/>
    <n v="8.99"/>
    <x v="3"/>
    <n v="3"/>
    <n v="0.24"/>
    <s v="Documentary"/>
  </r>
  <r>
    <s v="7d7ec060-ca0f-4371-a86a-69bf262b94bb"/>
    <n v="70"/>
    <s v="Female"/>
    <s v="Premium"/>
    <n v="10.54"/>
    <x v="25"/>
    <x v="1"/>
    <x v="3"/>
    <n v="17.989999999999998"/>
    <n v="0"/>
    <n v="0"/>
    <x v="1"/>
    <n v="4"/>
    <n v="10.54"/>
    <s v="Documentary"/>
  </r>
  <r>
    <s v="bce13731-9d24-4bbe-9b0f-97221e952048"/>
    <n v="68"/>
    <s v="Female"/>
    <s v="Standard"/>
    <n v="56.43"/>
    <x v="20"/>
    <x v="2"/>
    <x v="4"/>
    <n v="13.99"/>
    <n v="0"/>
    <n v="0"/>
    <x v="3"/>
    <n v="2"/>
    <n v="2.97"/>
    <s v="Romance"/>
  </r>
  <r>
    <s v="489dcbd1-474e-42b6-878e-f62c181860f6"/>
    <n v="53"/>
    <s v="Other"/>
    <s v="Standard"/>
    <n v="39.33"/>
    <x v="27"/>
    <x v="3"/>
    <x v="2"/>
    <n v="13.99"/>
    <n v="0"/>
    <n v="0"/>
    <x v="2"/>
    <n v="4"/>
    <n v="2.31"/>
    <s v="Documentary"/>
  </r>
  <r>
    <s v="571102fa-b9c7-4e1c-8e0f-bc6642d36cb0"/>
    <n v="44"/>
    <s v="Male"/>
    <s v="Basic"/>
    <n v="15.61"/>
    <x v="41"/>
    <x v="5"/>
    <x v="3"/>
    <n v="8.99"/>
    <n v="0"/>
    <n v="0"/>
    <x v="1"/>
    <n v="5"/>
    <n v="0.5"/>
    <s v="Romance"/>
  </r>
  <r>
    <s v="e5ba5dd3-a246-4526-9616-662dd7188e7c"/>
    <n v="68"/>
    <s v="Female"/>
    <s v="Standard"/>
    <n v="0.22"/>
    <x v="48"/>
    <x v="2"/>
    <x v="3"/>
    <n v="13.99"/>
    <n v="1"/>
    <n v="13.99"/>
    <x v="4"/>
    <n v="1"/>
    <n v="0"/>
    <s v="Sci-Fi"/>
  </r>
  <r>
    <s v="b4aae09c-528f-445d-afb3-68ab027b8d48"/>
    <n v="64"/>
    <s v="Female"/>
    <s v="Standard"/>
    <n v="3.92"/>
    <x v="51"/>
    <x v="3"/>
    <x v="3"/>
    <n v="13.99"/>
    <n v="0"/>
    <n v="0"/>
    <x v="4"/>
    <n v="5"/>
    <n v="0.22"/>
    <s v="Horror"/>
  </r>
  <r>
    <s v="0210bc7e-5a01-4a6b-b3c1-8c1a332ab7f6"/>
    <n v="65"/>
    <s v="Female"/>
    <s v="Standard"/>
    <n v="2.2599999999999998"/>
    <x v="57"/>
    <x v="4"/>
    <x v="1"/>
    <n v="13.99"/>
    <n v="1"/>
    <n v="13.99"/>
    <x v="4"/>
    <n v="2"/>
    <n v="0.04"/>
    <s v="Horror"/>
  </r>
  <r>
    <s v="e5e25330-3900-43bf-a8e2-45a13d1ec806"/>
    <n v="28"/>
    <s v="Female"/>
    <s v="Premium"/>
    <n v="1.79"/>
    <x v="59"/>
    <x v="3"/>
    <x v="0"/>
    <n v="17.989999999999998"/>
    <n v="0"/>
    <n v="0"/>
    <x v="0"/>
    <n v="5"/>
    <n v="0.3"/>
    <s v="Drama"/>
  </r>
  <r>
    <s v="95c88693-4388-4ab9-bd37-c917bc4c8d1d"/>
    <n v="50"/>
    <s v="Male"/>
    <s v="Premium"/>
    <n v="22.44"/>
    <x v="0"/>
    <x v="1"/>
    <x v="4"/>
    <n v="17.989999999999998"/>
    <n v="0"/>
    <n v="0"/>
    <x v="4"/>
    <n v="2"/>
    <n v="0.75"/>
    <s v="Action"/>
  </r>
  <r>
    <s v="3e87afc6-292d-4a8b-8399-1a8fe6aad089"/>
    <n v="59"/>
    <s v="Female"/>
    <s v="Standard"/>
    <n v="23.59"/>
    <x v="19"/>
    <x v="5"/>
    <x v="3"/>
    <n v="13.99"/>
    <n v="0"/>
    <n v="0"/>
    <x v="2"/>
    <n v="1"/>
    <n v="0.54"/>
    <s v="Romance"/>
  </r>
  <r>
    <s v="8e57aa17-60f6-4c7e-9e15-a886a240c4d7"/>
    <n v="38"/>
    <s v="Other"/>
    <s v="Premium"/>
    <n v="24.19"/>
    <x v="39"/>
    <x v="3"/>
    <x v="1"/>
    <n v="17.989999999999998"/>
    <n v="0"/>
    <n v="0"/>
    <x v="0"/>
    <n v="2"/>
    <n v="1.05"/>
    <s v="Romance"/>
  </r>
  <r>
    <s v="e16e6ae0-8e67-4b63-80a5-a0f7e8801ed7"/>
    <n v="49"/>
    <s v="Female"/>
    <s v="Basic"/>
    <n v="6.56"/>
    <x v="2"/>
    <x v="0"/>
    <x v="0"/>
    <n v="8.99"/>
    <n v="0"/>
    <n v="0"/>
    <x v="2"/>
    <n v="5"/>
    <n v="0.6"/>
    <s v="Comedy"/>
  </r>
  <r>
    <s v="cb219c7b-8d77-454d-8967-2b4529a0e172"/>
    <n v="40"/>
    <s v="Male"/>
    <s v="Standard"/>
    <n v="16.13"/>
    <x v="58"/>
    <x v="2"/>
    <x v="1"/>
    <n v="13.99"/>
    <n v="0"/>
    <n v="0"/>
    <x v="2"/>
    <n v="5"/>
    <n v="0.34"/>
    <s v="Comedy"/>
  </r>
  <r>
    <s v="abf01a4a-4b6f-477f-943c-7189c33cd6cc"/>
    <n v="39"/>
    <s v="Female"/>
    <s v="Standard"/>
    <n v="19.16"/>
    <x v="57"/>
    <x v="0"/>
    <x v="4"/>
    <n v="13.99"/>
    <n v="0"/>
    <n v="0"/>
    <x v="2"/>
    <n v="5"/>
    <n v="0.31"/>
    <s v="Horror"/>
  </r>
  <r>
    <s v="520074a5-0028-44e4-b17a-199d74134190"/>
    <n v="34"/>
    <s v="Female"/>
    <s v="Standard"/>
    <n v="1.28"/>
    <x v="18"/>
    <x v="0"/>
    <x v="4"/>
    <n v="13.99"/>
    <n v="1"/>
    <n v="13.99"/>
    <x v="1"/>
    <n v="4"/>
    <n v="0.02"/>
    <s v="Romance"/>
  </r>
  <r>
    <s v="b64e1a04-ef14-4a6c-ad72-640a941c2612"/>
    <n v="20"/>
    <s v="Male"/>
    <s v="Premium"/>
    <n v="32.04"/>
    <x v="5"/>
    <x v="1"/>
    <x v="4"/>
    <n v="17.989999999999998"/>
    <n v="0"/>
    <n v="0"/>
    <x v="3"/>
    <n v="3"/>
    <n v="1.19"/>
    <s v="Action"/>
  </r>
  <r>
    <s v="b963a331-91ee-4a6a-9d9c-208788c49074"/>
    <n v="28"/>
    <s v="Female"/>
    <s v="Premium"/>
    <n v="0.12"/>
    <x v="46"/>
    <x v="5"/>
    <x v="2"/>
    <n v="17.989999999999998"/>
    <n v="0"/>
    <n v="0"/>
    <x v="3"/>
    <n v="5"/>
    <n v="0.04"/>
    <s v="Comedy"/>
  </r>
  <r>
    <s v="2f55007a-9682-4109-8431-2fa060e85673"/>
    <n v="18"/>
    <s v="Female"/>
    <s v="Standard"/>
    <n v="0.25"/>
    <x v="42"/>
    <x v="0"/>
    <x v="2"/>
    <n v="13.99"/>
    <n v="1"/>
    <n v="13.99"/>
    <x v="2"/>
    <n v="5"/>
    <n v="0.01"/>
    <s v="Sci-Fi"/>
  </r>
  <r>
    <s v="17874397-5431-4e69-9bf9-19d705faab2e"/>
    <n v="19"/>
    <s v="Male"/>
    <s v="Basic"/>
    <n v="4.46"/>
    <x v="34"/>
    <x v="0"/>
    <x v="3"/>
    <n v="8.99"/>
    <n v="1"/>
    <n v="8.99"/>
    <x v="4"/>
    <n v="3"/>
    <n v="0.09"/>
    <s v="Documentary"/>
  </r>
  <r>
    <s v="d3975aa1-9bf5-45a5-9375-ff6ced50de42"/>
    <n v="32"/>
    <s v="Other"/>
    <s v="Premium"/>
    <n v="4.24"/>
    <x v="32"/>
    <x v="0"/>
    <x v="0"/>
    <n v="17.989999999999998"/>
    <n v="1"/>
    <n v="17.989999999999998"/>
    <x v="0"/>
    <n v="2"/>
    <n v="0.28000000000000003"/>
    <s v="Drama"/>
  </r>
  <r>
    <s v="22266a98-3d16-4f4e-b382-ffa5d3aed831"/>
    <n v="19"/>
    <s v="Female"/>
    <s v="Standard"/>
    <n v="8.6199999999999992"/>
    <x v="18"/>
    <x v="2"/>
    <x v="2"/>
    <n v="13.99"/>
    <n v="1"/>
    <n v="13.99"/>
    <x v="3"/>
    <n v="3"/>
    <n v="0.15"/>
    <s v="Action"/>
  </r>
  <r>
    <s v="44d3397a-806f-43c1-8907-aa8c27ed8079"/>
    <n v="22"/>
    <s v="Female"/>
    <s v="Basic"/>
    <n v="11.96"/>
    <x v="29"/>
    <x v="1"/>
    <x v="1"/>
    <n v="8.99"/>
    <n v="1"/>
    <n v="8.99"/>
    <x v="3"/>
    <n v="2"/>
    <n v="0.26"/>
    <s v="Action"/>
  </r>
  <r>
    <s v="521382de-978e-48ad-b161-5d8ab6b7234e"/>
    <n v="55"/>
    <s v="Male"/>
    <s v="Standard"/>
    <n v="10.1"/>
    <x v="17"/>
    <x v="2"/>
    <x v="3"/>
    <n v="13.99"/>
    <n v="0"/>
    <n v="0"/>
    <x v="2"/>
    <n v="4"/>
    <n v="2.02"/>
    <s v="Sci-Fi"/>
  </r>
  <r>
    <s v="72601ad7-f6b1-4f64-8c07-f1a0a787a386"/>
    <n v="21"/>
    <s v="Female"/>
    <s v="Standard"/>
    <n v="0.44"/>
    <x v="30"/>
    <x v="2"/>
    <x v="4"/>
    <n v="13.99"/>
    <n v="1"/>
    <n v="13.99"/>
    <x v="3"/>
    <n v="1"/>
    <n v="0.22"/>
    <s v="Romance"/>
  </r>
  <r>
    <s v="ab5b6ce1-4472-4987-b7ca-dd71334f9592"/>
    <n v="39"/>
    <s v="Other"/>
    <s v="Premium"/>
    <n v="1.1200000000000001"/>
    <x v="16"/>
    <x v="5"/>
    <x v="1"/>
    <n v="17.989999999999998"/>
    <n v="1"/>
    <n v="17.989999999999998"/>
    <x v="0"/>
    <n v="5"/>
    <n v="0.04"/>
    <s v="Sci-Fi"/>
  </r>
  <r>
    <s v="697ba97e-0ab7-465c-8c43-87a7e484dfac"/>
    <n v="53"/>
    <s v="Other"/>
    <s v="Basic"/>
    <n v="14.1"/>
    <x v="53"/>
    <x v="5"/>
    <x v="2"/>
    <n v="8.99"/>
    <n v="1"/>
    <n v="8.99"/>
    <x v="3"/>
    <n v="5"/>
    <n v="0.33"/>
    <s v="Horror"/>
  </r>
  <r>
    <s v="c1d6b7a6-e749-43fc-8430-e0f0057aca5f"/>
    <n v="27"/>
    <s v="Other"/>
    <s v="Premium"/>
    <n v="30.8"/>
    <x v="27"/>
    <x v="1"/>
    <x v="3"/>
    <n v="17.989999999999998"/>
    <n v="0"/>
    <n v="0"/>
    <x v="3"/>
    <n v="2"/>
    <n v="1.81"/>
    <s v="Action"/>
  </r>
  <r>
    <s v="a683a981-d35f-49f3-9b9a-a8ad04fd7b16"/>
    <n v="29"/>
    <s v="Other"/>
    <s v="Standard"/>
    <n v="10.74"/>
    <x v="16"/>
    <x v="4"/>
    <x v="4"/>
    <n v="13.99"/>
    <n v="0"/>
    <n v="0"/>
    <x v="3"/>
    <n v="5"/>
    <n v="0.38"/>
    <s v="Drama"/>
  </r>
  <r>
    <s v="5548db44-9939-45ea-8cde-6dd44b0d8036"/>
    <n v="70"/>
    <s v="Female"/>
    <s v="Standard"/>
    <n v="8.27"/>
    <x v="57"/>
    <x v="1"/>
    <x v="4"/>
    <n v="13.99"/>
    <n v="1"/>
    <n v="13.99"/>
    <x v="0"/>
    <n v="3"/>
    <n v="0.14000000000000001"/>
    <s v="Comedy"/>
  </r>
  <r>
    <s v="30add045-ab3e-4753-abfa-c317ec02730a"/>
    <n v="51"/>
    <s v="Male"/>
    <s v="Standard"/>
    <n v="12.91"/>
    <x v="53"/>
    <x v="5"/>
    <x v="4"/>
    <n v="13.99"/>
    <n v="1"/>
    <n v="13.99"/>
    <x v="2"/>
    <n v="1"/>
    <n v="0.3"/>
    <s v="Comedy"/>
  </r>
  <r>
    <s v="ec4fcd72-7a49-473c-85ca-390fc9e57d52"/>
    <n v="26"/>
    <s v="Other"/>
    <s v="Premium"/>
    <n v="9.23"/>
    <x v="2"/>
    <x v="5"/>
    <x v="3"/>
    <n v="17.989999999999998"/>
    <n v="0"/>
    <n v="0"/>
    <x v="0"/>
    <n v="3"/>
    <n v="0.84"/>
    <s v="Documentary"/>
  </r>
  <r>
    <s v="6c7026ab-704b-4d7d-b658-66432e78fbf8"/>
    <n v="63"/>
    <s v="Female"/>
    <s v="Basic"/>
    <n v="0.52"/>
    <x v="30"/>
    <x v="0"/>
    <x v="4"/>
    <n v="8.99"/>
    <n v="1"/>
    <n v="8.99"/>
    <x v="3"/>
    <n v="4"/>
    <n v="0.26"/>
    <s v="Comedy"/>
  </r>
  <r>
    <s v="aeb6a179-a31d-4430-9d79-388dbd8b552f"/>
    <n v="66"/>
    <s v="Male"/>
    <s v="Basic"/>
    <n v="2.1800000000000002"/>
    <x v="31"/>
    <x v="4"/>
    <x v="2"/>
    <n v="8.99"/>
    <n v="1"/>
    <n v="8.99"/>
    <x v="2"/>
    <n v="5"/>
    <n v="0.14000000000000001"/>
    <s v="Horror"/>
  </r>
  <r>
    <s v="60334592-83df-4b11-a2e1-da7ded2535aa"/>
    <n v="57"/>
    <s v="Other"/>
    <s v="Premium"/>
    <n v="29.23"/>
    <x v="47"/>
    <x v="4"/>
    <x v="2"/>
    <n v="17.989999999999998"/>
    <n v="0"/>
    <n v="0"/>
    <x v="4"/>
    <n v="1"/>
    <n v="7.31"/>
    <s v="Romance"/>
  </r>
  <r>
    <s v="1b829a44-ed16-4913-aac5-28506c92e0a9"/>
    <n v="53"/>
    <s v="Other"/>
    <s v="Premium"/>
    <n v="1.64"/>
    <x v="59"/>
    <x v="5"/>
    <x v="2"/>
    <n v="17.989999999999998"/>
    <n v="1"/>
    <n v="17.989999999999998"/>
    <x v="1"/>
    <n v="1"/>
    <n v="0.27"/>
    <s v="Horror"/>
  </r>
  <r>
    <s v="55aa7135-3268-48a1-a965-0fac4eddb7b8"/>
    <n v="47"/>
    <s v="Other"/>
    <s v="Basic"/>
    <n v="5.53"/>
    <x v="51"/>
    <x v="5"/>
    <x v="2"/>
    <n v="8.99"/>
    <n v="0"/>
    <n v="0"/>
    <x v="2"/>
    <n v="2"/>
    <n v="0.31"/>
    <s v="Romance"/>
  </r>
  <r>
    <s v="2ad8b82e-2168-47f7-9744-e845a8e48a18"/>
    <n v="34"/>
    <s v="Male"/>
    <s v="Basic"/>
    <n v="9.9600000000000009"/>
    <x v="60"/>
    <x v="5"/>
    <x v="4"/>
    <n v="8.99"/>
    <n v="0"/>
    <n v="0"/>
    <x v="4"/>
    <n v="2"/>
    <n v="1.1100000000000001"/>
    <s v="Action"/>
  </r>
  <r>
    <s v="b88a132f-9afd-4eb8-9e78-2d359cc78a22"/>
    <n v="26"/>
    <s v="Male"/>
    <s v="Basic"/>
    <n v="4.2699999999999996"/>
    <x v="9"/>
    <x v="3"/>
    <x v="2"/>
    <n v="8.99"/>
    <n v="1"/>
    <n v="8.99"/>
    <x v="3"/>
    <n v="3"/>
    <n v="0.12"/>
    <s v="Action"/>
  </r>
  <r>
    <s v="2d25d85a-6085-4ad8-ae08-1a4d21b7c05b"/>
    <n v="67"/>
    <s v="Female"/>
    <s v="Standard"/>
    <n v="43.24"/>
    <x v="8"/>
    <x v="0"/>
    <x v="4"/>
    <n v="13.99"/>
    <n v="0"/>
    <n v="0"/>
    <x v="4"/>
    <n v="3"/>
    <n v="1.24"/>
    <s v="Sci-Fi"/>
  </r>
  <r>
    <s v="51ba57c9-cf31-4241-9a54-ad1abaf17326"/>
    <n v="32"/>
    <s v="Other"/>
    <s v="Standard"/>
    <n v="27.77"/>
    <x v="46"/>
    <x v="3"/>
    <x v="4"/>
    <n v="13.99"/>
    <n v="0"/>
    <n v="0"/>
    <x v="1"/>
    <n v="3"/>
    <n v="9.26"/>
    <s v="Sci-Fi"/>
  </r>
  <r>
    <s v="a8f8a526-8289-46fc-83a3-9717a64af759"/>
    <n v="24"/>
    <s v="Other"/>
    <s v="Standard"/>
    <n v="1.57"/>
    <x v="27"/>
    <x v="0"/>
    <x v="2"/>
    <n v="13.99"/>
    <n v="0"/>
    <n v="0"/>
    <x v="3"/>
    <n v="5"/>
    <n v="0.09"/>
    <s v="Documentary"/>
  </r>
  <r>
    <s v="2975d560-cd13-47c5-8216-f8847177ed85"/>
    <n v="24"/>
    <s v="Other"/>
    <s v="Standard"/>
    <n v="5.4"/>
    <x v="13"/>
    <x v="2"/>
    <x v="2"/>
    <n v="13.99"/>
    <n v="0"/>
    <n v="0"/>
    <x v="0"/>
    <n v="5"/>
    <n v="0.68"/>
    <s v="Sci-Fi"/>
  </r>
  <r>
    <s v="edaac9b2-7788-4cc2-bcae-8cf07f8afb3a"/>
    <n v="31"/>
    <s v="Male"/>
    <s v="Basic"/>
    <n v="3.86"/>
    <x v="60"/>
    <x v="1"/>
    <x v="0"/>
    <n v="8.99"/>
    <n v="1"/>
    <n v="8.99"/>
    <x v="3"/>
    <n v="4"/>
    <n v="0.43"/>
    <s v="Action"/>
  </r>
  <r>
    <s v="55987346-c6e1-4766-8226-74d0fcf02ff5"/>
    <n v="34"/>
    <s v="Other"/>
    <s v="Premium"/>
    <n v="10.51"/>
    <x v="4"/>
    <x v="1"/>
    <x v="3"/>
    <n v="17.989999999999998"/>
    <n v="0"/>
    <n v="0"/>
    <x v="4"/>
    <n v="5"/>
    <n v="0.75"/>
    <s v="Horror"/>
  </r>
  <r>
    <s v="feca176b-1ae3-47f9-82d6-ebee151dcd65"/>
    <n v="70"/>
    <s v="Female"/>
    <s v="Basic"/>
    <n v="7.47"/>
    <x v="56"/>
    <x v="5"/>
    <x v="3"/>
    <n v="8.99"/>
    <n v="1"/>
    <n v="8.99"/>
    <x v="0"/>
    <n v="2"/>
    <n v="0.13"/>
    <s v="Romance"/>
  </r>
  <r>
    <s v="70877fd0-301a-4021-9bca-539c1833ae4d"/>
    <n v="18"/>
    <s v="Male"/>
    <s v="Premium"/>
    <n v="0.72"/>
    <x v="58"/>
    <x v="3"/>
    <x v="0"/>
    <n v="17.989999999999998"/>
    <n v="1"/>
    <n v="17.989999999999998"/>
    <x v="1"/>
    <n v="3"/>
    <n v="0.01"/>
    <s v="Documentary"/>
  </r>
  <r>
    <s v="bcae9b58-6081-44e3-8dec-26406f6835e7"/>
    <n v="49"/>
    <s v="Male"/>
    <s v="Basic"/>
    <n v="18.97"/>
    <x v="57"/>
    <x v="3"/>
    <x v="1"/>
    <n v="8.99"/>
    <n v="1"/>
    <n v="8.99"/>
    <x v="0"/>
    <n v="3"/>
    <n v="0.31"/>
    <s v="Action"/>
  </r>
  <r>
    <s v="0e9c2a39-12f4-4bf6-be86-deaccd099fec"/>
    <n v="25"/>
    <s v="Female"/>
    <s v="Basic"/>
    <n v="4.0199999999999996"/>
    <x v="26"/>
    <x v="5"/>
    <x v="3"/>
    <n v="8.99"/>
    <n v="1"/>
    <n v="8.99"/>
    <x v="4"/>
    <n v="4"/>
    <n v="0.08"/>
    <s v="Sci-Fi"/>
  </r>
  <r>
    <s v="c0d2bb59-f5bb-4da4-88ed-9d670e2ec727"/>
    <n v="23"/>
    <s v="Female"/>
    <s v="Basic"/>
    <n v="13.62"/>
    <x v="12"/>
    <x v="3"/>
    <x v="3"/>
    <n v="8.99"/>
    <n v="1"/>
    <n v="8.99"/>
    <x v="0"/>
    <n v="2"/>
    <n v="0.4"/>
    <s v="Comedy"/>
  </r>
  <r>
    <s v="1bc58c87-ff12-4ead-995a-c2c35062e450"/>
    <n v="32"/>
    <s v="Female"/>
    <s v="Standard"/>
    <n v="4.6900000000000004"/>
    <x v="26"/>
    <x v="4"/>
    <x v="2"/>
    <n v="13.99"/>
    <n v="1"/>
    <n v="13.99"/>
    <x v="4"/>
    <n v="4"/>
    <n v="0.1"/>
    <s v="Sci-Fi"/>
  </r>
  <r>
    <s v="eec8b59a-4325-43d3-9308-fc5cc94830fa"/>
    <n v="19"/>
    <s v="Female"/>
    <s v="Standard"/>
    <n v="1.68"/>
    <x v="21"/>
    <x v="5"/>
    <x v="2"/>
    <n v="13.99"/>
    <n v="0"/>
    <n v="0"/>
    <x v="4"/>
    <n v="3"/>
    <n v="0.24"/>
    <s v="Documentary"/>
  </r>
  <r>
    <s v="6ef3d5c9-1d7f-4100-9b17-22a554e8caad"/>
    <n v="21"/>
    <s v="Male"/>
    <s v="Standard"/>
    <n v="8.69"/>
    <x v="39"/>
    <x v="4"/>
    <x v="3"/>
    <n v="13.99"/>
    <n v="0"/>
    <n v="0"/>
    <x v="4"/>
    <n v="2"/>
    <n v="0.38"/>
    <s v="Horror"/>
  </r>
  <r>
    <s v="287ec5fe-48e9-4538-b9c9-71bf23aa8781"/>
    <n v="57"/>
    <s v="Male"/>
    <s v="Standard"/>
    <n v="12.67"/>
    <x v="34"/>
    <x v="5"/>
    <x v="0"/>
    <n v="13.99"/>
    <n v="1"/>
    <n v="13.99"/>
    <x v="1"/>
    <n v="2"/>
    <n v="0.25"/>
    <s v="Documentary"/>
  </r>
  <r>
    <s v="036b4a5f-d26d-40e3-ba14-669a725bdb1f"/>
    <n v="53"/>
    <s v="Male"/>
    <s v="Standard"/>
    <n v="13.02"/>
    <x v="45"/>
    <x v="0"/>
    <x v="0"/>
    <n v="13.99"/>
    <n v="1"/>
    <n v="13.99"/>
    <x v="0"/>
    <n v="3"/>
    <n v="0.31"/>
    <s v="Romance"/>
  </r>
  <r>
    <s v="0691d9e7-92de-4dc5-ae11-64824edbf9e0"/>
    <n v="67"/>
    <s v="Other"/>
    <s v="Premium"/>
    <n v="53.67"/>
    <x v="58"/>
    <x v="0"/>
    <x v="2"/>
    <n v="17.989999999999998"/>
    <n v="0"/>
    <n v="0"/>
    <x v="3"/>
    <n v="2"/>
    <n v="1.1200000000000001"/>
    <s v="Romance"/>
  </r>
  <r>
    <s v="099473b4-b27c-4cf8-9bb1-862c639701f3"/>
    <n v="66"/>
    <s v="Male"/>
    <s v="Premium"/>
    <n v="11.94"/>
    <x v="19"/>
    <x v="2"/>
    <x v="4"/>
    <n v="17.989999999999998"/>
    <n v="0"/>
    <n v="0"/>
    <x v="4"/>
    <n v="4"/>
    <n v="0.27"/>
    <s v="Documentary"/>
  </r>
  <r>
    <s v="0ac19238-cb50-4882-b4bb-3d068dc29494"/>
    <n v="33"/>
    <s v="Male"/>
    <s v="Basic"/>
    <n v="24.4"/>
    <x v="28"/>
    <x v="1"/>
    <x v="0"/>
    <n v="8.99"/>
    <n v="0"/>
    <n v="0"/>
    <x v="3"/>
    <n v="2"/>
    <n v="0.68"/>
    <s v="Drama"/>
  </r>
  <r>
    <s v="8728e75d-5ce9-4a44-b6ab-f53ffaacf6c5"/>
    <n v="23"/>
    <s v="Female"/>
    <s v="Premium"/>
    <n v="3"/>
    <x v="55"/>
    <x v="4"/>
    <x v="3"/>
    <n v="17.989999999999998"/>
    <n v="1"/>
    <n v="17.989999999999998"/>
    <x v="1"/>
    <n v="5"/>
    <n v="0.05"/>
    <s v="Sci-Fi"/>
  </r>
  <r>
    <s v="8050afa7-ecbe-4ad4-a793-50f42ab423d3"/>
    <n v="58"/>
    <s v="Male"/>
    <s v="Standard"/>
    <n v="12.42"/>
    <x v="6"/>
    <x v="3"/>
    <x v="4"/>
    <n v="13.99"/>
    <n v="0"/>
    <n v="0"/>
    <x v="4"/>
    <n v="5"/>
    <n v="0.59"/>
    <s v="Romance"/>
  </r>
  <r>
    <s v="5ed9091c-6b7e-4351-b526-d57df230b26d"/>
    <n v="49"/>
    <s v="Male"/>
    <s v="Standard"/>
    <n v="35.69"/>
    <x v="53"/>
    <x v="5"/>
    <x v="0"/>
    <n v="13.99"/>
    <n v="0"/>
    <n v="0"/>
    <x v="4"/>
    <n v="2"/>
    <n v="0.83"/>
    <s v="Drama"/>
  </r>
  <r>
    <s v="4d37690f-3d7f-4aae-9b34-9a45b65cf63d"/>
    <n v="24"/>
    <s v="Female"/>
    <s v="Standard"/>
    <n v="12.3"/>
    <x v="14"/>
    <x v="2"/>
    <x v="2"/>
    <n v="13.99"/>
    <n v="1"/>
    <n v="13.99"/>
    <x v="0"/>
    <n v="4"/>
    <n v="0.37"/>
    <s v="Comedy"/>
  </r>
  <r>
    <s v="81a2a8c7-3f1b-47be-b787-9730e6874b3b"/>
    <n v="57"/>
    <s v="Female"/>
    <s v="Premium"/>
    <n v="23.63"/>
    <x v="8"/>
    <x v="0"/>
    <x v="2"/>
    <n v="17.989999999999998"/>
    <n v="0"/>
    <n v="0"/>
    <x v="4"/>
    <n v="5"/>
    <n v="0.68"/>
    <s v="Drama"/>
  </r>
  <r>
    <s v="b1b17c62-0907-4594-8477-b6d9a1de203c"/>
    <n v="61"/>
    <s v="Female"/>
    <s v="Basic"/>
    <n v="4.4800000000000004"/>
    <x v="54"/>
    <x v="5"/>
    <x v="2"/>
    <n v="8.99"/>
    <n v="1"/>
    <n v="8.99"/>
    <x v="0"/>
    <n v="5"/>
    <n v="0.15"/>
    <s v="Action"/>
  </r>
  <r>
    <s v="41667e6f-421b-44dc-a22e-6f49d64d11c7"/>
    <n v="38"/>
    <s v="Female"/>
    <s v="Standard"/>
    <n v="3.26"/>
    <x v="6"/>
    <x v="3"/>
    <x v="2"/>
    <n v="13.99"/>
    <n v="0"/>
    <n v="0"/>
    <x v="3"/>
    <n v="4"/>
    <n v="0.16"/>
    <s v="Sci-Fi"/>
  </r>
  <r>
    <s v="7987069d-efaa-4d6b-bf85-de78408157c5"/>
    <n v="67"/>
    <s v="Other"/>
    <s v="Basic"/>
    <n v="4.3099999999999996"/>
    <x v="42"/>
    <x v="0"/>
    <x v="2"/>
    <n v="8.99"/>
    <n v="1"/>
    <n v="8.99"/>
    <x v="2"/>
    <n v="5"/>
    <n v="0.11"/>
    <s v="Sci-Fi"/>
  </r>
  <r>
    <s v="f6790d45-e49b-478e-9535-ee8ce7ef1cdf"/>
    <n v="64"/>
    <s v="Female"/>
    <s v="Premium"/>
    <n v="6.41"/>
    <x v="17"/>
    <x v="5"/>
    <x v="4"/>
    <n v="17.989999999999998"/>
    <n v="0"/>
    <n v="0"/>
    <x v="4"/>
    <n v="1"/>
    <n v="1.28"/>
    <s v="Sci-Fi"/>
  </r>
  <r>
    <s v="a4a081bf-78e0-49f2-b13d-edb25ab7ea32"/>
    <n v="26"/>
    <s v="Male"/>
    <s v="Standard"/>
    <n v="24.88"/>
    <x v="31"/>
    <x v="2"/>
    <x v="4"/>
    <n v="13.99"/>
    <n v="0"/>
    <n v="0"/>
    <x v="0"/>
    <n v="1"/>
    <n v="1.55"/>
    <s v="Action"/>
  </r>
  <r>
    <s v="3a705431-53dc-4ec6-a4e5-2960228a1ad8"/>
    <n v="68"/>
    <s v="Female"/>
    <s v="Basic"/>
    <n v="9.48"/>
    <x v="17"/>
    <x v="3"/>
    <x v="4"/>
    <n v="8.99"/>
    <n v="0"/>
    <n v="0"/>
    <x v="4"/>
    <n v="2"/>
    <n v="1.9"/>
    <s v="Drama"/>
  </r>
  <r>
    <s v="b9fd67cd-6bf0-4c9c-ab2f-2d3060247949"/>
    <n v="27"/>
    <s v="Female"/>
    <s v="Basic"/>
    <n v="7.52"/>
    <x v="8"/>
    <x v="3"/>
    <x v="1"/>
    <n v="8.99"/>
    <n v="1"/>
    <n v="8.99"/>
    <x v="1"/>
    <n v="5"/>
    <n v="0.21"/>
    <s v="Romance"/>
  </r>
  <r>
    <s v="1009cba1-e578-425e-99b7-0693b4024e29"/>
    <n v="24"/>
    <s v="Other"/>
    <s v="Standard"/>
    <n v="17.37"/>
    <x v="51"/>
    <x v="0"/>
    <x v="3"/>
    <n v="13.99"/>
    <n v="0"/>
    <n v="0"/>
    <x v="2"/>
    <n v="1"/>
    <n v="0.97"/>
    <s v="Horror"/>
  </r>
  <r>
    <s v="9448266e-01a1-472a-9fe4-37d4e1a6b7b4"/>
    <n v="28"/>
    <s v="Male"/>
    <s v="Basic"/>
    <n v="25.3"/>
    <x v="60"/>
    <x v="5"/>
    <x v="4"/>
    <n v="8.99"/>
    <n v="0"/>
    <n v="0"/>
    <x v="0"/>
    <n v="5"/>
    <n v="2.81"/>
    <s v="Horror"/>
  </r>
  <r>
    <s v="9c5addc5-de2b-4614-8efc-afc56a0ac20b"/>
    <n v="35"/>
    <s v="Other"/>
    <s v="Basic"/>
    <n v="29.26"/>
    <x v="9"/>
    <x v="0"/>
    <x v="2"/>
    <n v="8.99"/>
    <n v="0"/>
    <n v="0"/>
    <x v="2"/>
    <n v="1"/>
    <n v="0.79"/>
    <s v="Comedy"/>
  </r>
  <r>
    <s v="fbf7eced-0008-448b-a601-d051971b1764"/>
    <n v="54"/>
    <s v="Other"/>
    <s v="Standard"/>
    <n v="27.56"/>
    <x v="54"/>
    <x v="2"/>
    <x v="2"/>
    <n v="13.99"/>
    <n v="0"/>
    <n v="0"/>
    <x v="3"/>
    <n v="5"/>
    <n v="0.95"/>
    <s v="Horror"/>
  </r>
  <r>
    <s v="7b929fce-23d0-4c91-886c-e9d3c60f2a03"/>
    <n v="22"/>
    <s v="Other"/>
    <s v="Basic"/>
    <n v="11.74"/>
    <x v="12"/>
    <x v="0"/>
    <x v="3"/>
    <n v="8.99"/>
    <n v="1"/>
    <n v="8.99"/>
    <x v="1"/>
    <n v="2"/>
    <n v="0.35"/>
    <s v="Documentary"/>
  </r>
  <r>
    <s v="e938d06e-fcc5-4768-86d8-6aaf73f4fa35"/>
    <n v="60"/>
    <s v="Male"/>
    <s v="Standard"/>
    <n v="12.22"/>
    <x v="51"/>
    <x v="0"/>
    <x v="0"/>
    <n v="13.99"/>
    <n v="0"/>
    <n v="0"/>
    <x v="2"/>
    <n v="2"/>
    <n v="0.68"/>
    <s v="Drama"/>
  </r>
  <r>
    <s v="a5e54cb5-cab8-452b-9592-f2b83dadb4c5"/>
    <n v="37"/>
    <s v="Female"/>
    <s v="Standard"/>
    <n v="1.64"/>
    <x v="60"/>
    <x v="2"/>
    <x v="2"/>
    <n v="13.99"/>
    <n v="1"/>
    <n v="13.99"/>
    <x v="4"/>
    <n v="1"/>
    <n v="0.18"/>
    <s v="Action"/>
  </r>
  <r>
    <s v="c7ef45c3-a8d7-4952-bf06-66e39f308471"/>
    <n v="30"/>
    <s v="Male"/>
    <s v="Basic"/>
    <n v="1.3"/>
    <x v="7"/>
    <x v="0"/>
    <x v="0"/>
    <n v="8.99"/>
    <n v="1"/>
    <n v="8.99"/>
    <x v="4"/>
    <n v="1"/>
    <n v="0.02"/>
    <s v="Documentary"/>
  </r>
  <r>
    <s v="6e91dbee-b822-44c0-a014-a48a452ec9d0"/>
    <n v="21"/>
    <s v="Male"/>
    <s v="Standard"/>
    <n v="51.45"/>
    <x v="37"/>
    <x v="2"/>
    <x v="2"/>
    <n v="13.99"/>
    <n v="0"/>
    <n v="0"/>
    <x v="4"/>
    <n v="1"/>
    <n v="2.06"/>
    <s v="Romance"/>
  </r>
  <r>
    <s v="49d191d4-94d6-46a0-a47a-f36813b05dfb"/>
    <n v="40"/>
    <s v="Other"/>
    <s v="Premium"/>
    <n v="3.41"/>
    <x v="5"/>
    <x v="5"/>
    <x v="0"/>
    <n v="17.989999999999998"/>
    <n v="0"/>
    <n v="0"/>
    <x v="4"/>
    <n v="5"/>
    <n v="0.13"/>
    <s v="Action"/>
  </r>
  <r>
    <s v="f500aa1d-d760-42ea-8cd1-725d5aa13413"/>
    <n v="69"/>
    <s v="Male"/>
    <s v="Standard"/>
    <n v="32.200000000000003"/>
    <x v="4"/>
    <x v="2"/>
    <x v="1"/>
    <n v="13.99"/>
    <n v="0"/>
    <n v="0"/>
    <x v="2"/>
    <n v="1"/>
    <n v="2.2999999999999998"/>
    <s v="Documentary"/>
  </r>
  <r>
    <s v="da1d94c9-af82-46ad-a2a3-112aa874e2c2"/>
    <n v="29"/>
    <s v="Other"/>
    <s v="Basic"/>
    <n v="15.49"/>
    <x v="43"/>
    <x v="0"/>
    <x v="2"/>
    <n v="8.99"/>
    <n v="1"/>
    <n v="8.99"/>
    <x v="0"/>
    <n v="3"/>
    <n v="0.48"/>
    <s v="Documentary"/>
  </r>
  <r>
    <s v="6eaa7000-e450-4dbd-9eea-6abe53a3ccea"/>
    <n v="60"/>
    <s v="Female"/>
    <s v="Premium"/>
    <n v="16.05"/>
    <x v="7"/>
    <x v="5"/>
    <x v="2"/>
    <n v="17.989999999999998"/>
    <n v="0"/>
    <n v="0"/>
    <x v="3"/>
    <n v="4"/>
    <n v="0.28000000000000003"/>
    <s v="Documentary"/>
  </r>
  <r>
    <s v="14b8d5b4-acf9-4243-bfc7-371bfc3b67df"/>
    <n v="36"/>
    <s v="Male"/>
    <s v="Premium"/>
    <n v="5.72"/>
    <x v="38"/>
    <x v="3"/>
    <x v="4"/>
    <n v="17.989999999999998"/>
    <n v="0"/>
    <n v="0"/>
    <x v="2"/>
    <n v="1"/>
    <n v="0.26"/>
    <s v="Comedy"/>
  </r>
  <r>
    <s v="5ff64e1b-5ffa-4f13-827c-62773ab1ab6f"/>
    <n v="57"/>
    <s v="Female"/>
    <s v="Basic"/>
    <n v="3.81"/>
    <x v="30"/>
    <x v="0"/>
    <x v="3"/>
    <n v="8.99"/>
    <n v="1"/>
    <n v="8.99"/>
    <x v="0"/>
    <n v="2"/>
    <n v="1.91"/>
    <s v="Drama"/>
  </r>
  <r>
    <s v="89931699-5ba5-434a-8dca-32e18d7dbd4b"/>
    <n v="19"/>
    <s v="Female"/>
    <s v="Standard"/>
    <n v="8.5399999999999991"/>
    <x v="21"/>
    <x v="0"/>
    <x v="0"/>
    <n v="13.99"/>
    <n v="0"/>
    <n v="0"/>
    <x v="4"/>
    <n v="3"/>
    <n v="1.22"/>
    <s v="Romance"/>
  </r>
  <r>
    <s v="46621af8-c4ca-4079-87d7-a8b68c9461b3"/>
    <n v="43"/>
    <s v="Female"/>
    <s v="Premium"/>
    <n v="16.600000000000001"/>
    <x v="51"/>
    <x v="5"/>
    <x v="2"/>
    <n v="17.989999999999998"/>
    <n v="0"/>
    <n v="0"/>
    <x v="0"/>
    <n v="3"/>
    <n v="0.92"/>
    <s v="Drama"/>
  </r>
  <r>
    <s v="750a6638-3b93-407c-80b6-074f7b7e9673"/>
    <n v="45"/>
    <s v="Other"/>
    <s v="Premium"/>
    <n v="19.18"/>
    <x v="52"/>
    <x v="5"/>
    <x v="1"/>
    <n v="17.989999999999998"/>
    <n v="1"/>
    <n v="17.989999999999998"/>
    <x v="0"/>
    <n v="5"/>
    <n v="0.38"/>
    <s v="Documentary"/>
  </r>
  <r>
    <s v="a1419778-cfb0-47d8-8e7a-bc5d093195d2"/>
    <n v="31"/>
    <s v="Other"/>
    <s v="Standard"/>
    <n v="4.1100000000000003"/>
    <x v="12"/>
    <x v="5"/>
    <x v="0"/>
    <n v="13.99"/>
    <n v="1"/>
    <n v="13.99"/>
    <x v="1"/>
    <n v="5"/>
    <n v="0.12"/>
    <s v="Drama"/>
  </r>
  <r>
    <s v="4933b25d-6722-45b2-b706-e08605c11066"/>
    <n v="38"/>
    <s v="Female"/>
    <s v="Premium"/>
    <n v="3.26"/>
    <x v="9"/>
    <x v="0"/>
    <x v="4"/>
    <n v="17.989999999999998"/>
    <n v="1"/>
    <n v="17.989999999999998"/>
    <x v="0"/>
    <n v="1"/>
    <n v="0.09"/>
    <s v="Documentary"/>
  </r>
  <r>
    <s v="24405e27-b8b8-4ef8-9cb0-c7974bd0dcd7"/>
    <n v="59"/>
    <s v="Male"/>
    <s v="Basic"/>
    <n v="14.13"/>
    <x v="17"/>
    <x v="2"/>
    <x v="1"/>
    <n v="8.99"/>
    <n v="0"/>
    <n v="0"/>
    <x v="3"/>
    <n v="2"/>
    <n v="2.83"/>
    <s v="Horror"/>
  </r>
  <r>
    <s v="3fb95ed2-0c85-4197-9463-622b3ca9a90c"/>
    <n v="42"/>
    <s v="Male"/>
    <s v="Premium"/>
    <n v="3.39"/>
    <x v="41"/>
    <x v="4"/>
    <x v="1"/>
    <n v="17.989999999999998"/>
    <n v="0"/>
    <n v="0"/>
    <x v="2"/>
    <n v="5"/>
    <n v="0.11"/>
    <s v="Drama"/>
  </r>
  <r>
    <s v="c414e639-5ea4-4481-b760-4c16636863fb"/>
    <n v="47"/>
    <s v="Other"/>
    <s v="Basic"/>
    <n v="14.58"/>
    <x v="7"/>
    <x v="2"/>
    <x v="3"/>
    <n v="8.99"/>
    <n v="1"/>
    <n v="8.99"/>
    <x v="4"/>
    <n v="3"/>
    <n v="0.26"/>
    <s v="Documentary"/>
  </r>
  <r>
    <s v="f7b0c51e-0031-4647-900a-115a166b40b5"/>
    <n v="58"/>
    <s v="Male"/>
    <s v="Premium"/>
    <n v="23.87"/>
    <x v="58"/>
    <x v="3"/>
    <x v="3"/>
    <n v="17.989999999999998"/>
    <n v="0"/>
    <n v="0"/>
    <x v="1"/>
    <n v="2"/>
    <n v="0.5"/>
    <s v="Drama"/>
  </r>
  <r>
    <s v="17219697-8881-42f0-aba7-7ab8fdd11da9"/>
    <n v="41"/>
    <s v="Male"/>
    <s v="Premium"/>
    <n v="11.91"/>
    <x v="20"/>
    <x v="4"/>
    <x v="4"/>
    <n v="17.989999999999998"/>
    <n v="0"/>
    <n v="0"/>
    <x v="4"/>
    <n v="3"/>
    <n v="0.63"/>
    <s v="Action"/>
  </r>
  <r>
    <s v="b4af5cfb-b811-4ec6-9b0e-b8fbf7de35b5"/>
    <n v="40"/>
    <s v="Other"/>
    <s v="Standard"/>
    <n v="0.65"/>
    <x v="27"/>
    <x v="2"/>
    <x v="4"/>
    <n v="13.99"/>
    <n v="1"/>
    <n v="13.99"/>
    <x v="0"/>
    <n v="5"/>
    <n v="0.04"/>
    <s v="Horror"/>
  </r>
  <r>
    <s v="9216565f-576a-44ed-9d7a-a8aab306d7fb"/>
    <n v="59"/>
    <s v="Male"/>
    <s v="Standard"/>
    <n v="6.99"/>
    <x v="54"/>
    <x v="2"/>
    <x v="1"/>
    <n v="13.99"/>
    <n v="0"/>
    <n v="0"/>
    <x v="4"/>
    <n v="3"/>
    <n v="0.24"/>
    <s v="Romance"/>
  </r>
  <r>
    <s v="7f00af18-e9a7-464e-a6b5-b9b10a54b27d"/>
    <n v="52"/>
    <s v="Female"/>
    <s v="Premium"/>
    <n v="2.69"/>
    <x v="50"/>
    <x v="4"/>
    <x v="1"/>
    <n v="17.989999999999998"/>
    <n v="1"/>
    <n v="17.989999999999998"/>
    <x v="1"/>
    <n v="3"/>
    <n v="0.05"/>
    <s v="Sci-Fi"/>
  </r>
  <r>
    <s v="931bee39-98db-4b72-9e52-f40e09e00738"/>
    <n v="61"/>
    <s v="Female"/>
    <s v="Standard"/>
    <n v="38.549999999999997"/>
    <x v="40"/>
    <x v="1"/>
    <x v="3"/>
    <n v="13.99"/>
    <n v="0"/>
    <n v="0"/>
    <x v="2"/>
    <n v="4"/>
    <n v="3.21"/>
    <s v="Comedy"/>
  </r>
  <r>
    <s v="8c2d6f55-ade2-477e-b273-53e50b0a40b7"/>
    <n v="52"/>
    <s v="Other"/>
    <s v="Basic"/>
    <n v="33.99"/>
    <x v="41"/>
    <x v="2"/>
    <x v="2"/>
    <n v="8.99"/>
    <n v="0"/>
    <n v="0"/>
    <x v="4"/>
    <n v="2"/>
    <n v="1.1000000000000001"/>
    <s v="Drama"/>
  </r>
  <r>
    <s v="6b1bf8c4-e894-4ba9-9fad-7497ef253b7f"/>
    <n v="39"/>
    <s v="Other"/>
    <s v="Standard"/>
    <n v="6.67"/>
    <x v="52"/>
    <x v="3"/>
    <x v="3"/>
    <n v="13.99"/>
    <n v="1"/>
    <n v="13.99"/>
    <x v="1"/>
    <n v="1"/>
    <n v="0.13"/>
    <s v="Documentary"/>
  </r>
  <r>
    <s v="1a7ac656-bafb-4e6a-a5ac-ae0416f3dbe1"/>
    <n v="33"/>
    <s v="Female"/>
    <s v="Basic"/>
    <n v="1.96"/>
    <x v="20"/>
    <x v="1"/>
    <x v="4"/>
    <n v="8.99"/>
    <n v="1"/>
    <n v="8.99"/>
    <x v="2"/>
    <n v="2"/>
    <n v="0.1"/>
    <s v="Action"/>
  </r>
  <r>
    <s v="6034d060-391f-4f38-9ff7-870fb4d6c241"/>
    <n v="24"/>
    <s v="Other"/>
    <s v="Basic"/>
    <n v="1.97"/>
    <x v="36"/>
    <x v="3"/>
    <x v="1"/>
    <n v="8.99"/>
    <n v="1"/>
    <n v="8.99"/>
    <x v="4"/>
    <n v="3"/>
    <n v="0.05"/>
    <s v="Horror"/>
  </r>
  <r>
    <s v="e1ba461d-21c7-4a8a-9629-d916d9b5cff7"/>
    <n v="53"/>
    <s v="Male"/>
    <s v="Basic"/>
    <n v="25.23"/>
    <x v="59"/>
    <x v="1"/>
    <x v="3"/>
    <n v="8.99"/>
    <n v="0"/>
    <n v="0"/>
    <x v="4"/>
    <n v="1"/>
    <n v="4.21"/>
    <s v="Documentary"/>
  </r>
  <r>
    <s v="f0b6c5bd-f49e-4cd3-90f5-29b4b00a8ab3"/>
    <n v="25"/>
    <s v="Female"/>
    <s v="Standard"/>
    <n v="0.09"/>
    <x v="15"/>
    <x v="5"/>
    <x v="0"/>
    <n v="13.99"/>
    <n v="1"/>
    <n v="13.99"/>
    <x v="4"/>
    <n v="1"/>
    <n v="0"/>
    <s v="Horror"/>
  </r>
  <r>
    <s v="17570efb-4ba0-4b9f-8841-56492358c59a"/>
    <n v="40"/>
    <s v="Female"/>
    <s v="Standard"/>
    <n v="12.53"/>
    <x v="41"/>
    <x v="5"/>
    <x v="1"/>
    <n v="13.99"/>
    <n v="0"/>
    <n v="0"/>
    <x v="1"/>
    <n v="4"/>
    <n v="0.4"/>
    <s v="Documentary"/>
  </r>
  <r>
    <s v="17d1f30d-33be-4bc4-ba78-8a57cdc8ef8d"/>
    <n v="46"/>
    <s v="Male"/>
    <s v="Premium"/>
    <n v="4.4000000000000004"/>
    <x v="37"/>
    <x v="4"/>
    <x v="4"/>
    <n v="17.989999999999998"/>
    <n v="0"/>
    <n v="0"/>
    <x v="3"/>
    <n v="4"/>
    <n v="0.18"/>
    <s v="Documentary"/>
  </r>
  <r>
    <s v="cf036ddf-1a7e-4a72-b1ea-55b11a87b482"/>
    <n v="67"/>
    <s v="Other"/>
    <s v="Premium"/>
    <n v="1.54"/>
    <x v="16"/>
    <x v="2"/>
    <x v="3"/>
    <n v="17.989999999999998"/>
    <n v="1"/>
    <n v="17.989999999999998"/>
    <x v="1"/>
    <n v="2"/>
    <n v="0.06"/>
    <s v="Horror"/>
  </r>
  <r>
    <s v="62bf9eae-d919-4c34-8bc2-2ffedcc4ec5d"/>
    <n v="20"/>
    <s v="Male"/>
    <s v="Standard"/>
    <n v="17.28"/>
    <x v="34"/>
    <x v="4"/>
    <x v="3"/>
    <n v="13.99"/>
    <n v="0"/>
    <n v="0"/>
    <x v="3"/>
    <n v="5"/>
    <n v="0.34"/>
    <s v="Comedy"/>
  </r>
  <r>
    <s v="3b71b9da-ed2a-4bac-935d-60979792672e"/>
    <n v="22"/>
    <s v="Male"/>
    <s v="Premium"/>
    <n v="13.87"/>
    <x v="37"/>
    <x v="5"/>
    <x v="3"/>
    <n v="17.989999999999998"/>
    <n v="0"/>
    <n v="0"/>
    <x v="4"/>
    <n v="5"/>
    <n v="0.55000000000000004"/>
    <s v="Comedy"/>
  </r>
  <r>
    <s v="d4fa918c-1bfb-4a9f-ab36-2179e743db0b"/>
    <n v="39"/>
    <s v="Female"/>
    <s v="Premium"/>
    <n v="4.25"/>
    <x v="38"/>
    <x v="4"/>
    <x v="2"/>
    <n v="17.989999999999998"/>
    <n v="1"/>
    <n v="17.989999999999998"/>
    <x v="3"/>
    <n v="3"/>
    <n v="0.19"/>
    <s v="Sci-Fi"/>
  </r>
  <r>
    <s v="b585c7c3-46df-4c32-95eb-12551b1bb2d8"/>
    <n v="53"/>
    <s v="Male"/>
    <s v="Basic"/>
    <n v="15.01"/>
    <x v="33"/>
    <x v="2"/>
    <x v="4"/>
    <n v="8.99"/>
    <n v="0"/>
    <n v="0"/>
    <x v="2"/>
    <n v="2"/>
    <n v="0.57999999999999996"/>
    <s v="Romance"/>
  </r>
  <r>
    <s v="91cf940b-4be6-4692-b46e-53cc59c3bc36"/>
    <n v="53"/>
    <s v="Other"/>
    <s v="Basic"/>
    <n v="16.649999999999999"/>
    <x v="25"/>
    <x v="1"/>
    <x v="3"/>
    <n v="8.99"/>
    <n v="0"/>
    <n v="0"/>
    <x v="2"/>
    <n v="4"/>
    <n v="16.649999999999999"/>
    <s v="Sci-Fi"/>
  </r>
  <r>
    <s v="1b5f4177-371a-4c9a-a4fd-46ccc96103dd"/>
    <n v="20"/>
    <s v="Male"/>
    <s v="Basic"/>
    <n v="6.06"/>
    <x v="42"/>
    <x v="5"/>
    <x v="0"/>
    <n v="8.99"/>
    <n v="1"/>
    <n v="8.99"/>
    <x v="2"/>
    <n v="5"/>
    <n v="0.16"/>
    <s v="Comedy"/>
  </r>
  <r>
    <s v="cf0e854c-0608-40f6-b631-6b4d5f7a0ce9"/>
    <n v="62"/>
    <s v="Female"/>
    <s v="Basic"/>
    <n v="26.62"/>
    <x v="22"/>
    <x v="1"/>
    <x v="0"/>
    <n v="8.99"/>
    <n v="0"/>
    <n v="0"/>
    <x v="2"/>
    <n v="4"/>
    <n v="0.48"/>
    <s v="Action"/>
  </r>
  <r>
    <s v="2c906f73-b731-418e-8097-95c0f874c3eb"/>
    <n v="62"/>
    <s v="Female"/>
    <s v="Premium"/>
    <n v="1.26"/>
    <x v="8"/>
    <x v="0"/>
    <x v="0"/>
    <n v="17.989999999999998"/>
    <n v="1"/>
    <n v="17.989999999999998"/>
    <x v="4"/>
    <n v="2"/>
    <n v="0.04"/>
    <s v="Documentary"/>
  </r>
  <r>
    <s v="6843cc5d-4c0d-4a4f-a479-05001622c9bb"/>
    <n v="41"/>
    <s v="Female"/>
    <s v="Standard"/>
    <n v="1.21"/>
    <x v="6"/>
    <x v="4"/>
    <x v="4"/>
    <n v="13.99"/>
    <n v="1"/>
    <n v="13.99"/>
    <x v="0"/>
    <n v="5"/>
    <n v="0.06"/>
    <s v="Sci-Fi"/>
  </r>
  <r>
    <s v="4ffd8a27-1149-4b0c-a822-1da56b80b212"/>
    <n v="30"/>
    <s v="Female"/>
    <s v="Basic"/>
    <n v="6.53"/>
    <x v="52"/>
    <x v="0"/>
    <x v="4"/>
    <n v="8.99"/>
    <n v="1"/>
    <n v="8.99"/>
    <x v="0"/>
    <n v="5"/>
    <n v="0.13"/>
    <s v="Sci-Fi"/>
  </r>
  <r>
    <s v="dcece5b0-43e4-466c-9511-3fbae0a3b624"/>
    <n v="48"/>
    <s v="Male"/>
    <s v="Basic"/>
    <n v="15.91"/>
    <x v="38"/>
    <x v="1"/>
    <x v="0"/>
    <n v="8.99"/>
    <n v="0"/>
    <n v="0"/>
    <x v="0"/>
    <n v="2"/>
    <n v="0.72"/>
    <s v="Documentary"/>
  </r>
  <r>
    <s v="56664bb3-161c-447c-a977-00f18bc4787d"/>
    <n v="18"/>
    <s v="Other"/>
    <s v="Basic"/>
    <n v="2.02"/>
    <x v="46"/>
    <x v="3"/>
    <x v="1"/>
    <n v="8.99"/>
    <n v="0"/>
    <n v="0"/>
    <x v="1"/>
    <n v="5"/>
    <n v="0.67"/>
    <s v="Documentary"/>
  </r>
  <r>
    <s v="552546fb-dfc4-48e2-a13e-183c8fb7c18f"/>
    <n v="23"/>
    <s v="Other"/>
    <s v="Premium"/>
    <n v="11.18"/>
    <x v="44"/>
    <x v="2"/>
    <x v="4"/>
    <n v="17.989999999999998"/>
    <n v="0"/>
    <n v="0"/>
    <x v="2"/>
    <n v="4"/>
    <n v="0.24"/>
    <s v="Action"/>
  </r>
  <r>
    <s v="da959d35-24c6-46e5-b52b-a2908e645ed7"/>
    <n v="68"/>
    <s v="Other"/>
    <s v="Basic"/>
    <n v="0.12"/>
    <x v="5"/>
    <x v="4"/>
    <x v="0"/>
    <n v="8.99"/>
    <n v="1"/>
    <n v="8.99"/>
    <x v="1"/>
    <n v="2"/>
    <n v="0"/>
    <s v="Documentary"/>
  </r>
  <r>
    <s v="a4eaedbe-375c-472f-bf56-15f560afa034"/>
    <n v="30"/>
    <s v="Male"/>
    <s v="Premium"/>
    <n v="24.6"/>
    <x v="49"/>
    <x v="5"/>
    <x v="4"/>
    <n v="17.989999999999998"/>
    <n v="0"/>
    <n v="0"/>
    <x v="4"/>
    <n v="4"/>
    <n v="2.46"/>
    <s v="Documentary"/>
  </r>
  <r>
    <s v="b9d07746-6aa5-48e1-9033-e37b45cefb34"/>
    <n v="61"/>
    <s v="Male"/>
    <s v="Standard"/>
    <n v="27.06"/>
    <x v="14"/>
    <x v="0"/>
    <x v="2"/>
    <n v="13.99"/>
    <n v="0"/>
    <n v="0"/>
    <x v="2"/>
    <n v="3"/>
    <n v="0.82"/>
    <s v="Drama"/>
  </r>
  <r>
    <s v="fcf7205d-ed92-45a1-a608-75f6a70e5ed7"/>
    <n v="31"/>
    <s v="Other"/>
    <s v="Premium"/>
    <n v="0.62"/>
    <x v="36"/>
    <x v="1"/>
    <x v="4"/>
    <n v="17.989999999999998"/>
    <n v="1"/>
    <n v="17.989999999999998"/>
    <x v="0"/>
    <n v="2"/>
    <n v="0.02"/>
    <s v="Action"/>
  </r>
  <r>
    <s v="43e3cd1c-2c5a-4b3b-bd24-5a7d4ccd8bf2"/>
    <n v="44"/>
    <s v="Other"/>
    <s v="Standard"/>
    <n v="10.18"/>
    <x v="7"/>
    <x v="5"/>
    <x v="2"/>
    <n v="13.99"/>
    <n v="1"/>
    <n v="13.99"/>
    <x v="2"/>
    <n v="3"/>
    <n v="0.18"/>
    <s v="Romance"/>
  </r>
  <r>
    <s v="87c2892e-e449-40c4-b110-0824c85d14af"/>
    <n v="26"/>
    <s v="Male"/>
    <s v="Standard"/>
    <n v="6.52"/>
    <x v="11"/>
    <x v="4"/>
    <x v="3"/>
    <n v="13.99"/>
    <n v="0"/>
    <n v="0"/>
    <x v="3"/>
    <n v="2"/>
    <n v="0.27"/>
    <s v="Comedy"/>
  </r>
  <r>
    <s v="ccada82d-8cc9-47a7-bc93-ac1b8fa07b8e"/>
    <n v="55"/>
    <s v="Male"/>
    <s v="Premium"/>
    <n v="2.4700000000000002"/>
    <x v="13"/>
    <x v="0"/>
    <x v="3"/>
    <n v="17.989999999999998"/>
    <n v="0"/>
    <n v="0"/>
    <x v="2"/>
    <n v="4"/>
    <n v="0.31"/>
    <s v="Romance"/>
  </r>
  <r>
    <s v="5526ab76-d30d-4cdf-84cb-ff2d3217274a"/>
    <n v="40"/>
    <s v="Male"/>
    <s v="Standard"/>
    <n v="3.48"/>
    <x v="0"/>
    <x v="3"/>
    <x v="2"/>
    <n v="13.99"/>
    <n v="0"/>
    <n v="0"/>
    <x v="2"/>
    <n v="4"/>
    <n v="0.12"/>
    <s v="Drama"/>
  </r>
  <r>
    <s v="086a7a3f-9a89-42cd-8b47-ac858b72722a"/>
    <n v="59"/>
    <s v="Other"/>
    <s v="Basic"/>
    <n v="20.49"/>
    <x v="5"/>
    <x v="2"/>
    <x v="4"/>
    <n v="8.99"/>
    <n v="0"/>
    <n v="0"/>
    <x v="2"/>
    <n v="1"/>
    <n v="0.76"/>
    <s v="Horror"/>
  </r>
  <r>
    <s v="d6fde866-8dab-414d-93a6-44293e26c97b"/>
    <n v="51"/>
    <s v="Other"/>
    <s v="Premium"/>
    <n v="20.55"/>
    <x v="6"/>
    <x v="4"/>
    <x v="0"/>
    <n v="17.989999999999998"/>
    <n v="0"/>
    <n v="0"/>
    <x v="4"/>
    <n v="5"/>
    <n v="0.98"/>
    <s v="Sci-Fi"/>
  </r>
  <r>
    <s v="f2b16c7f-4760-4f1e-a4b2-b5e50e67fb27"/>
    <n v="26"/>
    <s v="Other"/>
    <s v="Basic"/>
    <n v="0.94"/>
    <x v="41"/>
    <x v="1"/>
    <x v="3"/>
    <n v="8.99"/>
    <n v="1"/>
    <n v="8.99"/>
    <x v="4"/>
    <n v="4"/>
    <n v="0.03"/>
    <s v="Drama"/>
  </r>
  <r>
    <s v="6e160b44-363a-4d57-bab6-5b22e979e887"/>
    <n v="56"/>
    <s v="Female"/>
    <s v="Basic"/>
    <n v="0.4"/>
    <x v="10"/>
    <x v="3"/>
    <x v="1"/>
    <n v="8.99"/>
    <n v="1"/>
    <n v="8.99"/>
    <x v="2"/>
    <n v="5"/>
    <n v="0.01"/>
    <s v="Action"/>
  </r>
  <r>
    <s v="f0e8e312-3315-46d4-9475-d376bb231524"/>
    <n v="66"/>
    <s v="Male"/>
    <s v="Standard"/>
    <n v="1.97"/>
    <x v="46"/>
    <x v="1"/>
    <x v="2"/>
    <n v="13.99"/>
    <n v="0"/>
    <n v="0"/>
    <x v="4"/>
    <n v="4"/>
    <n v="0.66"/>
    <s v="Sci-Fi"/>
  </r>
  <r>
    <s v="3ee82784-d01b-44da-b1fe-bbfa81b78bf1"/>
    <n v="35"/>
    <s v="Female"/>
    <s v="Standard"/>
    <n v="58.33"/>
    <x v="53"/>
    <x v="3"/>
    <x v="2"/>
    <n v="13.99"/>
    <n v="0"/>
    <n v="0"/>
    <x v="1"/>
    <n v="4"/>
    <n v="1.36"/>
    <s v="Horror"/>
  </r>
  <r>
    <s v="27df865c-d4b2-4981-a525-360126dcd57a"/>
    <n v="28"/>
    <s v="Male"/>
    <s v="Premium"/>
    <n v="16.88"/>
    <x v="6"/>
    <x v="3"/>
    <x v="1"/>
    <n v="17.989999999999998"/>
    <n v="0"/>
    <n v="0"/>
    <x v="3"/>
    <n v="2"/>
    <n v="0.8"/>
    <s v="Sci-Fi"/>
  </r>
  <r>
    <s v="efd974fa-1dce-41ff-9d11-0d2f181559a0"/>
    <n v="66"/>
    <s v="Male"/>
    <s v="Standard"/>
    <n v="0.8"/>
    <x v="14"/>
    <x v="3"/>
    <x v="0"/>
    <n v="13.99"/>
    <n v="1"/>
    <n v="13.99"/>
    <x v="2"/>
    <n v="1"/>
    <n v="0.02"/>
    <s v="Drama"/>
  </r>
  <r>
    <s v="e2c3f40a-af6b-49bb-a8c6-85691505fae8"/>
    <n v="19"/>
    <s v="Male"/>
    <s v="Basic"/>
    <n v="23.08"/>
    <x v="31"/>
    <x v="0"/>
    <x v="3"/>
    <n v="8.99"/>
    <n v="0"/>
    <n v="0"/>
    <x v="0"/>
    <n v="3"/>
    <n v="1.44"/>
    <s v="Comedy"/>
  </r>
  <r>
    <s v="8e595ac0-28a0-4178-b0bb-04b452326a5b"/>
    <n v="32"/>
    <s v="Other"/>
    <s v="Basic"/>
    <n v="14.84"/>
    <x v="2"/>
    <x v="1"/>
    <x v="3"/>
    <n v="8.99"/>
    <n v="0"/>
    <n v="0"/>
    <x v="1"/>
    <n v="2"/>
    <n v="1.35"/>
    <s v="Sci-Fi"/>
  </r>
  <r>
    <s v="e49a8c45-d0f3-40a4-bbdf-08134e2c2a91"/>
    <n v="63"/>
    <s v="Male"/>
    <s v="Premium"/>
    <n v="9.84"/>
    <x v="47"/>
    <x v="5"/>
    <x v="2"/>
    <n v="17.989999999999998"/>
    <n v="0"/>
    <n v="0"/>
    <x v="3"/>
    <n v="4"/>
    <n v="2.46"/>
    <s v="Comedy"/>
  </r>
  <r>
    <s v="47f88627-cafa-48f1-be88-630ac9399313"/>
    <n v="69"/>
    <s v="Other"/>
    <s v="Standard"/>
    <n v="31.16"/>
    <x v="58"/>
    <x v="2"/>
    <x v="1"/>
    <n v="13.99"/>
    <n v="0"/>
    <n v="0"/>
    <x v="2"/>
    <n v="5"/>
    <n v="0.65"/>
    <s v="Documentary"/>
  </r>
  <r>
    <s v="140050f4-0857-4a05-b012-34001d8114a6"/>
    <n v="24"/>
    <s v="Female"/>
    <s v="Basic"/>
    <n v="1.42"/>
    <x v="15"/>
    <x v="3"/>
    <x v="1"/>
    <n v="8.99"/>
    <n v="1"/>
    <n v="8.99"/>
    <x v="2"/>
    <n v="4"/>
    <n v="0.03"/>
    <s v="Romance"/>
  </r>
  <r>
    <s v="fae18ffd-0f18-453b-9a08-6af102c029fa"/>
    <n v="24"/>
    <s v="Male"/>
    <s v="Basic"/>
    <n v="0.9"/>
    <x v="15"/>
    <x v="1"/>
    <x v="2"/>
    <n v="8.99"/>
    <n v="1"/>
    <n v="8.99"/>
    <x v="0"/>
    <n v="5"/>
    <n v="0.02"/>
    <s v="Documentary"/>
  </r>
  <r>
    <s v="25d38511-efff-416e-a92e-af59e71aedae"/>
    <n v="62"/>
    <s v="Female"/>
    <s v="Premium"/>
    <n v="6.48"/>
    <x v="33"/>
    <x v="1"/>
    <x v="3"/>
    <n v="17.989999999999998"/>
    <n v="0"/>
    <n v="0"/>
    <x v="1"/>
    <n v="4"/>
    <n v="0.25"/>
    <s v="Documentary"/>
  </r>
  <r>
    <s v="37df711b-35ee-4ed8-83d2-922c80ffa1a1"/>
    <n v="64"/>
    <s v="Male"/>
    <s v="Standard"/>
    <n v="1.42"/>
    <x v="53"/>
    <x v="3"/>
    <x v="2"/>
    <n v="13.99"/>
    <n v="1"/>
    <n v="13.99"/>
    <x v="3"/>
    <n v="3"/>
    <n v="0.03"/>
    <s v="Horror"/>
  </r>
  <r>
    <s v="94db0386-f234-4ee7-8aa0-dcc0ff457278"/>
    <n v="69"/>
    <s v="Female"/>
    <s v="Basic"/>
    <n v="10.1"/>
    <x v="37"/>
    <x v="0"/>
    <x v="0"/>
    <n v="8.99"/>
    <n v="0"/>
    <n v="0"/>
    <x v="4"/>
    <n v="2"/>
    <n v="0.4"/>
    <s v="Sci-Fi"/>
  </r>
  <r>
    <s v="73133473-9657-49c2-b4f8-77b2380ca309"/>
    <n v="32"/>
    <s v="Other"/>
    <s v="Premium"/>
    <n v="4.6900000000000004"/>
    <x v="3"/>
    <x v="2"/>
    <x v="1"/>
    <n v="17.989999999999998"/>
    <n v="1"/>
    <n v="17.989999999999998"/>
    <x v="4"/>
    <n v="3"/>
    <n v="0.36"/>
    <s v="Documentary"/>
  </r>
  <r>
    <s v="e19f60cc-7e74-458f-9e37-12511d3a3506"/>
    <n v="67"/>
    <s v="Female"/>
    <s v="Premium"/>
    <n v="0.61"/>
    <x v="3"/>
    <x v="3"/>
    <x v="4"/>
    <n v="17.989999999999998"/>
    <n v="1"/>
    <n v="17.989999999999998"/>
    <x v="1"/>
    <n v="3"/>
    <n v="0.05"/>
    <s v="Documentary"/>
  </r>
  <r>
    <s v="ddb44990-503f-4d57-b23e-81ee8e33e31c"/>
    <n v="37"/>
    <s v="Other"/>
    <s v="Basic"/>
    <n v="18.149999999999999"/>
    <x v="50"/>
    <x v="5"/>
    <x v="3"/>
    <n v="8.99"/>
    <n v="1"/>
    <n v="8.99"/>
    <x v="2"/>
    <n v="1"/>
    <n v="0.33"/>
    <s v="Sci-Fi"/>
  </r>
  <r>
    <s v="fefecab1-579c-48fa-8803-253dfbdf42d5"/>
    <n v="34"/>
    <s v="Male"/>
    <s v="Standard"/>
    <n v="2.89"/>
    <x v="9"/>
    <x v="5"/>
    <x v="0"/>
    <n v="13.99"/>
    <n v="1"/>
    <n v="13.99"/>
    <x v="2"/>
    <n v="3"/>
    <n v="0.08"/>
    <s v="Sci-Fi"/>
  </r>
  <r>
    <s v="46fd4297-b49a-45d6-a09d-19a26147e19a"/>
    <n v="21"/>
    <s v="Female"/>
    <s v="Basic"/>
    <n v="23.78"/>
    <x v="49"/>
    <x v="3"/>
    <x v="2"/>
    <n v="8.99"/>
    <n v="0"/>
    <n v="0"/>
    <x v="4"/>
    <n v="3"/>
    <n v="2.38"/>
    <s v="Romance"/>
  </r>
  <r>
    <s v="89c5d399-6c86-4310-b981-2bd58fc37e57"/>
    <n v="50"/>
    <s v="Male"/>
    <s v="Premium"/>
    <n v="8.48"/>
    <x v="4"/>
    <x v="2"/>
    <x v="4"/>
    <n v="17.989999999999998"/>
    <n v="0"/>
    <n v="0"/>
    <x v="3"/>
    <n v="3"/>
    <n v="0.61"/>
    <s v="Sci-Fi"/>
  </r>
  <r>
    <s v="f1506978-d456-462e-a6c7-85a160c9b82e"/>
    <n v="56"/>
    <s v="Male"/>
    <s v="Basic"/>
    <n v="27.15"/>
    <x v="31"/>
    <x v="1"/>
    <x v="0"/>
    <n v="8.99"/>
    <n v="0"/>
    <n v="0"/>
    <x v="4"/>
    <n v="1"/>
    <n v="1.7"/>
    <s v="Action"/>
  </r>
  <r>
    <s v="165348b6-2c90-4d08-88c4-9c3a76076b85"/>
    <n v="52"/>
    <s v="Male"/>
    <s v="Basic"/>
    <n v="6.78"/>
    <x v="46"/>
    <x v="2"/>
    <x v="1"/>
    <n v="8.99"/>
    <n v="0"/>
    <n v="0"/>
    <x v="0"/>
    <n v="1"/>
    <n v="2.2599999999999998"/>
    <s v="Romance"/>
  </r>
  <r>
    <s v="146bc219-473c-4813-9d27-f584962bdb44"/>
    <n v="62"/>
    <s v="Male"/>
    <s v="Premium"/>
    <n v="0.62"/>
    <x v="60"/>
    <x v="2"/>
    <x v="1"/>
    <n v="17.989999999999998"/>
    <n v="1"/>
    <n v="17.989999999999998"/>
    <x v="3"/>
    <n v="1"/>
    <n v="7.0000000000000007E-2"/>
    <s v="Horror"/>
  </r>
  <r>
    <s v="1715c4e4-7c56-4bcf-845a-4c366c39e8fc"/>
    <n v="53"/>
    <s v="Female"/>
    <s v="Basic"/>
    <n v="0.01"/>
    <x v="22"/>
    <x v="0"/>
    <x v="1"/>
    <n v="8.99"/>
    <n v="1"/>
    <n v="8.99"/>
    <x v="3"/>
    <n v="3"/>
    <n v="0"/>
    <s v="Documentary"/>
  </r>
  <r>
    <s v="1986a40f-eb95-42f1-866c-0aa905972aa5"/>
    <n v="46"/>
    <s v="Female"/>
    <s v="Basic"/>
    <n v="4.1500000000000004"/>
    <x v="34"/>
    <x v="5"/>
    <x v="0"/>
    <n v="8.99"/>
    <n v="1"/>
    <n v="8.99"/>
    <x v="2"/>
    <n v="2"/>
    <n v="0.08"/>
    <s v="Documentary"/>
  </r>
  <r>
    <s v="eb982e0d-4adc-47a3-98e8-4e86a3befe48"/>
    <n v="65"/>
    <s v="Female"/>
    <s v="Standard"/>
    <n v="16.100000000000001"/>
    <x v="49"/>
    <x v="0"/>
    <x v="0"/>
    <n v="13.99"/>
    <n v="0"/>
    <n v="0"/>
    <x v="3"/>
    <n v="4"/>
    <n v="1.61"/>
    <s v="Documentary"/>
  </r>
  <r>
    <s v="c469045f-ec87-42e4-82a1-be8e5bab2135"/>
    <n v="33"/>
    <s v="Female"/>
    <s v="Standard"/>
    <n v="26.73"/>
    <x v="54"/>
    <x v="2"/>
    <x v="3"/>
    <n v="13.99"/>
    <n v="0"/>
    <n v="0"/>
    <x v="0"/>
    <n v="3"/>
    <n v="0.92"/>
    <s v="Horror"/>
  </r>
  <r>
    <s v="b74f6b4b-a83d-4319-a121-99c5b4e1a7ed"/>
    <n v="37"/>
    <s v="Other"/>
    <s v="Basic"/>
    <n v="1.32"/>
    <x v="40"/>
    <x v="4"/>
    <x v="0"/>
    <n v="8.99"/>
    <n v="1"/>
    <n v="8.99"/>
    <x v="0"/>
    <n v="5"/>
    <n v="0.11"/>
    <s v="Horror"/>
  </r>
  <r>
    <s v="23d09f18-697f-4233-b1a5-6fe4513aab29"/>
    <n v="52"/>
    <s v="Male"/>
    <s v="Premium"/>
    <n v="27.41"/>
    <x v="30"/>
    <x v="0"/>
    <x v="2"/>
    <n v="17.989999999999998"/>
    <n v="0"/>
    <n v="0"/>
    <x v="1"/>
    <n v="2"/>
    <n v="13.71"/>
    <s v="Action"/>
  </r>
  <r>
    <s v="b12d8725-09de-44f9-8b52-603ba1c99166"/>
    <n v="30"/>
    <s v="Female"/>
    <s v="Standard"/>
    <n v="19.84"/>
    <x v="0"/>
    <x v="0"/>
    <x v="0"/>
    <n v="13.99"/>
    <n v="0"/>
    <n v="0"/>
    <x v="2"/>
    <n v="1"/>
    <n v="0.66"/>
    <s v="Drama"/>
  </r>
  <r>
    <s v="c26d29b3-eac5-4ac4-82a5-116833c65582"/>
    <n v="38"/>
    <s v="Other"/>
    <s v="Premium"/>
    <n v="3.64"/>
    <x v="36"/>
    <x v="0"/>
    <x v="3"/>
    <n v="17.989999999999998"/>
    <n v="1"/>
    <n v="17.989999999999998"/>
    <x v="0"/>
    <n v="5"/>
    <n v="0.09"/>
    <s v="Drama"/>
  </r>
  <r>
    <s v="c53745c7-448f-4527-be6b-734d02c8548e"/>
    <n v="62"/>
    <s v="Female"/>
    <s v="Premium"/>
    <n v="10.68"/>
    <x v="44"/>
    <x v="4"/>
    <x v="4"/>
    <n v="17.989999999999998"/>
    <n v="1"/>
    <n v="17.989999999999998"/>
    <x v="1"/>
    <n v="1"/>
    <n v="0.23"/>
    <s v="Documentary"/>
  </r>
  <r>
    <s v="a2147627-7d68-4461-8c26-3192b1252e0e"/>
    <n v="22"/>
    <s v="Other"/>
    <s v="Basic"/>
    <n v="29.96"/>
    <x v="19"/>
    <x v="5"/>
    <x v="0"/>
    <n v="8.99"/>
    <n v="0"/>
    <n v="0"/>
    <x v="1"/>
    <n v="5"/>
    <n v="0.68"/>
    <s v="Romance"/>
  </r>
  <r>
    <s v="dd2569d2-b6cc-474b-be8b-bc3dc7a5cb4a"/>
    <n v="55"/>
    <s v="Other"/>
    <s v="Premium"/>
    <n v="38.31"/>
    <x v="14"/>
    <x v="2"/>
    <x v="1"/>
    <n v="17.989999999999998"/>
    <n v="0"/>
    <n v="0"/>
    <x v="1"/>
    <n v="1"/>
    <n v="1.1599999999999999"/>
    <s v="Sci-Fi"/>
  </r>
  <r>
    <s v="cd974314-1954-4de9-9813-63cb988be716"/>
    <n v="48"/>
    <s v="Male"/>
    <s v="Premium"/>
    <n v="1.64"/>
    <x v="40"/>
    <x v="5"/>
    <x v="1"/>
    <n v="17.989999999999998"/>
    <n v="1"/>
    <n v="17.989999999999998"/>
    <x v="0"/>
    <n v="1"/>
    <n v="0.14000000000000001"/>
    <s v="Drama"/>
  </r>
  <r>
    <s v="7f3ea46a-0d94-46df-a668-471a6e468f64"/>
    <n v="54"/>
    <s v="Other"/>
    <s v="Standard"/>
    <n v="8.5500000000000007"/>
    <x v="18"/>
    <x v="3"/>
    <x v="1"/>
    <n v="13.99"/>
    <n v="1"/>
    <n v="13.99"/>
    <x v="3"/>
    <n v="1"/>
    <n v="0.15"/>
    <s v="Horror"/>
  </r>
  <r>
    <s v="89fa6c7c-ab59-40a0-aab5-8a9c35733ad5"/>
    <n v="27"/>
    <s v="Other"/>
    <s v="Standard"/>
    <n v="3.92"/>
    <x v="7"/>
    <x v="3"/>
    <x v="3"/>
    <n v="13.99"/>
    <n v="1"/>
    <n v="13.99"/>
    <x v="2"/>
    <n v="1"/>
    <n v="7.0000000000000007E-2"/>
    <s v="Drama"/>
  </r>
  <r>
    <s v="0908b54f-538e-4a4b-bc5e-e93d4b529d8d"/>
    <n v="59"/>
    <s v="Other"/>
    <s v="Premium"/>
    <n v="4.8"/>
    <x v="30"/>
    <x v="0"/>
    <x v="3"/>
    <n v="17.989999999999998"/>
    <n v="0"/>
    <n v="0"/>
    <x v="3"/>
    <n v="1"/>
    <n v="2.4"/>
    <s v="Drama"/>
  </r>
  <r>
    <s v="e4d4a948-04d2-434f-a52c-ebc5151db43e"/>
    <n v="39"/>
    <s v="Other"/>
    <s v="Premium"/>
    <n v="11.29"/>
    <x v="13"/>
    <x v="1"/>
    <x v="4"/>
    <n v="17.989999999999998"/>
    <n v="0"/>
    <n v="0"/>
    <x v="0"/>
    <n v="1"/>
    <n v="1.41"/>
    <s v="Documentary"/>
  </r>
  <r>
    <s v="edf8770b-4690-4b30-a9da-a5bc9ef3c615"/>
    <n v="19"/>
    <s v="Other"/>
    <s v="Premium"/>
    <n v="0.4"/>
    <x v="31"/>
    <x v="4"/>
    <x v="1"/>
    <n v="17.989999999999998"/>
    <n v="1"/>
    <n v="17.989999999999998"/>
    <x v="0"/>
    <n v="1"/>
    <n v="0.03"/>
    <s v="Sci-Fi"/>
  </r>
  <r>
    <s v="8571850d-e2cd-47a6-bc93-63f2d3f9cb30"/>
    <n v="29"/>
    <s v="Other"/>
    <s v="Standard"/>
    <n v="2.33"/>
    <x v="7"/>
    <x v="2"/>
    <x v="3"/>
    <n v="13.99"/>
    <n v="1"/>
    <n v="13.99"/>
    <x v="1"/>
    <n v="2"/>
    <n v="0.04"/>
    <s v="Sci-Fi"/>
  </r>
  <r>
    <s v="2b696005-f4d7-40c5-bcc3-587d2910a8e3"/>
    <n v="33"/>
    <s v="Male"/>
    <s v="Premium"/>
    <n v="1.98"/>
    <x v="59"/>
    <x v="1"/>
    <x v="3"/>
    <n v="17.989999999999998"/>
    <n v="0"/>
    <n v="0"/>
    <x v="4"/>
    <n v="2"/>
    <n v="0.33"/>
    <s v="Sci-Fi"/>
  </r>
  <r>
    <s v="77f8d2da-3f34-4a02-8780-fcaab801b7fb"/>
    <n v="62"/>
    <s v="Other"/>
    <s v="Basic"/>
    <n v="1.31"/>
    <x v="44"/>
    <x v="2"/>
    <x v="3"/>
    <n v="8.99"/>
    <n v="1"/>
    <n v="8.99"/>
    <x v="1"/>
    <n v="2"/>
    <n v="0.03"/>
    <s v="Sci-Fi"/>
  </r>
  <r>
    <s v="2986b2af-cafa-4e8e-84ef-935c90683c79"/>
    <n v="45"/>
    <s v="Male"/>
    <s v="Standard"/>
    <n v="8.7100000000000009"/>
    <x v="11"/>
    <x v="4"/>
    <x v="4"/>
    <n v="13.99"/>
    <n v="0"/>
    <n v="0"/>
    <x v="4"/>
    <n v="5"/>
    <n v="0.36"/>
    <s v="Comedy"/>
  </r>
  <r>
    <s v="23a6a866-d1a1-4929-9b5d-97c99ed39c80"/>
    <n v="48"/>
    <s v="Other"/>
    <s v="Standard"/>
    <n v="4.6500000000000004"/>
    <x v="1"/>
    <x v="3"/>
    <x v="2"/>
    <n v="13.99"/>
    <n v="0"/>
    <n v="0"/>
    <x v="2"/>
    <n v="4"/>
    <n v="0.23"/>
    <s v="Romance"/>
  </r>
  <r>
    <s v="81572c13-a12d-4bf8-a510-5bdb12c9c16a"/>
    <n v="19"/>
    <s v="Male"/>
    <s v="Basic"/>
    <n v="15.61"/>
    <x v="60"/>
    <x v="0"/>
    <x v="4"/>
    <n v="8.99"/>
    <n v="0"/>
    <n v="0"/>
    <x v="1"/>
    <n v="2"/>
    <n v="1.73"/>
    <s v="Horror"/>
  </r>
  <r>
    <s v="1f89f505-ac3f-4538-9215-063c70b48b98"/>
    <n v="20"/>
    <s v="Female"/>
    <s v="Premium"/>
    <n v="27.16"/>
    <x v="23"/>
    <x v="4"/>
    <x v="4"/>
    <n v="17.989999999999998"/>
    <n v="0"/>
    <n v="0"/>
    <x v="4"/>
    <n v="1"/>
    <n v="0.5"/>
    <s v="Documentary"/>
  </r>
  <r>
    <s v="dcf62189-400f-4b2a-afc7-9b673182c229"/>
    <n v="59"/>
    <s v="Female"/>
    <s v="Basic"/>
    <n v="10.220000000000001"/>
    <x v="23"/>
    <x v="3"/>
    <x v="1"/>
    <n v="8.99"/>
    <n v="1"/>
    <n v="8.99"/>
    <x v="4"/>
    <n v="4"/>
    <n v="0.19"/>
    <s v="Sci-Fi"/>
  </r>
  <r>
    <s v="3c84119c-5db9-4cbb-ac42-45757da0210f"/>
    <n v="41"/>
    <s v="Other"/>
    <s v="Basic"/>
    <n v="11.39"/>
    <x v="35"/>
    <x v="4"/>
    <x v="1"/>
    <n v="8.99"/>
    <n v="1"/>
    <n v="8.99"/>
    <x v="0"/>
    <n v="3"/>
    <n v="0.25"/>
    <s v="Romance"/>
  </r>
  <r>
    <s v="729ef660-eb97-4b5e-8765-4791dba2f754"/>
    <n v="41"/>
    <s v="Female"/>
    <s v="Premium"/>
    <n v="1.5"/>
    <x v="57"/>
    <x v="4"/>
    <x v="3"/>
    <n v="17.989999999999998"/>
    <n v="1"/>
    <n v="17.989999999999998"/>
    <x v="0"/>
    <n v="5"/>
    <n v="0.02"/>
    <s v="Horror"/>
  </r>
  <r>
    <s v="93ddd2c6-7761-44e5-a8b5-a43863575f33"/>
    <n v="47"/>
    <s v="Female"/>
    <s v="Standard"/>
    <n v="13.28"/>
    <x v="6"/>
    <x v="1"/>
    <x v="1"/>
    <n v="13.99"/>
    <n v="0"/>
    <n v="0"/>
    <x v="3"/>
    <n v="3"/>
    <n v="0.63"/>
    <s v="Documentary"/>
  </r>
  <r>
    <s v="3c43176b-3672-4722-87a6-74a88692c573"/>
    <n v="46"/>
    <s v="Male"/>
    <s v="Premium"/>
    <n v="4.67"/>
    <x v="56"/>
    <x v="2"/>
    <x v="0"/>
    <n v="17.989999999999998"/>
    <n v="1"/>
    <n v="17.989999999999998"/>
    <x v="3"/>
    <n v="1"/>
    <n v="0.08"/>
    <s v="Documentary"/>
  </r>
  <r>
    <s v="0e9cfc52-27cb-4fed-97cd-46f4bbacfa31"/>
    <n v="33"/>
    <s v="Female"/>
    <s v="Basic"/>
    <n v="1.18"/>
    <x v="53"/>
    <x v="2"/>
    <x v="0"/>
    <n v="8.99"/>
    <n v="1"/>
    <n v="8.99"/>
    <x v="2"/>
    <n v="5"/>
    <n v="0.03"/>
    <s v="Horror"/>
  </r>
  <r>
    <s v="973e84f5-3ef5-4309-9b37-2b4af45ed4b9"/>
    <n v="21"/>
    <s v="Male"/>
    <s v="Premium"/>
    <n v="11.78"/>
    <x v="17"/>
    <x v="3"/>
    <x v="2"/>
    <n v="17.989999999999998"/>
    <n v="0"/>
    <n v="0"/>
    <x v="1"/>
    <n v="3"/>
    <n v="2.36"/>
    <s v="Drama"/>
  </r>
  <r>
    <s v="0301dc2e-b1d8-46ad-a291-0f056e28896a"/>
    <n v="66"/>
    <s v="Male"/>
    <s v="Basic"/>
    <n v="1.92"/>
    <x v="16"/>
    <x v="4"/>
    <x v="2"/>
    <n v="8.99"/>
    <n v="1"/>
    <n v="8.99"/>
    <x v="0"/>
    <n v="5"/>
    <n v="7.0000000000000007E-2"/>
    <s v="Horror"/>
  </r>
  <r>
    <s v="e5bd752b-a772-4775-b45b-1f2fdd438ba7"/>
    <n v="37"/>
    <s v="Male"/>
    <s v="Premium"/>
    <n v="3.73"/>
    <x v="43"/>
    <x v="2"/>
    <x v="0"/>
    <n v="17.989999999999998"/>
    <n v="1"/>
    <n v="17.989999999999998"/>
    <x v="3"/>
    <n v="5"/>
    <n v="0.12"/>
    <s v="Documentary"/>
  </r>
  <r>
    <s v="e33f6670-abe6-4931-8c94-3c94e8a9ce49"/>
    <n v="49"/>
    <s v="Male"/>
    <s v="Standard"/>
    <n v="9.39"/>
    <x v="39"/>
    <x v="1"/>
    <x v="2"/>
    <n v="13.99"/>
    <n v="0"/>
    <n v="0"/>
    <x v="0"/>
    <n v="1"/>
    <n v="0.41"/>
    <s v="Action"/>
  </r>
  <r>
    <s v="ad445a45-e3da-485d-9d7c-d174bd6cb9fd"/>
    <n v="66"/>
    <s v="Female"/>
    <s v="Standard"/>
    <n v="7.74"/>
    <x v="21"/>
    <x v="4"/>
    <x v="2"/>
    <n v="13.99"/>
    <n v="0"/>
    <n v="0"/>
    <x v="4"/>
    <n v="4"/>
    <n v="1.1100000000000001"/>
    <s v="Horror"/>
  </r>
  <r>
    <s v="23f24aaf-241e-4d60-a09e-7b0ca98bc162"/>
    <n v="35"/>
    <s v="Other"/>
    <s v="Basic"/>
    <n v="0.56999999999999995"/>
    <x v="7"/>
    <x v="4"/>
    <x v="1"/>
    <n v="8.99"/>
    <n v="1"/>
    <n v="8.99"/>
    <x v="3"/>
    <n v="2"/>
    <n v="0.01"/>
    <s v="Comedy"/>
  </r>
  <r>
    <s v="9fc308fa-66ba-46c2-ab5d-96a0592bfdb6"/>
    <n v="65"/>
    <s v="Male"/>
    <s v="Standard"/>
    <n v="4.3"/>
    <x v="44"/>
    <x v="0"/>
    <x v="1"/>
    <n v="13.99"/>
    <n v="1"/>
    <n v="13.99"/>
    <x v="3"/>
    <n v="3"/>
    <n v="0.09"/>
    <s v="Comedy"/>
  </r>
  <r>
    <s v="535f3322-6658-449b-8cca-0942262d1c30"/>
    <n v="20"/>
    <s v="Other"/>
    <s v="Standard"/>
    <n v="22.07"/>
    <x v="55"/>
    <x v="3"/>
    <x v="3"/>
    <n v="13.99"/>
    <n v="0"/>
    <n v="0"/>
    <x v="2"/>
    <n v="1"/>
    <n v="0.37"/>
    <s v="Comedy"/>
  </r>
  <r>
    <s v="df0faf6a-31a9-4e2a-bb49-3ec85a23da60"/>
    <n v="25"/>
    <s v="Female"/>
    <s v="Standard"/>
    <n v="10.7"/>
    <x v="36"/>
    <x v="1"/>
    <x v="0"/>
    <n v="13.99"/>
    <n v="1"/>
    <n v="13.99"/>
    <x v="1"/>
    <n v="1"/>
    <n v="0.27"/>
    <s v="Romance"/>
  </r>
  <r>
    <s v="ac816925-161d-46fb-94c9-1fd98990a8a9"/>
    <n v="32"/>
    <s v="Male"/>
    <s v="Standard"/>
    <n v="1.88"/>
    <x v="15"/>
    <x v="5"/>
    <x v="4"/>
    <n v="13.99"/>
    <n v="1"/>
    <n v="13.99"/>
    <x v="1"/>
    <n v="4"/>
    <n v="0.05"/>
    <s v="Romance"/>
  </r>
  <r>
    <s v="99ad0075-1330-459a-80ee-c657f8d65788"/>
    <n v="59"/>
    <s v="Other"/>
    <s v="Premium"/>
    <n v="0.95"/>
    <x v="22"/>
    <x v="4"/>
    <x v="3"/>
    <n v="17.989999999999998"/>
    <n v="1"/>
    <n v="17.989999999999998"/>
    <x v="1"/>
    <n v="4"/>
    <n v="0.02"/>
    <s v="Comedy"/>
  </r>
  <r>
    <s v="46c6cf49-e8b6-475d-9252-218a53be060c"/>
    <n v="34"/>
    <s v="Female"/>
    <s v="Basic"/>
    <n v="16.43"/>
    <x v="7"/>
    <x v="1"/>
    <x v="0"/>
    <n v="8.99"/>
    <n v="1"/>
    <n v="8.99"/>
    <x v="2"/>
    <n v="2"/>
    <n v="0.28999999999999998"/>
    <s v="Romance"/>
  </r>
  <r>
    <s v="d1beab45-e3a2-4cbd-84d3-15d4409cfab0"/>
    <n v="62"/>
    <s v="Other"/>
    <s v="Premium"/>
    <n v="12.37"/>
    <x v="41"/>
    <x v="1"/>
    <x v="0"/>
    <n v="17.989999999999998"/>
    <n v="0"/>
    <n v="0"/>
    <x v="4"/>
    <n v="2"/>
    <n v="0.4"/>
    <s v="Action"/>
  </r>
  <r>
    <s v="421eaae8-990a-4421-be7e-b58f45b36d28"/>
    <n v="55"/>
    <s v="Other"/>
    <s v="Basic"/>
    <n v="17.87"/>
    <x v="17"/>
    <x v="4"/>
    <x v="4"/>
    <n v="8.99"/>
    <n v="0"/>
    <n v="0"/>
    <x v="4"/>
    <n v="1"/>
    <n v="3.57"/>
    <s v="Romance"/>
  </r>
  <r>
    <s v="28dd1332-f527-4429-88e4-2c54f09b4578"/>
    <n v="40"/>
    <s v="Other"/>
    <s v="Standard"/>
    <n v="12.82"/>
    <x v="9"/>
    <x v="2"/>
    <x v="0"/>
    <n v="13.99"/>
    <n v="1"/>
    <n v="13.99"/>
    <x v="4"/>
    <n v="2"/>
    <n v="0.35"/>
    <s v="Romance"/>
  </r>
  <r>
    <s v="2094b063-9307-43b4-93e2-c886a4267f3e"/>
    <n v="51"/>
    <s v="Male"/>
    <s v="Premium"/>
    <n v="10.86"/>
    <x v="44"/>
    <x v="1"/>
    <x v="1"/>
    <n v="17.989999999999998"/>
    <n v="0"/>
    <n v="0"/>
    <x v="4"/>
    <n v="4"/>
    <n v="0.23"/>
    <s v="Sci-Fi"/>
  </r>
  <r>
    <s v="32e6a570-0814-4ec5-9437-964eb1c0628c"/>
    <n v="29"/>
    <s v="Other"/>
    <s v="Premium"/>
    <n v="1.78"/>
    <x v="48"/>
    <x v="3"/>
    <x v="1"/>
    <n v="17.989999999999998"/>
    <n v="1"/>
    <n v="17.989999999999998"/>
    <x v="1"/>
    <n v="5"/>
    <n v="0.03"/>
    <s v="Horror"/>
  </r>
  <r>
    <s v="2f3049d1-4d2c-4843-a9c2-8fc9120b4c94"/>
    <n v="49"/>
    <s v="Female"/>
    <s v="Basic"/>
    <n v="13.93"/>
    <x v="8"/>
    <x v="5"/>
    <x v="2"/>
    <n v="8.99"/>
    <n v="1"/>
    <n v="8.99"/>
    <x v="4"/>
    <n v="2"/>
    <n v="0.4"/>
    <s v="Comedy"/>
  </r>
  <r>
    <s v="67e5d466-d227-4f8e-9bda-0149ee523745"/>
    <n v="38"/>
    <s v="Male"/>
    <s v="Premium"/>
    <n v="2.95"/>
    <x v="15"/>
    <x v="3"/>
    <x v="2"/>
    <n v="17.989999999999998"/>
    <n v="1"/>
    <n v="17.989999999999998"/>
    <x v="4"/>
    <n v="2"/>
    <n v="7.0000000000000007E-2"/>
    <s v="Romance"/>
  </r>
  <r>
    <s v="373a5341-9fae-4e0f-b0cb-940c4142c903"/>
    <n v="49"/>
    <s v="Other"/>
    <s v="Basic"/>
    <n v="16.82"/>
    <x v="59"/>
    <x v="2"/>
    <x v="0"/>
    <n v="8.99"/>
    <n v="0"/>
    <n v="0"/>
    <x v="0"/>
    <n v="5"/>
    <n v="2.8"/>
    <s v="Romance"/>
  </r>
  <r>
    <s v="aac9ebfd-3df9-483c-8fa5-ff1d45671696"/>
    <n v="48"/>
    <s v="Male"/>
    <s v="Premium"/>
    <n v="28.14"/>
    <x v="57"/>
    <x v="0"/>
    <x v="1"/>
    <n v="17.989999999999998"/>
    <n v="0"/>
    <n v="0"/>
    <x v="4"/>
    <n v="2"/>
    <n v="0.46"/>
    <s v="Comedy"/>
  </r>
  <r>
    <s v="44dbc1a9-eb73-4769-bb12-4664aaac9fd5"/>
    <n v="45"/>
    <s v="Male"/>
    <s v="Premium"/>
    <n v="8.2799999999999994"/>
    <x v="27"/>
    <x v="4"/>
    <x v="3"/>
    <n v="17.989999999999998"/>
    <n v="0"/>
    <n v="0"/>
    <x v="2"/>
    <n v="5"/>
    <n v="0.49"/>
    <s v="Horror"/>
  </r>
  <r>
    <s v="96e05214-21b3-4450-ab7c-2722a75e519d"/>
    <n v="39"/>
    <s v="Female"/>
    <s v="Basic"/>
    <n v="10.64"/>
    <x v="18"/>
    <x v="3"/>
    <x v="2"/>
    <n v="8.99"/>
    <n v="1"/>
    <n v="8.99"/>
    <x v="2"/>
    <n v="1"/>
    <n v="0.18"/>
    <s v="Action"/>
  </r>
  <r>
    <s v="d9e6a910-4984-4cba-bacc-406df78a9267"/>
    <n v="63"/>
    <s v="Other"/>
    <s v="Basic"/>
    <n v="0.85"/>
    <x v="9"/>
    <x v="5"/>
    <x v="1"/>
    <n v="8.99"/>
    <n v="1"/>
    <n v="8.99"/>
    <x v="4"/>
    <n v="3"/>
    <n v="0.02"/>
    <s v="Sci-Fi"/>
  </r>
  <r>
    <s v="46251140-d9fd-4ce3-b8dd-fb44601072b2"/>
    <n v="21"/>
    <s v="Female"/>
    <s v="Basic"/>
    <n v="2.29"/>
    <x v="5"/>
    <x v="2"/>
    <x v="0"/>
    <n v="8.99"/>
    <n v="1"/>
    <n v="8.99"/>
    <x v="1"/>
    <n v="4"/>
    <n v="0.08"/>
    <s v="Documentary"/>
  </r>
  <r>
    <s v="34b11349-c05d-4937-a515-141c02818f64"/>
    <n v="36"/>
    <s v="Other"/>
    <s v="Standard"/>
    <n v="23.37"/>
    <x v="18"/>
    <x v="0"/>
    <x v="0"/>
    <n v="13.99"/>
    <n v="0"/>
    <n v="0"/>
    <x v="4"/>
    <n v="5"/>
    <n v="0.4"/>
    <s v="Comedy"/>
  </r>
  <r>
    <s v="07aaee5a-c849-49f0-bc95-4ec089ebd3fd"/>
    <n v="63"/>
    <s v="Male"/>
    <s v="Basic"/>
    <n v="3.01"/>
    <x v="57"/>
    <x v="4"/>
    <x v="0"/>
    <n v="8.99"/>
    <n v="1"/>
    <n v="8.99"/>
    <x v="2"/>
    <n v="5"/>
    <n v="0.05"/>
    <s v="Drama"/>
  </r>
  <r>
    <s v="e7ef30c9-36eb-4033-ba19-2baf2f0563c8"/>
    <n v="54"/>
    <s v="Female"/>
    <s v="Basic"/>
    <n v="27.8"/>
    <x v="49"/>
    <x v="5"/>
    <x v="0"/>
    <n v="8.99"/>
    <n v="0"/>
    <n v="0"/>
    <x v="0"/>
    <n v="4"/>
    <n v="2.78"/>
    <s v="Horror"/>
  </r>
  <r>
    <s v="39047018-dbfe-4cd5-8d42-abef35b1be4a"/>
    <n v="22"/>
    <s v="Female"/>
    <s v="Standard"/>
    <n v="10.29"/>
    <x v="51"/>
    <x v="4"/>
    <x v="3"/>
    <n v="13.99"/>
    <n v="0"/>
    <n v="0"/>
    <x v="0"/>
    <n v="5"/>
    <n v="0.56999999999999995"/>
    <s v="Comedy"/>
  </r>
  <r>
    <s v="91218fe1-6859-4876-80f7-d6165cbd7bd0"/>
    <n v="33"/>
    <s v="Male"/>
    <s v="Standard"/>
    <n v="7.45"/>
    <x v="25"/>
    <x v="1"/>
    <x v="1"/>
    <n v="13.99"/>
    <n v="0"/>
    <n v="0"/>
    <x v="3"/>
    <n v="4"/>
    <n v="7.45"/>
    <s v="Action"/>
  </r>
  <r>
    <s v="6c6c1bb7-6107-461d-ae34-e6759269a77d"/>
    <n v="28"/>
    <s v="Female"/>
    <s v="Basic"/>
    <n v="2.63"/>
    <x v="50"/>
    <x v="1"/>
    <x v="0"/>
    <n v="8.99"/>
    <n v="1"/>
    <n v="8.99"/>
    <x v="4"/>
    <n v="4"/>
    <n v="0.05"/>
    <s v="Action"/>
  </r>
  <r>
    <s v="03c16f8b-64ce-4d37-9afe-f7a7359a10b8"/>
    <n v="22"/>
    <s v="Female"/>
    <s v="Premium"/>
    <n v="14.27"/>
    <x v="51"/>
    <x v="5"/>
    <x v="3"/>
    <n v="17.989999999999998"/>
    <n v="0"/>
    <n v="0"/>
    <x v="4"/>
    <n v="4"/>
    <n v="0.79"/>
    <s v="Comedy"/>
  </r>
  <r>
    <s v="24f1f8ac-6d0e-4447-a0db-c3ab27251400"/>
    <n v="22"/>
    <s v="Male"/>
    <s v="Premium"/>
    <n v="4.9000000000000004"/>
    <x v="30"/>
    <x v="5"/>
    <x v="0"/>
    <n v="17.989999999999998"/>
    <n v="0"/>
    <n v="0"/>
    <x v="0"/>
    <n v="5"/>
    <n v="2.4500000000000002"/>
    <s v="Drama"/>
  </r>
  <r>
    <s v="4264a846-1da0-44d8-b472-dee73a80502e"/>
    <n v="18"/>
    <s v="Other"/>
    <s v="Basic"/>
    <n v="2.48"/>
    <x v="29"/>
    <x v="0"/>
    <x v="2"/>
    <n v="8.99"/>
    <n v="1"/>
    <n v="8.99"/>
    <x v="0"/>
    <n v="2"/>
    <n v="0.05"/>
    <s v="Horror"/>
  </r>
  <r>
    <s v="027c06c0-4dec-43d4-91eb-d2a5a70f92e0"/>
    <n v="49"/>
    <s v="Female"/>
    <s v="Premium"/>
    <n v="0.48"/>
    <x v="28"/>
    <x v="5"/>
    <x v="2"/>
    <n v="17.989999999999998"/>
    <n v="1"/>
    <n v="17.989999999999998"/>
    <x v="3"/>
    <n v="3"/>
    <n v="0.01"/>
    <s v="Sci-Fi"/>
  </r>
  <r>
    <s v="fb5cc622-695b-4447-b65e-173ed40be7fd"/>
    <n v="23"/>
    <s v="Male"/>
    <s v="Premium"/>
    <n v="12.6"/>
    <x v="50"/>
    <x v="2"/>
    <x v="0"/>
    <n v="17.989999999999998"/>
    <n v="1"/>
    <n v="17.989999999999998"/>
    <x v="1"/>
    <n v="1"/>
    <n v="0.23"/>
    <s v="Documentary"/>
  </r>
  <r>
    <s v="7344e8a9-c160-4f84-9215-54be55f8b369"/>
    <n v="69"/>
    <s v="Female"/>
    <s v="Premium"/>
    <n v="1.35"/>
    <x v="60"/>
    <x v="5"/>
    <x v="1"/>
    <n v="17.989999999999998"/>
    <n v="1"/>
    <n v="17.989999999999998"/>
    <x v="2"/>
    <n v="3"/>
    <n v="0.15"/>
    <s v="Drama"/>
  </r>
  <r>
    <s v="0690ee56-dbe2-4187-9a3b-db22c49cea51"/>
    <n v="42"/>
    <s v="Male"/>
    <s v="Standard"/>
    <n v="4.1100000000000003"/>
    <x v="50"/>
    <x v="2"/>
    <x v="1"/>
    <n v="13.99"/>
    <n v="1"/>
    <n v="13.99"/>
    <x v="2"/>
    <n v="1"/>
    <n v="7.0000000000000007E-2"/>
    <s v="Sci-Fi"/>
  </r>
  <r>
    <s v="72c79df9-fe17-4b36-887c-9ac68890f255"/>
    <n v="40"/>
    <s v="Other"/>
    <s v="Basic"/>
    <n v="27.26"/>
    <x v="37"/>
    <x v="0"/>
    <x v="1"/>
    <n v="8.99"/>
    <n v="0"/>
    <n v="0"/>
    <x v="1"/>
    <n v="1"/>
    <n v="1.0900000000000001"/>
    <s v="Action"/>
  </r>
  <r>
    <s v="34795a37-7635-423e-9ecb-56194c0ee1ef"/>
    <n v="26"/>
    <s v="Male"/>
    <s v="Standard"/>
    <n v="24.13"/>
    <x v="16"/>
    <x v="0"/>
    <x v="4"/>
    <n v="13.99"/>
    <n v="0"/>
    <n v="0"/>
    <x v="4"/>
    <n v="3"/>
    <n v="0.86"/>
    <s v="Comedy"/>
  </r>
  <r>
    <s v="504c17d7-19fd-456d-a80e-b60c45ce6e7f"/>
    <n v="46"/>
    <s v="Male"/>
    <s v="Premium"/>
    <n v="13.66"/>
    <x v="43"/>
    <x v="4"/>
    <x v="1"/>
    <n v="17.989999999999998"/>
    <n v="1"/>
    <n v="17.989999999999998"/>
    <x v="3"/>
    <n v="1"/>
    <n v="0.43"/>
    <s v="Comedy"/>
  </r>
  <r>
    <s v="64d66fab-5ec1-4ae5-9010-b72c1aefa827"/>
    <n v="19"/>
    <s v="Male"/>
    <s v="Standard"/>
    <n v="10.58"/>
    <x v="49"/>
    <x v="4"/>
    <x v="3"/>
    <n v="13.99"/>
    <n v="0"/>
    <n v="0"/>
    <x v="4"/>
    <n v="1"/>
    <n v="1.06"/>
    <s v="Documentary"/>
  </r>
  <r>
    <s v="15f35d98-ef62-4252-a44a-98483ecfdc6b"/>
    <n v="26"/>
    <s v="Male"/>
    <s v="Premium"/>
    <n v="0.73"/>
    <x v="35"/>
    <x v="3"/>
    <x v="3"/>
    <n v="17.989999999999998"/>
    <n v="1"/>
    <n v="17.989999999999998"/>
    <x v="0"/>
    <n v="5"/>
    <n v="0.02"/>
    <s v="Sci-Fi"/>
  </r>
  <r>
    <s v="381b9550-7403-48dc-bcff-6dad9fc2fa87"/>
    <n v="27"/>
    <s v="Female"/>
    <s v="Premium"/>
    <n v="2.66"/>
    <x v="14"/>
    <x v="2"/>
    <x v="0"/>
    <n v="17.989999999999998"/>
    <n v="1"/>
    <n v="17.989999999999998"/>
    <x v="0"/>
    <n v="3"/>
    <n v="0.08"/>
    <s v="Comedy"/>
  </r>
  <r>
    <s v="3ead40cc-03a1-4cf8-abf1-cfed74120c33"/>
    <n v="40"/>
    <s v="Female"/>
    <s v="Premium"/>
    <n v="0.12"/>
    <x v="54"/>
    <x v="3"/>
    <x v="3"/>
    <n v="17.989999999999998"/>
    <n v="1"/>
    <n v="17.989999999999998"/>
    <x v="1"/>
    <n v="4"/>
    <n v="0"/>
    <s v="Romance"/>
  </r>
  <r>
    <s v="91f3fee3-3140-4e9a-a53e-b7cd3160bbb8"/>
    <n v="58"/>
    <s v="Other"/>
    <s v="Basic"/>
    <n v="0.76"/>
    <x v="35"/>
    <x v="1"/>
    <x v="4"/>
    <n v="8.99"/>
    <n v="1"/>
    <n v="8.99"/>
    <x v="0"/>
    <n v="4"/>
    <n v="0.02"/>
    <s v="Sci-Fi"/>
  </r>
  <r>
    <s v="35eda14f-a4c1-4e4d-a0ff-48d5f47d6cd0"/>
    <n v="36"/>
    <s v="Other"/>
    <s v="Standard"/>
    <n v="22.9"/>
    <x v="58"/>
    <x v="4"/>
    <x v="3"/>
    <n v="13.99"/>
    <n v="0"/>
    <n v="0"/>
    <x v="1"/>
    <n v="2"/>
    <n v="0.48"/>
    <s v="Documentary"/>
  </r>
  <r>
    <s v="ac468cbb-0f55-48fd-978f-33519d3c4e8f"/>
    <n v="67"/>
    <s v="Female"/>
    <s v="Premium"/>
    <n v="3.36"/>
    <x v="11"/>
    <x v="5"/>
    <x v="4"/>
    <n v="17.989999999999998"/>
    <n v="1"/>
    <n v="17.989999999999998"/>
    <x v="4"/>
    <n v="3"/>
    <n v="0.14000000000000001"/>
    <s v="Romance"/>
  </r>
  <r>
    <s v="4d1f6b5b-7652-4e4e-b63b-a8bc84930962"/>
    <n v="24"/>
    <s v="Female"/>
    <s v="Standard"/>
    <n v="4.0999999999999996"/>
    <x v="38"/>
    <x v="1"/>
    <x v="1"/>
    <n v="13.99"/>
    <n v="0"/>
    <n v="0"/>
    <x v="4"/>
    <n v="5"/>
    <n v="0.19"/>
    <s v="Romance"/>
  </r>
  <r>
    <s v="0c23ddf6-2f6f-4738-bbbe-d03878cef662"/>
    <n v="37"/>
    <s v="Other"/>
    <s v="Basic"/>
    <n v="8.77"/>
    <x v="45"/>
    <x v="1"/>
    <x v="0"/>
    <n v="8.99"/>
    <n v="1"/>
    <n v="8.99"/>
    <x v="1"/>
    <n v="2"/>
    <n v="0.21"/>
    <s v="Horror"/>
  </r>
  <r>
    <s v="85b672b9-5979-4d69-a17e-9fab8ddf7175"/>
    <n v="26"/>
    <s v="Female"/>
    <s v="Premium"/>
    <n v="22.8"/>
    <x v="37"/>
    <x v="2"/>
    <x v="2"/>
    <n v="17.989999999999998"/>
    <n v="0"/>
    <n v="0"/>
    <x v="4"/>
    <n v="4"/>
    <n v="0.91"/>
    <s v="Sci-Fi"/>
  </r>
  <r>
    <s v="f2cd737b-75dc-4064-bd5c-de2ee6af51c9"/>
    <n v="63"/>
    <s v="Male"/>
    <s v="Standard"/>
    <n v="0.88"/>
    <x v="38"/>
    <x v="3"/>
    <x v="1"/>
    <n v="13.99"/>
    <n v="1"/>
    <n v="13.99"/>
    <x v="1"/>
    <n v="1"/>
    <n v="0.04"/>
    <s v="Action"/>
  </r>
  <r>
    <s v="5b1eeeb3-53e3-4ae2-bcfb-2b0d60e1a21c"/>
    <n v="38"/>
    <s v="Male"/>
    <s v="Premium"/>
    <n v="43.56"/>
    <x v="5"/>
    <x v="3"/>
    <x v="2"/>
    <n v="17.989999999999998"/>
    <n v="0"/>
    <n v="0"/>
    <x v="2"/>
    <n v="3"/>
    <n v="1.61"/>
    <s v="Horror"/>
  </r>
  <r>
    <s v="6c63319f-2d29-4cd8-ae08-7d646783282a"/>
    <n v="54"/>
    <s v="Other"/>
    <s v="Standard"/>
    <n v="6.59"/>
    <x v="15"/>
    <x v="5"/>
    <x v="3"/>
    <n v="13.99"/>
    <n v="1"/>
    <n v="13.99"/>
    <x v="1"/>
    <n v="4"/>
    <n v="0.16"/>
    <s v="Horror"/>
  </r>
  <r>
    <s v="ef8a5d14-205a-47a3-a595-acef403bffa7"/>
    <n v="57"/>
    <s v="Male"/>
    <s v="Basic"/>
    <n v="4.1500000000000004"/>
    <x v="51"/>
    <x v="0"/>
    <x v="3"/>
    <n v="8.99"/>
    <n v="1"/>
    <n v="8.99"/>
    <x v="2"/>
    <n v="5"/>
    <n v="0.23"/>
    <s v="Drama"/>
  </r>
  <r>
    <s v="af35351d-11cc-4c32-8b3c-6d477cb05b19"/>
    <n v="55"/>
    <s v="Male"/>
    <s v="Premium"/>
    <n v="0.42"/>
    <x v="0"/>
    <x v="3"/>
    <x v="4"/>
    <n v="17.989999999999998"/>
    <n v="1"/>
    <n v="17.989999999999998"/>
    <x v="3"/>
    <n v="2"/>
    <n v="0.01"/>
    <s v="Documentary"/>
  </r>
  <r>
    <s v="cfe60bd5-d9f0-4eb7-bd59-3358e35bca91"/>
    <n v="42"/>
    <s v="Female"/>
    <s v="Basic"/>
    <n v="2.8"/>
    <x v="15"/>
    <x v="5"/>
    <x v="0"/>
    <n v="8.99"/>
    <n v="1"/>
    <n v="8.99"/>
    <x v="0"/>
    <n v="4"/>
    <n v="7.0000000000000007E-2"/>
    <s v="Comedy"/>
  </r>
  <r>
    <s v="2c9b21d9-8b8d-4e69-bb70-e20d34b16983"/>
    <n v="22"/>
    <s v="Female"/>
    <s v="Standard"/>
    <n v="0.76"/>
    <x v="37"/>
    <x v="0"/>
    <x v="3"/>
    <n v="13.99"/>
    <n v="1"/>
    <n v="13.99"/>
    <x v="0"/>
    <n v="2"/>
    <n v="0.03"/>
    <s v="Sci-Fi"/>
  </r>
  <r>
    <s v="1211c375-77c5-456b-b087-adb685025dd0"/>
    <n v="37"/>
    <s v="Female"/>
    <s v="Basic"/>
    <n v="5.78"/>
    <x v="39"/>
    <x v="1"/>
    <x v="2"/>
    <n v="8.99"/>
    <n v="1"/>
    <n v="8.99"/>
    <x v="1"/>
    <n v="2"/>
    <n v="0.25"/>
    <s v="Romance"/>
  </r>
  <r>
    <s v="e093d405-4d3f-489f-969f-6c14fcac2a33"/>
    <n v="61"/>
    <s v="Female"/>
    <s v="Basic"/>
    <n v="17.59"/>
    <x v="56"/>
    <x v="5"/>
    <x v="2"/>
    <n v="8.99"/>
    <n v="1"/>
    <n v="8.99"/>
    <x v="2"/>
    <n v="2"/>
    <n v="0.3"/>
    <s v="Horror"/>
  </r>
  <r>
    <s v="25790560-f785-425f-a426-fd3545fc21ad"/>
    <n v="47"/>
    <s v="Female"/>
    <s v="Basic"/>
    <n v="6.28"/>
    <x v="47"/>
    <x v="3"/>
    <x v="4"/>
    <n v="8.99"/>
    <n v="0"/>
    <n v="0"/>
    <x v="2"/>
    <n v="2"/>
    <n v="1.57"/>
    <s v="Documentary"/>
  </r>
  <r>
    <s v="ffbe0e7c-9921-4107-9d4c-f75a1a70ac2a"/>
    <n v="31"/>
    <s v="Other"/>
    <s v="Standard"/>
    <n v="9.9"/>
    <x v="44"/>
    <x v="2"/>
    <x v="2"/>
    <n v="13.99"/>
    <n v="0"/>
    <n v="0"/>
    <x v="3"/>
    <n v="5"/>
    <n v="0.21"/>
    <s v="Action"/>
  </r>
  <r>
    <s v="7d0a7427-093b-4583-9b8e-13162463ad6a"/>
    <n v="52"/>
    <s v="Other"/>
    <s v="Standard"/>
    <n v="13.22"/>
    <x v="42"/>
    <x v="1"/>
    <x v="1"/>
    <n v="13.99"/>
    <n v="1"/>
    <n v="13.99"/>
    <x v="1"/>
    <n v="2"/>
    <n v="0.35"/>
    <s v="Drama"/>
  </r>
  <r>
    <s v="08d9dcda-cbfc-4b6b-adc8-658ae78cdcf3"/>
    <n v="29"/>
    <s v="Female"/>
    <s v="Basic"/>
    <n v="1.77"/>
    <x v="58"/>
    <x v="3"/>
    <x v="2"/>
    <n v="8.99"/>
    <n v="1"/>
    <n v="8.99"/>
    <x v="4"/>
    <n v="3"/>
    <n v="0.04"/>
    <s v="Documentary"/>
  </r>
  <r>
    <s v="5d798ad1-efc9-4cfe-99af-7dcae34b5c0e"/>
    <n v="26"/>
    <s v="Male"/>
    <s v="Standard"/>
    <n v="33.1"/>
    <x v="38"/>
    <x v="3"/>
    <x v="2"/>
    <n v="13.99"/>
    <n v="0"/>
    <n v="0"/>
    <x v="3"/>
    <n v="5"/>
    <n v="1.5"/>
    <s v="Documentary"/>
  </r>
  <r>
    <s v="acb5b541-437d-4150-9562-2639a38159db"/>
    <n v="52"/>
    <s v="Male"/>
    <s v="Premium"/>
    <n v="7.03"/>
    <x v="1"/>
    <x v="0"/>
    <x v="4"/>
    <n v="17.989999999999998"/>
    <n v="0"/>
    <n v="0"/>
    <x v="4"/>
    <n v="2"/>
    <n v="0.35"/>
    <s v="Documentary"/>
  </r>
  <r>
    <s v="643494e4-afe5-405d-b0e2-daec487796a3"/>
    <n v="33"/>
    <s v="Male"/>
    <s v="Standard"/>
    <n v="14.96"/>
    <x v="27"/>
    <x v="5"/>
    <x v="4"/>
    <n v="13.99"/>
    <n v="0"/>
    <n v="0"/>
    <x v="1"/>
    <n v="5"/>
    <n v="0.88"/>
    <s v="Romance"/>
  </r>
  <r>
    <s v="96845736-2edd-450d-8678-2d935b5b3f09"/>
    <n v="52"/>
    <s v="Male"/>
    <s v="Premium"/>
    <n v="3.11"/>
    <x v="34"/>
    <x v="5"/>
    <x v="1"/>
    <n v="17.989999999999998"/>
    <n v="1"/>
    <n v="17.989999999999998"/>
    <x v="4"/>
    <n v="4"/>
    <n v="0.06"/>
    <s v="Comedy"/>
  </r>
  <r>
    <s v="42fb7dc0-56cd-426e-8c8e-19808925ea59"/>
    <n v="48"/>
    <s v="Female"/>
    <s v="Basic"/>
    <n v="0.28999999999999998"/>
    <x v="12"/>
    <x v="5"/>
    <x v="4"/>
    <n v="8.99"/>
    <n v="1"/>
    <n v="8.99"/>
    <x v="2"/>
    <n v="1"/>
    <n v="0.01"/>
    <s v="Horror"/>
  </r>
  <r>
    <s v="2024bd7e-e873-48c0-9e44-5c66143e14a2"/>
    <n v="52"/>
    <s v="Female"/>
    <s v="Standard"/>
    <n v="1.69"/>
    <x v="50"/>
    <x v="4"/>
    <x v="2"/>
    <n v="13.99"/>
    <n v="1"/>
    <n v="13.99"/>
    <x v="2"/>
    <n v="3"/>
    <n v="0.03"/>
    <s v="Documentary"/>
  </r>
  <r>
    <s v="28e30bf4-e7c0-4579-9c38-0aee5d5ea3f2"/>
    <n v="50"/>
    <s v="Other"/>
    <s v="Basic"/>
    <n v="0.61"/>
    <x v="27"/>
    <x v="2"/>
    <x v="0"/>
    <n v="8.99"/>
    <n v="1"/>
    <n v="8.99"/>
    <x v="0"/>
    <n v="2"/>
    <n v="0.04"/>
    <s v="Drama"/>
  </r>
  <r>
    <s v="196f5f4b-47a8-496e-9ddb-9299912fd698"/>
    <n v="43"/>
    <s v="Male"/>
    <s v="Premium"/>
    <n v="11.84"/>
    <x v="7"/>
    <x v="0"/>
    <x v="1"/>
    <n v="17.989999999999998"/>
    <n v="0"/>
    <n v="0"/>
    <x v="4"/>
    <n v="5"/>
    <n v="0.21"/>
    <s v="Sci-Fi"/>
  </r>
  <r>
    <s v="4b1c7681-3221-44aa-82c7-02aebdd20434"/>
    <n v="62"/>
    <s v="Male"/>
    <s v="Standard"/>
    <n v="25.88"/>
    <x v="52"/>
    <x v="1"/>
    <x v="3"/>
    <n v="13.99"/>
    <n v="0"/>
    <n v="0"/>
    <x v="3"/>
    <n v="2"/>
    <n v="0.52"/>
    <s v="Horror"/>
  </r>
  <r>
    <s v="179fd5bc-99d7-42ca-96e9-194c7c1068be"/>
    <n v="31"/>
    <s v="Male"/>
    <s v="Basic"/>
    <n v="1.79"/>
    <x v="20"/>
    <x v="2"/>
    <x v="2"/>
    <n v="8.99"/>
    <n v="1"/>
    <n v="8.99"/>
    <x v="0"/>
    <n v="5"/>
    <n v="0.09"/>
    <s v="Drama"/>
  </r>
  <r>
    <s v="ecd368fd-0a23-436c-b18c-f79fa8d974c1"/>
    <n v="35"/>
    <s v="Other"/>
    <s v="Premium"/>
    <n v="19.190000000000001"/>
    <x v="34"/>
    <x v="2"/>
    <x v="3"/>
    <n v="17.989999999999998"/>
    <n v="1"/>
    <n v="17.989999999999998"/>
    <x v="4"/>
    <n v="1"/>
    <n v="0.38"/>
    <s v="Documentary"/>
  </r>
  <r>
    <s v="faddd042-b338-4999-ab4a-21667a8aff99"/>
    <n v="68"/>
    <s v="Female"/>
    <s v="Premium"/>
    <n v="7.11"/>
    <x v="19"/>
    <x v="4"/>
    <x v="0"/>
    <n v="17.989999999999998"/>
    <n v="0"/>
    <n v="0"/>
    <x v="4"/>
    <n v="5"/>
    <n v="0.16"/>
    <s v="Horror"/>
  </r>
  <r>
    <s v="3fd47b85-cf5a-414e-9929-7ed51be738ab"/>
    <n v="45"/>
    <s v="Other"/>
    <s v="Premium"/>
    <n v="3.2"/>
    <x v="18"/>
    <x v="3"/>
    <x v="0"/>
    <n v="17.989999999999998"/>
    <n v="1"/>
    <n v="17.989999999999998"/>
    <x v="4"/>
    <n v="1"/>
    <n v="0.06"/>
    <s v="Sci-Fi"/>
  </r>
  <r>
    <s v="548084c6-48aa-4110-ae71-02c2cd0640d8"/>
    <n v="24"/>
    <s v="Female"/>
    <s v="Premium"/>
    <n v="1.03"/>
    <x v="41"/>
    <x v="3"/>
    <x v="4"/>
    <n v="17.989999999999998"/>
    <n v="1"/>
    <n v="17.989999999999998"/>
    <x v="4"/>
    <n v="1"/>
    <n v="0.03"/>
    <s v="Sci-Fi"/>
  </r>
  <r>
    <s v="200744fd-339d-46b7-bdd7-75f6311d10c2"/>
    <n v="30"/>
    <s v="Female"/>
    <s v="Standard"/>
    <n v="6.23"/>
    <x v="52"/>
    <x v="1"/>
    <x v="0"/>
    <n v="13.99"/>
    <n v="1"/>
    <n v="13.99"/>
    <x v="2"/>
    <n v="3"/>
    <n v="0.12"/>
    <s v="Comedy"/>
  </r>
  <r>
    <s v="4f3c78e6-9e90-4601-bece-377f38567cef"/>
    <n v="51"/>
    <s v="Male"/>
    <s v="Standard"/>
    <n v="7.01"/>
    <x v="10"/>
    <x v="2"/>
    <x v="4"/>
    <n v="13.99"/>
    <n v="1"/>
    <n v="13.99"/>
    <x v="0"/>
    <n v="2"/>
    <n v="0.18"/>
    <s v="Sci-Fi"/>
  </r>
  <r>
    <s v="faf264ee-c0a0-400b-9d77-353c6ced1a8c"/>
    <n v="25"/>
    <s v="Male"/>
    <s v="Basic"/>
    <n v="2.95"/>
    <x v="42"/>
    <x v="5"/>
    <x v="0"/>
    <n v="8.99"/>
    <n v="1"/>
    <n v="8.99"/>
    <x v="3"/>
    <n v="4"/>
    <n v="0.08"/>
    <s v="Horror"/>
  </r>
  <r>
    <s v="44e14173-268c-47b3-b10d-35e655f1b8d5"/>
    <n v="43"/>
    <s v="Male"/>
    <s v="Standard"/>
    <n v="16.899999999999999"/>
    <x v="6"/>
    <x v="4"/>
    <x v="4"/>
    <n v="13.99"/>
    <n v="0"/>
    <n v="0"/>
    <x v="4"/>
    <n v="2"/>
    <n v="0.8"/>
    <s v="Drama"/>
  </r>
  <r>
    <s v="f0e9091e-2431-4ab8-8bb9-444c5c39c800"/>
    <n v="58"/>
    <s v="Male"/>
    <s v="Basic"/>
    <n v="0.36"/>
    <x v="36"/>
    <x v="0"/>
    <x v="2"/>
    <n v="8.99"/>
    <n v="1"/>
    <n v="8.99"/>
    <x v="3"/>
    <n v="3"/>
    <n v="0.01"/>
    <s v="Drama"/>
  </r>
  <r>
    <s v="1f0b6300-2576-4798-bd4a-7645fc55445b"/>
    <n v="27"/>
    <s v="Female"/>
    <s v="Standard"/>
    <n v="19.23"/>
    <x v="7"/>
    <x v="5"/>
    <x v="4"/>
    <n v="13.99"/>
    <n v="1"/>
    <n v="13.99"/>
    <x v="0"/>
    <n v="2"/>
    <n v="0.34"/>
    <s v="Romance"/>
  </r>
  <r>
    <s v="514c1267-5be8-4418-9efb-f7999a11f894"/>
    <n v="33"/>
    <s v="Other"/>
    <s v="Premium"/>
    <n v="27.1"/>
    <x v="18"/>
    <x v="0"/>
    <x v="3"/>
    <n v="17.989999999999998"/>
    <n v="0"/>
    <n v="0"/>
    <x v="0"/>
    <n v="4"/>
    <n v="0.47"/>
    <s v="Drama"/>
  </r>
  <r>
    <s v="ec5781d8-464a-454c-baff-392f96621e07"/>
    <n v="35"/>
    <s v="Female"/>
    <s v="Premium"/>
    <n v="38.65"/>
    <x v="38"/>
    <x v="2"/>
    <x v="3"/>
    <n v="17.989999999999998"/>
    <n v="0"/>
    <n v="0"/>
    <x v="3"/>
    <n v="4"/>
    <n v="1.76"/>
    <s v="Horror"/>
  </r>
  <r>
    <s v="4c9eda19-2bb3-43e7-8e1c-0a0ff9357bd4"/>
    <n v="56"/>
    <s v="Male"/>
    <s v="Basic"/>
    <n v="8.25"/>
    <x v="16"/>
    <x v="2"/>
    <x v="0"/>
    <n v="8.99"/>
    <n v="0"/>
    <n v="0"/>
    <x v="2"/>
    <n v="3"/>
    <n v="0.28999999999999998"/>
    <s v="Comedy"/>
  </r>
  <r>
    <s v="910c5164-93ec-4e31-88ad-549868476466"/>
    <n v="59"/>
    <s v="Male"/>
    <s v="Standard"/>
    <n v="3.06"/>
    <x v="51"/>
    <x v="1"/>
    <x v="4"/>
    <n v="13.99"/>
    <n v="1"/>
    <n v="13.99"/>
    <x v="3"/>
    <n v="2"/>
    <n v="0.17"/>
    <s v="Documentary"/>
  </r>
  <r>
    <s v="2d4805d4-31be-4eb1-940d-a328774e9e5d"/>
    <n v="41"/>
    <s v="Other"/>
    <s v="Basic"/>
    <n v="0.86"/>
    <x v="39"/>
    <x v="4"/>
    <x v="0"/>
    <n v="8.99"/>
    <n v="1"/>
    <n v="8.99"/>
    <x v="1"/>
    <n v="4"/>
    <n v="0.04"/>
    <s v="Documentary"/>
  </r>
  <r>
    <s v="d2d6b334-a048-454e-a756-1d925a2445eb"/>
    <n v="22"/>
    <s v="Female"/>
    <s v="Premium"/>
    <n v="5.22"/>
    <x v="12"/>
    <x v="3"/>
    <x v="3"/>
    <n v="17.989999999999998"/>
    <n v="0"/>
    <n v="0"/>
    <x v="4"/>
    <n v="5"/>
    <n v="0.15"/>
    <s v="Documentary"/>
  </r>
  <r>
    <s v="f3246e5b-ec85-446b-bcf2-30b15de58d9d"/>
    <n v="64"/>
    <s v="Female"/>
    <s v="Premium"/>
    <n v="22.92"/>
    <x v="13"/>
    <x v="0"/>
    <x v="3"/>
    <n v="17.989999999999998"/>
    <n v="0"/>
    <n v="0"/>
    <x v="2"/>
    <n v="1"/>
    <n v="2.87"/>
    <s v="Action"/>
  </r>
  <r>
    <s v="346ab0c2-f11d-4a08-a0ef-7694363f3ae0"/>
    <n v="61"/>
    <s v="Male"/>
    <s v="Basic"/>
    <n v="3.99"/>
    <x v="12"/>
    <x v="4"/>
    <x v="1"/>
    <n v="8.99"/>
    <n v="1"/>
    <n v="8.99"/>
    <x v="3"/>
    <n v="5"/>
    <n v="0.12"/>
    <s v="Romance"/>
  </r>
  <r>
    <s v="6e50444c-6c08-423f-b720-847af215bd41"/>
    <n v="37"/>
    <s v="Female"/>
    <s v="Standard"/>
    <n v="0.59"/>
    <x v="4"/>
    <x v="3"/>
    <x v="0"/>
    <n v="13.99"/>
    <n v="1"/>
    <n v="13.99"/>
    <x v="4"/>
    <n v="3"/>
    <n v="0.04"/>
    <s v="Sci-Fi"/>
  </r>
  <r>
    <s v="5e0f5d5f-f7b8-4ad4-a56f-22b2bb3c43e4"/>
    <n v="48"/>
    <s v="Other"/>
    <s v="Basic"/>
    <n v="0.75"/>
    <x v="22"/>
    <x v="5"/>
    <x v="2"/>
    <n v="8.99"/>
    <n v="1"/>
    <n v="8.99"/>
    <x v="3"/>
    <n v="5"/>
    <n v="0.01"/>
    <s v="Action"/>
  </r>
  <r>
    <s v="a48287db-3d2e-40a0-a0b8-8675d4589388"/>
    <n v="58"/>
    <s v="Female"/>
    <s v="Basic"/>
    <n v="3.59"/>
    <x v="0"/>
    <x v="2"/>
    <x v="0"/>
    <n v="8.99"/>
    <n v="1"/>
    <n v="8.99"/>
    <x v="3"/>
    <n v="3"/>
    <n v="0.12"/>
    <s v="Horror"/>
  </r>
  <r>
    <s v="26622754-7436-4bf5-adea-04a292f06216"/>
    <n v="25"/>
    <s v="Male"/>
    <s v="Basic"/>
    <n v="0.24"/>
    <x v="19"/>
    <x v="2"/>
    <x v="3"/>
    <n v="8.99"/>
    <n v="1"/>
    <n v="8.99"/>
    <x v="2"/>
    <n v="3"/>
    <n v="0.01"/>
    <s v="Romance"/>
  </r>
  <r>
    <s v="abd4eaa5-969c-4035-bd81-b98533442ae0"/>
    <n v="51"/>
    <s v="Other"/>
    <s v="Basic"/>
    <n v="25.77"/>
    <x v="10"/>
    <x v="4"/>
    <x v="1"/>
    <n v="8.99"/>
    <n v="0"/>
    <n v="0"/>
    <x v="3"/>
    <n v="4"/>
    <n v="0.66"/>
    <s v="Action"/>
  </r>
  <r>
    <s v="faf370da-6bed-4d99-aa01-15b0f2868a9e"/>
    <n v="34"/>
    <s v="Male"/>
    <s v="Standard"/>
    <n v="2.94"/>
    <x v="19"/>
    <x v="3"/>
    <x v="3"/>
    <n v="13.99"/>
    <n v="1"/>
    <n v="13.99"/>
    <x v="4"/>
    <n v="2"/>
    <n v="7.0000000000000007E-2"/>
    <s v="Sci-Fi"/>
  </r>
  <r>
    <s v="28b8c898-187c-49cb-b827-d91fd93bec70"/>
    <n v="62"/>
    <s v="Male"/>
    <s v="Premium"/>
    <n v="20.63"/>
    <x v="40"/>
    <x v="0"/>
    <x v="0"/>
    <n v="17.989999999999998"/>
    <n v="0"/>
    <n v="0"/>
    <x v="3"/>
    <n v="3"/>
    <n v="1.72"/>
    <s v="Comedy"/>
  </r>
  <r>
    <s v="049ec9ab-b09f-461c-b774-5810bc5789c9"/>
    <n v="66"/>
    <s v="Female"/>
    <s v="Standard"/>
    <n v="6.54"/>
    <x v="13"/>
    <x v="0"/>
    <x v="4"/>
    <n v="13.99"/>
    <n v="0"/>
    <n v="0"/>
    <x v="3"/>
    <n v="2"/>
    <n v="0.82"/>
    <s v="Comedy"/>
  </r>
  <r>
    <s v="18529d93-893a-4903-8289-5bc00dfbbbc6"/>
    <n v="35"/>
    <s v="Male"/>
    <s v="Standard"/>
    <n v="4.7"/>
    <x v="4"/>
    <x v="3"/>
    <x v="4"/>
    <n v="13.99"/>
    <n v="1"/>
    <n v="13.99"/>
    <x v="1"/>
    <n v="4"/>
    <n v="0.34"/>
    <s v="Sci-Fi"/>
  </r>
  <r>
    <s v="1303b7b6-6ec5-4e7a-af22-ea429515357d"/>
    <n v="64"/>
    <s v="Female"/>
    <s v="Premium"/>
    <n v="0.19"/>
    <x v="20"/>
    <x v="0"/>
    <x v="2"/>
    <n v="17.989999999999998"/>
    <n v="0"/>
    <n v="0"/>
    <x v="2"/>
    <n v="5"/>
    <n v="0.01"/>
    <s v="Action"/>
  </r>
  <r>
    <s v="654260fa-24d7-4f03-b32c-f5ab977a1031"/>
    <n v="21"/>
    <s v="Female"/>
    <s v="Premium"/>
    <n v="7.72"/>
    <x v="48"/>
    <x v="3"/>
    <x v="0"/>
    <n v="17.989999999999998"/>
    <n v="1"/>
    <n v="17.989999999999998"/>
    <x v="2"/>
    <n v="3"/>
    <n v="0.15"/>
    <s v="Romance"/>
  </r>
  <r>
    <s v="301e8131-5946-4245-ba48-2dc3fd552cb8"/>
    <n v="58"/>
    <s v="Male"/>
    <s v="Standard"/>
    <n v="6.88"/>
    <x v="39"/>
    <x v="2"/>
    <x v="3"/>
    <n v="13.99"/>
    <n v="0"/>
    <n v="0"/>
    <x v="1"/>
    <n v="3"/>
    <n v="0.3"/>
    <s v="Romance"/>
  </r>
  <r>
    <s v="ffd7a77d-7608-4dbc-82d1-c2d4d1d5d132"/>
    <n v="49"/>
    <s v="Other"/>
    <s v="Premium"/>
    <n v="19.3"/>
    <x v="1"/>
    <x v="3"/>
    <x v="1"/>
    <n v="17.989999999999998"/>
    <n v="0"/>
    <n v="0"/>
    <x v="3"/>
    <n v="5"/>
    <n v="0.97"/>
    <s v="Horror"/>
  </r>
  <r>
    <s v="b2b3bbdb-482c-4388-b355-c728f9da748f"/>
    <n v="39"/>
    <s v="Other"/>
    <s v="Standard"/>
    <n v="35.700000000000003"/>
    <x v="13"/>
    <x v="4"/>
    <x v="0"/>
    <n v="13.99"/>
    <n v="0"/>
    <n v="0"/>
    <x v="1"/>
    <n v="4"/>
    <n v="4.46"/>
    <s v="Sci-Fi"/>
  </r>
  <r>
    <s v="1f796607-be06-4e6a-a102-2efc78b1ca16"/>
    <n v="49"/>
    <s v="Male"/>
    <s v="Premium"/>
    <n v="1"/>
    <x v="15"/>
    <x v="2"/>
    <x v="4"/>
    <n v="17.989999999999998"/>
    <n v="1"/>
    <n v="17.989999999999998"/>
    <x v="0"/>
    <n v="4"/>
    <n v="0.02"/>
    <s v="Documentary"/>
  </r>
  <r>
    <s v="bfa02557-5441-4042-8137-793c43a422e8"/>
    <n v="61"/>
    <s v="Other"/>
    <s v="Premium"/>
    <n v="28.65"/>
    <x v="9"/>
    <x v="1"/>
    <x v="2"/>
    <n v="17.989999999999998"/>
    <n v="0"/>
    <n v="0"/>
    <x v="3"/>
    <n v="5"/>
    <n v="0.77"/>
    <s v="Drama"/>
  </r>
  <r>
    <s v="f6907862-a9fd-4a23-aae1-6edbf491d7f1"/>
    <n v="32"/>
    <s v="Female"/>
    <s v="Standard"/>
    <n v="6.86"/>
    <x v="52"/>
    <x v="0"/>
    <x v="0"/>
    <n v="13.99"/>
    <n v="1"/>
    <n v="13.99"/>
    <x v="2"/>
    <n v="2"/>
    <n v="0.14000000000000001"/>
    <s v="Sci-Fi"/>
  </r>
  <r>
    <s v="5144a8df-7f6d-4e84-9022-66f39e58bb68"/>
    <n v="22"/>
    <s v="Other"/>
    <s v="Basic"/>
    <n v="2.36"/>
    <x v="16"/>
    <x v="3"/>
    <x v="2"/>
    <n v="8.99"/>
    <n v="1"/>
    <n v="8.99"/>
    <x v="1"/>
    <n v="3"/>
    <n v="0.08"/>
    <s v="Action"/>
  </r>
  <r>
    <s v="7b0d81cd-c249-4d2d-9cdc-6ee9d85ed283"/>
    <n v="47"/>
    <s v="Female"/>
    <s v="Basic"/>
    <n v="3.84"/>
    <x v="46"/>
    <x v="1"/>
    <x v="1"/>
    <n v="8.99"/>
    <n v="0"/>
    <n v="0"/>
    <x v="4"/>
    <n v="2"/>
    <n v="1.28"/>
    <s v="Action"/>
  </r>
  <r>
    <s v="769674ba-19e5-4a6a-b353-facf54fbb6e0"/>
    <n v="41"/>
    <s v="Female"/>
    <s v="Standard"/>
    <n v="0.11"/>
    <x v="45"/>
    <x v="0"/>
    <x v="1"/>
    <n v="13.99"/>
    <n v="1"/>
    <n v="13.99"/>
    <x v="4"/>
    <n v="2"/>
    <n v="0"/>
    <s v="Action"/>
  </r>
  <r>
    <s v="1679b3fc-718f-4000-8f69-3b9366299e49"/>
    <n v="65"/>
    <s v="Male"/>
    <s v="Basic"/>
    <n v="6.36"/>
    <x v="43"/>
    <x v="1"/>
    <x v="4"/>
    <n v="8.99"/>
    <n v="1"/>
    <n v="8.99"/>
    <x v="4"/>
    <n v="4"/>
    <n v="0.2"/>
    <s v="Sci-Fi"/>
  </r>
  <r>
    <s v="d88c20b8-c0af-41e5-8d59-65a345133fb3"/>
    <n v="57"/>
    <s v="Male"/>
    <s v="Basic"/>
    <n v="12.3"/>
    <x v="5"/>
    <x v="2"/>
    <x v="4"/>
    <n v="8.99"/>
    <n v="0"/>
    <n v="0"/>
    <x v="2"/>
    <n v="4"/>
    <n v="0.46"/>
    <s v="Sci-Fi"/>
  </r>
  <r>
    <s v="e5a8e0b5-5b5e-4613-acc4-76b38e03f958"/>
    <n v="42"/>
    <s v="Other"/>
    <s v="Premium"/>
    <n v="8.18"/>
    <x v="15"/>
    <x v="1"/>
    <x v="1"/>
    <n v="17.989999999999998"/>
    <n v="0"/>
    <n v="0"/>
    <x v="4"/>
    <n v="5"/>
    <n v="0.2"/>
    <s v="Romance"/>
  </r>
  <r>
    <s v="b034d781-e4ca-4cfc-b645-e9531ef2d347"/>
    <n v="50"/>
    <s v="Other"/>
    <s v="Premium"/>
    <n v="1.05"/>
    <x v="53"/>
    <x v="2"/>
    <x v="2"/>
    <n v="17.989999999999998"/>
    <n v="1"/>
    <n v="17.989999999999998"/>
    <x v="4"/>
    <n v="2"/>
    <n v="0.02"/>
    <s v="Action"/>
  </r>
  <r>
    <s v="0c07f09f-a442-4a69-a25d-8af2df6af414"/>
    <n v="38"/>
    <s v="Other"/>
    <s v="Standard"/>
    <n v="6.49"/>
    <x v="34"/>
    <x v="3"/>
    <x v="0"/>
    <n v="13.99"/>
    <n v="0"/>
    <n v="0"/>
    <x v="3"/>
    <n v="5"/>
    <n v="0.13"/>
    <s v="Romance"/>
  </r>
  <r>
    <s v="916d87c9-3f88-4f0e-98ee-0f27d8e62b0a"/>
    <n v="58"/>
    <s v="Male"/>
    <s v="Premium"/>
    <n v="15.91"/>
    <x v="52"/>
    <x v="4"/>
    <x v="1"/>
    <n v="17.989999999999998"/>
    <n v="1"/>
    <n v="17.989999999999998"/>
    <x v="0"/>
    <n v="1"/>
    <n v="0.32"/>
    <s v="Drama"/>
  </r>
  <r>
    <s v="9b6193ab-b21c-4cc8-b45d-2bd11475efb3"/>
    <n v="30"/>
    <s v="Other"/>
    <s v="Standard"/>
    <n v="12.85"/>
    <x v="36"/>
    <x v="2"/>
    <x v="4"/>
    <n v="13.99"/>
    <n v="1"/>
    <n v="13.99"/>
    <x v="2"/>
    <n v="3"/>
    <n v="0.32"/>
    <s v="Comedy"/>
  </r>
  <r>
    <s v="14b956af-aa78-468c-a20d-daabae23108d"/>
    <n v="64"/>
    <s v="Female"/>
    <s v="Premium"/>
    <n v="1.22"/>
    <x v="7"/>
    <x v="2"/>
    <x v="3"/>
    <n v="17.989999999999998"/>
    <n v="1"/>
    <n v="17.989999999999998"/>
    <x v="1"/>
    <n v="1"/>
    <n v="0.02"/>
    <s v="Comedy"/>
  </r>
  <r>
    <s v="6032d0f5-e5c0-49d2-971d-079db6c358df"/>
    <n v="51"/>
    <s v="Other"/>
    <s v="Standard"/>
    <n v="1.96"/>
    <x v="5"/>
    <x v="1"/>
    <x v="4"/>
    <n v="13.99"/>
    <n v="0"/>
    <n v="0"/>
    <x v="2"/>
    <n v="4"/>
    <n v="7.0000000000000007E-2"/>
    <s v="Documentary"/>
  </r>
  <r>
    <s v="d59ba34e-6680-40f2-ae1a-14f2d2c88e91"/>
    <n v="56"/>
    <s v="Female"/>
    <s v="Basic"/>
    <n v="8.3000000000000007"/>
    <x v="22"/>
    <x v="2"/>
    <x v="0"/>
    <n v="8.99"/>
    <n v="1"/>
    <n v="8.99"/>
    <x v="3"/>
    <n v="3"/>
    <n v="0.15"/>
    <s v="Comedy"/>
  </r>
  <r>
    <s v="1ba18211-9c5f-498f-b188-b5b5f58ff198"/>
    <n v="48"/>
    <s v="Male"/>
    <s v="Standard"/>
    <n v="7.38"/>
    <x v="17"/>
    <x v="4"/>
    <x v="3"/>
    <n v="13.99"/>
    <n v="0"/>
    <n v="0"/>
    <x v="4"/>
    <n v="4"/>
    <n v="1.48"/>
    <s v="Horror"/>
  </r>
  <r>
    <s v="7fc98c2f-c71a-4af0-b532-7bb513272815"/>
    <n v="27"/>
    <s v="Female"/>
    <s v="Basic"/>
    <n v="11.62"/>
    <x v="34"/>
    <x v="2"/>
    <x v="0"/>
    <n v="8.99"/>
    <n v="1"/>
    <n v="8.99"/>
    <x v="4"/>
    <n v="2"/>
    <n v="0.23"/>
    <s v="Documentary"/>
  </r>
  <r>
    <s v="c6f3374b-7a7f-4219-b194-f0c989f78cfc"/>
    <n v="23"/>
    <s v="Female"/>
    <s v="Basic"/>
    <n v="5.0599999999999996"/>
    <x v="9"/>
    <x v="1"/>
    <x v="4"/>
    <n v="8.99"/>
    <n v="1"/>
    <n v="8.99"/>
    <x v="2"/>
    <n v="3"/>
    <n v="0.14000000000000001"/>
    <s v="Comedy"/>
  </r>
  <r>
    <s v="fcf17ea1-2e26-45b6-8c64-052a0c84e1a4"/>
    <n v="69"/>
    <s v="Other"/>
    <s v="Premium"/>
    <n v="3.84"/>
    <x v="41"/>
    <x v="2"/>
    <x v="3"/>
    <n v="17.989999999999998"/>
    <n v="1"/>
    <n v="17.989999999999998"/>
    <x v="1"/>
    <n v="5"/>
    <n v="0.12"/>
    <s v="Documentary"/>
  </r>
  <r>
    <s v="af2f7a8e-6611-416a-8cbc-871e3df33a1b"/>
    <n v="41"/>
    <s v="Female"/>
    <s v="Standard"/>
    <n v="2.97"/>
    <x v="44"/>
    <x v="5"/>
    <x v="4"/>
    <n v="13.99"/>
    <n v="1"/>
    <n v="13.99"/>
    <x v="4"/>
    <n v="1"/>
    <n v="0.06"/>
    <s v="Horror"/>
  </r>
  <r>
    <s v="8329b08a-22c9-41c9-b4a2-ede2a1407ca9"/>
    <n v="65"/>
    <s v="Female"/>
    <s v="Standard"/>
    <n v="8.23"/>
    <x v="18"/>
    <x v="2"/>
    <x v="0"/>
    <n v="13.99"/>
    <n v="1"/>
    <n v="13.99"/>
    <x v="1"/>
    <n v="1"/>
    <n v="0.14000000000000001"/>
    <s v="Comedy"/>
  </r>
  <r>
    <s v="e7e2dc97-77cb-4657-a75c-7b909b1f473f"/>
    <n v="20"/>
    <s v="Male"/>
    <s v="Premium"/>
    <n v="12.72"/>
    <x v="4"/>
    <x v="3"/>
    <x v="1"/>
    <n v="17.989999999999998"/>
    <n v="0"/>
    <n v="0"/>
    <x v="4"/>
    <n v="2"/>
    <n v="0.91"/>
    <s v="Horror"/>
  </r>
  <r>
    <s v="e96f9dcb-1d39-48ea-8c76-83d4526b1d5f"/>
    <n v="62"/>
    <s v="Male"/>
    <s v="Premium"/>
    <n v="10.76"/>
    <x v="43"/>
    <x v="0"/>
    <x v="3"/>
    <n v="17.989999999999998"/>
    <n v="1"/>
    <n v="17.989999999999998"/>
    <x v="3"/>
    <n v="1"/>
    <n v="0.34"/>
    <s v="Horror"/>
  </r>
  <r>
    <s v="63b76069-9c9c-4030-8501-e9bd5f70baac"/>
    <n v="34"/>
    <s v="Female"/>
    <s v="Premium"/>
    <n v="19.54"/>
    <x v="2"/>
    <x v="2"/>
    <x v="2"/>
    <n v="17.989999999999998"/>
    <n v="0"/>
    <n v="0"/>
    <x v="2"/>
    <n v="2"/>
    <n v="1.78"/>
    <s v="Sci-Fi"/>
  </r>
  <r>
    <s v="d5494de3-5422-4437-a937-9e9fc1673b23"/>
    <n v="58"/>
    <s v="Male"/>
    <s v="Premium"/>
    <n v="26.15"/>
    <x v="23"/>
    <x v="4"/>
    <x v="3"/>
    <n v="17.989999999999998"/>
    <n v="0"/>
    <n v="0"/>
    <x v="4"/>
    <n v="1"/>
    <n v="0.48"/>
    <s v="Romance"/>
  </r>
  <r>
    <s v="965d9ef5-fdbf-48e4-a11e-8fd70b8dd4a9"/>
    <n v="35"/>
    <s v="Female"/>
    <s v="Premium"/>
    <n v="3.78"/>
    <x v="42"/>
    <x v="0"/>
    <x v="2"/>
    <n v="17.989999999999998"/>
    <n v="1"/>
    <n v="17.989999999999998"/>
    <x v="2"/>
    <n v="5"/>
    <n v="0.1"/>
    <s v="Drama"/>
  </r>
  <r>
    <s v="b3e8ad34-ade8-4b9e-a72d-1629275399eb"/>
    <n v="36"/>
    <s v="Female"/>
    <s v="Standard"/>
    <n v="6.49"/>
    <x v="38"/>
    <x v="5"/>
    <x v="2"/>
    <n v="13.99"/>
    <n v="0"/>
    <n v="0"/>
    <x v="4"/>
    <n v="5"/>
    <n v="0.28999999999999998"/>
    <s v="Action"/>
  </r>
  <r>
    <s v="1a417fbf-866c-4ff1-af44-13e90cbbb9db"/>
    <n v="57"/>
    <s v="Female"/>
    <s v="Basic"/>
    <n v="1.76"/>
    <x v="2"/>
    <x v="5"/>
    <x v="4"/>
    <n v="8.99"/>
    <n v="1"/>
    <n v="8.99"/>
    <x v="4"/>
    <n v="4"/>
    <n v="0.16"/>
    <s v="Comedy"/>
  </r>
  <r>
    <s v="29495870-356f-4676-9bf8-f8ba49204d46"/>
    <n v="58"/>
    <s v="Male"/>
    <s v="Premium"/>
    <n v="8.43"/>
    <x v="52"/>
    <x v="1"/>
    <x v="4"/>
    <n v="17.989999999999998"/>
    <n v="1"/>
    <n v="17.989999999999998"/>
    <x v="1"/>
    <n v="1"/>
    <n v="0.17"/>
    <s v="Romance"/>
  </r>
  <r>
    <s v="161da9aa-5e4f-427e-a647-bc015a469252"/>
    <n v="54"/>
    <s v="Male"/>
    <s v="Basic"/>
    <n v="4.8499999999999996"/>
    <x v="42"/>
    <x v="0"/>
    <x v="4"/>
    <n v="8.99"/>
    <n v="1"/>
    <n v="8.99"/>
    <x v="4"/>
    <n v="4"/>
    <n v="0.13"/>
    <s v="Comedy"/>
  </r>
  <r>
    <s v="93c00b2a-b12a-4729-978a-1856748fec65"/>
    <n v="22"/>
    <s v="Other"/>
    <s v="Standard"/>
    <n v="14.04"/>
    <x v="1"/>
    <x v="5"/>
    <x v="1"/>
    <n v="13.99"/>
    <n v="0"/>
    <n v="0"/>
    <x v="0"/>
    <n v="2"/>
    <n v="0.7"/>
    <s v="Sci-Fi"/>
  </r>
  <r>
    <s v="d3bfe52c-7f6a-4e4a-b895-a3210b84d94d"/>
    <n v="43"/>
    <s v="Male"/>
    <s v="Premium"/>
    <n v="19.59"/>
    <x v="33"/>
    <x v="0"/>
    <x v="4"/>
    <n v="17.989999999999998"/>
    <n v="0"/>
    <n v="0"/>
    <x v="4"/>
    <n v="1"/>
    <n v="0.75"/>
    <s v="Drama"/>
  </r>
  <r>
    <s v="99d5bb9e-b3ce-4e56-a8d2-493bed4864e1"/>
    <n v="21"/>
    <s v="Other"/>
    <s v="Standard"/>
    <n v="0.06"/>
    <x v="4"/>
    <x v="3"/>
    <x v="3"/>
    <n v="13.99"/>
    <n v="0"/>
    <n v="0"/>
    <x v="3"/>
    <n v="5"/>
    <n v="0"/>
    <s v="Drama"/>
  </r>
  <r>
    <s v="4e3cbc2a-8c21-4845-932b-bd5bbb02e10b"/>
    <n v="53"/>
    <s v="Female"/>
    <s v="Standard"/>
    <n v="26.91"/>
    <x v="1"/>
    <x v="5"/>
    <x v="4"/>
    <n v="13.99"/>
    <n v="0"/>
    <n v="0"/>
    <x v="2"/>
    <n v="2"/>
    <n v="1.35"/>
    <s v="Action"/>
  </r>
  <r>
    <s v="1c1c5145-fd13-4c0e-9a45-e18e9ebb6a07"/>
    <n v="36"/>
    <s v="Male"/>
    <s v="Standard"/>
    <n v="1.36"/>
    <x v="56"/>
    <x v="5"/>
    <x v="3"/>
    <n v="13.99"/>
    <n v="1"/>
    <n v="13.99"/>
    <x v="4"/>
    <n v="5"/>
    <n v="0.02"/>
    <s v="Documentary"/>
  </r>
  <r>
    <s v="9e153932-2f33-4f32-ac2d-279f5c5ffaab"/>
    <n v="37"/>
    <s v="Female"/>
    <s v="Premium"/>
    <n v="7.53"/>
    <x v="26"/>
    <x v="2"/>
    <x v="3"/>
    <n v="17.989999999999998"/>
    <n v="1"/>
    <n v="17.989999999999998"/>
    <x v="3"/>
    <n v="3"/>
    <n v="0.15"/>
    <s v="Documentary"/>
  </r>
  <r>
    <s v="a2860e45-9812-4952-8865-2c9113baae8d"/>
    <n v="44"/>
    <s v="Female"/>
    <s v="Standard"/>
    <n v="62.82"/>
    <x v="35"/>
    <x v="0"/>
    <x v="3"/>
    <n v="13.99"/>
    <n v="0"/>
    <n v="0"/>
    <x v="4"/>
    <n v="4"/>
    <n v="1.4"/>
    <s v="Sci-Fi"/>
  </r>
  <r>
    <s v="eb9ffc1d-90cf-41bb-b18e-b118d745b184"/>
    <n v="33"/>
    <s v="Female"/>
    <s v="Premium"/>
    <n v="2.08"/>
    <x v="13"/>
    <x v="5"/>
    <x v="0"/>
    <n v="17.989999999999998"/>
    <n v="0"/>
    <n v="0"/>
    <x v="2"/>
    <n v="4"/>
    <n v="0.26"/>
    <s v="Romance"/>
  </r>
  <r>
    <s v="f3d58e2f-b78f-4df7-8455-58ecd328798d"/>
    <n v="32"/>
    <s v="Male"/>
    <s v="Basic"/>
    <n v="10.130000000000001"/>
    <x v="60"/>
    <x v="3"/>
    <x v="4"/>
    <n v="8.99"/>
    <n v="0"/>
    <n v="0"/>
    <x v="4"/>
    <n v="5"/>
    <n v="1.1299999999999999"/>
    <s v="Horror"/>
  </r>
  <r>
    <s v="ed233136-d1c6-4e17-8ea3-64ec10d8f882"/>
    <n v="23"/>
    <s v="Female"/>
    <s v="Basic"/>
    <n v="11.07"/>
    <x v="58"/>
    <x v="1"/>
    <x v="2"/>
    <n v="8.99"/>
    <n v="1"/>
    <n v="8.99"/>
    <x v="1"/>
    <n v="4"/>
    <n v="0.23"/>
    <s v="Action"/>
  </r>
  <r>
    <s v="065fa014-3a3e-4d9a-a54f-60f91fae5820"/>
    <n v="61"/>
    <s v="Male"/>
    <s v="Premium"/>
    <n v="4.67"/>
    <x v="19"/>
    <x v="4"/>
    <x v="0"/>
    <n v="17.989999999999998"/>
    <n v="1"/>
    <n v="17.989999999999998"/>
    <x v="1"/>
    <n v="4"/>
    <n v="0.11"/>
    <s v="Romance"/>
  </r>
  <r>
    <s v="b942a90e-e80a-4079-94cf-b6657f127de4"/>
    <n v="33"/>
    <s v="Male"/>
    <s v="Premium"/>
    <n v="17.72"/>
    <x v="59"/>
    <x v="5"/>
    <x v="2"/>
    <n v="17.989999999999998"/>
    <n v="0"/>
    <n v="0"/>
    <x v="4"/>
    <n v="5"/>
    <n v="2.95"/>
    <s v="Romance"/>
  </r>
  <r>
    <s v="bf57159a-63c5-479a-b4c8-ced4a60e2d2d"/>
    <n v="41"/>
    <s v="Female"/>
    <s v="Premium"/>
    <n v="6.01"/>
    <x v="9"/>
    <x v="5"/>
    <x v="4"/>
    <n v="17.989999999999998"/>
    <n v="0"/>
    <n v="0"/>
    <x v="2"/>
    <n v="4"/>
    <n v="0.16"/>
    <s v="Action"/>
  </r>
  <r>
    <s v="ebdbba9b-b3c9-4074-b02d-4ee57b51f8f6"/>
    <n v="23"/>
    <s v="Female"/>
    <s v="Standard"/>
    <n v="14.92"/>
    <x v="4"/>
    <x v="5"/>
    <x v="0"/>
    <n v="13.99"/>
    <n v="0"/>
    <n v="0"/>
    <x v="0"/>
    <n v="2"/>
    <n v="1.07"/>
    <s v="Documentary"/>
  </r>
  <r>
    <s v="e433a731-5370-4d70-8852-a81c478d4483"/>
    <n v="67"/>
    <s v="Female"/>
    <s v="Basic"/>
    <n v="8.2799999999999994"/>
    <x v="48"/>
    <x v="0"/>
    <x v="2"/>
    <n v="8.99"/>
    <n v="1"/>
    <n v="8.99"/>
    <x v="0"/>
    <n v="2"/>
    <n v="0.16"/>
    <s v="Comedy"/>
  </r>
  <r>
    <s v="3d0ef301-6769-46fc-b331-ce295cd74e80"/>
    <n v="59"/>
    <s v="Other"/>
    <s v="Basic"/>
    <n v="4.96"/>
    <x v="48"/>
    <x v="4"/>
    <x v="1"/>
    <n v="8.99"/>
    <n v="1"/>
    <n v="8.99"/>
    <x v="3"/>
    <n v="1"/>
    <n v="0.1"/>
    <s v="Comedy"/>
  </r>
  <r>
    <s v="f71aec52-ab1e-4dcf-a184-69646fe45f56"/>
    <n v="50"/>
    <s v="Other"/>
    <s v="Basic"/>
    <n v="1.1100000000000001"/>
    <x v="35"/>
    <x v="5"/>
    <x v="2"/>
    <n v="8.99"/>
    <n v="1"/>
    <n v="8.99"/>
    <x v="3"/>
    <n v="5"/>
    <n v="0.02"/>
    <s v="Romance"/>
  </r>
  <r>
    <s v="303e5d95-809b-4bf4-92ac-6e5f2cc59ba8"/>
    <n v="22"/>
    <s v="Other"/>
    <s v="Premium"/>
    <n v="0.85"/>
    <x v="5"/>
    <x v="3"/>
    <x v="0"/>
    <n v="17.989999999999998"/>
    <n v="1"/>
    <n v="17.989999999999998"/>
    <x v="2"/>
    <n v="3"/>
    <n v="0.03"/>
    <s v="Comedy"/>
  </r>
  <r>
    <s v="412c7e89-3176-4918-9264-dd82be8010f5"/>
    <n v="65"/>
    <s v="Female"/>
    <s v="Basic"/>
    <n v="1.85"/>
    <x v="8"/>
    <x v="2"/>
    <x v="0"/>
    <n v="8.99"/>
    <n v="1"/>
    <n v="8.99"/>
    <x v="3"/>
    <n v="2"/>
    <n v="0.05"/>
    <s v="Romance"/>
  </r>
  <r>
    <s v="1a681a1b-25e5-4de8-837d-0cf7d69b7a21"/>
    <n v="70"/>
    <s v="Male"/>
    <s v="Premium"/>
    <n v="8.2899999999999991"/>
    <x v="4"/>
    <x v="5"/>
    <x v="1"/>
    <n v="17.989999999999998"/>
    <n v="0"/>
    <n v="0"/>
    <x v="0"/>
    <n v="1"/>
    <n v="0.59"/>
    <s v="Comedy"/>
  </r>
  <r>
    <s v="3c7bdc9d-9591-4914-8ba0-50080fe98b08"/>
    <n v="39"/>
    <s v="Female"/>
    <s v="Basic"/>
    <n v="13.15"/>
    <x v="4"/>
    <x v="2"/>
    <x v="0"/>
    <n v="8.99"/>
    <n v="0"/>
    <n v="0"/>
    <x v="0"/>
    <n v="2"/>
    <n v="0.94"/>
    <s v="Horror"/>
  </r>
  <r>
    <s v="8bd100a3-8559-404b-bdd6-ddaa029b6c70"/>
    <n v="59"/>
    <s v="Other"/>
    <s v="Standard"/>
    <n v="3.7"/>
    <x v="39"/>
    <x v="1"/>
    <x v="4"/>
    <n v="13.99"/>
    <n v="1"/>
    <n v="13.99"/>
    <x v="0"/>
    <n v="3"/>
    <n v="0.16"/>
    <s v="Comedy"/>
  </r>
  <r>
    <s v="e4b24812-efbd-4593-9d9c-00b531d763c4"/>
    <n v="58"/>
    <s v="Female"/>
    <s v="Basic"/>
    <n v="5.08"/>
    <x v="26"/>
    <x v="2"/>
    <x v="0"/>
    <n v="8.99"/>
    <n v="1"/>
    <n v="8.99"/>
    <x v="3"/>
    <n v="5"/>
    <n v="0.1"/>
    <s v="Documentary"/>
  </r>
  <r>
    <s v="803da581-3136-49b8-8fcc-7a3b32964c21"/>
    <n v="56"/>
    <s v="Female"/>
    <s v="Basic"/>
    <n v="23.72"/>
    <x v="4"/>
    <x v="4"/>
    <x v="1"/>
    <n v="8.99"/>
    <n v="0"/>
    <n v="0"/>
    <x v="2"/>
    <n v="1"/>
    <n v="1.69"/>
    <s v="Comedy"/>
  </r>
  <r>
    <s v="f3c0fef7-e0e2-4559-9541-63d4d6c943ce"/>
    <n v="46"/>
    <s v="Female"/>
    <s v="Standard"/>
    <n v="13.81"/>
    <x v="4"/>
    <x v="3"/>
    <x v="0"/>
    <n v="13.99"/>
    <n v="0"/>
    <n v="0"/>
    <x v="4"/>
    <n v="1"/>
    <n v="0.99"/>
    <s v="Action"/>
  </r>
  <r>
    <s v="5fc305d7-0598-4114-bd7d-e523aa1befc9"/>
    <n v="19"/>
    <s v="Female"/>
    <s v="Standard"/>
    <n v="6.51"/>
    <x v="48"/>
    <x v="2"/>
    <x v="4"/>
    <n v="13.99"/>
    <n v="1"/>
    <n v="13.99"/>
    <x v="1"/>
    <n v="1"/>
    <n v="0.13"/>
    <s v="Comedy"/>
  </r>
  <r>
    <s v="e43fd57a-efec-41d1-93be-ef8bb0e913be"/>
    <n v="38"/>
    <s v="Male"/>
    <s v="Standard"/>
    <n v="6.68"/>
    <x v="31"/>
    <x v="3"/>
    <x v="1"/>
    <n v="13.99"/>
    <n v="0"/>
    <n v="0"/>
    <x v="4"/>
    <n v="1"/>
    <n v="0.42"/>
    <s v="Drama"/>
  </r>
  <r>
    <s v="96cd4e09-7d3a-44ac-8895-3e579b483e67"/>
    <n v="24"/>
    <s v="Other"/>
    <s v="Premium"/>
    <n v="18.05"/>
    <x v="45"/>
    <x v="0"/>
    <x v="1"/>
    <n v="17.989999999999998"/>
    <n v="0"/>
    <n v="0"/>
    <x v="4"/>
    <n v="5"/>
    <n v="0.43"/>
    <s v="Romance"/>
  </r>
  <r>
    <s v="9b84c381-8a4e-425e-82d6-e4574ce7eaef"/>
    <n v="63"/>
    <s v="Female"/>
    <s v="Premium"/>
    <n v="26.19"/>
    <x v="8"/>
    <x v="0"/>
    <x v="2"/>
    <n v="17.989999999999998"/>
    <n v="0"/>
    <n v="0"/>
    <x v="1"/>
    <n v="1"/>
    <n v="0.75"/>
    <s v="Sci-Fi"/>
  </r>
  <r>
    <s v="ae61debd-11d7-4e74-90b0-5058e273c518"/>
    <n v="49"/>
    <s v="Other"/>
    <s v="Premium"/>
    <n v="8.48"/>
    <x v="2"/>
    <x v="5"/>
    <x v="2"/>
    <n v="17.989999999999998"/>
    <n v="0"/>
    <n v="0"/>
    <x v="3"/>
    <n v="1"/>
    <n v="0.77"/>
    <s v="Horror"/>
  </r>
  <r>
    <s v="027d0683-397f-4764-b23b-26c0baa7dd31"/>
    <n v="56"/>
    <s v="Male"/>
    <s v="Premium"/>
    <n v="14.15"/>
    <x v="35"/>
    <x v="0"/>
    <x v="1"/>
    <n v="17.989999999999998"/>
    <n v="1"/>
    <n v="17.989999999999998"/>
    <x v="1"/>
    <n v="3"/>
    <n v="0.31"/>
    <s v="Horror"/>
  </r>
  <r>
    <s v="69fce7d7-873c-4a8c-9e16-31b51f8a5b89"/>
    <n v="55"/>
    <s v="Female"/>
    <s v="Premium"/>
    <n v="2.0099999999999998"/>
    <x v="37"/>
    <x v="5"/>
    <x v="4"/>
    <n v="17.989999999999998"/>
    <n v="1"/>
    <n v="17.989999999999998"/>
    <x v="2"/>
    <n v="3"/>
    <n v="0.08"/>
    <s v="Sci-Fi"/>
  </r>
  <r>
    <s v="b51e3fd6-b485-4fb4-8f4d-7308e8f8637f"/>
    <n v="46"/>
    <s v="Male"/>
    <s v="Premium"/>
    <n v="0.48"/>
    <x v="9"/>
    <x v="2"/>
    <x v="0"/>
    <n v="17.989999999999998"/>
    <n v="1"/>
    <n v="17.989999999999998"/>
    <x v="0"/>
    <n v="5"/>
    <n v="0.01"/>
    <s v="Romance"/>
  </r>
  <r>
    <s v="f542341a-c266-4e89-a629-a1bd8ea7b663"/>
    <n v="18"/>
    <s v="Other"/>
    <s v="Basic"/>
    <n v="3.17"/>
    <x v="25"/>
    <x v="2"/>
    <x v="2"/>
    <n v="8.99"/>
    <n v="1"/>
    <n v="8.99"/>
    <x v="4"/>
    <n v="1"/>
    <n v="3.17"/>
    <s v="Action"/>
  </r>
  <r>
    <s v="a0aa33e6-8d16-4270-8fff-50888fca0dcf"/>
    <n v="28"/>
    <s v="Male"/>
    <s v="Premium"/>
    <n v="8.75"/>
    <x v="44"/>
    <x v="2"/>
    <x v="3"/>
    <n v="17.989999999999998"/>
    <n v="1"/>
    <n v="17.989999999999998"/>
    <x v="4"/>
    <n v="3"/>
    <n v="0.19"/>
    <s v="Comedy"/>
  </r>
  <r>
    <s v="b92f9947-8cc5-4c19-a6e2-92166d3183a6"/>
    <n v="35"/>
    <s v="Female"/>
    <s v="Premium"/>
    <n v="9.17"/>
    <x v="19"/>
    <x v="2"/>
    <x v="1"/>
    <n v="17.989999999999998"/>
    <n v="1"/>
    <n v="17.989999999999998"/>
    <x v="1"/>
    <n v="3"/>
    <n v="0.21"/>
    <s v="Drama"/>
  </r>
  <r>
    <s v="20610703-f205-4e18-8f71-b06869a773d9"/>
    <n v="43"/>
    <s v="Male"/>
    <s v="Standard"/>
    <n v="0.83"/>
    <x v="4"/>
    <x v="4"/>
    <x v="0"/>
    <n v="13.99"/>
    <n v="1"/>
    <n v="13.99"/>
    <x v="3"/>
    <n v="3"/>
    <n v="0.06"/>
    <s v="Documentary"/>
  </r>
  <r>
    <s v="27ad2e65-11c8-44ef-b468-c1b5a271b2d6"/>
    <n v="37"/>
    <s v="Other"/>
    <s v="Basic"/>
    <n v="3.68"/>
    <x v="29"/>
    <x v="0"/>
    <x v="2"/>
    <n v="8.99"/>
    <n v="1"/>
    <n v="8.99"/>
    <x v="4"/>
    <n v="3"/>
    <n v="0.08"/>
    <s v="Sci-Fi"/>
  </r>
  <r>
    <s v="9eee1bd0-7e98-411b-8970-2fe112d7ebec"/>
    <n v="62"/>
    <s v="Male"/>
    <s v="Premium"/>
    <n v="10.33"/>
    <x v="47"/>
    <x v="0"/>
    <x v="3"/>
    <n v="17.989999999999998"/>
    <n v="0"/>
    <n v="0"/>
    <x v="1"/>
    <n v="2"/>
    <n v="2.58"/>
    <s v="Documentary"/>
  </r>
  <r>
    <s v="43f062ac-2abc-4849-b273-eee6c1d03926"/>
    <n v="46"/>
    <s v="Female"/>
    <s v="Basic"/>
    <n v="12.12"/>
    <x v="45"/>
    <x v="4"/>
    <x v="4"/>
    <n v="8.99"/>
    <n v="1"/>
    <n v="8.99"/>
    <x v="2"/>
    <n v="2"/>
    <n v="0.28999999999999998"/>
    <s v="Drama"/>
  </r>
  <r>
    <s v="80bdb6a9-af1d-4bf8-bdd6-d44d23361ec7"/>
    <n v="34"/>
    <s v="Female"/>
    <s v="Basic"/>
    <n v="28.06"/>
    <x v="12"/>
    <x v="3"/>
    <x v="0"/>
    <n v="8.99"/>
    <n v="0"/>
    <n v="0"/>
    <x v="3"/>
    <n v="4"/>
    <n v="0.83"/>
    <s v="Documentary"/>
  </r>
  <r>
    <s v="4b561de5-67ca-4d0c-8e49-ec97fa83626a"/>
    <n v="21"/>
    <s v="Male"/>
    <s v="Premium"/>
    <n v="16.09"/>
    <x v="46"/>
    <x v="5"/>
    <x v="4"/>
    <n v="17.989999999999998"/>
    <n v="0"/>
    <n v="0"/>
    <x v="1"/>
    <n v="4"/>
    <n v="5.36"/>
    <s v="Sci-Fi"/>
  </r>
  <r>
    <s v="ae401f97-f477-4b59-835c-80aba1166e34"/>
    <n v="61"/>
    <s v="Female"/>
    <s v="Premium"/>
    <n v="55.13"/>
    <x v="55"/>
    <x v="2"/>
    <x v="4"/>
    <n v="17.989999999999998"/>
    <n v="0"/>
    <n v="0"/>
    <x v="2"/>
    <n v="1"/>
    <n v="0.92"/>
    <s v="Horror"/>
  </r>
  <r>
    <s v="31a4140a-c4fb-42c7-8854-4c24c438d18e"/>
    <n v="48"/>
    <s v="Other"/>
    <s v="Premium"/>
    <n v="17.239999999999998"/>
    <x v="23"/>
    <x v="3"/>
    <x v="1"/>
    <n v="17.989999999999998"/>
    <n v="0"/>
    <n v="0"/>
    <x v="2"/>
    <n v="5"/>
    <n v="0.32"/>
    <s v="Documentary"/>
  </r>
  <r>
    <s v="ce3fbd40-95b0-45e9-b263-3c8ec20036c0"/>
    <n v="23"/>
    <s v="Other"/>
    <s v="Basic"/>
    <n v="2.91"/>
    <x v="15"/>
    <x v="3"/>
    <x v="4"/>
    <n v="8.99"/>
    <n v="1"/>
    <n v="8.99"/>
    <x v="3"/>
    <n v="3"/>
    <n v="7.0000000000000007E-2"/>
    <s v="Drama"/>
  </r>
  <r>
    <s v="b7738cff-10aa-4e6f-9fef-e9fcf917d1c4"/>
    <n v="57"/>
    <s v="Female"/>
    <s v="Standard"/>
    <n v="3.05"/>
    <x v="5"/>
    <x v="5"/>
    <x v="0"/>
    <n v="13.99"/>
    <n v="1"/>
    <n v="13.99"/>
    <x v="3"/>
    <n v="2"/>
    <n v="0.11"/>
    <s v="Sci-Fi"/>
  </r>
  <r>
    <s v="57f1d116-ea1e-43db-93e6-4a9324378aa1"/>
    <n v="30"/>
    <s v="Male"/>
    <s v="Premium"/>
    <n v="5.43"/>
    <x v="7"/>
    <x v="0"/>
    <x v="0"/>
    <n v="17.989999999999998"/>
    <n v="1"/>
    <n v="17.989999999999998"/>
    <x v="0"/>
    <n v="4"/>
    <n v="0.1"/>
    <s v="Documentary"/>
  </r>
  <r>
    <s v="0ca91c24-0ea5-4885-8ae4-665754c4a464"/>
    <n v="25"/>
    <s v="Other"/>
    <s v="Premium"/>
    <n v="2.5099999999999998"/>
    <x v="20"/>
    <x v="2"/>
    <x v="0"/>
    <n v="17.989999999999998"/>
    <n v="0"/>
    <n v="0"/>
    <x v="3"/>
    <n v="5"/>
    <n v="0.13"/>
    <s v="Sci-Fi"/>
  </r>
  <r>
    <s v="c98976dd-6fef-4649-bf60-100427cfa861"/>
    <n v="32"/>
    <s v="Female"/>
    <s v="Basic"/>
    <n v="7.17"/>
    <x v="47"/>
    <x v="2"/>
    <x v="4"/>
    <n v="8.99"/>
    <n v="0"/>
    <n v="0"/>
    <x v="2"/>
    <n v="5"/>
    <n v="1.79"/>
    <s v="Horror"/>
  </r>
  <r>
    <s v="bf4af9cd-1b68-481c-96aa-d569dc62852d"/>
    <n v="29"/>
    <s v="Female"/>
    <s v="Basic"/>
    <n v="10.64"/>
    <x v="9"/>
    <x v="1"/>
    <x v="4"/>
    <n v="8.99"/>
    <n v="1"/>
    <n v="8.99"/>
    <x v="3"/>
    <n v="1"/>
    <n v="0.28999999999999998"/>
    <s v="Action"/>
  </r>
  <r>
    <s v="13480445-fc86-4991-89e5-ab251055352d"/>
    <n v="56"/>
    <s v="Male"/>
    <s v="Standard"/>
    <n v="12.06"/>
    <x v="5"/>
    <x v="4"/>
    <x v="2"/>
    <n v="13.99"/>
    <n v="0"/>
    <n v="0"/>
    <x v="2"/>
    <n v="1"/>
    <n v="0.45"/>
    <s v="Horror"/>
  </r>
  <r>
    <s v="d0a6eca4-bb35-4ab4-a281-9a5427cd35af"/>
    <n v="57"/>
    <s v="Female"/>
    <s v="Standard"/>
    <n v="28.5"/>
    <x v="11"/>
    <x v="4"/>
    <x v="3"/>
    <n v="13.99"/>
    <n v="0"/>
    <n v="0"/>
    <x v="0"/>
    <n v="3"/>
    <n v="1.19"/>
    <s v="Documentary"/>
  </r>
  <r>
    <s v="1a2e23e5-b228-4e47-b7cc-0ae914646afd"/>
    <n v="23"/>
    <s v="Female"/>
    <s v="Basic"/>
    <n v="11.25"/>
    <x v="37"/>
    <x v="2"/>
    <x v="3"/>
    <n v="8.99"/>
    <n v="0"/>
    <n v="0"/>
    <x v="1"/>
    <n v="5"/>
    <n v="0.45"/>
    <s v="Comedy"/>
  </r>
  <r>
    <s v="6f635592-2a83-4d81-bfc8-1bc88a9a26a2"/>
    <n v="38"/>
    <s v="Other"/>
    <s v="Basic"/>
    <n v="1.1299999999999999"/>
    <x v="45"/>
    <x v="2"/>
    <x v="3"/>
    <n v="8.99"/>
    <n v="1"/>
    <n v="8.99"/>
    <x v="1"/>
    <n v="2"/>
    <n v="0.03"/>
    <s v="Comedy"/>
  </r>
  <r>
    <s v="3ba1272d-37f8-45eb-89d8-9a1dfbc113dc"/>
    <n v="62"/>
    <s v="Male"/>
    <s v="Basic"/>
    <n v="12.33"/>
    <x v="58"/>
    <x v="4"/>
    <x v="3"/>
    <n v="8.99"/>
    <n v="1"/>
    <n v="8.99"/>
    <x v="0"/>
    <n v="1"/>
    <n v="0.26"/>
    <s v="Action"/>
  </r>
  <r>
    <s v="7ae87f0b-ec48-4a45-9947-aadbd421a2d8"/>
    <n v="51"/>
    <s v="Male"/>
    <s v="Standard"/>
    <n v="8.43"/>
    <x v="42"/>
    <x v="4"/>
    <x v="1"/>
    <n v="13.99"/>
    <n v="1"/>
    <n v="13.99"/>
    <x v="2"/>
    <n v="1"/>
    <n v="0.22"/>
    <s v="Documentary"/>
  </r>
  <r>
    <s v="d074446a-701b-4b52-8a63-790ae3d922b0"/>
    <n v="54"/>
    <s v="Other"/>
    <s v="Standard"/>
    <n v="3.36"/>
    <x v="34"/>
    <x v="0"/>
    <x v="2"/>
    <n v="13.99"/>
    <n v="1"/>
    <n v="13.99"/>
    <x v="0"/>
    <n v="5"/>
    <n v="7.0000000000000007E-2"/>
    <s v="Romance"/>
  </r>
  <r>
    <s v="d1957af6-689c-4010-81fd-fd8590ba41b6"/>
    <n v="33"/>
    <s v="Female"/>
    <s v="Basic"/>
    <n v="11.36"/>
    <x v="48"/>
    <x v="1"/>
    <x v="3"/>
    <n v="8.99"/>
    <n v="1"/>
    <n v="8.99"/>
    <x v="3"/>
    <n v="1"/>
    <n v="0.22"/>
    <s v="Drama"/>
  </r>
  <r>
    <s v="663438b8-2e83-49b7-8ca1-f4e8d89fa67f"/>
    <n v="54"/>
    <s v="Female"/>
    <s v="Premium"/>
    <n v="2.08"/>
    <x v="3"/>
    <x v="0"/>
    <x v="1"/>
    <n v="17.989999999999998"/>
    <n v="0"/>
    <n v="0"/>
    <x v="2"/>
    <n v="5"/>
    <n v="0.16"/>
    <s v="Action"/>
  </r>
  <r>
    <s v="017de893-5eca-4abb-a6fb-235bf52e1183"/>
    <n v="38"/>
    <s v="Male"/>
    <s v="Premium"/>
    <n v="3.49"/>
    <x v="5"/>
    <x v="2"/>
    <x v="0"/>
    <n v="17.989999999999998"/>
    <n v="0"/>
    <n v="0"/>
    <x v="4"/>
    <n v="5"/>
    <n v="0.13"/>
    <s v="Action"/>
  </r>
  <r>
    <s v="bb58fe93-e0b2-4946-b2f9-f150f203a485"/>
    <n v="24"/>
    <s v="Other"/>
    <s v="Basic"/>
    <n v="17.559999999999999"/>
    <x v="2"/>
    <x v="3"/>
    <x v="1"/>
    <n v="8.99"/>
    <n v="0"/>
    <n v="0"/>
    <x v="0"/>
    <n v="5"/>
    <n v="1.6"/>
    <s v="Action"/>
  </r>
  <r>
    <s v="82ce0b3d-f1d9-4a0f-92cf-cef581133e3f"/>
    <n v="44"/>
    <s v="Male"/>
    <s v="Standard"/>
    <n v="2.2799999999999998"/>
    <x v="55"/>
    <x v="2"/>
    <x v="2"/>
    <n v="13.99"/>
    <n v="1"/>
    <n v="13.99"/>
    <x v="1"/>
    <n v="2"/>
    <n v="0.04"/>
    <s v="Comedy"/>
  </r>
  <r>
    <s v="f1f1260d-5360-470d-9818-505f8db68230"/>
    <n v="37"/>
    <s v="Male"/>
    <s v="Standard"/>
    <n v="28.57"/>
    <x v="17"/>
    <x v="1"/>
    <x v="1"/>
    <n v="13.99"/>
    <n v="0"/>
    <n v="0"/>
    <x v="4"/>
    <n v="2"/>
    <n v="5.71"/>
    <s v="Horror"/>
  </r>
  <r>
    <s v="2fe5ac5c-459b-49f1-a673-398b1db9b72e"/>
    <n v="64"/>
    <s v="Male"/>
    <s v="Standard"/>
    <n v="22.89"/>
    <x v="34"/>
    <x v="0"/>
    <x v="2"/>
    <n v="13.99"/>
    <n v="0"/>
    <n v="0"/>
    <x v="1"/>
    <n v="3"/>
    <n v="0.45"/>
    <s v="Action"/>
  </r>
  <r>
    <s v="ebf85bd7-b3b1-4299-9d0f-e32e7fc3cd4a"/>
    <n v="41"/>
    <s v="Female"/>
    <s v="Premium"/>
    <n v="14.17"/>
    <x v="1"/>
    <x v="5"/>
    <x v="4"/>
    <n v="17.989999999999998"/>
    <n v="0"/>
    <n v="0"/>
    <x v="0"/>
    <n v="3"/>
    <n v="0.71"/>
    <s v="Action"/>
  </r>
  <r>
    <s v="7864a64d-b304-4501-84ea-cfd022c2f1bc"/>
    <n v="25"/>
    <s v="Other"/>
    <s v="Standard"/>
    <n v="0.9"/>
    <x v="16"/>
    <x v="5"/>
    <x v="1"/>
    <n v="13.99"/>
    <n v="1"/>
    <n v="13.99"/>
    <x v="3"/>
    <n v="3"/>
    <n v="0.03"/>
    <s v="Horror"/>
  </r>
  <r>
    <s v="e6b3368d-95d8-445d-bf7e-102d660f0c57"/>
    <n v="65"/>
    <s v="Female"/>
    <s v="Standard"/>
    <n v="17.309999999999999"/>
    <x v="42"/>
    <x v="0"/>
    <x v="1"/>
    <n v="13.99"/>
    <n v="1"/>
    <n v="13.99"/>
    <x v="3"/>
    <n v="1"/>
    <n v="0.46"/>
    <s v="Drama"/>
  </r>
  <r>
    <s v="3944f950-85d8-4cb2-bedb-09ce9cbed09c"/>
    <n v="39"/>
    <s v="Female"/>
    <s v="Premium"/>
    <n v="3.69"/>
    <x v="5"/>
    <x v="2"/>
    <x v="4"/>
    <n v="17.989999999999998"/>
    <n v="1"/>
    <n v="17.989999999999998"/>
    <x v="1"/>
    <n v="5"/>
    <n v="0.14000000000000001"/>
    <s v="Documentary"/>
  </r>
  <r>
    <s v="9bae5e8d-359c-48c6-ad6f-c791395832e2"/>
    <n v="69"/>
    <s v="Male"/>
    <s v="Standard"/>
    <n v="42.32"/>
    <x v="26"/>
    <x v="3"/>
    <x v="0"/>
    <n v="13.99"/>
    <n v="0"/>
    <n v="0"/>
    <x v="0"/>
    <n v="3"/>
    <n v="0.86"/>
    <s v="Action"/>
  </r>
  <r>
    <s v="a24bb748-6eb6-4841-94a9-bf532feac6e6"/>
    <n v="61"/>
    <s v="Other"/>
    <s v="Premium"/>
    <n v="31.47"/>
    <x v="24"/>
    <x v="1"/>
    <x v="3"/>
    <n v="17.989999999999998"/>
    <n v="0"/>
    <n v="0"/>
    <x v="2"/>
    <n v="5"/>
    <n v="0.59"/>
    <s v="Documentary"/>
  </r>
  <r>
    <s v="ead6bbc7-1708-4702-99d6-95f30ea755bb"/>
    <n v="59"/>
    <s v="Male"/>
    <s v="Standard"/>
    <n v="16.350000000000001"/>
    <x v="30"/>
    <x v="2"/>
    <x v="0"/>
    <n v="13.99"/>
    <n v="0"/>
    <n v="0"/>
    <x v="3"/>
    <n v="3"/>
    <n v="8.18"/>
    <s v="Action"/>
  </r>
  <r>
    <s v="a2794c07-a79c-43a9-ba77-bcbc4cfb17ef"/>
    <n v="26"/>
    <s v="Other"/>
    <s v="Standard"/>
    <n v="1.24"/>
    <x v="7"/>
    <x v="2"/>
    <x v="0"/>
    <n v="13.99"/>
    <n v="1"/>
    <n v="13.99"/>
    <x v="2"/>
    <n v="1"/>
    <n v="0.02"/>
    <s v="Sci-Fi"/>
  </r>
  <r>
    <s v="d9fc180d-06dc-4976-b536-f86b54c3006f"/>
    <n v="36"/>
    <s v="Other"/>
    <s v="Premium"/>
    <n v="2.98"/>
    <x v="57"/>
    <x v="4"/>
    <x v="1"/>
    <n v="17.989999999999998"/>
    <n v="1"/>
    <n v="17.989999999999998"/>
    <x v="2"/>
    <n v="4"/>
    <n v="0.05"/>
    <s v="Drama"/>
  </r>
  <r>
    <s v="b80f6489-78a5-440f-8084-6db353891aeb"/>
    <n v="42"/>
    <s v="Female"/>
    <s v="Basic"/>
    <n v="1.85"/>
    <x v="21"/>
    <x v="0"/>
    <x v="2"/>
    <n v="8.99"/>
    <n v="1"/>
    <n v="8.99"/>
    <x v="1"/>
    <n v="5"/>
    <n v="0.26"/>
    <s v="Horror"/>
  </r>
  <r>
    <s v="4fc4e447-3b9a-4414-aed8-894d34103034"/>
    <n v="45"/>
    <s v="Female"/>
    <s v="Standard"/>
    <n v="1.77"/>
    <x v="40"/>
    <x v="0"/>
    <x v="1"/>
    <n v="13.99"/>
    <n v="1"/>
    <n v="13.99"/>
    <x v="3"/>
    <n v="3"/>
    <n v="0.15"/>
    <s v="Romance"/>
  </r>
  <r>
    <s v="83bad4fe-fb54-4501-8bfc-0b1f728b523e"/>
    <n v="66"/>
    <s v="Other"/>
    <s v="Premium"/>
    <n v="0.42"/>
    <x v="54"/>
    <x v="5"/>
    <x v="0"/>
    <n v="17.989999999999998"/>
    <n v="1"/>
    <n v="17.989999999999998"/>
    <x v="1"/>
    <n v="5"/>
    <n v="0.01"/>
    <s v="Drama"/>
  </r>
  <r>
    <s v="00ce9289-e055-4962-ad61-110ce7d37ff4"/>
    <n v="64"/>
    <s v="Female"/>
    <s v="Basic"/>
    <n v="5.7"/>
    <x v="49"/>
    <x v="5"/>
    <x v="3"/>
    <n v="8.99"/>
    <n v="0"/>
    <n v="0"/>
    <x v="4"/>
    <n v="1"/>
    <n v="0.56999999999999995"/>
    <s v="Comedy"/>
  </r>
  <r>
    <s v="9ac104ea-5967-4a62-8f82-3a14e82ecde0"/>
    <n v="54"/>
    <s v="Other"/>
    <s v="Basic"/>
    <n v="0.51"/>
    <x v="40"/>
    <x v="4"/>
    <x v="4"/>
    <n v="8.99"/>
    <n v="1"/>
    <n v="8.99"/>
    <x v="3"/>
    <n v="5"/>
    <n v="0.04"/>
    <s v="Documentary"/>
  </r>
  <r>
    <s v="5055574d-e03a-4409-8940-5aa540f8c7b1"/>
    <n v="69"/>
    <s v="Male"/>
    <s v="Basic"/>
    <n v="3.45"/>
    <x v="5"/>
    <x v="5"/>
    <x v="1"/>
    <n v="8.99"/>
    <n v="1"/>
    <n v="8.99"/>
    <x v="2"/>
    <n v="3"/>
    <n v="0.13"/>
    <s v="Drama"/>
  </r>
  <r>
    <s v="886ecf0d-e049-42b3-bb10-c2e7993a5682"/>
    <n v="53"/>
    <s v="Male"/>
    <s v="Basic"/>
    <n v="6.45"/>
    <x v="21"/>
    <x v="4"/>
    <x v="1"/>
    <n v="8.99"/>
    <n v="0"/>
    <n v="0"/>
    <x v="4"/>
    <n v="5"/>
    <n v="0.92"/>
    <s v="Documentary"/>
  </r>
  <r>
    <s v="2a8b672e-c40e-4884-a460-33c3a34a315e"/>
    <n v="31"/>
    <s v="Other"/>
    <s v="Basic"/>
    <n v="5.16"/>
    <x v="45"/>
    <x v="1"/>
    <x v="1"/>
    <n v="8.99"/>
    <n v="1"/>
    <n v="8.99"/>
    <x v="2"/>
    <n v="2"/>
    <n v="0.12"/>
    <s v="Romance"/>
  </r>
  <r>
    <s v="a0e1dbff-bcc6-41c4-97f6-1a3a032b39f4"/>
    <n v="27"/>
    <s v="Male"/>
    <s v="Basic"/>
    <n v="1.41"/>
    <x v="25"/>
    <x v="5"/>
    <x v="4"/>
    <n v="8.99"/>
    <n v="0"/>
    <n v="0"/>
    <x v="2"/>
    <n v="5"/>
    <n v="1.41"/>
    <s v="Action"/>
  </r>
  <r>
    <s v="90e19cd2-bb3b-4fd6-bec6-db40cf203781"/>
    <n v="64"/>
    <s v="Male"/>
    <s v="Premium"/>
    <n v="0.52"/>
    <x v="6"/>
    <x v="1"/>
    <x v="4"/>
    <n v="17.989999999999998"/>
    <n v="1"/>
    <n v="17.989999999999998"/>
    <x v="4"/>
    <n v="2"/>
    <n v="0.02"/>
    <s v="Sci-Fi"/>
  </r>
  <r>
    <s v="cb532b75-eac0-49c2-898e-6f86e94cd9ee"/>
    <n v="59"/>
    <s v="Female"/>
    <s v="Standard"/>
    <n v="6.25"/>
    <x v="7"/>
    <x v="0"/>
    <x v="3"/>
    <n v="13.99"/>
    <n v="0"/>
    <n v="0"/>
    <x v="2"/>
    <n v="4"/>
    <n v="0.11"/>
    <s v="Romance"/>
  </r>
  <r>
    <s v="a8013c09-772b-450f-9e42-403cdabc7b2d"/>
    <n v="31"/>
    <s v="Female"/>
    <s v="Standard"/>
    <n v="8.58"/>
    <x v="27"/>
    <x v="4"/>
    <x v="2"/>
    <n v="13.99"/>
    <n v="0"/>
    <n v="0"/>
    <x v="4"/>
    <n v="2"/>
    <n v="0.5"/>
    <s v="Drama"/>
  </r>
  <r>
    <s v="2f313767-ac03-459d-9300-05962c229980"/>
    <n v="39"/>
    <s v="Male"/>
    <s v="Premium"/>
    <n v="9.7799999999999994"/>
    <x v="50"/>
    <x v="0"/>
    <x v="3"/>
    <n v="17.989999999999998"/>
    <n v="0"/>
    <n v="0"/>
    <x v="4"/>
    <n v="4"/>
    <n v="0.18"/>
    <s v="Romance"/>
  </r>
  <r>
    <s v="5294d27c-a856-43bb-a560-05cd5d08b939"/>
    <n v="27"/>
    <s v="Other"/>
    <s v="Basic"/>
    <n v="0.14000000000000001"/>
    <x v="18"/>
    <x v="5"/>
    <x v="2"/>
    <n v="8.99"/>
    <n v="1"/>
    <n v="8.99"/>
    <x v="2"/>
    <n v="5"/>
    <n v="0"/>
    <s v="Drama"/>
  </r>
  <r>
    <s v="673c0432-05df-4c54-98bb-2cf25801fc96"/>
    <n v="69"/>
    <s v="Male"/>
    <s v="Premium"/>
    <n v="7.95"/>
    <x v="55"/>
    <x v="5"/>
    <x v="1"/>
    <n v="17.989999999999998"/>
    <n v="1"/>
    <n v="17.989999999999998"/>
    <x v="1"/>
    <n v="2"/>
    <n v="0.13"/>
    <s v="Documentary"/>
  </r>
  <r>
    <s v="f749e2c8-e004-479b-b690-6a89ef434ddb"/>
    <n v="30"/>
    <s v="Other"/>
    <s v="Basic"/>
    <n v="14.86"/>
    <x v="22"/>
    <x v="3"/>
    <x v="3"/>
    <n v="8.99"/>
    <n v="1"/>
    <n v="8.99"/>
    <x v="2"/>
    <n v="2"/>
    <n v="0.27"/>
    <s v="Documentary"/>
  </r>
  <r>
    <s v="05ec7918-ccd6-4042-9577-99ccf86b3031"/>
    <n v="43"/>
    <s v="Other"/>
    <s v="Standard"/>
    <n v="4.09"/>
    <x v="13"/>
    <x v="1"/>
    <x v="0"/>
    <n v="13.99"/>
    <n v="0"/>
    <n v="0"/>
    <x v="0"/>
    <n v="5"/>
    <n v="0.51"/>
    <s v="Documentary"/>
  </r>
  <r>
    <s v="64a172b5-1f6b-4618-aeb1-50fef19ae22f"/>
    <n v="66"/>
    <s v="Female"/>
    <s v="Basic"/>
    <n v="1.29"/>
    <x v="35"/>
    <x v="3"/>
    <x v="4"/>
    <n v="8.99"/>
    <n v="1"/>
    <n v="8.99"/>
    <x v="3"/>
    <n v="3"/>
    <n v="0.03"/>
    <s v="Romance"/>
  </r>
  <r>
    <s v="06ca1b4c-5275-4cf2-b1e3-44955c49c0aa"/>
    <n v="31"/>
    <s v="Other"/>
    <s v="Standard"/>
    <n v="2.44"/>
    <x v="51"/>
    <x v="4"/>
    <x v="0"/>
    <n v="13.99"/>
    <n v="1"/>
    <n v="13.99"/>
    <x v="4"/>
    <n v="3"/>
    <n v="0.14000000000000001"/>
    <s v="Sci-Fi"/>
  </r>
  <r>
    <s v="64b4c226-5693-4b0c-a064-e5e7567ef883"/>
    <n v="36"/>
    <s v="Male"/>
    <s v="Premium"/>
    <n v="6.16"/>
    <x v="23"/>
    <x v="1"/>
    <x v="1"/>
    <n v="17.989999999999998"/>
    <n v="0"/>
    <n v="0"/>
    <x v="4"/>
    <n v="4"/>
    <n v="0.11"/>
    <s v="Sci-Fi"/>
  </r>
  <r>
    <s v="5a4745cf-5727-463f-a722-07eaf6b09ee6"/>
    <n v="60"/>
    <s v="Other"/>
    <s v="Premium"/>
    <n v="15.16"/>
    <x v="29"/>
    <x v="1"/>
    <x v="2"/>
    <n v="17.989999999999998"/>
    <n v="1"/>
    <n v="17.989999999999998"/>
    <x v="4"/>
    <n v="2"/>
    <n v="0.33"/>
    <s v="Documentary"/>
  </r>
  <r>
    <s v="cfea570a-88d4-4f81-88ae-d89496ed6c87"/>
    <n v="32"/>
    <s v="Male"/>
    <s v="Standard"/>
    <n v="7.57"/>
    <x v="20"/>
    <x v="0"/>
    <x v="4"/>
    <n v="13.99"/>
    <n v="0"/>
    <n v="0"/>
    <x v="1"/>
    <n v="5"/>
    <n v="0.4"/>
    <s v="Comedy"/>
  </r>
  <r>
    <s v="0be77627-7c87-403b-9aa1-35591b045fba"/>
    <n v="50"/>
    <s v="Other"/>
    <s v="Premium"/>
    <n v="27.56"/>
    <x v="35"/>
    <x v="0"/>
    <x v="0"/>
    <n v="17.989999999999998"/>
    <n v="0"/>
    <n v="0"/>
    <x v="0"/>
    <n v="4"/>
    <n v="0.61"/>
    <s v="Comedy"/>
  </r>
  <r>
    <s v="d50c7902-2f7e-4db5-b315-db3e9f0c2496"/>
    <n v="37"/>
    <s v="Other"/>
    <s v="Basic"/>
    <n v="3.17"/>
    <x v="44"/>
    <x v="0"/>
    <x v="1"/>
    <n v="8.99"/>
    <n v="1"/>
    <n v="8.99"/>
    <x v="3"/>
    <n v="1"/>
    <n v="7.0000000000000007E-2"/>
    <s v="Drama"/>
  </r>
  <r>
    <s v="344c5424-1d19-4abe-9252-a8ca71cf5aca"/>
    <n v="20"/>
    <s v="Male"/>
    <s v="Premium"/>
    <n v="36.39"/>
    <x v="52"/>
    <x v="4"/>
    <x v="0"/>
    <n v="17.989999999999998"/>
    <n v="0"/>
    <n v="0"/>
    <x v="2"/>
    <n v="4"/>
    <n v="0.73"/>
    <s v="Comedy"/>
  </r>
  <r>
    <s v="8e927d87-d1c2-4694-8abb-afc222021faa"/>
    <n v="65"/>
    <s v="Female"/>
    <s v="Basic"/>
    <n v="2.99"/>
    <x v="50"/>
    <x v="4"/>
    <x v="2"/>
    <n v="8.99"/>
    <n v="1"/>
    <n v="8.99"/>
    <x v="1"/>
    <n v="1"/>
    <n v="0.05"/>
    <s v="Drama"/>
  </r>
  <r>
    <s v="44c26f24-daef-4b15-bed0-ec68547f0413"/>
    <n v="50"/>
    <s v="Other"/>
    <s v="Premium"/>
    <n v="1.04"/>
    <x v="48"/>
    <x v="0"/>
    <x v="4"/>
    <n v="17.989999999999998"/>
    <n v="1"/>
    <n v="17.989999999999998"/>
    <x v="4"/>
    <n v="1"/>
    <n v="0.02"/>
    <s v="Documentary"/>
  </r>
  <r>
    <s v="22f875b0-1894-46a3-b73c-e077fa665873"/>
    <n v="48"/>
    <s v="Male"/>
    <s v="Standard"/>
    <n v="6.52"/>
    <x v="33"/>
    <x v="2"/>
    <x v="1"/>
    <n v="13.99"/>
    <n v="0"/>
    <n v="0"/>
    <x v="0"/>
    <n v="2"/>
    <n v="0.25"/>
    <s v="Sci-Fi"/>
  </r>
  <r>
    <s v="606e1bbd-36d5-45a1-9932-cf5aa3484e5c"/>
    <n v="40"/>
    <s v="Male"/>
    <s v="Standard"/>
    <n v="3.11"/>
    <x v="48"/>
    <x v="3"/>
    <x v="4"/>
    <n v="13.99"/>
    <n v="1"/>
    <n v="13.99"/>
    <x v="0"/>
    <n v="5"/>
    <n v="0.06"/>
    <s v="Drama"/>
  </r>
  <r>
    <s v="c69e8c4a-8081-46ab-9482-0147501a5603"/>
    <n v="51"/>
    <s v="Male"/>
    <s v="Premium"/>
    <n v="9.77"/>
    <x v="0"/>
    <x v="2"/>
    <x v="0"/>
    <n v="17.989999999999998"/>
    <n v="0"/>
    <n v="0"/>
    <x v="1"/>
    <n v="3"/>
    <n v="0.33"/>
    <s v="Drama"/>
  </r>
  <r>
    <s v="b312c59e-92cd-4b0a-9baa-d6477c72a8a5"/>
    <n v="23"/>
    <s v="Female"/>
    <s v="Basic"/>
    <n v="4.2699999999999996"/>
    <x v="11"/>
    <x v="5"/>
    <x v="0"/>
    <n v="8.99"/>
    <n v="1"/>
    <n v="8.99"/>
    <x v="2"/>
    <n v="1"/>
    <n v="0.18"/>
    <s v="Sci-Fi"/>
  </r>
  <r>
    <s v="b9616946-7d01-4c68-ac7d-b7dcd62fb6ad"/>
    <n v="48"/>
    <s v="Other"/>
    <s v="Basic"/>
    <n v="22.19"/>
    <x v="8"/>
    <x v="4"/>
    <x v="1"/>
    <n v="8.99"/>
    <n v="0"/>
    <n v="0"/>
    <x v="4"/>
    <n v="2"/>
    <n v="0.63"/>
    <s v="Romance"/>
  </r>
  <r>
    <s v="d019d181-62ae-4042-80fc-61c843545bcd"/>
    <n v="21"/>
    <s v="Female"/>
    <s v="Standard"/>
    <n v="6.43"/>
    <x v="36"/>
    <x v="0"/>
    <x v="1"/>
    <n v="13.99"/>
    <n v="0"/>
    <n v="0"/>
    <x v="4"/>
    <n v="5"/>
    <n v="0.16"/>
    <s v="Horror"/>
  </r>
  <r>
    <s v="cd2b2235-3612-4d81-b143-1a3af5884238"/>
    <n v="62"/>
    <s v="Male"/>
    <s v="Premium"/>
    <n v="2.15"/>
    <x v="53"/>
    <x v="1"/>
    <x v="2"/>
    <n v="17.989999999999998"/>
    <n v="1"/>
    <n v="17.989999999999998"/>
    <x v="4"/>
    <n v="2"/>
    <n v="0.05"/>
    <s v="Comedy"/>
  </r>
  <r>
    <s v="f78f708e-fc00-4c1d-823b-8798f10c8b83"/>
    <n v="19"/>
    <s v="Male"/>
    <s v="Premium"/>
    <n v="9.32"/>
    <x v="25"/>
    <x v="3"/>
    <x v="3"/>
    <n v="17.989999999999998"/>
    <n v="0"/>
    <n v="0"/>
    <x v="2"/>
    <n v="2"/>
    <n v="9.32"/>
    <s v="Documentary"/>
  </r>
  <r>
    <s v="4c1a5dd9-a2d2-46f0-870e-a6142afbb3a9"/>
    <n v="55"/>
    <s v="Other"/>
    <s v="Standard"/>
    <n v="47.76"/>
    <x v="36"/>
    <x v="3"/>
    <x v="3"/>
    <n v="13.99"/>
    <n v="0"/>
    <n v="0"/>
    <x v="2"/>
    <n v="2"/>
    <n v="1.19"/>
    <s v="Horror"/>
  </r>
  <r>
    <s v="4dc3204a-1c4f-4afd-9597-9dc4e9166bd9"/>
    <n v="27"/>
    <s v="Other"/>
    <s v="Standard"/>
    <n v="5.08"/>
    <x v="33"/>
    <x v="2"/>
    <x v="4"/>
    <n v="13.99"/>
    <n v="0"/>
    <n v="0"/>
    <x v="0"/>
    <n v="1"/>
    <n v="0.2"/>
    <s v="Romance"/>
  </r>
  <r>
    <s v="054d48d4-e95f-4bb8-a4cb-e1bd7c448dbc"/>
    <n v="42"/>
    <s v="Male"/>
    <s v="Standard"/>
    <n v="4.79"/>
    <x v="56"/>
    <x v="4"/>
    <x v="0"/>
    <n v="13.99"/>
    <n v="1"/>
    <n v="13.99"/>
    <x v="4"/>
    <n v="3"/>
    <n v="0.08"/>
    <s v="Sci-Fi"/>
  </r>
  <r>
    <s v="b0fde5ba-8a38-45ee-b7fb-6c35851e8975"/>
    <n v="56"/>
    <s v="Other"/>
    <s v="Standard"/>
    <n v="4.09"/>
    <x v="7"/>
    <x v="1"/>
    <x v="0"/>
    <n v="13.99"/>
    <n v="1"/>
    <n v="13.99"/>
    <x v="3"/>
    <n v="3"/>
    <n v="7.0000000000000007E-2"/>
    <s v="Romance"/>
  </r>
  <r>
    <s v="c4a05da1-d840-47cf-baf8-d8f4005a4928"/>
    <n v="42"/>
    <s v="Other"/>
    <s v="Basic"/>
    <n v="5.46"/>
    <x v="45"/>
    <x v="2"/>
    <x v="2"/>
    <n v="8.99"/>
    <n v="1"/>
    <n v="8.99"/>
    <x v="2"/>
    <n v="3"/>
    <n v="0.13"/>
    <s v="Action"/>
  </r>
  <r>
    <s v="caaa5ce7-686c-4498-add9-565eb0493c6d"/>
    <n v="59"/>
    <s v="Other"/>
    <s v="Standard"/>
    <n v="11.65"/>
    <x v="35"/>
    <x v="2"/>
    <x v="1"/>
    <n v="13.99"/>
    <n v="1"/>
    <n v="13.99"/>
    <x v="1"/>
    <n v="1"/>
    <n v="0.26"/>
    <s v="Romance"/>
  </r>
  <r>
    <s v="9829890a-3880-439c-a2b4-80afeb217997"/>
    <n v="22"/>
    <s v="Male"/>
    <s v="Standard"/>
    <n v="1.41"/>
    <x v="54"/>
    <x v="4"/>
    <x v="2"/>
    <n v="13.99"/>
    <n v="1"/>
    <n v="13.99"/>
    <x v="0"/>
    <n v="4"/>
    <n v="0.05"/>
    <s v="Sci-Fi"/>
  </r>
  <r>
    <s v="3c07805f-4275-40c9-ac26-921ea46824e8"/>
    <n v="42"/>
    <s v="Other"/>
    <s v="Standard"/>
    <n v="3.69"/>
    <x v="29"/>
    <x v="0"/>
    <x v="4"/>
    <n v="13.99"/>
    <n v="1"/>
    <n v="13.99"/>
    <x v="0"/>
    <n v="2"/>
    <n v="0.08"/>
    <s v="Horror"/>
  </r>
  <r>
    <s v="30f6a1ee-33d7-4a8a-a6cb-82c3aa6a16ae"/>
    <n v="31"/>
    <s v="Male"/>
    <s v="Basic"/>
    <n v="10.99"/>
    <x v="12"/>
    <x v="2"/>
    <x v="2"/>
    <n v="8.99"/>
    <n v="1"/>
    <n v="8.99"/>
    <x v="4"/>
    <n v="3"/>
    <n v="0.32"/>
    <s v="Sci-Fi"/>
  </r>
  <r>
    <s v="59adee7e-d7d6-4c22-b62c-1b42311f77a2"/>
    <n v="67"/>
    <s v="Female"/>
    <s v="Premium"/>
    <n v="2.92"/>
    <x v="10"/>
    <x v="3"/>
    <x v="3"/>
    <n v="17.989999999999998"/>
    <n v="1"/>
    <n v="17.989999999999998"/>
    <x v="0"/>
    <n v="5"/>
    <n v="7.0000000000000007E-2"/>
    <s v="Action"/>
  </r>
  <r>
    <s v="bd4aab1a-8302-4e08-a648-a63609db66df"/>
    <n v="18"/>
    <s v="Male"/>
    <s v="Basic"/>
    <n v="12.68"/>
    <x v="20"/>
    <x v="1"/>
    <x v="0"/>
    <n v="8.99"/>
    <n v="0"/>
    <n v="0"/>
    <x v="2"/>
    <n v="3"/>
    <n v="0.67"/>
    <s v="Drama"/>
  </r>
  <r>
    <s v="11373011-9e1b-41f4-ab76-15ee1c916105"/>
    <n v="25"/>
    <s v="Female"/>
    <s v="Basic"/>
    <n v="1.91"/>
    <x v="20"/>
    <x v="0"/>
    <x v="3"/>
    <n v="8.99"/>
    <n v="1"/>
    <n v="8.99"/>
    <x v="1"/>
    <n v="3"/>
    <n v="0.1"/>
    <s v="Documentary"/>
  </r>
  <r>
    <s v="e9087e86-8089-43bc-be36-a876aeb5ceb6"/>
    <n v="24"/>
    <s v="Male"/>
    <s v="Standard"/>
    <n v="5.37"/>
    <x v="46"/>
    <x v="5"/>
    <x v="0"/>
    <n v="13.99"/>
    <n v="0"/>
    <n v="0"/>
    <x v="0"/>
    <n v="2"/>
    <n v="1.79"/>
    <s v="Comedy"/>
  </r>
  <r>
    <s v="0ad6fe46-9b24-46fc-9698-7001aa3c071b"/>
    <n v="64"/>
    <s v="Male"/>
    <s v="Standard"/>
    <n v="0.31"/>
    <x v="24"/>
    <x v="1"/>
    <x v="3"/>
    <n v="13.99"/>
    <n v="1"/>
    <n v="13.99"/>
    <x v="2"/>
    <n v="1"/>
    <n v="0.01"/>
    <s v="Comedy"/>
  </r>
  <r>
    <s v="2f8c9d54-7c13-4902-bc95-dca665d28276"/>
    <n v="66"/>
    <s v="Male"/>
    <s v="Basic"/>
    <n v="27.65"/>
    <x v="3"/>
    <x v="1"/>
    <x v="2"/>
    <n v="8.99"/>
    <n v="0"/>
    <n v="0"/>
    <x v="2"/>
    <n v="1"/>
    <n v="2.13"/>
    <s v="Sci-Fi"/>
  </r>
  <r>
    <s v="3ee5c136-2055-4e39-a9b9-46da20b123a7"/>
    <n v="39"/>
    <s v="Male"/>
    <s v="Premium"/>
    <n v="7.45"/>
    <x v="37"/>
    <x v="0"/>
    <x v="1"/>
    <n v="17.989999999999998"/>
    <n v="0"/>
    <n v="0"/>
    <x v="2"/>
    <n v="1"/>
    <n v="0.3"/>
    <s v="Sci-Fi"/>
  </r>
  <r>
    <s v="9274feb4-b477-492e-8ebe-8e6a3466bbdf"/>
    <n v="30"/>
    <s v="Male"/>
    <s v="Basic"/>
    <n v="5.73"/>
    <x v="45"/>
    <x v="3"/>
    <x v="2"/>
    <n v="8.99"/>
    <n v="1"/>
    <n v="8.99"/>
    <x v="0"/>
    <n v="3"/>
    <n v="0.14000000000000001"/>
    <s v="Romance"/>
  </r>
  <r>
    <s v="7bb73ff8-9bb9-4f6d-866f-240f38cc21ee"/>
    <n v="52"/>
    <s v="Female"/>
    <s v="Standard"/>
    <n v="31.15"/>
    <x v="18"/>
    <x v="1"/>
    <x v="0"/>
    <n v="13.99"/>
    <n v="0"/>
    <n v="0"/>
    <x v="3"/>
    <n v="5"/>
    <n v="0.54"/>
    <s v="Horror"/>
  </r>
  <r>
    <s v="09676128-1363-46d4-8e65-fb15aab4502c"/>
    <n v="19"/>
    <s v="Other"/>
    <s v="Premium"/>
    <n v="8.11"/>
    <x v="7"/>
    <x v="5"/>
    <x v="2"/>
    <n v="17.989999999999998"/>
    <n v="0"/>
    <n v="0"/>
    <x v="3"/>
    <n v="5"/>
    <n v="0.14000000000000001"/>
    <s v="Horror"/>
  </r>
  <r>
    <s v="3117ae22-8768-4682-b37c-f6788ee60ace"/>
    <n v="47"/>
    <s v="Male"/>
    <s v="Premium"/>
    <n v="7.02"/>
    <x v="35"/>
    <x v="5"/>
    <x v="3"/>
    <n v="17.989999999999998"/>
    <n v="1"/>
    <n v="17.989999999999998"/>
    <x v="0"/>
    <n v="5"/>
    <n v="0.16"/>
    <s v="Action"/>
  </r>
  <r>
    <s v="e5697b4f-3b1f-40d0-a27f-ffbe199aa1fa"/>
    <n v="40"/>
    <s v="Female"/>
    <s v="Standard"/>
    <n v="9.36"/>
    <x v="16"/>
    <x v="2"/>
    <x v="2"/>
    <n v="13.99"/>
    <n v="0"/>
    <n v="0"/>
    <x v="2"/>
    <n v="3"/>
    <n v="0.33"/>
    <s v="Horror"/>
  </r>
  <r>
    <s v="1829ac6c-bf86-4add-93af-ef3534a06c28"/>
    <n v="30"/>
    <s v="Male"/>
    <s v="Standard"/>
    <n v="9.6999999999999993"/>
    <x v="42"/>
    <x v="5"/>
    <x v="1"/>
    <n v="13.99"/>
    <n v="1"/>
    <n v="13.99"/>
    <x v="1"/>
    <n v="1"/>
    <n v="0.26"/>
    <s v="Action"/>
  </r>
  <r>
    <s v="7d44b140-388b-45e7-90be-3989f2c186ef"/>
    <n v="24"/>
    <s v="Other"/>
    <s v="Basic"/>
    <n v="15.34"/>
    <x v="19"/>
    <x v="1"/>
    <x v="3"/>
    <n v="8.99"/>
    <n v="1"/>
    <n v="8.99"/>
    <x v="1"/>
    <n v="3"/>
    <n v="0.35"/>
    <s v="Comedy"/>
  </r>
  <r>
    <s v="7f720eb2-a80f-4b4d-8daf-1f6829e1e9ae"/>
    <n v="44"/>
    <s v="Male"/>
    <s v="Premium"/>
    <n v="1.68"/>
    <x v="27"/>
    <x v="3"/>
    <x v="3"/>
    <n v="17.989999999999998"/>
    <n v="1"/>
    <n v="17.989999999999998"/>
    <x v="2"/>
    <n v="2"/>
    <n v="0.1"/>
    <s v="Drama"/>
  </r>
  <r>
    <s v="a854b579-3d98-44fb-9d45-00ab83f24a6f"/>
    <n v="36"/>
    <s v="Female"/>
    <s v="Standard"/>
    <n v="3.88"/>
    <x v="45"/>
    <x v="4"/>
    <x v="2"/>
    <n v="13.99"/>
    <n v="1"/>
    <n v="13.99"/>
    <x v="3"/>
    <n v="4"/>
    <n v="0.09"/>
    <s v="Horror"/>
  </r>
  <r>
    <s v="c614659a-26da-476a-864b-718733fe9da3"/>
    <n v="41"/>
    <s v="Female"/>
    <s v="Premium"/>
    <n v="10.47"/>
    <x v="42"/>
    <x v="2"/>
    <x v="0"/>
    <n v="17.989999999999998"/>
    <n v="0"/>
    <n v="0"/>
    <x v="2"/>
    <n v="4"/>
    <n v="0.28000000000000003"/>
    <s v="Sci-Fi"/>
  </r>
  <r>
    <s v="948ce2cb-69d0-44e8-82d3-77e8e7e8faef"/>
    <n v="19"/>
    <s v="Male"/>
    <s v="Standard"/>
    <n v="8.32"/>
    <x v="46"/>
    <x v="2"/>
    <x v="2"/>
    <n v="13.99"/>
    <n v="0"/>
    <n v="0"/>
    <x v="3"/>
    <n v="2"/>
    <n v="2.77"/>
    <s v="Horror"/>
  </r>
  <r>
    <s v="7d08d89e-8404-4b5f-9997-bf9e6b5fb250"/>
    <n v="36"/>
    <s v="Other"/>
    <s v="Premium"/>
    <n v="54.48"/>
    <x v="33"/>
    <x v="0"/>
    <x v="1"/>
    <n v="17.989999999999998"/>
    <n v="0"/>
    <n v="0"/>
    <x v="0"/>
    <n v="2"/>
    <n v="2.1"/>
    <s v="Documentary"/>
  </r>
  <r>
    <s v="8ca4333b-e984-423e-8c3b-359064e08c95"/>
    <n v="46"/>
    <s v="Other"/>
    <s v="Standard"/>
    <n v="38.53"/>
    <x v="52"/>
    <x v="1"/>
    <x v="2"/>
    <n v="13.99"/>
    <n v="0"/>
    <n v="0"/>
    <x v="1"/>
    <n v="2"/>
    <n v="0.77"/>
    <s v="Sci-Fi"/>
  </r>
  <r>
    <s v="bfa1ea14-554f-4ea6-bdde-025e9f3797f5"/>
    <n v="46"/>
    <s v="Other"/>
    <s v="Basic"/>
    <n v="6.69"/>
    <x v="4"/>
    <x v="3"/>
    <x v="3"/>
    <n v="8.99"/>
    <n v="1"/>
    <n v="8.99"/>
    <x v="1"/>
    <n v="1"/>
    <n v="0.48"/>
    <s v="Romance"/>
  </r>
  <r>
    <s v="b188eb5c-8e85-49e6-be94-ebd9f6c8db61"/>
    <n v="35"/>
    <s v="Other"/>
    <s v="Standard"/>
    <n v="8.18"/>
    <x v="9"/>
    <x v="4"/>
    <x v="1"/>
    <n v="13.99"/>
    <n v="1"/>
    <n v="13.99"/>
    <x v="2"/>
    <n v="2"/>
    <n v="0.22"/>
    <s v="Romance"/>
  </r>
  <r>
    <s v="e5cd7a56-d6f1-4023-81ab-11a379047f1d"/>
    <n v="67"/>
    <s v="Female"/>
    <s v="Standard"/>
    <n v="21.36"/>
    <x v="1"/>
    <x v="5"/>
    <x v="3"/>
    <n v="13.99"/>
    <n v="0"/>
    <n v="0"/>
    <x v="3"/>
    <n v="4"/>
    <n v="1.07"/>
    <s v="Horror"/>
  </r>
  <r>
    <s v="1532673a-a236-4238-8071-860e099bd870"/>
    <n v="66"/>
    <s v="Female"/>
    <s v="Standard"/>
    <n v="36.700000000000003"/>
    <x v="26"/>
    <x v="4"/>
    <x v="0"/>
    <n v="13.99"/>
    <n v="0"/>
    <n v="0"/>
    <x v="1"/>
    <n v="3"/>
    <n v="0.75"/>
    <s v="Romance"/>
  </r>
  <r>
    <s v="760e2c65-f8d5-4600-802d-36cb875e9a19"/>
    <n v="20"/>
    <s v="Female"/>
    <s v="Standard"/>
    <n v="7.66"/>
    <x v="9"/>
    <x v="5"/>
    <x v="3"/>
    <n v="13.99"/>
    <n v="0"/>
    <n v="0"/>
    <x v="2"/>
    <n v="5"/>
    <n v="0.21"/>
    <s v="Sci-Fi"/>
  </r>
  <r>
    <s v="15717c27-c14f-451f-9cd6-8cfa0a2d24e1"/>
    <n v="22"/>
    <s v="Other"/>
    <s v="Basic"/>
    <n v="10.85"/>
    <x v="35"/>
    <x v="5"/>
    <x v="2"/>
    <n v="8.99"/>
    <n v="1"/>
    <n v="8.99"/>
    <x v="0"/>
    <n v="4"/>
    <n v="0.24"/>
    <s v="Drama"/>
  </r>
  <r>
    <s v="9352be40-839f-4dcc-af25-f8edd6a94669"/>
    <n v="62"/>
    <s v="Male"/>
    <s v="Standard"/>
    <n v="9.73"/>
    <x v="24"/>
    <x v="5"/>
    <x v="4"/>
    <n v="13.99"/>
    <n v="1"/>
    <n v="13.99"/>
    <x v="1"/>
    <n v="1"/>
    <n v="0.18"/>
    <s v="Drama"/>
  </r>
  <r>
    <s v="416b8522-14e6-4803-8f23-a434add52670"/>
    <n v="24"/>
    <s v="Male"/>
    <s v="Basic"/>
    <n v="7.95"/>
    <x v="12"/>
    <x v="0"/>
    <x v="4"/>
    <n v="8.99"/>
    <n v="1"/>
    <n v="8.99"/>
    <x v="3"/>
    <n v="3"/>
    <n v="0.23"/>
    <s v="Drama"/>
  </r>
  <r>
    <s v="cd60de06-e3c0-4b41-914f-f63e856ddd67"/>
    <n v="55"/>
    <s v="Other"/>
    <s v="Basic"/>
    <n v="1.92"/>
    <x v="14"/>
    <x v="4"/>
    <x v="2"/>
    <n v="8.99"/>
    <n v="1"/>
    <n v="8.99"/>
    <x v="0"/>
    <n v="5"/>
    <n v="0.06"/>
    <s v="Horror"/>
  </r>
  <r>
    <s v="2026cff5-8c58-4355-8d63-cd1bd67114a1"/>
    <n v="45"/>
    <s v="Other"/>
    <s v="Standard"/>
    <n v="82.63"/>
    <x v="35"/>
    <x v="3"/>
    <x v="4"/>
    <n v="13.99"/>
    <n v="0"/>
    <n v="0"/>
    <x v="3"/>
    <n v="4"/>
    <n v="1.84"/>
    <s v="Action"/>
  </r>
  <r>
    <s v="9ad724af-34b1-4dc6-913d-291f9a5e5d26"/>
    <n v="63"/>
    <s v="Other"/>
    <s v="Premium"/>
    <n v="27.92"/>
    <x v="32"/>
    <x v="0"/>
    <x v="2"/>
    <n v="17.989999999999998"/>
    <n v="0"/>
    <n v="0"/>
    <x v="0"/>
    <n v="3"/>
    <n v="1.86"/>
    <s v="Drama"/>
  </r>
  <r>
    <s v="0ce8e49e-5fe9-4acc-a9fa-9cc3afcfde73"/>
    <n v="44"/>
    <s v="Other"/>
    <s v="Premium"/>
    <n v="11.7"/>
    <x v="54"/>
    <x v="1"/>
    <x v="3"/>
    <n v="17.989999999999998"/>
    <n v="0"/>
    <n v="0"/>
    <x v="2"/>
    <n v="3"/>
    <n v="0.4"/>
    <s v="Horror"/>
  </r>
  <r>
    <s v="2fcd7184-dbcc-40ba-9107-01eb946cd492"/>
    <n v="45"/>
    <s v="Female"/>
    <s v="Premium"/>
    <n v="30.42"/>
    <x v="32"/>
    <x v="2"/>
    <x v="1"/>
    <n v="17.989999999999998"/>
    <n v="0"/>
    <n v="0"/>
    <x v="2"/>
    <n v="3"/>
    <n v="2.0299999999999998"/>
    <s v="Romance"/>
  </r>
  <r>
    <s v="8b5b904f-29d5-4933-ba64-957976fa103c"/>
    <n v="39"/>
    <s v="Female"/>
    <s v="Standard"/>
    <n v="12.72"/>
    <x v="27"/>
    <x v="5"/>
    <x v="3"/>
    <n v="13.99"/>
    <n v="0"/>
    <n v="0"/>
    <x v="0"/>
    <n v="3"/>
    <n v="0.75"/>
    <s v="Horror"/>
  </r>
  <r>
    <s v="9b509a70-72ae-4d6a-8ec3-7501f5220d76"/>
    <n v="66"/>
    <s v="Other"/>
    <s v="Premium"/>
    <n v="6.66"/>
    <x v="36"/>
    <x v="2"/>
    <x v="0"/>
    <n v="17.989999999999998"/>
    <n v="1"/>
    <n v="17.989999999999998"/>
    <x v="2"/>
    <n v="1"/>
    <n v="0.17"/>
    <s v="Sci-Fi"/>
  </r>
  <r>
    <s v="76410bb6-7942-4be9-a862-94701d4dcbd3"/>
    <n v="65"/>
    <s v="Other"/>
    <s v="Premium"/>
    <n v="0.76"/>
    <x v="46"/>
    <x v="2"/>
    <x v="1"/>
    <n v="17.989999999999998"/>
    <n v="0"/>
    <n v="0"/>
    <x v="2"/>
    <n v="2"/>
    <n v="0.25"/>
    <s v="Comedy"/>
  </r>
  <r>
    <s v="9d93da93-4af0-4ee3-a33a-e9113bb9e909"/>
    <n v="26"/>
    <s v="Other"/>
    <s v="Standard"/>
    <n v="11.13"/>
    <x v="46"/>
    <x v="4"/>
    <x v="2"/>
    <n v="13.99"/>
    <n v="0"/>
    <n v="0"/>
    <x v="4"/>
    <n v="2"/>
    <n v="3.71"/>
    <s v="Sci-Fi"/>
  </r>
  <r>
    <s v="38769edf-d82f-4be4-98b2-324b1295e6d9"/>
    <n v="21"/>
    <s v="Male"/>
    <s v="Basic"/>
    <n v="24.86"/>
    <x v="50"/>
    <x v="5"/>
    <x v="0"/>
    <n v="8.99"/>
    <n v="1"/>
    <n v="8.99"/>
    <x v="3"/>
    <n v="2"/>
    <n v="0.45"/>
    <s v="Comedy"/>
  </r>
  <r>
    <s v="1bc9bedd-0caf-425e-aed3-5faf9a0c2d27"/>
    <n v="20"/>
    <s v="Female"/>
    <s v="Standard"/>
    <n v="22.67"/>
    <x v="22"/>
    <x v="1"/>
    <x v="4"/>
    <n v="13.99"/>
    <n v="1"/>
    <n v="13.99"/>
    <x v="0"/>
    <n v="1"/>
    <n v="0.4"/>
    <s v="Documentary"/>
  </r>
  <r>
    <s v="9aa74495-95c3-4d40-afa8-6b352ea283ae"/>
    <n v="66"/>
    <s v="Male"/>
    <s v="Standard"/>
    <n v="17.66"/>
    <x v="1"/>
    <x v="4"/>
    <x v="4"/>
    <n v="13.99"/>
    <n v="0"/>
    <n v="0"/>
    <x v="2"/>
    <n v="2"/>
    <n v="0.88"/>
    <s v="Romance"/>
  </r>
  <r>
    <s v="24920cb3-62f7-4d92-85b5-ad23f9c29103"/>
    <n v="48"/>
    <s v="Male"/>
    <s v="Premium"/>
    <n v="12.66"/>
    <x v="29"/>
    <x v="3"/>
    <x v="0"/>
    <n v="17.989999999999998"/>
    <n v="1"/>
    <n v="17.989999999999998"/>
    <x v="3"/>
    <n v="1"/>
    <n v="0.28000000000000003"/>
    <s v="Documentary"/>
  </r>
  <r>
    <s v="5fd6b79c-c1c6-45e2-9604-58cece9a92f7"/>
    <n v="40"/>
    <s v="Male"/>
    <s v="Premium"/>
    <n v="1.85"/>
    <x v="44"/>
    <x v="5"/>
    <x v="1"/>
    <n v="17.989999999999998"/>
    <n v="1"/>
    <n v="17.989999999999998"/>
    <x v="1"/>
    <n v="1"/>
    <n v="0.04"/>
    <s v="Action"/>
  </r>
  <r>
    <s v="6d029724-a31c-4ef1-aea2-59c572067d27"/>
    <n v="69"/>
    <s v="Female"/>
    <s v="Premium"/>
    <n v="36.479999999999997"/>
    <x v="12"/>
    <x v="1"/>
    <x v="2"/>
    <n v="17.989999999999998"/>
    <n v="0"/>
    <n v="0"/>
    <x v="2"/>
    <n v="3"/>
    <n v="1.07"/>
    <s v="Drama"/>
  </r>
  <r>
    <s v="b918e3f7-644c-4be8-9b94-e079f0e57adb"/>
    <n v="22"/>
    <s v="Other"/>
    <s v="Standard"/>
    <n v="1.42"/>
    <x v="42"/>
    <x v="5"/>
    <x v="4"/>
    <n v="13.99"/>
    <n v="1"/>
    <n v="13.99"/>
    <x v="0"/>
    <n v="2"/>
    <n v="0.04"/>
    <s v="Sci-Fi"/>
  </r>
  <r>
    <s v="4b7b3437-9e9b-476a-93e2-b566045c069e"/>
    <n v="67"/>
    <s v="Other"/>
    <s v="Basic"/>
    <n v="10.31"/>
    <x v="32"/>
    <x v="1"/>
    <x v="4"/>
    <n v="8.99"/>
    <n v="0"/>
    <n v="0"/>
    <x v="3"/>
    <n v="1"/>
    <n v="0.69"/>
    <s v="Action"/>
  </r>
  <r>
    <s v="051f8977-2874-40a1-b3ff-2374156b1ea0"/>
    <n v="36"/>
    <s v="Female"/>
    <s v="Premium"/>
    <n v="8.8000000000000007"/>
    <x v="2"/>
    <x v="3"/>
    <x v="1"/>
    <n v="17.989999999999998"/>
    <n v="0"/>
    <n v="0"/>
    <x v="2"/>
    <n v="2"/>
    <n v="0.8"/>
    <s v="Comedy"/>
  </r>
  <r>
    <s v="23dbe855-88b7-49e6-8afd-c87e6e7a3789"/>
    <n v="65"/>
    <s v="Female"/>
    <s v="Premium"/>
    <n v="6.18"/>
    <x v="9"/>
    <x v="1"/>
    <x v="2"/>
    <n v="17.989999999999998"/>
    <n v="1"/>
    <n v="17.989999999999998"/>
    <x v="1"/>
    <n v="3"/>
    <n v="0.17"/>
    <s v="Drama"/>
  </r>
  <r>
    <s v="c5070e45-4a31-420c-aa42-6c8733276b63"/>
    <n v="57"/>
    <s v="Other"/>
    <s v="Premium"/>
    <n v="28.19"/>
    <x v="2"/>
    <x v="1"/>
    <x v="4"/>
    <n v="17.989999999999998"/>
    <n v="0"/>
    <n v="0"/>
    <x v="2"/>
    <n v="1"/>
    <n v="2.56"/>
    <s v="Romance"/>
  </r>
  <r>
    <s v="b5acd69b-8cd3-401d-88c2-40c7d6ce48c6"/>
    <n v="23"/>
    <s v="Male"/>
    <s v="Premium"/>
    <n v="4.2300000000000004"/>
    <x v="32"/>
    <x v="4"/>
    <x v="3"/>
    <n v="17.989999999999998"/>
    <n v="0"/>
    <n v="0"/>
    <x v="4"/>
    <n v="5"/>
    <n v="0.28000000000000003"/>
    <s v="Documentary"/>
  </r>
  <r>
    <s v="595dbdea-9fbb-419c-9e52-4bf9e64d802e"/>
    <n v="54"/>
    <s v="Male"/>
    <s v="Premium"/>
    <n v="4.93"/>
    <x v="47"/>
    <x v="2"/>
    <x v="0"/>
    <n v="17.989999999999998"/>
    <n v="0"/>
    <n v="0"/>
    <x v="1"/>
    <n v="1"/>
    <n v="1.23"/>
    <s v="Documentary"/>
  </r>
  <r>
    <s v="3c7f59b3-1c9e-4dc6-9b84-9ef32bde9b1a"/>
    <n v="58"/>
    <s v="Female"/>
    <s v="Premium"/>
    <n v="1.21"/>
    <x v="37"/>
    <x v="2"/>
    <x v="4"/>
    <n v="17.989999999999998"/>
    <n v="0"/>
    <n v="0"/>
    <x v="2"/>
    <n v="5"/>
    <n v="0.05"/>
    <s v="Romance"/>
  </r>
  <r>
    <s v="891545a3-c612-41af-b037-c9513bd65f4d"/>
    <n v="44"/>
    <s v="Other"/>
    <s v="Basic"/>
    <n v="18.32"/>
    <x v="24"/>
    <x v="3"/>
    <x v="4"/>
    <n v="8.99"/>
    <n v="1"/>
    <n v="8.99"/>
    <x v="1"/>
    <n v="5"/>
    <n v="0.35"/>
    <s v="Comedy"/>
  </r>
  <r>
    <s v="a897c8ea-28f4-4fc2-a050-9b41f2188f72"/>
    <n v="60"/>
    <s v="Other"/>
    <s v="Standard"/>
    <n v="12.7"/>
    <x v="28"/>
    <x v="0"/>
    <x v="2"/>
    <n v="13.99"/>
    <n v="0"/>
    <n v="0"/>
    <x v="4"/>
    <n v="5"/>
    <n v="0.35"/>
    <s v="Drama"/>
  </r>
  <r>
    <s v="f3fd9e3a-3a0c-4290-8368-4ec6535a24fa"/>
    <n v="65"/>
    <s v="Female"/>
    <s v="Standard"/>
    <n v="47.81"/>
    <x v="40"/>
    <x v="0"/>
    <x v="3"/>
    <n v="13.99"/>
    <n v="0"/>
    <n v="0"/>
    <x v="1"/>
    <n v="4"/>
    <n v="3.98"/>
    <s v="Action"/>
  </r>
  <r>
    <s v="fb7ccdf3-68c3-4ed8-bc57-04ba93357cfd"/>
    <n v="59"/>
    <s v="Female"/>
    <s v="Basic"/>
    <n v="2.63"/>
    <x v="53"/>
    <x v="5"/>
    <x v="1"/>
    <n v="8.99"/>
    <n v="1"/>
    <n v="8.99"/>
    <x v="0"/>
    <n v="2"/>
    <n v="0.06"/>
    <s v="Drama"/>
  </r>
  <r>
    <s v="069324d5-5b98-413b-b77a-f60ebb7a0342"/>
    <n v="41"/>
    <s v="Female"/>
    <s v="Premium"/>
    <n v="5.18"/>
    <x v="12"/>
    <x v="4"/>
    <x v="2"/>
    <n v="17.989999999999998"/>
    <n v="1"/>
    <n v="17.989999999999998"/>
    <x v="0"/>
    <n v="1"/>
    <n v="0.15"/>
    <s v="Action"/>
  </r>
  <r>
    <s v="cf4022df-7092-48f3-8264-878f8fba98e5"/>
    <n v="64"/>
    <s v="Female"/>
    <s v="Basic"/>
    <n v="6.99"/>
    <x v="40"/>
    <x v="3"/>
    <x v="4"/>
    <n v="8.99"/>
    <n v="0"/>
    <n v="0"/>
    <x v="1"/>
    <n v="1"/>
    <n v="0.57999999999999996"/>
    <s v="Sci-Fi"/>
  </r>
  <r>
    <s v="bbfa791d-bf59-4022-b8fc-3c0a64e7c2f4"/>
    <n v="32"/>
    <s v="Other"/>
    <s v="Basic"/>
    <n v="0.49"/>
    <x v="17"/>
    <x v="5"/>
    <x v="3"/>
    <n v="8.99"/>
    <n v="1"/>
    <n v="8.99"/>
    <x v="0"/>
    <n v="2"/>
    <n v="0.1"/>
    <s v="Documentary"/>
  </r>
  <r>
    <s v="2aa44138-b15c-461f-ba7b-6b1718fc3f8f"/>
    <n v="27"/>
    <s v="Other"/>
    <s v="Premium"/>
    <n v="11.61"/>
    <x v="38"/>
    <x v="1"/>
    <x v="2"/>
    <n v="17.989999999999998"/>
    <n v="0"/>
    <n v="0"/>
    <x v="4"/>
    <n v="4"/>
    <n v="0.53"/>
    <s v="Horror"/>
  </r>
  <r>
    <s v="ae174d75-414d-4847-b752-44d73211df8e"/>
    <n v="48"/>
    <s v="Female"/>
    <s v="Premium"/>
    <n v="17.579999999999998"/>
    <x v="12"/>
    <x v="1"/>
    <x v="2"/>
    <n v="17.989999999999998"/>
    <n v="0"/>
    <n v="0"/>
    <x v="1"/>
    <n v="2"/>
    <n v="0.52"/>
    <s v="Sci-Fi"/>
  </r>
  <r>
    <s v="8a61f494-bab5-4e82-a508-a7120e973db8"/>
    <n v="49"/>
    <s v="Female"/>
    <s v="Basic"/>
    <n v="18.37"/>
    <x v="30"/>
    <x v="5"/>
    <x v="2"/>
    <n v="8.99"/>
    <n v="0"/>
    <n v="0"/>
    <x v="3"/>
    <n v="2"/>
    <n v="9.19"/>
    <s v="Drama"/>
  </r>
  <r>
    <s v="47a75ee0-4752-4838-9962-891abdb5c0ea"/>
    <n v="47"/>
    <s v="Other"/>
    <s v="Basic"/>
    <n v="1.71"/>
    <x v="7"/>
    <x v="3"/>
    <x v="0"/>
    <n v="8.99"/>
    <n v="1"/>
    <n v="8.99"/>
    <x v="1"/>
    <n v="3"/>
    <n v="0.03"/>
    <s v="Comedy"/>
  </r>
  <r>
    <s v="745745e9-e354-486c-952d-1cf7bcc6451f"/>
    <n v="61"/>
    <s v="Other"/>
    <s v="Basic"/>
    <n v="9.33"/>
    <x v="48"/>
    <x v="3"/>
    <x v="3"/>
    <n v="8.99"/>
    <n v="1"/>
    <n v="8.99"/>
    <x v="0"/>
    <n v="4"/>
    <n v="0.18"/>
    <s v="Romance"/>
  </r>
  <r>
    <s v="a41dd9ef-0764-4f95-9101-e9d5bb30c03a"/>
    <n v="54"/>
    <s v="Female"/>
    <s v="Standard"/>
    <n v="4.28"/>
    <x v="9"/>
    <x v="1"/>
    <x v="2"/>
    <n v="13.99"/>
    <n v="1"/>
    <n v="13.99"/>
    <x v="3"/>
    <n v="4"/>
    <n v="0.12"/>
    <s v="Romance"/>
  </r>
  <r>
    <s v="f31c3891-2944-40ab-a8ef-92b11b3f4334"/>
    <n v="25"/>
    <s v="Male"/>
    <s v="Premium"/>
    <n v="13.12"/>
    <x v="58"/>
    <x v="2"/>
    <x v="1"/>
    <n v="17.989999999999998"/>
    <n v="1"/>
    <n v="17.989999999999998"/>
    <x v="1"/>
    <n v="5"/>
    <n v="0.27"/>
    <s v="Drama"/>
  </r>
  <r>
    <s v="a63f5214-db0f-4cac-a315-64d3499cde08"/>
    <n v="58"/>
    <s v="Female"/>
    <s v="Basic"/>
    <n v="21.67"/>
    <x v="29"/>
    <x v="1"/>
    <x v="0"/>
    <n v="8.99"/>
    <n v="0"/>
    <n v="0"/>
    <x v="2"/>
    <n v="4"/>
    <n v="0.47"/>
    <s v="Sci-Fi"/>
  </r>
  <r>
    <s v="66cd6ce6-43f8-4f9b-920c-03fe32f6b3c1"/>
    <n v="49"/>
    <s v="Other"/>
    <s v="Premium"/>
    <n v="27.9"/>
    <x v="10"/>
    <x v="0"/>
    <x v="2"/>
    <n v="17.989999999999998"/>
    <n v="0"/>
    <n v="0"/>
    <x v="2"/>
    <n v="1"/>
    <n v="0.72"/>
    <s v="Documentary"/>
  </r>
  <r>
    <s v="adbfc678-4fe5-4b2e-b071-f72b8bdf9aa1"/>
    <n v="47"/>
    <s v="Other"/>
    <s v="Basic"/>
    <n v="5.91"/>
    <x v="23"/>
    <x v="5"/>
    <x v="3"/>
    <n v="8.99"/>
    <n v="1"/>
    <n v="8.99"/>
    <x v="4"/>
    <n v="2"/>
    <n v="0.11"/>
    <s v="Sci-Fi"/>
  </r>
  <r>
    <s v="fbe0177d-1a78-4759-91f1-ba62b03acc15"/>
    <n v="23"/>
    <s v="Female"/>
    <s v="Basic"/>
    <n v="25.79"/>
    <x v="22"/>
    <x v="2"/>
    <x v="4"/>
    <n v="8.99"/>
    <n v="1"/>
    <n v="8.99"/>
    <x v="2"/>
    <n v="2"/>
    <n v="0.46"/>
    <s v="Action"/>
  </r>
  <r>
    <s v="27cea559-7785-44c0-ac70-6b3494eeb70b"/>
    <n v="26"/>
    <s v="Male"/>
    <s v="Basic"/>
    <n v="25.49"/>
    <x v="28"/>
    <x v="4"/>
    <x v="1"/>
    <n v="8.99"/>
    <n v="0"/>
    <n v="0"/>
    <x v="1"/>
    <n v="3"/>
    <n v="0.71"/>
    <s v="Romance"/>
  </r>
  <r>
    <s v="8a0848fd-4827-4f85-9b6f-007ffe391d30"/>
    <n v="26"/>
    <s v="Male"/>
    <s v="Standard"/>
    <n v="4.87"/>
    <x v="55"/>
    <x v="3"/>
    <x v="1"/>
    <n v="13.99"/>
    <n v="1"/>
    <n v="13.99"/>
    <x v="4"/>
    <n v="3"/>
    <n v="0.08"/>
    <s v="Action"/>
  </r>
  <r>
    <s v="84ee2484-f659-41f0-b358-119262ea7d5d"/>
    <n v="28"/>
    <s v="Other"/>
    <s v="Premium"/>
    <n v="17.100000000000001"/>
    <x v="54"/>
    <x v="0"/>
    <x v="0"/>
    <n v="17.989999999999998"/>
    <n v="0"/>
    <n v="0"/>
    <x v="2"/>
    <n v="4"/>
    <n v="0.59"/>
    <s v="Action"/>
  </r>
  <r>
    <s v="94135b4f-6a37-41c4-8625-d91c4926ec68"/>
    <n v="64"/>
    <s v="Female"/>
    <s v="Standard"/>
    <n v="0.91"/>
    <x v="35"/>
    <x v="4"/>
    <x v="0"/>
    <n v="13.99"/>
    <n v="1"/>
    <n v="13.99"/>
    <x v="2"/>
    <n v="3"/>
    <n v="0.02"/>
    <s v="Horror"/>
  </r>
  <r>
    <s v="8d2214a8-eef2-4345-ab43-dc9fa0719c72"/>
    <n v="58"/>
    <s v="Female"/>
    <s v="Basic"/>
    <n v="26.03"/>
    <x v="5"/>
    <x v="4"/>
    <x v="3"/>
    <n v="8.99"/>
    <n v="0"/>
    <n v="0"/>
    <x v="0"/>
    <n v="5"/>
    <n v="0.96"/>
    <s v="Horror"/>
  </r>
  <r>
    <s v="b72a5d95-24ba-4440-8288-b9aacfee95b9"/>
    <n v="40"/>
    <s v="Female"/>
    <s v="Premium"/>
    <n v="11.57"/>
    <x v="40"/>
    <x v="4"/>
    <x v="2"/>
    <n v="17.989999999999998"/>
    <n v="0"/>
    <n v="0"/>
    <x v="2"/>
    <n v="3"/>
    <n v="0.96"/>
    <s v="Documentary"/>
  </r>
  <r>
    <s v="abb262e4-25f1-48a4-a322-879a563a00af"/>
    <n v="22"/>
    <s v="Other"/>
    <s v="Basic"/>
    <n v="11.84"/>
    <x v="15"/>
    <x v="0"/>
    <x v="0"/>
    <n v="8.99"/>
    <n v="1"/>
    <n v="8.99"/>
    <x v="2"/>
    <n v="1"/>
    <n v="0.28999999999999998"/>
    <s v="Action"/>
  </r>
  <r>
    <s v="8f6dc546-9b9c-41fb-9ed2-afac4e5c5a9e"/>
    <n v="36"/>
    <s v="Other"/>
    <s v="Basic"/>
    <n v="21.08"/>
    <x v="16"/>
    <x v="0"/>
    <x v="1"/>
    <n v="8.99"/>
    <n v="0"/>
    <n v="0"/>
    <x v="2"/>
    <n v="2"/>
    <n v="0.75"/>
    <s v="Action"/>
  </r>
  <r>
    <s v="ed668da3-d99b-4026-92a3-300a114142e7"/>
    <n v="46"/>
    <s v="Other"/>
    <s v="Standard"/>
    <n v="0.96"/>
    <x v="44"/>
    <x v="3"/>
    <x v="3"/>
    <n v="13.99"/>
    <n v="1"/>
    <n v="13.99"/>
    <x v="3"/>
    <n v="4"/>
    <n v="0.02"/>
    <s v="Sci-Fi"/>
  </r>
  <r>
    <s v="ee57514c-eefb-44e1-a80d-8dfe36cee93b"/>
    <n v="62"/>
    <s v="Female"/>
    <s v="Standard"/>
    <n v="24.45"/>
    <x v="4"/>
    <x v="0"/>
    <x v="2"/>
    <n v="13.99"/>
    <n v="0"/>
    <n v="0"/>
    <x v="4"/>
    <n v="3"/>
    <n v="1.75"/>
    <s v="Documentary"/>
  </r>
  <r>
    <s v="fa307a7f-4a55-4e3a-a385-0de816f61de8"/>
    <n v="37"/>
    <s v="Other"/>
    <s v="Basic"/>
    <n v="7.72"/>
    <x v="43"/>
    <x v="4"/>
    <x v="0"/>
    <n v="8.99"/>
    <n v="1"/>
    <n v="8.99"/>
    <x v="1"/>
    <n v="5"/>
    <n v="0.24"/>
    <s v="Comedy"/>
  </r>
  <r>
    <s v="30ce7dcc-c41f-48e9-8e16-b6cfb0e9d1a3"/>
    <n v="45"/>
    <s v="Other"/>
    <s v="Basic"/>
    <n v="0.7"/>
    <x v="33"/>
    <x v="0"/>
    <x v="3"/>
    <n v="8.99"/>
    <n v="1"/>
    <n v="8.99"/>
    <x v="1"/>
    <n v="5"/>
    <n v="0.03"/>
    <s v="Action"/>
  </r>
  <r>
    <s v="d8a6954a-bf7f-45fa-bde0-90266d3195fb"/>
    <n v="54"/>
    <s v="Female"/>
    <s v="Standard"/>
    <n v="12.34"/>
    <x v="14"/>
    <x v="2"/>
    <x v="3"/>
    <n v="13.99"/>
    <n v="1"/>
    <n v="13.99"/>
    <x v="0"/>
    <n v="3"/>
    <n v="0.37"/>
    <s v="Sci-Fi"/>
  </r>
  <r>
    <s v="bba14e0b-05f9-4cf4-b201-41398c6d4ec5"/>
    <n v="32"/>
    <s v="Male"/>
    <s v="Standard"/>
    <n v="1.89"/>
    <x v="37"/>
    <x v="1"/>
    <x v="0"/>
    <n v="13.99"/>
    <n v="1"/>
    <n v="13.99"/>
    <x v="4"/>
    <n v="1"/>
    <n v="0.08"/>
    <s v="Romance"/>
  </r>
  <r>
    <s v="47537e18-5119-4d3c-934e-c0fa3646be77"/>
    <n v="30"/>
    <s v="Female"/>
    <s v="Basic"/>
    <n v="11.4"/>
    <x v="34"/>
    <x v="2"/>
    <x v="3"/>
    <n v="8.99"/>
    <n v="1"/>
    <n v="8.99"/>
    <x v="2"/>
    <n v="5"/>
    <n v="0.22"/>
    <s v="Romance"/>
  </r>
  <r>
    <s v="1f70867f-6022-4521-8138-3116b8a88a5c"/>
    <n v="18"/>
    <s v="Male"/>
    <s v="Premium"/>
    <n v="2.75"/>
    <x v="59"/>
    <x v="2"/>
    <x v="0"/>
    <n v="17.989999999999998"/>
    <n v="1"/>
    <n v="17.989999999999998"/>
    <x v="1"/>
    <n v="1"/>
    <n v="0.46"/>
    <s v="Drama"/>
  </r>
  <r>
    <s v="49261e9e-fdd0-48df-87f7-3eab7d66fa81"/>
    <n v="18"/>
    <s v="Other"/>
    <s v="Standard"/>
    <n v="3.54"/>
    <x v="29"/>
    <x v="3"/>
    <x v="1"/>
    <n v="13.99"/>
    <n v="1"/>
    <n v="13.99"/>
    <x v="2"/>
    <n v="5"/>
    <n v="0.08"/>
    <s v="Horror"/>
  </r>
  <r>
    <s v="a065e7e1-f8a6-429b-90be-e5b35e78f22a"/>
    <n v="48"/>
    <s v="Other"/>
    <s v="Basic"/>
    <n v="39.47"/>
    <x v="14"/>
    <x v="1"/>
    <x v="3"/>
    <n v="8.99"/>
    <n v="0"/>
    <n v="0"/>
    <x v="1"/>
    <n v="4"/>
    <n v="1.2"/>
    <s v="Action"/>
  </r>
  <r>
    <s v="9f43a60a-bd6e-42de-9707-0a3b942d97fc"/>
    <n v="64"/>
    <s v="Female"/>
    <s v="Basic"/>
    <n v="7.82"/>
    <x v="8"/>
    <x v="5"/>
    <x v="1"/>
    <n v="8.99"/>
    <n v="1"/>
    <n v="8.99"/>
    <x v="2"/>
    <n v="2"/>
    <n v="0.22"/>
    <s v="Comedy"/>
  </r>
  <r>
    <s v="5cdde76b-50a8-4d41-a799-177a2e77e581"/>
    <n v="67"/>
    <s v="Female"/>
    <s v="Premium"/>
    <n v="4.01"/>
    <x v="22"/>
    <x v="4"/>
    <x v="2"/>
    <n v="17.989999999999998"/>
    <n v="1"/>
    <n v="17.989999999999998"/>
    <x v="2"/>
    <n v="4"/>
    <n v="7.0000000000000007E-2"/>
    <s v="Drama"/>
  </r>
  <r>
    <s v="b21baa2a-9c93-4d91-92bc-88f708dabe32"/>
    <n v="30"/>
    <s v="Male"/>
    <s v="Basic"/>
    <n v="5.42"/>
    <x v="19"/>
    <x v="0"/>
    <x v="4"/>
    <n v="8.99"/>
    <n v="1"/>
    <n v="8.99"/>
    <x v="0"/>
    <n v="4"/>
    <n v="0.12"/>
    <s v="Drama"/>
  </r>
  <r>
    <s v="73a4b76c-1e0c-4d55-9ef4-cfce29a688ba"/>
    <n v="45"/>
    <s v="Male"/>
    <s v="Premium"/>
    <n v="17.850000000000001"/>
    <x v="18"/>
    <x v="1"/>
    <x v="3"/>
    <n v="17.989999999999998"/>
    <n v="1"/>
    <n v="17.989999999999998"/>
    <x v="1"/>
    <n v="3"/>
    <n v="0.31"/>
    <s v="Sci-Fi"/>
  </r>
  <r>
    <s v="1e89c820-f686-4a32-aeab-924d79f6d288"/>
    <n v="28"/>
    <s v="Male"/>
    <s v="Standard"/>
    <n v="3.57"/>
    <x v="57"/>
    <x v="5"/>
    <x v="1"/>
    <n v="13.99"/>
    <n v="1"/>
    <n v="13.99"/>
    <x v="1"/>
    <n v="4"/>
    <n v="0.06"/>
    <s v="Horror"/>
  </r>
  <r>
    <s v="f8520665-cd2a-42c9-ba24-3da9505579a9"/>
    <n v="46"/>
    <s v="Male"/>
    <s v="Standard"/>
    <n v="0.86"/>
    <x v="11"/>
    <x v="2"/>
    <x v="4"/>
    <n v="13.99"/>
    <n v="0"/>
    <n v="0"/>
    <x v="2"/>
    <n v="4"/>
    <n v="0.04"/>
    <s v="Horror"/>
  </r>
  <r>
    <s v="7e06975c-0bf7-4fe1-b884-8e7de13b702d"/>
    <n v="45"/>
    <s v="Female"/>
    <s v="Basic"/>
    <n v="15.8"/>
    <x v="18"/>
    <x v="3"/>
    <x v="1"/>
    <n v="8.99"/>
    <n v="1"/>
    <n v="8.99"/>
    <x v="4"/>
    <n v="1"/>
    <n v="0.27"/>
    <s v="Documentary"/>
  </r>
  <r>
    <s v="f6abaaad-45a9-4879-8e66-3b1d4d5c3cbc"/>
    <n v="25"/>
    <s v="Female"/>
    <s v="Standard"/>
    <n v="10.36"/>
    <x v="24"/>
    <x v="0"/>
    <x v="1"/>
    <n v="13.99"/>
    <n v="0"/>
    <n v="0"/>
    <x v="4"/>
    <n v="4"/>
    <n v="0.2"/>
    <s v="Horror"/>
  </r>
  <r>
    <s v="f1c437f2-b4be-40fb-9007-03dece9b63bd"/>
    <n v="42"/>
    <s v="Other"/>
    <s v="Standard"/>
    <n v="7.51"/>
    <x v="54"/>
    <x v="1"/>
    <x v="2"/>
    <n v="13.99"/>
    <n v="0"/>
    <n v="0"/>
    <x v="0"/>
    <n v="1"/>
    <n v="0.26"/>
    <s v="Documentary"/>
  </r>
  <r>
    <s v="1b217597-8e8c-475f-bfc2-df1b648f3ec8"/>
    <n v="33"/>
    <s v="Other"/>
    <s v="Basic"/>
    <n v="2.36"/>
    <x v="2"/>
    <x v="0"/>
    <x v="1"/>
    <n v="8.99"/>
    <n v="1"/>
    <n v="8.99"/>
    <x v="3"/>
    <n v="3"/>
    <n v="0.21"/>
    <s v="Action"/>
  </r>
  <r>
    <s v="a7b7aed8-c00a-4d06-8ffc-bf527572f7bb"/>
    <n v="44"/>
    <s v="Female"/>
    <s v="Basic"/>
    <n v="9.35"/>
    <x v="7"/>
    <x v="0"/>
    <x v="4"/>
    <n v="8.99"/>
    <n v="1"/>
    <n v="8.99"/>
    <x v="1"/>
    <n v="5"/>
    <n v="0.16"/>
    <s v="Sci-Fi"/>
  </r>
  <r>
    <s v="ccbcbfcb-32f4-4cfb-be96-79bb84daf04b"/>
    <n v="19"/>
    <s v="Female"/>
    <s v="Standard"/>
    <n v="18.18"/>
    <x v="26"/>
    <x v="2"/>
    <x v="0"/>
    <n v="13.99"/>
    <n v="1"/>
    <n v="13.99"/>
    <x v="0"/>
    <n v="3"/>
    <n v="0.37"/>
    <s v="Romance"/>
  </r>
  <r>
    <s v="febacab1-7c87-4a27-b2a5-6aaa51021c13"/>
    <n v="43"/>
    <s v="Female"/>
    <s v="Basic"/>
    <n v="11.02"/>
    <x v="58"/>
    <x v="3"/>
    <x v="0"/>
    <n v="8.99"/>
    <n v="1"/>
    <n v="8.99"/>
    <x v="1"/>
    <n v="4"/>
    <n v="0.23"/>
    <s v="Romance"/>
  </r>
  <r>
    <s v="deadc085-ed13-47fb-81b4-45eadc08353d"/>
    <n v="32"/>
    <s v="Female"/>
    <s v="Standard"/>
    <n v="7.07"/>
    <x v="38"/>
    <x v="2"/>
    <x v="3"/>
    <n v="13.99"/>
    <n v="0"/>
    <n v="0"/>
    <x v="1"/>
    <n v="1"/>
    <n v="0.32"/>
    <s v="Horror"/>
  </r>
  <r>
    <s v="5b9fc53d-960a-475a-b189-b54d9c7564a6"/>
    <n v="35"/>
    <s v="Female"/>
    <s v="Premium"/>
    <n v="8.44"/>
    <x v="58"/>
    <x v="2"/>
    <x v="2"/>
    <n v="17.989999999999998"/>
    <n v="1"/>
    <n v="17.989999999999998"/>
    <x v="1"/>
    <n v="4"/>
    <n v="0.18"/>
    <s v="Sci-Fi"/>
  </r>
  <r>
    <s v="065fe85d-0373-4737-bbf9-0880fc13ad44"/>
    <n v="66"/>
    <s v="Male"/>
    <s v="Standard"/>
    <n v="26.72"/>
    <x v="28"/>
    <x v="3"/>
    <x v="0"/>
    <n v="13.99"/>
    <n v="0"/>
    <n v="0"/>
    <x v="3"/>
    <n v="5"/>
    <n v="0.74"/>
    <s v="Drama"/>
  </r>
  <r>
    <s v="88fd7813-ff27-47be-9470-b4ad4044ccef"/>
    <n v="68"/>
    <s v="Female"/>
    <s v="Standard"/>
    <n v="1.45"/>
    <x v="16"/>
    <x v="5"/>
    <x v="3"/>
    <n v="13.99"/>
    <n v="0"/>
    <n v="0"/>
    <x v="2"/>
    <n v="5"/>
    <n v="0.05"/>
    <s v="Romance"/>
  </r>
  <r>
    <s v="20eb5fec-6d12-4d6a-b791-c984c662cd33"/>
    <n v="46"/>
    <s v="Other"/>
    <s v="Basic"/>
    <n v="0.04"/>
    <x v="46"/>
    <x v="4"/>
    <x v="4"/>
    <n v="8.99"/>
    <n v="1"/>
    <n v="8.99"/>
    <x v="4"/>
    <n v="4"/>
    <n v="0.01"/>
    <s v="Action"/>
  </r>
  <r>
    <s v="c1c6bed5-6167-4c79-bd6f-4c27851ce580"/>
    <n v="20"/>
    <s v="Male"/>
    <s v="Premium"/>
    <n v="3.26"/>
    <x v="14"/>
    <x v="1"/>
    <x v="1"/>
    <n v="17.989999999999998"/>
    <n v="1"/>
    <n v="17.989999999999998"/>
    <x v="3"/>
    <n v="2"/>
    <n v="0.1"/>
    <s v="Action"/>
  </r>
  <r>
    <s v="c4da46c8-aadf-4aca-98c3-b2e9422c1e93"/>
    <n v="33"/>
    <s v="Male"/>
    <s v="Standard"/>
    <n v="4.63"/>
    <x v="25"/>
    <x v="1"/>
    <x v="0"/>
    <n v="13.99"/>
    <n v="0"/>
    <n v="0"/>
    <x v="2"/>
    <n v="1"/>
    <n v="4.63"/>
    <s v="Sci-Fi"/>
  </r>
  <r>
    <s v="089c7011-1dec-412d-a160-d029ac6eb0a5"/>
    <n v="63"/>
    <s v="Female"/>
    <s v="Premium"/>
    <n v="6.24"/>
    <x v="51"/>
    <x v="5"/>
    <x v="4"/>
    <n v="17.989999999999998"/>
    <n v="0"/>
    <n v="0"/>
    <x v="3"/>
    <n v="1"/>
    <n v="0.35"/>
    <s v="Drama"/>
  </r>
  <r>
    <s v="20971458-c879-4bdc-bf4f-6a4758552a35"/>
    <n v="33"/>
    <s v="Male"/>
    <s v="Basic"/>
    <n v="21.02"/>
    <x v="29"/>
    <x v="2"/>
    <x v="3"/>
    <n v="8.99"/>
    <n v="1"/>
    <n v="8.99"/>
    <x v="0"/>
    <n v="1"/>
    <n v="0.46"/>
    <s v="Drama"/>
  </r>
  <r>
    <s v="c3144388-5e8f-4c1c-83ff-3129e562ba4e"/>
    <n v="40"/>
    <s v="Other"/>
    <s v="Standard"/>
    <n v="1.46"/>
    <x v="35"/>
    <x v="1"/>
    <x v="2"/>
    <n v="13.99"/>
    <n v="1"/>
    <n v="13.99"/>
    <x v="4"/>
    <n v="3"/>
    <n v="0.03"/>
    <s v="Documentary"/>
  </r>
  <r>
    <s v="4489b67d-456a-40da-941e-68facbe3bdb4"/>
    <n v="66"/>
    <s v="Male"/>
    <s v="Basic"/>
    <n v="7.42"/>
    <x v="39"/>
    <x v="0"/>
    <x v="3"/>
    <n v="8.99"/>
    <n v="1"/>
    <n v="8.99"/>
    <x v="3"/>
    <n v="1"/>
    <n v="0.32"/>
    <s v="Documentary"/>
  </r>
  <r>
    <s v="90acaef3-45c4-49e4-bd9f-1faf1b350e71"/>
    <n v="44"/>
    <s v="Female"/>
    <s v="Basic"/>
    <n v="9.89"/>
    <x v="36"/>
    <x v="2"/>
    <x v="1"/>
    <n v="8.99"/>
    <n v="1"/>
    <n v="8.99"/>
    <x v="0"/>
    <n v="4"/>
    <n v="0.25"/>
    <s v="Sci-Fi"/>
  </r>
  <r>
    <s v="c42b0dd0-9d7e-47eb-9b16-18c2195e9fce"/>
    <n v="41"/>
    <s v="Other"/>
    <s v="Basic"/>
    <n v="19.100000000000001"/>
    <x v="46"/>
    <x v="1"/>
    <x v="1"/>
    <n v="8.99"/>
    <n v="0"/>
    <n v="0"/>
    <x v="3"/>
    <n v="1"/>
    <n v="6.37"/>
    <s v="Sci-Fi"/>
  </r>
  <r>
    <s v="590d4fc0-17ef-42af-aa91-778aa0d317d6"/>
    <n v="67"/>
    <s v="Female"/>
    <s v="Standard"/>
    <n v="5.78"/>
    <x v="58"/>
    <x v="0"/>
    <x v="3"/>
    <n v="13.99"/>
    <n v="1"/>
    <n v="13.99"/>
    <x v="2"/>
    <n v="3"/>
    <n v="0.12"/>
    <s v="Action"/>
  </r>
  <r>
    <s v="55125abd-2493-40cf-8843-604709af81e7"/>
    <n v="29"/>
    <s v="Female"/>
    <s v="Premium"/>
    <n v="5.97"/>
    <x v="46"/>
    <x v="1"/>
    <x v="4"/>
    <n v="17.989999999999998"/>
    <n v="0"/>
    <n v="0"/>
    <x v="3"/>
    <n v="4"/>
    <n v="1.99"/>
    <s v="Action"/>
  </r>
  <r>
    <s v="24d6f90a-ea1f-44cb-a83b-4d3d53c4d152"/>
    <n v="34"/>
    <s v="Female"/>
    <s v="Standard"/>
    <n v="0.22"/>
    <x v="24"/>
    <x v="3"/>
    <x v="4"/>
    <n v="13.99"/>
    <n v="1"/>
    <n v="13.99"/>
    <x v="3"/>
    <n v="4"/>
    <n v="0"/>
    <s v="Documentary"/>
  </r>
  <r>
    <s v="a525e81a-ceac-45bf-9aaf-312b292c0ab2"/>
    <n v="23"/>
    <s v="Other"/>
    <s v="Standard"/>
    <n v="20.75"/>
    <x v="48"/>
    <x v="2"/>
    <x v="3"/>
    <n v="13.99"/>
    <n v="0"/>
    <n v="0"/>
    <x v="4"/>
    <n v="4"/>
    <n v="0.4"/>
    <s v="Documentary"/>
  </r>
  <r>
    <s v="4e16202d-72c0-4a59-974b-ba3e9c9fb04d"/>
    <n v="44"/>
    <s v="Other"/>
    <s v="Basic"/>
    <n v="3.53"/>
    <x v="7"/>
    <x v="5"/>
    <x v="3"/>
    <n v="8.99"/>
    <n v="1"/>
    <n v="8.99"/>
    <x v="1"/>
    <n v="1"/>
    <n v="0.06"/>
    <s v="Comedy"/>
  </r>
  <r>
    <s v="b74fff72-ab6f-46d9-a86c-66e7b580c4f3"/>
    <n v="62"/>
    <s v="Male"/>
    <s v="Basic"/>
    <n v="7.6"/>
    <x v="10"/>
    <x v="3"/>
    <x v="2"/>
    <n v="8.99"/>
    <n v="1"/>
    <n v="8.99"/>
    <x v="3"/>
    <n v="1"/>
    <n v="0.19"/>
    <s v="Romance"/>
  </r>
  <r>
    <s v="ecf5d19d-4bb9-4dd4-9b1f-1e34cf7b03cf"/>
    <n v="49"/>
    <s v="Male"/>
    <s v="Basic"/>
    <n v="11.25"/>
    <x v="49"/>
    <x v="4"/>
    <x v="1"/>
    <n v="8.99"/>
    <n v="0"/>
    <n v="0"/>
    <x v="2"/>
    <n v="1"/>
    <n v="1.1200000000000001"/>
    <s v="Action"/>
  </r>
  <r>
    <s v="cb28901c-b8a3-43aa-9580-f116d219bf30"/>
    <n v="68"/>
    <s v="Other"/>
    <s v="Standard"/>
    <n v="35.61"/>
    <x v="15"/>
    <x v="4"/>
    <x v="3"/>
    <n v="13.99"/>
    <n v="0"/>
    <n v="0"/>
    <x v="2"/>
    <n v="4"/>
    <n v="0.87"/>
    <s v="Documentary"/>
  </r>
  <r>
    <s v="3db02ad4-41a1-4582-975d-a3a19e873c5a"/>
    <n v="20"/>
    <s v="Female"/>
    <s v="Premium"/>
    <n v="9.92"/>
    <x v="33"/>
    <x v="5"/>
    <x v="3"/>
    <n v="17.989999999999998"/>
    <n v="0"/>
    <n v="0"/>
    <x v="0"/>
    <n v="2"/>
    <n v="0.38"/>
    <s v="Sci-Fi"/>
  </r>
  <r>
    <s v="39c2f74d-e634-4686-b4a4-7f3617f6db10"/>
    <n v="28"/>
    <s v="Female"/>
    <s v="Premium"/>
    <n v="0.12"/>
    <x v="49"/>
    <x v="1"/>
    <x v="0"/>
    <n v="17.989999999999998"/>
    <n v="1"/>
    <n v="17.989999999999998"/>
    <x v="1"/>
    <n v="2"/>
    <n v="0.01"/>
    <s v="Romance"/>
  </r>
  <r>
    <s v="b4c1296b-4b42-4988-8541-0e5e848c4488"/>
    <n v="53"/>
    <s v="Other"/>
    <s v="Standard"/>
    <n v="52.23"/>
    <x v="13"/>
    <x v="3"/>
    <x v="3"/>
    <n v="13.99"/>
    <n v="0"/>
    <n v="0"/>
    <x v="3"/>
    <n v="3"/>
    <n v="6.53"/>
    <s v="Drama"/>
  </r>
  <r>
    <s v="18c08dd6-5cd2-49ff-b9d4-d1e5d3b4aaf1"/>
    <n v="29"/>
    <s v="Male"/>
    <s v="Standard"/>
    <n v="11.46"/>
    <x v="50"/>
    <x v="5"/>
    <x v="2"/>
    <n v="13.99"/>
    <n v="1"/>
    <n v="13.99"/>
    <x v="0"/>
    <n v="4"/>
    <n v="0.21"/>
    <s v="Drama"/>
  </r>
  <r>
    <s v="33a14e13-98be-4886-8707-28184c66ae0d"/>
    <n v="33"/>
    <s v="Male"/>
    <s v="Premium"/>
    <n v="13.95"/>
    <x v="23"/>
    <x v="5"/>
    <x v="2"/>
    <n v="17.989999999999998"/>
    <n v="0"/>
    <n v="0"/>
    <x v="4"/>
    <n v="4"/>
    <n v="0.26"/>
    <s v="Horror"/>
  </r>
  <r>
    <s v="0658b8ed-13e8-4ea7-a31f-8afeb49acd60"/>
    <n v="57"/>
    <s v="Female"/>
    <s v="Basic"/>
    <n v="24.97"/>
    <x v="23"/>
    <x v="2"/>
    <x v="0"/>
    <n v="8.99"/>
    <n v="1"/>
    <n v="8.99"/>
    <x v="0"/>
    <n v="5"/>
    <n v="0.46"/>
    <s v="Horror"/>
  </r>
  <r>
    <s v="f49a225d-d3da-4584-8f5b-2d17ebb19bd7"/>
    <n v="42"/>
    <s v="Male"/>
    <s v="Premium"/>
    <n v="18.09"/>
    <x v="2"/>
    <x v="4"/>
    <x v="0"/>
    <n v="17.989999999999998"/>
    <n v="0"/>
    <n v="0"/>
    <x v="2"/>
    <n v="2"/>
    <n v="1.64"/>
    <s v="Horror"/>
  </r>
  <r>
    <s v="2d41aa15-7acd-4ab4-b5df-2d6a316ddb17"/>
    <n v="27"/>
    <s v="Female"/>
    <s v="Standard"/>
    <n v="33.25"/>
    <x v="8"/>
    <x v="4"/>
    <x v="2"/>
    <n v="13.99"/>
    <n v="0"/>
    <n v="0"/>
    <x v="2"/>
    <n v="3"/>
    <n v="0.95"/>
    <s v="Documentary"/>
  </r>
  <r>
    <s v="3f593c64-f2eb-4736-974a-5efadabce25a"/>
    <n v="18"/>
    <s v="Male"/>
    <s v="Standard"/>
    <n v="3.62"/>
    <x v="6"/>
    <x v="4"/>
    <x v="4"/>
    <n v="13.99"/>
    <n v="1"/>
    <n v="13.99"/>
    <x v="0"/>
    <n v="1"/>
    <n v="0.17"/>
    <s v="Sci-Fi"/>
  </r>
  <r>
    <s v="8966b795-f82f-4c5d-a80c-5244a1016339"/>
    <n v="53"/>
    <s v="Female"/>
    <s v="Premium"/>
    <n v="1.62"/>
    <x v="57"/>
    <x v="0"/>
    <x v="0"/>
    <n v="17.989999999999998"/>
    <n v="1"/>
    <n v="17.989999999999998"/>
    <x v="2"/>
    <n v="3"/>
    <n v="0.03"/>
    <s v="Drama"/>
  </r>
  <r>
    <s v="88023604-f612-409e-9761-9fe2336a43e4"/>
    <n v="41"/>
    <s v="Female"/>
    <s v="Premium"/>
    <n v="7.53"/>
    <x v="54"/>
    <x v="3"/>
    <x v="3"/>
    <n v="17.989999999999998"/>
    <n v="0"/>
    <n v="0"/>
    <x v="2"/>
    <n v="2"/>
    <n v="0.26"/>
    <s v="Comedy"/>
  </r>
  <r>
    <s v="2635a91a-d4db-4458-8100-c8aa01ee55f1"/>
    <n v="35"/>
    <s v="Male"/>
    <s v="Basic"/>
    <n v="5.07"/>
    <x v="45"/>
    <x v="4"/>
    <x v="0"/>
    <n v="8.99"/>
    <n v="1"/>
    <n v="8.99"/>
    <x v="2"/>
    <n v="2"/>
    <n v="0.12"/>
    <s v="Horror"/>
  </r>
  <r>
    <s v="e3852e2b-3a3c-466a-916e-edd403c5353f"/>
    <n v="69"/>
    <s v="Male"/>
    <s v="Premium"/>
    <n v="36.44"/>
    <x v="2"/>
    <x v="5"/>
    <x v="2"/>
    <n v="17.989999999999998"/>
    <n v="0"/>
    <n v="0"/>
    <x v="2"/>
    <n v="4"/>
    <n v="3.31"/>
    <s v="Documentary"/>
  </r>
  <r>
    <s v="eeca7e99-fc70-4609-aeb1-5ba88fd7daef"/>
    <n v="53"/>
    <s v="Male"/>
    <s v="Premium"/>
    <n v="6.61"/>
    <x v="50"/>
    <x v="1"/>
    <x v="2"/>
    <n v="17.989999999999998"/>
    <n v="1"/>
    <n v="17.989999999999998"/>
    <x v="3"/>
    <n v="2"/>
    <n v="0.12"/>
    <s v="Comedy"/>
  </r>
  <r>
    <s v="8632438c-1adb-4a0f-9d3b-9eed17db3536"/>
    <n v="51"/>
    <s v="Female"/>
    <s v="Premium"/>
    <n v="35.22"/>
    <x v="23"/>
    <x v="2"/>
    <x v="2"/>
    <n v="17.989999999999998"/>
    <n v="0"/>
    <n v="0"/>
    <x v="3"/>
    <n v="5"/>
    <n v="0.65"/>
    <s v="Documentary"/>
  </r>
  <r>
    <s v="4020ae84-bece-4f52-bee7-b9ea56435b36"/>
    <n v="67"/>
    <s v="Male"/>
    <s v="Premium"/>
    <n v="27.23"/>
    <x v="29"/>
    <x v="3"/>
    <x v="1"/>
    <n v="17.989999999999998"/>
    <n v="0"/>
    <n v="0"/>
    <x v="3"/>
    <n v="2"/>
    <n v="0.59"/>
    <s v="Documentary"/>
  </r>
  <r>
    <s v="8918b03e-e245-4ebf-b05f-158b557fcaea"/>
    <n v="38"/>
    <s v="Female"/>
    <s v="Premium"/>
    <n v="20.14"/>
    <x v="15"/>
    <x v="0"/>
    <x v="3"/>
    <n v="17.989999999999998"/>
    <n v="0"/>
    <n v="0"/>
    <x v="3"/>
    <n v="3"/>
    <n v="0.49"/>
    <s v="Drama"/>
  </r>
  <r>
    <s v="67b67fc6-7750-44bd-896c-3260f78d8e53"/>
    <n v="29"/>
    <s v="Male"/>
    <s v="Basic"/>
    <n v="11.32"/>
    <x v="26"/>
    <x v="0"/>
    <x v="0"/>
    <n v="8.99"/>
    <n v="1"/>
    <n v="8.99"/>
    <x v="4"/>
    <n v="2"/>
    <n v="0.23"/>
    <s v="Sci-Fi"/>
  </r>
  <r>
    <s v="f8839f01-4286-4f45-a675-f09d869146c1"/>
    <n v="34"/>
    <s v="Other"/>
    <s v="Premium"/>
    <n v="1.92"/>
    <x v="35"/>
    <x v="4"/>
    <x v="0"/>
    <n v="17.989999999999998"/>
    <n v="1"/>
    <n v="17.989999999999998"/>
    <x v="0"/>
    <n v="2"/>
    <n v="0.04"/>
    <s v="Documentary"/>
  </r>
  <r>
    <s v="3cb37e51-569d-4238-9854-5e659abf16c4"/>
    <n v="18"/>
    <s v="Female"/>
    <s v="Premium"/>
    <n v="0.82"/>
    <x v="55"/>
    <x v="4"/>
    <x v="4"/>
    <n v="17.989999999999998"/>
    <n v="1"/>
    <n v="17.989999999999998"/>
    <x v="3"/>
    <n v="3"/>
    <n v="0.01"/>
    <s v="Action"/>
  </r>
  <r>
    <s v="d64c129e-b523-4e14-ab3a-ec621137c3af"/>
    <n v="28"/>
    <s v="Female"/>
    <s v="Standard"/>
    <n v="6.72"/>
    <x v="31"/>
    <x v="5"/>
    <x v="3"/>
    <n v="13.99"/>
    <n v="0"/>
    <n v="0"/>
    <x v="3"/>
    <n v="5"/>
    <n v="0.42"/>
    <s v="Comedy"/>
  </r>
  <r>
    <s v="d08e5984-dcc6-4e82-9190-c0532bbb7cae"/>
    <n v="57"/>
    <s v="Female"/>
    <s v="Premium"/>
    <n v="12.51"/>
    <x v="17"/>
    <x v="0"/>
    <x v="0"/>
    <n v="17.989999999999998"/>
    <n v="0"/>
    <n v="0"/>
    <x v="0"/>
    <n v="2"/>
    <n v="2.5"/>
    <s v="Documentary"/>
  </r>
  <r>
    <s v="5299c7dd-6117-44fb-b316-41e3c6ca0e8f"/>
    <n v="34"/>
    <s v="Other"/>
    <s v="Premium"/>
    <n v="16.670000000000002"/>
    <x v="40"/>
    <x v="2"/>
    <x v="4"/>
    <n v="17.989999999999998"/>
    <n v="0"/>
    <n v="0"/>
    <x v="1"/>
    <n v="1"/>
    <n v="1.39"/>
    <s v="Action"/>
  </r>
  <r>
    <s v="187a5666-9d16-459c-a524-35b1789ba1ae"/>
    <n v="32"/>
    <s v="Male"/>
    <s v="Standard"/>
    <n v="15.29"/>
    <x v="11"/>
    <x v="2"/>
    <x v="4"/>
    <n v="13.99"/>
    <n v="0"/>
    <n v="0"/>
    <x v="4"/>
    <n v="5"/>
    <n v="0.64"/>
    <s v="Documentary"/>
  </r>
  <r>
    <s v="3fd34d59-ed02-4b2a-a7b7-7c8dba676ef9"/>
    <n v="60"/>
    <s v="Female"/>
    <s v="Premium"/>
    <n v="1.0900000000000001"/>
    <x v="21"/>
    <x v="4"/>
    <x v="2"/>
    <n v="17.989999999999998"/>
    <n v="1"/>
    <n v="17.989999999999998"/>
    <x v="4"/>
    <n v="1"/>
    <n v="0.16"/>
    <s v="Horror"/>
  </r>
  <r>
    <s v="79b3f0bd-b45f-444d-a121-5b7a374c0780"/>
    <n v="21"/>
    <s v="Female"/>
    <s v="Basic"/>
    <n v="17.28"/>
    <x v="20"/>
    <x v="0"/>
    <x v="1"/>
    <n v="8.99"/>
    <n v="0"/>
    <n v="0"/>
    <x v="3"/>
    <n v="4"/>
    <n v="0.91"/>
    <s v="Documentary"/>
  </r>
  <r>
    <s v="d74761a3-27c1-4593-92ee-084f86b6c7f5"/>
    <n v="70"/>
    <s v="Other"/>
    <s v="Premium"/>
    <n v="5.52"/>
    <x v="0"/>
    <x v="4"/>
    <x v="3"/>
    <n v="17.989999999999998"/>
    <n v="0"/>
    <n v="0"/>
    <x v="1"/>
    <n v="4"/>
    <n v="0.18"/>
    <s v="Documentary"/>
  </r>
  <r>
    <s v="14e1fddb-7d3b-4098-b5f5-98d0467d9921"/>
    <n v="69"/>
    <s v="Other"/>
    <s v="Basic"/>
    <n v="22.17"/>
    <x v="48"/>
    <x v="1"/>
    <x v="2"/>
    <n v="8.99"/>
    <n v="1"/>
    <n v="8.99"/>
    <x v="0"/>
    <n v="2"/>
    <n v="0.43"/>
    <s v="Drama"/>
  </r>
  <r>
    <s v="d3cdf140-4887-4f53-a5d3-ec891892c883"/>
    <n v="36"/>
    <s v="Male"/>
    <s v="Premium"/>
    <n v="0.98"/>
    <x v="22"/>
    <x v="3"/>
    <x v="1"/>
    <n v="17.989999999999998"/>
    <n v="1"/>
    <n v="17.989999999999998"/>
    <x v="2"/>
    <n v="2"/>
    <n v="0.02"/>
    <s v="Comedy"/>
  </r>
  <r>
    <s v="2fae4d1f-9063-4947-aac3-ec1c00169d35"/>
    <n v="70"/>
    <s v="Other"/>
    <s v="Basic"/>
    <n v="61.47"/>
    <x v="13"/>
    <x v="1"/>
    <x v="1"/>
    <n v="8.99"/>
    <n v="0"/>
    <n v="0"/>
    <x v="3"/>
    <n v="1"/>
    <n v="7.68"/>
    <s v="Romance"/>
  </r>
  <r>
    <s v="4beaf71e-a65e-4ddd-a643-c8e5acf5bd55"/>
    <n v="22"/>
    <s v="Male"/>
    <s v="Basic"/>
    <n v="20.87"/>
    <x v="29"/>
    <x v="3"/>
    <x v="4"/>
    <n v="8.99"/>
    <n v="1"/>
    <n v="8.99"/>
    <x v="3"/>
    <n v="1"/>
    <n v="0.45"/>
    <s v="Drama"/>
  </r>
  <r>
    <s v="d0c512fc-8212-4d61-9ad2-dce10af1dbf7"/>
    <n v="52"/>
    <s v="Female"/>
    <s v="Basic"/>
    <n v="3.59"/>
    <x v="53"/>
    <x v="0"/>
    <x v="0"/>
    <n v="8.99"/>
    <n v="1"/>
    <n v="8.99"/>
    <x v="0"/>
    <n v="4"/>
    <n v="0.08"/>
    <s v="Sci-Fi"/>
  </r>
  <r>
    <s v="76a7587e-4288-4134-acd3-1c161865573a"/>
    <n v="19"/>
    <s v="Female"/>
    <s v="Standard"/>
    <n v="8.85"/>
    <x v="6"/>
    <x v="3"/>
    <x v="2"/>
    <n v="13.99"/>
    <n v="0"/>
    <n v="0"/>
    <x v="3"/>
    <n v="4"/>
    <n v="0.42"/>
    <s v="Drama"/>
  </r>
  <r>
    <s v="8868e07d-acc4-4b62-808a-ad4553109922"/>
    <n v="42"/>
    <s v="Male"/>
    <s v="Basic"/>
    <n v="7.09"/>
    <x v="38"/>
    <x v="0"/>
    <x v="0"/>
    <n v="8.99"/>
    <n v="1"/>
    <n v="8.99"/>
    <x v="2"/>
    <n v="1"/>
    <n v="0.32"/>
    <s v="Action"/>
  </r>
  <r>
    <s v="91a11dc0-b609-434f-a1d2-3ecd42d2321b"/>
    <n v="35"/>
    <s v="Other"/>
    <s v="Basic"/>
    <n v="1.21"/>
    <x v="17"/>
    <x v="3"/>
    <x v="3"/>
    <n v="8.99"/>
    <n v="1"/>
    <n v="8.99"/>
    <x v="0"/>
    <n v="2"/>
    <n v="0.24"/>
    <s v="Action"/>
  </r>
  <r>
    <s v="3bca6390-0c4b-4f47-a993-8e49139361c3"/>
    <n v="18"/>
    <s v="Female"/>
    <s v="Standard"/>
    <n v="2.2599999999999998"/>
    <x v="26"/>
    <x v="0"/>
    <x v="3"/>
    <n v="13.99"/>
    <n v="1"/>
    <n v="13.99"/>
    <x v="3"/>
    <n v="1"/>
    <n v="0.05"/>
    <s v="Action"/>
  </r>
  <r>
    <s v="f6aa3008-2137-480e-ac38-70d58514af59"/>
    <n v="21"/>
    <s v="Other"/>
    <s v="Premium"/>
    <n v="16.71"/>
    <x v="3"/>
    <x v="5"/>
    <x v="3"/>
    <n v="17.989999999999998"/>
    <n v="0"/>
    <n v="0"/>
    <x v="4"/>
    <n v="3"/>
    <n v="1.29"/>
    <s v="Sci-Fi"/>
  </r>
  <r>
    <s v="6fb2caa8-9389-4816-91cb-d1134a7b15a1"/>
    <n v="57"/>
    <s v="Male"/>
    <s v="Basic"/>
    <n v="2.89"/>
    <x v="16"/>
    <x v="0"/>
    <x v="1"/>
    <n v="8.99"/>
    <n v="1"/>
    <n v="8.99"/>
    <x v="3"/>
    <n v="4"/>
    <n v="0.1"/>
    <s v="Horror"/>
  </r>
  <r>
    <s v="a96d856f-c265-4f78-80d5-f6d85c2e3e48"/>
    <n v="38"/>
    <s v="Female"/>
    <s v="Basic"/>
    <n v="3.08"/>
    <x v="23"/>
    <x v="5"/>
    <x v="3"/>
    <n v="8.99"/>
    <n v="1"/>
    <n v="8.99"/>
    <x v="0"/>
    <n v="2"/>
    <n v="0.06"/>
    <s v="Comedy"/>
  </r>
  <r>
    <s v="0769f070-5b48-4e47-9507-35259b4dfc71"/>
    <n v="50"/>
    <s v="Other"/>
    <s v="Premium"/>
    <n v="7.44"/>
    <x v="14"/>
    <x v="4"/>
    <x v="4"/>
    <n v="17.989999999999998"/>
    <n v="0"/>
    <n v="0"/>
    <x v="4"/>
    <n v="4"/>
    <n v="0.23"/>
    <s v="Comedy"/>
  </r>
  <r>
    <s v="57b1d167-a660-48d5-8fca-f75fa0837d41"/>
    <n v="57"/>
    <s v="Male"/>
    <s v="Standard"/>
    <n v="18.93"/>
    <x v="53"/>
    <x v="0"/>
    <x v="0"/>
    <n v="13.99"/>
    <n v="1"/>
    <n v="13.99"/>
    <x v="0"/>
    <n v="5"/>
    <n v="0.44"/>
    <s v="Romance"/>
  </r>
  <r>
    <s v="9bc6420a-4fe7-4bda-97db-6689849cc101"/>
    <n v="65"/>
    <s v="Other"/>
    <s v="Premium"/>
    <n v="9.7100000000000009"/>
    <x v="58"/>
    <x v="0"/>
    <x v="3"/>
    <n v="17.989999999999998"/>
    <n v="0"/>
    <n v="0"/>
    <x v="3"/>
    <n v="4"/>
    <n v="0.2"/>
    <s v="Documentary"/>
  </r>
  <r>
    <s v="9127fd59-f25d-4b74-a710-7f60b1804252"/>
    <n v="29"/>
    <s v="Male"/>
    <s v="Premium"/>
    <n v="1.61"/>
    <x v="55"/>
    <x v="5"/>
    <x v="3"/>
    <n v="17.989999999999998"/>
    <n v="1"/>
    <n v="17.989999999999998"/>
    <x v="4"/>
    <n v="2"/>
    <n v="0.03"/>
    <s v="Horror"/>
  </r>
  <r>
    <s v="39a2da01-6445-4ba4-8dd5-846b8fe23c43"/>
    <n v="62"/>
    <s v="Female"/>
    <s v="Premium"/>
    <n v="4.2"/>
    <x v="42"/>
    <x v="0"/>
    <x v="2"/>
    <n v="17.989999999999998"/>
    <n v="1"/>
    <n v="17.989999999999998"/>
    <x v="1"/>
    <n v="1"/>
    <n v="0.11"/>
    <s v="Comedy"/>
  </r>
  <r>
    <s v="ac511430-85a0-40ed-bac6-423c3fe14a63"/>
    <n v="58"/>
    <s v="Other"/>
    <s v="Basic"/>
    <n v="15.24"/>
    <x v="27"/>
    <x v="2"/>
    <x v="4"/>
    <n v="8.99"/>
    <n v="0"/>
    <n v="0"/>
    <x v="1"/>
    <n v="5"/>
    <n v="0.9"/>
    <s v="Comedy"/>
  </r>
  <r>
    <s v="c42c5dc0-22f1-464b-9aa8-9ff0661a54c3"/>
    <n v="50"/>
    <s v="Male"/>
    <s v="Premium"/>
    <n v="5.93"/>
    <x v="48"/>
    <x v="2"/>
    <x v="3"/>
    <n v="17.989999999999998"/>
    <n v="1"/>
    <n v="17.989999999999998"/>
    <x v="1"/>
    <n v="1"/>
    <n v="0.11"/>
    <s v="Horror"/>
  </r>
  <r>
    <s v="7d756761-f638-4e9b-8c0a-00492281d68d"/>
    <n v="28"/>
    <s v="Other"/>
    <s v="Standard"/>
    <n v="9.61"/>
    <x v="34"/>
    <x v="5"/>
    <x v="1"/>
    <n v="13.99"/>
    <n v="1"/>
    <n v="13.99"/>
    <x v="1"/>
    <n v="4"/>
    <n v="0.19"/>
    <s v="Drama"/>
  </r>
  <r>
    <s v="cade9688-a34c-4bf1-a49a-962d5d8fb7c4"/>
    <n v="49"/>
    <s v="Female"/>
    <s v="Standard"/>
    <n v="17.61"/>
    <x v="57"/>
    <x v="4"/>
    <x v="2"/>
    <n v="13.99"/>
    <n v="1"/>
    <n v="13.99"/>
    <x v="3"/>
    <n v="1"/>
    <n v="0.28999999999999998"/>
    <s v="Sci-Fi"/>
  </r>
  <r>
    <s v="466eaa12-9e20-4d53-860f-a8dccfb242b8"/>
    <n v="25"/>
    <s v="Female"/>
    <s v="Basic"/>
    <n v="5.49"/>
    <x v="45"/>
    <x v="3"/>
    <x v="3"/>
    <n v="8.99"/>
    <n v="1"/>
    <n v="8.99"/>
    <x v="2"/>
    <n v="3"/>
    <n v="0.13"/>
    <s v="Documentary"/>
  </r>
  <r>
    <s v="57a0a7ed-21ea-4587-b519-ab35689cc9c8"/>
    <n v="40"/>
    <s v="Female"/>
    <s v="Standard"/>
    <n v="7.66"/>
    <x v="18"/>
    <x v="2"/>
    <x v="3"/>
    <n v="13.99"/>
    <n v="1"/>
    <n v="13.99"/>
    <x v="1"/>
    <n v="1"/>
    <n v="0.13"/>
    <s v="Action"/>
  </r>
  <r>
    <s v="4e091ec6-3c1b-4649-aed7-cf99cc9da60d"/>
    <n v="29"/>
    <s v="Female"/>
    <s v="Standard"/>
    <n v="4.88"/>
    <x v="36"/>
    <x v="3"/>
    <x v="1"/>
    <n v="13.99"/>
    <n v="1"/>
    <n v="13.99"/>
    <x v="4"/>
    <n v="4"/>
    <n v="0.12"/>
    <s v="Horror"/>
  </r>
  <r>
    <s v="3afd0a8c-2d06-41f8-954a-e439e193f21d"/>
    <n v="43"/>
    <s v="Female"/>
    <s v="Standard"/>
    <n v="12.58"/>
    <x v="27"/>
    <x v="3"/>
    <x v="3"/>
    <n v="13.99"/>
    <n v="0"/>
    <n v="0"/>
    <x v="4"/>
    <n v="4"/>
    <n v="0.74"/>
    <s v="Horror"/>
  </r>
  <r>
    <s v="63fb5a17-b9fc-4191-8cec-ca2848cc3e54"/>
    <n v="69"/>
    <s v="Other"/>
    <s v="Premium"/>
    <n v="26.07"/>
    <x v="59"/>
    <x v="3"/>
    <x v="2"/>
    <n v="17.989999999999998"/>
    <n v="0"/>
    <n v="0"/>
    <x v="3"/>
    <n v="1"/>
    <n v="4.34"/>
    <s v="Romance"/>
  </r>
  <r>
    <s v="1c663855-e700-49cf-8512-224b34d1efac"/>
    <n v="37"/>
    <s v="Other"/>
    <s v="Premium"/>
    <n v="14.54"/>
    <x v="39"/>
    <x v="5"/>
    <x v="4"/>
    <n v="17.989999999999998"/>
    <n v="0"/>
    <n v="0"/>
    <x v="2"/>
    <n v="2"/>
    <n v="0.63"/>
    <s v="Drama"/>
  </r>
  <r>
    <s v="ca44d69c-f059-423e-82e2-65550f1314be"/>
    <n v="31"/>
    <s v="Female"/>
    <s v="Basic"/>
    <n v="9.44"/>
    <x v="44"/>
    <x v="2"/>
    <x v="4"/>
    <n v="8.99"/>
    <n v="1"/>
    <n v="8.99"/>
    <x v="3"/>
    <n v="2"/>
    <n v="0.2"/>
    <s v="Action"/>
  </r>
  <r>
    <s v="07b638bb-a4bf-4938-9b81-3160ecf59053"/>
    <n v="27"/>
    <s v="Other"/>
    <s v="Basic"/>
    <n v="5.84"/>
    <x v="53"/>
    <x v="1"/>
    <x v="1"/>
    <n v="8.99"/>
    <n v="1"/>
    <n v="8.99"/>
    <x v="1"/>
    <n v="1"/>
    <n v="0.14000000000000001"/>
    <s v="Horror"/>
  </r>
  <r>
    <s v="10187a53-e499-45ef-b5b2-0c0d16ffaef7"/>
    <n v="65"/>
    <s v="Male"/>
    <s v="Premium"/>
    <n v="0.74"/>
    <x v="6"/>
    <x v="1"/>
    <x v="2"/>
    <n v="17.989999999999998"/>
    <n v="1"/>
    <n v="17.989999999999998"/>
    <x v="2"/>
    <n v="3"/>
    <n v="0.04"/>
    <s v="Sci-Fi"/>
  </r>
  <r>
    <s v="fe5bdcb9-aa57-47ff-b123-33e4842057da"/>
    <n v="29"/>
    <s v="Female"/>
    <s v="Basic"/>
    <n v="12.37"/>
    <x v="35"/>
    <x v="3"/>
    <x v="1"/>
    <n v="8.99"/>
    <n v="1"/>
    <n v="8.99"/>
    <x v="0"/>
    <n v="3"/>
    <n v="0.27"/>
    <s v="Drama"/>
  </r>
  <r>
    <s v="dc67ab9c-2786-4c67-8b27-3891f2676446"/>
    <n v="63"/>
    <s v="Male"/>
    <s v="Standard"/>
    <n v="5.16"/>
    <x v="23"/>
    <x v="5"/>
    <x v="3"/>
    <n v="13.99"/>
    <n v="0"/>
    <n v="0"/>
    <x v="2"/>
    <n v="5"/>
    <n v="0.1"/>
    <s v="Romance"/>
  </r>
  <r>
    <s v="92ea3113-82a0-40c9-8d98-142d22f0799b"/>
    <n v="54"/>
    <s v="Female"/>
    <s v="Premium"/>
    <n v="14.52"/>
    <x v="37"/>
    <x v="0"/>
    <x v="0"/>
    <n v="17.989999999999998"/>
    <n v="0"/>
    <n v="0"/>
    <x v="2"/>
    <n v="2"/>
    <n v="0.57999999999999996"/>
    <s v="Sci-Fi"/>
  </r>
  <r>
    <s v="834274e5-cea9-4d78-a673-89b85674de2a"/>
    <n v="27"/>
    <s v="Male"/>
    <s v="Basic"/>
    <n v="6.11"/>
    <x v="28"/>
    <x v="2"/>
    <x v="1"/>
    <n v="8.99"/>
    <n v="1"/>
    <n v="8.99"/>
    <x v="4"/>
    <n v="3"/>
    <n v="0.17"/>
    <s v="Sci-Fi"/>
  </r>
  <r>
    <s v="68fcc8f2-4100-4fb8-bc83-efdca9a49322"/>
    <n v="70"/>
    <s v="Male"/>
    <s v="Basic"/>
    <n v="11.19"/>
    <x v="15"/>
    <x v="1"/>
    <x v="0"/>
    <n v="8.99"/>
    <n v="1"/>
    <n v="8.99"/>
    <x v="3"/>
    <n v="2"/>
    <n v="0.27"/>
    <s v="Action"/>
  </r>
  <r>
    <s v="e0306a29-e5de-43f9-a455-6955498cd3ed"/>
    <n v="31"/>
    <s v="Other"/>
    <s v="Standard"/>
    <n v="0.67"/>
    <x v="39"/>
    <x v="3"/>
    <x v="0"/>
    <n v="13.99"/>
    <n v="1"/>
    <n v="13.99"/>
    <x v="0"/>
    <n v="5"/>
    <n v="0.03"/>
    <s v="Drama"/>
  </r>
  <r>
    <s v="27482340-b055-4041-aeb1-1a0feb5dec60"/>
    <n v="36"/>
    <s v="Male"/>
    <s v="Standard"/>
    <n v="12.66"/>
    <x v="8"/>
    <x v="5"/>
    <x v="3"/>
    <n v="13.99"/>
    <n v="1"/>
    <n v="13.99"/>
    <x v="3"/>
    <n v="1"/>
    <n v="0.36"/>
    <s v="Documentary"/>
  </r>
  <r>
    <s v="ab2d8fa6-2f40-4122-ae99-bf400c1301b1"/>
    <n v="19"/>
    <s v="Male"/>
    <s v="Premium"/>
    <n v="5.04"/>
    <x v="39"/>
    <x v="1"/>
    <x v="3"/>
    <n v="17.989999999999998"/>
    <n v="0"/>
    <n v="0"/>
    <x v="2"/>
    <n v="1"/>
    <n v="0.22"/>
    <s v="Action"/>
  </r>
  <r>
    <s v="4f6ec262-da69-45ec-914c-026309454e98"/>
    <n v="47"/>
    <s v="Male"/>
    <s v="Premium"/>
    <n v="1.75"/>
    <x v="3"/>
    <x v="1"/>
    <x v="3"/>
    <n v="17.989999999999998"/>
    <n v="0"/>
    <n v="0"/>
    <x v="4"/>
    <n v="5"/>
    <n v="0.13"/>
    <s v="Drama"/>
  </r>
  <r>
    <s v="fbdb9c05-f713-42da-acbc-426247e3dae8"/>
    <n v="20"/>
    <s v="Other"/>
    <s v="Basic"/>
    <n v="26.06"/>
    <x v="30"/>
    <x v="1"/>
    <x v="1"/>
    <n v="8.99"/>
    <n v="0"/>
    <n v="0"/>
    <x v="2"/>
    <n v="1"/>
    <n v="13.03"/>
    <s v="Sci-Fi"/>
  </r>
  <r>
    <s v="63fefe7d-6134-49fb-95fc-5b011b8583c7"/>
    <n v="56"/>
    <s v="Other"/>
    <s v="Basic"/>
    <n v="30.55"/>
    <x v="40"/>
    <x v="0"/>
    <x v="0"/>
    <n v="8.99"/>
    <n v="0"/>
    <n v="0"/>
    <x v="4"/>
    <n v="1"/>
    <n v="2.5499999999999998"/>
    <s v="Comedy"/>
  </r>
  <r>
    <s v="72913cf5-928b-4c70-9fdf-23f320b7387e"/>
    <n v="48"/>
    <s v="Male"/>
    <s v="Basic"/>
    <n v="13.29"/>
    <x v="29"/>
    <x v="3"/>
    <x v="4"/>
    <n v="8.99"/>
    <n v="1"/>
    <n v="8.99"/>
    <x v="2"/>
    <n v="2"/>
    <n v="0.28999999999999998"/>
    <s v="Romance"/>
  </r>
  <r>
    <s v="e9ecd068-dda1-43b9-a4fb-c17b3e2c9455"/>
    <n v="48"/>
    <s v="Female"/>
    <s v="Basic"/>
    <n v="19.86"/>
    <x v="5"/>
    <x v="1"/>
    <x v="3"/>
    <n v="8.99"/>
    <n v="0"/>
    <n v="0"/>
    <x v="2"/>
    <n v="5"/>
    <n v="0.74"/>
    <s v="Sci-Fi"/>
  </r>
  <r>
    <s v="aa56b066-fb34-4c3c-8ffa-913e48221d38"/>
    <n v="64"/>
    <s v="Female"/>
    <s v="Standard"/>
    <n v="7.4"/>
    <x v="52"/>
    <x v="0"/>
    <x v="3"/>
    <n v="13.99"/>
    <n v="1"/>
    <n v="13.99"/>
    <x v="1"/>
    <n v="2"/>
    <n v="0.15"/>
    <s v="Horror"/>
  </r>
  <r>
    <s v="4b34b055-d1b3-401e-8b73-b8c3297396d0"/>
    <n v="25"/>
    <s v="Male"/>
    <s v="Standard"/>
    <n v="5.73"/>
    <x v="42"/>
    <x v="0"/>
    <x v="2"/>
    <n v="13.99"/>
    <n v="1"/>
    <n v="13.99"/>
    <x v="2"/>
    <n v="1"/>
    <n v="0.15"/>
    <s v="Documentary"/>
  </r>
  <r>
    <s v="2c4ab875-d3c3-429d-9dad-fdf4c0f850d7"/>
    <n v="48"/>
    <s v="Female"/>
    <s v="Premium"/>
    <n v="1.84"/>
    <x v="49"/>
    <x v="5"/>
    <x v="2"/>
    <n v="17.989999999999998"/>
    <n v="1"/>
    <n v="17.989999999999998"/>
    <x v="1"/>
    <n v="2"/>
    <n v="0.18"/>
    <s v="Comedy"/>
  </r>
  <r>
    <s v="dba01592-6410-4be2-b930-10d122fabfef"/>
    <n v="50"/>
    <s v="Other"/>
    <s v="Standard"/>
    <n v="4.3600000000000003"/>
    <x v="49"/>
    <x v="2"/>
    <x v="4"/>
    <n v="13.99"/>
    <n v="1"/>
    <n v="13.99"/>
    <x v="3"/>
    <n v="2"/>
    <n v="0.44"/>
    <s v="Action"/>
  </r>
  <r>
    <s v="35119411-b270-46a9-b807-5f703dc512e5"/>
    <n v="38"/>
    <s v="Other"/>
    <s v="Standard"/>
    <n v="0.08"/>
    <x v="28"/>
    <x v="1"/>
    <x v="2"/>
    <n v="13.99"/>
    <n v="1"/>
    <n v="13.99"/>
    <x v="0"/>
    <n v="1"/>
    <n v="0"/>
    <s v="Comedy"/>
  </r>
  <r>
    <s v="63d9d93c-1c27-4123-951c-81f49f5bcc38"/>
    <n v="46"/>
    <s v="Male"/>
    <s v="Premium"/>
    <n v="10.11"/>
    <x v="24"/>
    <x v="4"/>
    <x v="4"/>
    <n v="17.989999999999998"/>
    <n v="1"/>
    <n v="17.989999999999998"/>
    <x v="4"/>
    <n v="1"/>
    <n v="0.19"/>
    <s v="Documentary"/>
  </r>
  <r>
    <s v="794a55aa-41e8-4973-a92d-e694ac1d2c10"/>
    <n v="18"/>
    <s v="Other"/>
    <s v="Premium"/>
    <n v="12.72"/>
    <x v="31"/>
    <x v="1"/>
    <x v="4"/>
    <n v="17.989999999999998"/>
    <n v="0"/>
    <n v="0"/>
    <x v="2"/>
    <n v="1"/>
    <n v="0.8"/>
    <s v="Action"/>
  </r>
  <r>
    <s v="8ca9ce9b-95f1-480a-bdf8-7ab9b97535ce"/>
    <n v="30"/>
    <s v="Female"/>
    <s v="Standard"/>
    <n v="15.45"/>
    <x v="40"/>
    <x v="1"/>
    <x v="1"/>
    <n v="13.99"/>
    <n v="0"/>
    <n v="0"/>
    <x v="4"/>
    <n v="1"/>
    <n v="1.29"/>
    <s v="Sci-Fi"/>
  </r>
  <r>
    <s v="9c5b8ee6-d18b-4614-8c23-4a4fcac04d80"/>
    <n v="48"/>
    <s v="Male"/>
    <s v="Premium"/>
    <n v="2.84"/>
    <x v="28"/>
    <x v="5"/>
    <x v="3"/>
    <n v="17.989999999999998"/>
    <n v="1"/>
    <n v="17.989999999999998"/>
    <x v="2"/>
    <n v="2"/>
    <n v="0.08"/>
    <s v="Action"/>
  </r>
  <r>
    <s v="604f83af-4c1b-4e00-897c-82ce3d3a5727"/>
    <n v="22"/>
    <s v="Male"/>
    <s v="Basic"/>
    <n v="4.6399999999999997"/>
    <x v="41"/>
    <x v="1"/>
    <x v="0"/>
    <n v="8.99"/>
    <n v="1"/>
    <n v="8.99"/>
    <x v="1"/>
    <n v="3"/>
    <n v="0.15"/>
    <s v="Sci-Fi"/>
  </r>
  <r>
    <s v="2e1aad64-26cc-449a-b08c-fbedd731de31"/>
    <n v="36"/>
    <s v="Male"/>
    <s v="Premium"/>
    <n v="11.69"/>
    <x v="11"/>
    <x v="2"/>
    <x v="0"/>
    <n v="17.989999999999998"/>
    <n v="0"/>
    <n v="0"/>
    <x v="0"/>
    <n v="3"/>
    <n v="0.49"/>
    <s v="Drama"/>
  </r>
  <r>
    <s v="7aa81ae5-8879-4d6b-ac2c-e30ddadbbef6"/>
    <n v="42"/>
    <s v="Other"/>
    <s v="Standard"/>
    <n v="14.09"/>
    <x v="18"/>
    <x v="0"/>
    <x v="1"/>
    <n v="13.99"/>
    <n v="0"/>
    <n v="0"/>
    <x v="2"/>
    <n v="4"/>
    <n v="0.24"/>
    <s v="Action"/>
  </r>
  <r>
    <s v="73c16c1b-0b24-47d3-b7c8-41a1fac54b48"/>
    <n v="48"/>
    <s v="Female"/>
    <s v="Standard"/>
    <n v="49.33"/>
    <x v="42"/>
    <x v="1"/>
    <x v="1"/>
    <n v="13.99"/>
    <n v="0"/>
    <n v="0"/>
    <x v="4"/>
    <n v="3"/>
    <n v="1.3"/>
    <s v="Action"/>
  </r>
  <r>
    <s v="58540f35-ed97-4eef-9638-9039f8eddb3d"/>
    <n v="30"/>
    <s v="Male"/>
    <s v="Standard"/>
    <n v="3.17"/>
    <x v="37"/>
    <x v="3"/>
    <x v="4"/>
    <n v="13.99"/>
    <n v="0"/>
    <n v="0"/>
    <x v="3"/>
    <n v="5"/>
    <n v="0.13"/>
    <s v="Comedy"/>
  </r>
  <r>
    <s v="59631c00-9348-44af-a232-40e34ec07c22"/>
    <n v="35"/>
    <s v="Female"/>
    <s v="Basic"/>
    <n v="6.03"/>
    <x v="53"/>
    <x v="1"/>
    <x v="1"/>
    <n v="8.99"/>
    <n v="1"/>
    <n v="8.99"/>
    <x v="4"/>
    <n v="3"/>
    <n v="0.14000000000000001"/>
    <s v="Drama"/>
  </r>
  <r>
    <s v="2b59d33a-1b53-4131-a0d5-4d3e56e07d85"/>
    <n v="29"/>
    <s v="Other"/>
    <s v="Standard"/>
    <n v="1.6"/>
    <x v="13"/>
    <x v="2"/>
    <x v="4"/>
    <n v="13.99"/>
    <n v="0"/>
    <n v="0"/>
    <x v="2"/>
    <n v="4"/>
    <n v="0.2"/>
    <s v="Sci-Fi"/>
  </r>
  <r>
    <s v="1f736007-b6d2-447a-840d-89c0ee65629b"/>
    <n v="42"/>
    <s v="Other"/>
    <s v="Premium"/>
    <n v="9.19"/>
    <x v="59"/>
    <x v="4"/>
    <x v="1"/>
    <n v="17.989999999999998"/>
    <n v="0"/>
    <n v="0"/>
    <x v="3"/>
    <n v="5"/>
    <n v="1.53"/>
    <s v="Horror"/>
  </r>
  <r>
    <s v="02421d84-5f78-429d-a2f6-be81c656dc0a"/>
    <n v="20"/>
    <s v="Male"/>
    <s v="Basic"/>
    <n v="16.96"/>
    <x v="23"/>
    <x v="5"/>
    <x v="4"/>
    <n v="8.99"/>
    <n v="1"/>
    <n v="8.99"/>
    <x v="0"/>
    <n v="1"/>
    <n v="0.31"/>
    <s v="Action"/>
  </r>
  <r>
    <s v="797e3a2d-50ad-478d-9f62-48f49771dd87"/>
    <n v="44"/>
    <s v="Other"/>
    <s v="Basic"/>
    <n v="1.06"/>
    <x v="42"/>
    <x v="2"/>
    <x v="3"/>
    <n v="8.99"/>
    <n v="1"/>
    <n v="8.99"/>
    <x v="1"/>
    <n v="1"/>
    <n v="0.03"/>
    <s v="Comedy"/>
  </r>
  <r>
    <s v="98850d40-9bb7-46e5-bf51-9c36ff13ccf1"/>
    <n v="54"/>
    <s v="Female"/>
    <s v="Standard"/>
    <n v="6.61"/>
    <x v="5"/>
    <x v="3"/>
    <x v="4"/>
    <n v="13.99"/>
    <n v="0"/>
    <n v="0"/>
    <x v="0"/>
    <n v="3"/>
    <n v="0.24"/>
    <s v="Action"/>
  </r>
  <r>
    <s v="6df50497-d522-4c9e-ae35-b570fc2656cf"/>
    <n v="66"/>
    <s v="Female"/>
    <s v="Premium"/>
    <n v="20.010000000000002"/>
    <x v="41"/>
    <x v="0"/>
    <x v="4"/>
    <n v="17.989999999999998"/>
    <n v="0"/>
    <n v="0"/>
    <x v="3"/>
    <n v="2"/>
    <n v="0.65"/>
    <s v="Horror"/>
  </r>
  <r>
    <s v="1e7bde1f-8158-40b9-9aa5-97cf0312ed3f"/>
    <n v="60"/>
    <s v="Other"/>
    <s v="Basic"/>
    <n v="9.99"/>
    <x v="8"/>
    <x v="1"/>
    <x v="0"/>
    <n v="8.99"/>
    <n v="1"/>
    <n v="8.99"/>
    <x v="3"/>
    <n v="3"/>
    <n v="0.28999999999999998"/>
    <s v="Drama"/>
  </r>
  <r>
    <s v="5bc33d7d-2258-438c-9c77-7cfb0af09acb"/>
    <n v="21"/>
    <s v="Other"/>
    <s v="Premium"/>
    <n v="8.5299999999999994"/>
    <x v="9"/>
    <x v="1"/>
    <x v="2"/>
    <n v="17.989999999999998"/>
    <n v="1"/>
    <n v="17.989999999999998"/>
    <x v="1"/>
    <n v="4"/>
    <n v="0.23"/>
    <s v="Romance"/>
  </r>
  <r>
    <s v="e40b9738-ff59-46b5-a2bb-3dc95a2a429c"/>
    <n v="51"/>
    <s v="Female"/>
    <s v="Premium"/>
    <n v="4.9000000000000004"/>
    <x v="11"/>
    <x v="3"/>
    <x v="3"/>
    <n v="17.989999999999998"/>
    <n v="1"/>
    <n v="17.989999999999998"/>
    <x v="0"/>
    <n v="5"/>
    <n v="0.2"/>
    <s v="Comedy"/>
  </r>
  <r>
    <s v="12fa97b3-078a-4a97-b338-f130fb3762a4"/>
    <n v="41"/>
    <s v="Male"/>
    <s v="Standard"/>
    <n v="8.6"/>
    <x v="58"/>
    <x v="0"/>
    <x v="1"/>
    <n v="13.99"/>
    <n v="1"/>
    <n v="13.99"/>
    <x v="3"/>
    <n v="2"/>
    <n v="0.18"/>
    <s v="Action"/>
  </r>
  <r>
    <s v="1753bc3c-d5f3-4507-bbc9-3d8d2de87bf6"/>
    <n v="36"/>
    <s v="Male"/>
    <s v="Premium"/>
    <n v="13.68"/>
    <x v="47"/>
    <x v="4"/>
    <x v="4"/>
    <n v="17.989999999999998"/>
    <n v="0"/>
    <n v="0"/>
    <x v="1"/>
    <n v="3"/>
    <n v="3.42"/>
    <s v="Comedy"/>
  </r>
  <r>
    <s v="b13b45b8-9130-4222-aced-db116c542c50"/>
    <n v="36"/>
    <s v="Male"/>
    <s v="Premium"/>
    <n v="7.25"/>
    <x v="9"/>
    <x v="3"/>
    <x v="4"/>
    <n v="17.989999999999998"/>
    <n v="0"/>
    <n v="0"/>
    <x v="4"/>
    <n v="5"/>
    <n v="0.2"/>
    <s v="Comedy"/>
  </r>
  <r>
    <s v="5843bccd-c8a2-4294-b541-85481a633beb"/>
    <n v="54"/>
    <s v="Male"/>
    <s v="Premium"/>
    <n v="2.2799999999999998"/>
    <x v="58"/>
    <x v="2"/>
    <x v="4"/>
    <n v="17.989999999999998"/>
    <n v="1"/>
    <n v="17.989999999999998"/>
    <x v="1"/>
    <n v="3"/>
    <n v="0.05"/>
    <s v="Drama"/>
  </r>
  <r>
    <s v="56e385b7-755f-4c91-917e-0a5a60db358a"/>
    <n v="31"/>
    <s v="Other"/>
    <s v="Standard"/>
    <n v="18.09"/>
    <x v="8"/>
    <x v="1"/>
    <x v="0"/>
    <n v="13.99"/>
    <n v="0"/>
    <n v="0"/>
    <x v="0"/>
    <n v="4"/>
    <n v="0.52"/>
    <s v="Action"/>
  </r>
  <r>
    <s v="f2477cdd-25e4-47c2-8b0e-2194e62a4ea2"/>
    <n v="64"/>
    <s v="Female"/>
    <s v="Premium"/>
    <n v="9.3699999999999992"/>
    <x v="27"/>
    <x v="4"/>
    <x v="4"/>
    <n v="17.989999999999998"/>
    <n v="0"/>
    <n v="0"/>
    <x v="1"/>
    <n v="5"/>
    <n v="0.55000000000000004"/>
    <s v="Drama"/>
  </r>
  <r>
    <s v="153d426a-bfd4-47d8-9821-a84a5e9fee7b"/>
    <n v="55"/>
    <s v="Female"/>
    <s v="Basic"/>
    <n v="11.36"/>
    <x v="25"/>
    <x v="5"/>
    <x v="2"/>
    <n v="8.99"/>
    <n v="0"/>
    <n v="0"/>
    <x v="3"/>
    <n v="4"/>
    <n v="11.36"/>
    <s v="Comedy"/>
  </r>
  <r>
    <s v="b512a9aa-3832-4ec2-bfc0-65cec94afd68"/>
    <n v="51"/>
    <s v="Female"/>
    <s v="Basic"/>
    <n v="6.21"/>
    <x v="15"/>
    <x v="4"/>
    <x v="0"/>
    <n v="8.99"/>
    <n v="1"/>
    <n v="8.99"/>
    <x v="2"/>
    <n v="5"/>
    <n v="0.15"/>
    <s v="Sci-Fi"/>
  </r>
  <r>
    <s v="19ef59d2-6a1c-4507-8b4c-8d8fbd68db12"/>
    <n v="66"/>
    <s v="Female"/>
    <s v="Premium"/>
    <n v="1.37"/>
    <x v="9"/>
    <x v="5"/>
    <x v="3"/>
    <n v="17.989999999999998"/>
    <n v="1"/>
    <n v="17.989999999999998"/>
    <x v="3"/>
    <n v="5"/>
    <n v="0.04"/>
    <s v="Action"/>
  </r>
  <r>
    <s v="7ccb2fc4-29ae-47d5-b9ca-c10d7e9dce63"/>
    <n v="57"/>
    <s v="Male"/>
    <s v="Standard"/>
    <n v="8.27"/>
    <x v="55"/>
    <x v="1"/>
    <x v="3"/>
    <n v="13.99"/>
    <n v="0"/>
    <n v="0"/>
    <x v="2"/>
    <n v="4"/>
    <n v="0.14000000000000001"/>
    <s v="Romance"/>
  </r>
  <r>
    <s v="51440c93-aa74-453e-a0ac-0fd9cb25409f"/>
    <n v="68"/>
    <s v="Female"/>
    <s v="Standard"/>
    <n v="26.58"/>
    <x v="9"/>
    <x v="3"/>
    <x v="3"/>
    <n v="13.99"/>
    <n v="0"/>
    <n v="0"/>
    <x v="2"/>
    <n v="4"/>
    <n v="0.72"/>
    <s v="Romance"/>
  </r>
  <r>
    <s v="d78f5876-1525-463f-9790-58f96401020d"/>
    <n v="31"/>
    <s v="Female"/>
    <s v="Basic"/>
    <n v="9.11"/>
    <x v="48"/>
    <x v="4"/>
    <x v="2"/>
    <n v="8.99"/>
    <n v="1"/>
    <n v="8.99"/>
    <x v="3"/>
    <n v="3"/>
    <n v="0.18"/>
    <s v="Comedy"/>
  </r>
  <r>
    <s v="b4a4ef53-4da5-4b3a-818d-7a2db7b6dc3c"/>
    <n v="39"/>
    <s v="Other"/>
    <s v="Premium"/>
    <n v="12.34"/>
    <x v="41"/>
    <x v="0"/>
    <x v="0"/>
    <n v="17.989999999999998"/>
    <n v="0"/>
    <n v="0"/>
    <x v="2"/>
    <n v="5"/>
    <n v="0.4"/>
    <s v="Comedy"/>
  </r>
  <r>
    <s v="5e5dcb10-52c2-4611-b0a2-c083f94dde3c"/>
    <n v="31"/>
    <s v="Female"/>
    <s v="Basic"/>
    <n v="6.71"/>
    <x v="13"/>
    <x v="4"/>
    <x v="4"/>
    <n v="8.99"/>
    <n v="0"/>
    <n v="0"/>
    <x v="1"/>
    <n v="5"/>
    <n v="0.84"/>
    <s v="Sci-Fi"/>
  </r>
  <r>
    <s v="0244ba1e-f643-4f1a-9ed1-2531650a2ace"/>
    <n v="63"/>
    <s v="Male"/>
    <s v="Standard"/>
    <n v="8.51"/>
    <x v="22"/>
    <x v="4"/>
    <x v="2"/>
    <n v="13.99"/>
    <n v="1"/>
    <n v="13.99"/>
    <x v="0"/>
    <n v="4"/>
    <n v="0.15"/>
    <s v="Sci-Fi"/>
  </r>
  <r>
    <s v="43c345f1-1534-4f02-afed-866b3515059b"/>
    <n v="46"/>
    <s v="Female"/>
    <s v="Basic"/>
    <n v="6.75"/>
    <x v="42"/>
    <x v="4"/>
    <x v="3"/>
    <n v="8.99"/>
    <n v="1"/>
    <n v="8.99"/>
    <x v="0"/>
    <n v="2"/>
    <n v="0.18"/>
    <s v="Comedy"/>
  </r>
  <r>
    <s v="31a08a9f-e3b2-46ed-80fc-4cdc63f2e593"/>
    <n v="22"/>
    <s v="Male"/>
    <s v="Standard"/>
    <n v="7.67"/>
    <x v="23"/>
    <x v="4"/>
    <x v="0"/>
    <n v="13.99"/>
    <n v="1"/>
    <n v="13.99"/>
    <x v="1"/>
    <n v="3"/>
    <n v="0.14000000000000001"/>
    <s v="Documentary"/>
  </r>
  <r>
    <s v="0abfd213-ef70-4c96-979a-95401f2d222a"/>
    <n v="59"/>
    <s v="Other"/>
    <s v="Premium"/>
    <n v="16.600000000000001"/>
    <x v="11"/>
    <x v="2"/>
    <x v="2"/>
    <n v="17.989999999999998"/>
    <n v="0"/>
    <n v="0"/>
    <x v="1"/>
    <n v="3"/>
    <n v="0.69"/>
    <s v="Drama"/>
  </r>
  <r>
    <s v="9318ddca-73d1-425f-8cf2-180b30bf5c37"/>
    <n v="36"/>
    <s v="Female"/>
    <s v="Standard"/>
    <n v="22.11"/>
    <x v="21"/>
    <x v="1"/>
    <x v="2"/>
    <n v="13.99"/>
    <n v="0"/>
    <n v="0"/>
    <x v="4"/>
    <n v="4"/>
    <n v="3.16"/>
    <s v="Action"/>
  </r>
  <r>
    <s v="e95ba0a7-3085-4358-9fac-b404fdb198b3"/>
    <n v="55"/>
    <s v="Other"/>
    <s v="Premium"/>
    <n v="0.44"/>
    <x v="16"/>
    <x v="3"/>
    <x v="0"/>
    <n v="17.989999999999998"/>
    <n v="1"/>
    <n v="17.989999999999998"/>
    <x v="1"/>
    <n v="3"/>
    <n v="0.02"/>
    <s v="Drama"/>
  </r>
  <r>
    <s v="5405f752-cb3f-4f59-9206-4e7cdc662738"/>
    <n v="58"/>
    <s v="Other"/>
    <s v="Basic"/>
    <n v="37.24"/>
    <x v="60"/>
    <x v="1"/>
    <x v="0"/>
    <n v="8.99"/>
    <n v="0"/>
    <n v="0"/>
    <x v="0"/>
    <n v="3"/>
    <n v="4.1399999999999997"/>
    <s v="Romance"/>
  </r>
  <r>
    <s v="bfb8411b-0e6a-4f69-b072-24ed44cc094e"/>
    <n v="57"/>
    <s v="Other"/>
    <s v="Basic"/>
    <n v="10.24"/>
    <x v="1"/>
    <x v="0"/>
    <x v="0"/>
    <n v="8.99"/>
    <n v="0"/>
    <n v="0"/>
    <x v="3"/>
    <n v="2"/>
    <n v="0.51"/>
    <s v="Comedy"/>
  </r>
  <r>
    <s v="9fbafa7f-e3de-4166-b71b-e4bc230715a5"/>
    <n v="67"/>
    <s v="Other"/>
    <s v="Premium"/>
    <n v="28.86"/>
    <x v="30"/>
    <x v="4"/>
    <x v="2"/>
    <n v="17.989999999999998"/>
    <n v="0"/>
    <n v="0"/>
    <x v="0"/>
    <n v="2"/>
    <n v="14.43"/>
    <s v="Drama"/>
  </r>
  <r>
    <s v="575e8cef-5ce2-4bbc-80a0-bdf68bd29505"/>
    <n v="54"/>
    <s v="Male"/>
    <s v="Basic"/>
    <n v="25.24"/>
    <x v="19"/>
    <x v="4"/>
    <x v="0"/>
    <n v="8.99"/>
    <n v="0"/>
    <n v="0"/>
    <x v="2"/>
    <n v="5"/>
    <n v="0.56999999999999995"/>
    <s v="Comedy"/>
  </r>
  <r>
    <s v="17bd8bda-c161-413a-bb7d-8453978c974b"/>
    <n v="46"/>
    <s v="Male"/>
    <s v="Premium"/>
    <n v="1.48"/>
    <x v="2"/>
    <x v="2"/>
    <x v="4"/>
    <n v="17.989999999999998"/>
    <n v="0"/>
    <n v="0"/>
    <x v="4"/>
    <n v="4"/>
    <n v="0.13"/>
    <s v="Romance"/>
  </r>
  <r>
    <s v="a36af881-f75f-42aa-bb55-aa8f43cd2c1f"/>
    <n v="37"/>
    <s v="Male"/>
    <s v="Standard"/>
    <n v="5.43"/>
    <x v="44"/>
    <x v="0"/>
    <x v="0"/>
    <n v="13.99"/>
    <n v="0"/>
    <n v="0"/>
    <x v="3"/>
    <n v="5"/>
    <n v="0.12"/>
    <s v="Documentary"/>
  </r>
  <r>
    <s v="dd222a27-27ab-459a-994a-8c5ad58ddeeb"/>
    <n v="60"/>
    <s v="Other"/>
    <s v="Basic"/>
    <n v="6.84"/>
    <x v="15"/>
    <x v="5"/>
    <x v="4"/>
    <n v="8.99"/>
    <n v="1"/>
    <n v="8.99"/>
    <x v="1"/>
    <n v="2"/>
    <n v="0.17"/>
    <s v="Sci-Fi"/>
  </r>
  <r>
    <s v="9216acf7-bc86-44f9-95d5-2d5e96d459d4"/>
    <n v="61"/>
    <s v="Female"/>
    <s v="Premium"/>
    <n v="1.3"/>
    <x v="35"/>
    <x v="5"/>
    <x v="1"/>
    <n v="17.989999999999998"/>
    <n v="1"/>
    <n v="17.989999999999998"/>
    <x v="3"/>
    <n v="5"/>
    <n v="0.03"/>
    <s v="Romance"/>
  </r>
  <r>
    <s v="1b673fc7-2b1b-4f12-ae55-6f61e739c483"/>
    <n v="59"/>
    <s v="Male"/>
    <s v="Standard"/>
    <n v="17.329999999999998"/>
    <x v="55"/>
    <x v="3"/>
    <x v="0"/>
    <n v="13.99"/>
    <n v="0"/>
    <n v="0"/>
    <x v="2"/>
    <n v="5"/>
    <n v="0.28999999999999998"/>
    <s v="Comedy"/>
  </r>
  <r>
    <s v="8643fbb4-e91f-40d3-bb3d-9da4cf47d8d2"/>
    <n v="20"/>
    <s v="Male"/>
    <s v="Basic"/>
    <n v="0.61"/>
    <x v="47"/>
    <x v="2"/>
    <x v="2"/>
    <n v="8.99"/>
    <n v="1"/>
    <n v="8.99"/>
    <x v="3"/>
    <n v="3"/>
    <n v="0.15"/>
    <s v="Documentary"/>
  </r>
  <r>
    <s v="efa05e12-91f5-4de0-886d-7efe2b13e3df"/>
    <n v="47"/>
    <s v="Female"/>
    <s v="Premium"/>
    <n v="2.2000000000000002"/>
    <x v="36"/>
    <x v="3"/>
    <x v="0"/>
    <n v="17.989999999999998"/>
    <n v="1"/>
    <n v="17.989999999999998"/>
    <x v="2"/>
    <n v="2"/>
    <n v="0.06"/>
    <s v="Comedy"/>
  </r>
  <r>
    <s v="de40d774-89d7-43ef-81f2-a845c85cb3a3"/>
    <n v="69"/>
    <s v="Male"/>
    <s v="Basic"/>
    <n v="5.31"/>
    <x v="24"/>
    <x v="4"/>
    <x v="1"/>
    <n v="8.99"/>
    <n v="1"/>
    <n v="8.99"/>
    <x v="3"/>
    <n v="4"/>
    <n v="0.1"/>
    <s v="Action"/>
  </r>
  <r>
    <s v="e3b0394b-c1e2-4d2a-8f3e-881750fa9401"/>
    <n v="65"/>
    <s v="Other"/>
    <s v="Standard"/>
    <n v="28.56"/>
    <x v="20"/>
    <x v="0"/>
    <x v="2"/>
    <n v="13.99"/>
    <n v="0"/>
    <n v="0"/>
    <x v="1"/>
    <n v="4"/>
    <n v="1.5"/>
    <s v="Documentary"/>
  </r>
  <r>
    <s v="c42c3176-bb7e-411d-a769-0b2ad9e8ed2a"/>
    <n v="58"/>
    <s v="Female"/>
    <s v="Premium"/>
    <n v="16.329999999999998"/>
    <x v="19"/>
    <x v="1"/>
    <x v="2"/>
    <n v="17.989999999999998"/>
    <n v="1"/>
    <n v="17.989999999999998"/>
    <x v="0"/>
    <n v="1"/>
    <n v="0.37"/>
    <s v="Comedy"/>
  </r>
  <r>
    <s v="433c3f13-1127-42b6-bff7-8801b71cdaf6"/>
    <n v="36"/>
    <s v="Other"/>
    <s v="Basic"/>
    <n v="5.39"/>
    <x v="17"/>
    <x v="2"/>
    <x v="4"/>
    <n v="8.99"/>
    <n v="0"/>
    <n v="0"/>
    <x v="2"/>
    <n v="2"/>
    <n v="1.08"/>
    <s v="Drama"/>
  </r>
  <r>
    <s v="e8e4d4ec-8d71-4f31-9a49-18b68cb209b8"/>
    <n v="32"/>
    <s v="Other"/>
    <s v="Premium"/>
    <n v="9.15"/>
    <x v="56"/>
    <x v="1"/>
    <x v="4"/>
    <n v="17.989999999999998"/>
    <n v="1"/>
    <n v="17.989999999999998"/>
    <x v="4"/>
    <n v="2"/>
    <n v="0.16"/>
    <s v="Romance"/>
  </r>
  <r>
    <s v="3b6ad87b-8320-46b3-8cd0-ba38c3def845"/>
    <n v="63"/>
    <s v="Other"/>
    <s v="Standard"/>
    <n v="1.77"/>
    <x v="7"/>
    <x v="5"/>
    <x v="1"/>
    <n v="13.99"/>
    <n v="1"/>
    <n v="13.99"/>
    <x v="2"/>
    <n v="5"/>
    <n v="0.03"/>
    <s v="Horror"/>
  </r>
  <r>
    <s v="b239abd3-b75b-4da5-9794-0de700a9d4a7"/>
    <n v="67"/>
    <s v="Other"/>
    <s v="Basic"/>
    <n v="25.25"/>
    <x v="33"/>
    <x v="2"/>
    <x v="0"/>
    <n v="8.99"/>
    <n v="0"/>
    <n v="0"/>
    <x v="2"/>
    <n v="3"/>
    <n v="0.97"/>
    <s v="Comedy"/>
  </r>
  <r>
    <s v="87dd331e-af28-4193-ad16-3fa4dde9f4df"/>
    <n v="43"/>
    <s v="Female"/>
    <s v="Basic"/>
    <n v="15.64"/>
    <x v="60"/>
    <x v="3"/>
    <x v="1"/>
    <n v="8.99"/>
    <n v="0"/>
    <n v="0"/>
    <x v="2"/>
    <n v="1"/>
    <n v="1.74"/>
    <s v="Action"/>
  </r>
  <r>
    <s v="1a222df2-070f-4549-b164-a9baa2bbdafe"/>
    <n v="52"/>
    <s v="Other"/>
    <s v="Basic"/>
    <n v="5.56"/>
    <x v="26"/>
    <x v="0"/>
    <x v="3"/>
    <n v="8.99"/>
    <n v="1"/>
    <n v="8.99"/>
    <x v="3"/>
    <n v="1"/>
    <n v="0.11"/>
    <s v="Romance"/>
  </r>
  <r>
    <s v="dd06b1e7-368e-4a14-9c4b-1167e1751312"/>
    <n v="57"/>
    <s v="Other"/>
    <s v="Standard"/>
    <n v="35.520000000000003"/>
    <x v="3"/>
    <x v="3"/>
    <x v="1"/>
    <n v="13.99"/>
    <n v="0"/>
    <n v="0"/>
    <x v="2"/>
    <n v="4"/>
    <n v="2.73"/>
    <s v="Comedy"/>
  </r>
  <r>
    <s v="bdeb4f47-097c-49b8-956a-d9fa25802324"/>
    <n v="21"/>
    <s v="Other"/>
    <s v="Premium"/>
    <n v="6.27"/>
    <x v="23"/>
    <x v="5"/>
    <x v="3"/>
    <n v="17.989999999999998"/>
    <n v="1"/>
    <n v="17.989999999999998"/>
    <x v="1"/>
    <n v="5"/>
    <n v="0.12"/>
    <s v="Romance"/>
  </r>
  <r>
    <s v="23983a3b-9ddb-44ee-b02d-7128ffc31a36"/>
    <n v="56"/>
    <s v="Other"/>
    <s v="Premium"/>
    <n v="9.9600000000000009"/>
    <x v="48"/>
    <x v="3"/>
    <x v="4"/>
    <n v="17.989999999999998"/>
    <n v="1"/>
    <n v="17.989999999999998"/>
    <x v="0"/>
    <n v="3"/>
    <n v="0.19"/>
    <s v="Drama"/>
  </r>
  <r>
    <s v="1f21093e-a068-4fd4-a23a-3bdbe2a2ac90"/>
    <n v="64"/>
    <s v="Female"/>
    <s v="Standard"/>
    <n v="0.02"/>
    <x v="9"/>
    <x v="4"/>
    <x v="0"/>
    <n v="13.99"/>
    <n v="1"/>
    <n v="13.99"/>
    <x v="0"/>
    <n v="3"/>
    <n v="0"/>
    <s v="Documentary"/>
  </r>
  <r>
    <s v="452e1227-fdcd-4f2a-b51d-93c972870576"/>
    <n v="54"/>
    <s v="Male"/>
    <s v="Basic"/>
    <n v="20"/>
    <x v="29"/>
    <x v="1"/>
    <x v="3"/>
    <n v="8.99"/>
    <n v="1"/>
    <n v="8.99"/>
    <x v="4"/>
    <n v="2"/>
    <n v="0.43"/>
    <s v="Romance"/>
  </r>
  <r>
    <s v="f53aabeb-9951-48d4-a47c-ee92be30b9ef"/>
    <n v="62"/>
    <s v="Female"/>
    <s v="Premium"/>
    <n v="3.99"/>
    <x v="33"/>
    <x v="4"/>
    <x v="0"/>
    <n v="17.989999999999998"/>
    <n v="1"/>
    <n v="17.989999999999998"/>
    <x v="1"/>
    <n v="5"/>
    <n v="0.15"/>
    <s v="Documentary"/>
  </r>
  <r>
    <s v="d0478dc6-40b3-4217-b23b-1e5d368d99e3"/>
    <n v="63"/>
    <s v="Male"/>
    <s v="Standard"/>
    <n v="2.31"/>
    <x v="0"/>
    <x v="3"/>
    <x v="2"/>
    <n v="13.99"/>
    <n v="1"/>
    <n v="13.99"/>
    <x v="0"/>
    <n v="2"/>
    <n v="0.08"/>
    <s v="Romance"/>
  </r>
  <r>
    <s v="9b97bbce-cee3-4f9f-929a-91a55540665a"/>
    <n v="69"/>
    <s v="Female"/>
    <s v="Standard"/>
    <n v="10.33"/>
    <x v="53"/>
    <x v="1"/>
    <x v="4"/>
    <n v="13.99"/>
    <n v="1"/>
    <n v="13.99"/>
    <x v="2"/>
    <n v="3"/>
    <n v="0.24"/>
    <s v="Action"/>
  </r>
  <r>
    <s v="1a4dc981-f642-40e7-be57-eb92abdce2cd"/>
    <n v="38"/>
    <s v="Other"/>
    <s v="Premium"/>
    <n v="0.55000000000000004"/>
    <x v="47"/>
    <x v="0"/>
    <x v="3"/>
    <n v="17.989999999999998"/>
    <n v="1"/>
    <n v="17.989999999999998"/>
    <x v="2"/>
    <n v="1"/>
    <n v="0.14000000000000001"/>
    <s v="Documentary"/>
  </r>
  <r>
    <s v="789522f8-c4a7-458c-8303-68262a0f458a"/>
    <n v="69"/>
    <s v="Female"/>
    <s v="Standard"/>
    <n v="9.14"/>
    <x v="26"/>
    <x v="4"/>
    <x v="2"/>
    <n v="13.99"/>
    <n v="0"/>
    <n v="0"/>
    <x v="2"/>
    <n v="5"/>
    <n v="0.19"/>
    <s v="Action"/>
  </r>
  <r>
    <s v="ca235c75-ef56-4b6e-b147-144484fc7a68"/>
    <n v="18"/>
    <s v="Female"/>
    <s v="Basic"/>
    <n v="4.37"/>
    <x v="44"/>
    <x v="1"/>
    <x v="0"/>
    <n v="8.99"/>
    <n v="1"/>
    <n v="8.99"/>
    <x v="3"/>
    <n v="1"/>
    <n v="0.09"/>
    <s v="Action"/>
  </r>
  <r>
    <s v="e7be6384-c0d8-4762-8490-1242e245f14a"/>
    <n v="26"/>
    <s v="Male"/>
    <s v="Standard"/>
    <n v="10.42"/>
    <x v="54"/>
    <x v="4"/>
    <x v="2"/>
    <n v="13.99"/>
    <n v="0"/>
    <n v="0"/>
    <x v="1"/>
    <n v="1"/>
    <n v="0.36"/>
    <s v="Comedy"/>
  </r>
  <r>
    <s v="530f7589-89c5-487c-a14a-d1500bb9fc21"/>
    <n v="44"/>
    <s v="Female"/>
    <s v="Standard"/>
    <n v="3.08"/>
    <x v="56"/>
    <x v="2"/>
    <x v="0"/>
    <n v="13.99"/>
    <n v="1"/>
    <n v="13.99"/>
    <x v="3"/>
    <n v="1"/>
    <n v="0.05"/>
    <s v="Romance"/>
  </r>
  <r>
    <s v="cc1eecc4-1916-4342-9400-b18c036d98e5"/>
    <n v="43"/>
    <s v="Female"/>
    <s v="Standard"/>
    <n v="1.86"/>
    <x v="24"/>
    <x v="2"/>
    <x v="4"/>
    <n v="13.99"/>
    <n v="1"/>
    <n v="13.99"/>
    <x v="0"/>
    <n v="3"/>
    <n v="0.04"/>
    <s v="Comedy"/>
  </r>
  <r>
    <s v="8629cc72-e810-4acd-89b5-51614d21b070"/>
    <n v="39"/>
    <s v="Female"/>
    <s v="Standard"/>
    <n v="6.5"/>
    <x v="3"/>
    <x v="2"/>
    <x v="4"/>
    <n v="13.99"/>
    <n v="0"/>
    <n v="0"/>
    <x v="1"/>
    <n v="4"/>
    <n v="0.5"/>
    <s v="Sci-Fi"/>
  </r>
  <r>
    <s v="fa0f95cd-a763-4ca0-b86c-dc7d1e93f8a9"/>
    <n v="70"/>
    <s v="Other"/>
    <s v="Basic"/>
    <n v="9.65"/>
    <x v="3"/>
    <x v="5"/>
    <x v="3"/>
    <n v="8.99"/>
    <n v="0"/>
    <n v="0"/>
    <x v="1"/>
    <n v="5"/>
    <n v="0.74"/>
    <s v="Documentary"/>
  </r>
  <r>
    <s v="f58d7d36-bc85-44c4-b74a-e7de9cf5104a"/>
    <n v="19"/>
    <s v="Female"/>
    <s v="Premium"/>
    <n v="0.1"/>
    <x v="37"/>
    <x v="0"/>
    <x v="1"/>
    <n v="17.989999999999998"/>
    <n v="0"/>
    <n v="0"/>
    <x v="2"/>
    <n v="5"/>
    <n v="0"/>
    <s v="Sci-Fi"/>
  </r>
  <r>
    <s v="094fe1ea-c59b-434b-afd9-be895740dea7"/>
    <n v="23"/>
    <s v="Other"/>
    <s v="Premium"/>
    <n v="33.47"/>
    <x v="0"/>
    <x v="1"/>
    <x v="2"/>
    <n v="17.989999999999998"/>
    <n v="0"/>
    <n v="0"/>
    <x v="3"/>
    <n v="3"/>
    <n v="1.1200000000000001"/>
    <s v="Romance"/>
  </r>
  <r>
    <s v="a35dfad2-b67f-40ea-871c-37c1ec686bda"/>
    <n v="39"/>
    <s v="Female"/>
    <s v="Premium"/>
    <n v="4.67"/>
    <x v="49"/>
    <x v="3"/>
    <x v="0"/>
    <n v="17.989999999999998"/>
    <n v="1"/>
    <n v="17.989999999999998"/>
    <x v="1"/>
    <n v="3"/>
    <n v="0.47"/>
    <s v="Sci-Fi"/>
  </r>
  <r>
    <s v="234a89e9-0793-4c4b-8855-8afaf76b3bc7"/>
    <n v="19"/>
    <s v="Female"/>
    <s v="Premium"/>
    <n v="1.73"/>
    <x v="39"/>
    <x v="3"/>
    <x v="2"/>
    <n v="17.989999999999998"/>
    <n v="1"/>
    <n v="17.989999999999998"/>
    <x v="4"/>
    <n v="3"/>
    <n v="0.08"/>
    <s v="Sci-Fi"/>
  </r>
  <r>
    <s v="7a889b45-8ea4-416d-b58f-d38b5eb7ea45"/>
    <n v="30"/>
    <s v="Male"/>
    <s v="Basic"/>
    <n v="0.25"/>
    <x v="0"/>
    <x v="1"/>
    <x v="4"/>
    <n v="8.99"/>
    <n v="1"/>
    <n v="8.99"/>
    <x v="0"/>
    <n v="2"/>
    <n v="0.01"/>
    <s v="Comedy"/>
  </r>
  <r>
    <s v="6818695a-d9b5-47c0-98dc-c1b0c1c379ce"/>
    <n v="22"/>
    <s v="Other"/>
    <s v="Premium"/>
    <n v="17.649999999999999"/>
    <x v="49"/>
    <x v="0"/>
    <x v="0"/>
    <n v="17.989999999999998"/>
    <n v="0"/>
    <n v="0"/>
    <x v="3"/>
    <n v="2"/>
    <n v="1.76"/>
    <s v="Drama"/>
  </r>
  <r>
    <s v="0cff8cd5-ab3c-4116-8edb-fa314b5a3273"/>
    <n v="56"/>
    <s v="Male"/>
    <s v="Standard"/>
    <n v="0.49"/>
    <x v="35"/>
    <x v="1"/>
    <x v="0"/>
    <n v="13.99"/>
    <n v="1"/>
    <n v="13.99"/>
    <x v="0"/>
    <n v="3"/>
    <n v="0.01"/>
    <s v="Romance"/>
  </r>
  <r>
    <s v="2774bcf2-ddec-44c9-a3bc-ff87a8a96dee"/>
    <n v="61"/>
    <s v="Male"/>
    <s v="Standard"/>
    <n v="83.55"/>
    <x v="33"/>
    <x v="4"/>
    <x v="3"/>
    <n v="13.99"/>
    <n v="0"/>
    <n v="0"/>
    <x v="2"/>
    <n v="5"/>
    <n v="3.21"/>
    <s v="Romance"/>
  </r>
  <r>
    <s v="eb0251cf-302e-4e08-a31d-a9a5ab2baef3"/>
    <n v="24"/>
    <s v="Other"/>
    <s v="Basic"/>
    <n v="1.25"/>
    <x v="16"/>
    <x v="4"/>
    <x v="3"/>
    <n v="8.99"/>
    <n v="1"/>
    <n v="8.99"/>
    <x v="4"/>
    <n v="2"/>
    <n v="0.04"/>
    <s v="Action"/>
  </r>
  <r>
    <s v="e001f24e-444b-4781-84bf-a90a3b374710"/>
    <n v="26"/>
    <s v="Female"/>
    <s v="Basic"/>
    <n v="11.36"/>
    <x v="39"/>
    <x v="0"/>
    <x v="2"/>
    <n v="8.99"/>
    <n v="0"/>
    <n v="0"/>
    <x v="3"/>
    <n v="2"/>
    <n v="0.49"/>
    <s v="Horror"/>
  </r>
  <r>
    <s v="83913311-e86f-4750-98dc-e9d4bf78e544"/>
    <n v="47"/>
    <s v="Other"/>
    <s v="Standard"/>
    <n v="19.899999999999999"/>
    <x v="43"/>
    <x v="4"/>
    <x v="4"/>
    <n v="13.99"/>
    <n v="0"/>
    <n v="0"/>
    <x v="3"/>
    <n v="2"/>
    <n v="0.62"/>
    <s v="Romance"/>
  </r>
  <r>
    <s v="463a6397-5c89-4ad4-8d08-f9c6e3081f25"/>
    <n v="66"/>
    <s v="Other"/>
    <s v="Standard"/>
    <n v="4.41"/>
    <x v="26"/>
    <x v="2"/>
    <x v="1"/>
    <n v="13.99"/>
    <n v="1"/>
    <n v="13.99"/>
    <x v="0"/>
    <n v="5"/>
    <n v="0.09"/>
    <s v="Sci-Fi"/>
  </r>
  <r>
    <s v="7dae8155-8114-4ead-acab-712cdb9fecda"/>
    <n v="36"/>
    <s v="Female"/>
    <s v="Standard"/>
    <n v="9.16"/>
    <x v="58"/>
    <x v="4"/>
    <x v="3"/>
    <n v="13.99"/>
    <n v="1"/>
    <n v="13.99"/>
    <x v="1"/>
    <n v="5"/>
    <n v="0.19"/>
    <s v="Action"/>
  </r>
  <r>
    <s v="1d0e9016-5635-4615-b5aa-defaadffcc7f"/>
    <n v="49"/>
    <s v="Male"/>
    <s v="Standard"/>
    <n v="15.37"/>
    <x v="8"/>
    <x v="1"/>
    <x v="2"/>
    <n v="13.99"/>
    <n v="0"/>
    <n v="0"/>
    <x v="3"/>
    <n v="5"/>
    <n v="0.44"/>
    <s v="Action"/>
  </r>
  <r>
    <s v="4d84f911-ed8d-42bd-a583-924e3b9dafd8"/>
    <n v="69"/>
    <s v="Female"/>
    <s v="Standard"/>
    <n v="4.5599999999999996"/>
    <x v="42"/>
    <x v="4"/>
    <x v="0"/>
    <n v="13.99"/>
    <n v="1"/>
    <n v="13.99"/>
    <x v="3"/>
    <n v="2"/>
    <n v="0.12"/>
    <s v="Drama"/>
  </r>
  <r>
    <s v="0a77605c-e86e-4b72-91a1-7a49969c1ac1"/>
    <n v="18"/>
    <s v="Female"/>
    <s v="Basic"/>
    <n v="7.65"/>
    <x v="52"/>
    <x v="1"/>
    <x v="3"/>
    <n v="8.99"/>
    <n v="1"/>
    <n v="8.99"/>
    <x v="2"/>
    <n v="1"/>
    <n v="0.15"/>
    <s v="Drama"/>
  </r>
  <r>
    <s v="17edb2d1-c14b-4e51-a874-2f1658336201"/>
    <n v="29"/>
    <s v="Female"/>
    <s v="Standard"/>
    <n v="6.87"/>
    <x v="16"/>
    <x v="0"/>
    <x v="4"/>
    <n v="13.99"/>
    <n v="0"/>
    <n v="0"/>
    <x v="0"/>
    <n v="4"/>
    <n v="0.25"/>
    <s v="Romance"/>
  </r>
  <r>
    <s v="f8bef0a9-79f7-4d01-9699-f7d9ca36129b"/>
    <n v="49"/>
    <s v="Female"/>
    <s v="Standard"/>
    <n v="30.07"/>
    <x v="8"/>
    <x v="2"/>
    <x v="0"/>
    <n v="13.99"/>
    <n v="0"/>
    <n v="0"/>
    <x v="2"/>
    <n v="4"/>
    <n v="0.86"/>
    <s v="Sci-Fi"/>
  </r>
  <r>
    <s v="5eaaffbf-db92-48f4-88e2-6d0924f6bc9c"/>
    <n v="20"/>
    <s v="Other"/>
    <s v="Premium"/>
    <n v="25.68"/>
    <x v="47"/>
    <x v="2"/>
    <x v="2"/>
    <n v="17.989999999999998"/>
    <n v="0"/>
    <n v="0"/>
    <x v="4"/>
    <n v="5"/>
    <n v="6.42"/>
    <s v="Comedy"/>
  </r>
  <r>
    <s v="b2ec2304-01bd-4336-8a61-f0b0abbba0db"/>
    <n v="70"/>
    <s v="Male"/>
    <s v="Basic"/>
    <n v="2.2200000000000002"/>
    <x v="3"/>
    <x v="2"/>
    <x v="2"/>
    <n v="8.99"/>
    <n v="1"/>
    <n v="8.99"/>
    <x v="3"/>
    <n v="3"/>
    <n v="0.17"/>
    <s v="Romance"/>
  </r>
  <r>
    <s v="1a3b4d35-f6d2-4645-a156-55305464e7ae"/>
    <n v="26"/>
    <s v="Male"/>
    <s v="Premium"/>
    <n v="13.17"/>
    <x v="42"/>
    <x v="4"/>
    <x v="4"/>
    <n v="17.989999999999998"/>
    <n v="0"/>
    <n v="0"/>
    <x v="4"/>
    <n v="4"/>
    <n v="0.35"/>
    <s v="Action"/>
  </r>
  <r>
    <s v="9eec9d5c-6e0e-4796-b55f-75b8b68180b4"/>
    <n v="65"/>
    <s v="Female"/>
    <s v="Standard"/>
    <n v="13.88"/>
    <x v="18"/>
    <x v="3"/>
    <x v="2"/>
    <n v="13.99"/>
    <n v="1"/>
    <n v="13.99"/>
    <x v="1"/>
    <n v="5"/>
    <n v="0.24"/>
    <s v="Comedy"/>
  </r>
  <r>
    <s v="5f426a25-b218-474f-8d86-484cb97d3a29"/>
    <n v="53"/>
    <s v="Other"/>
    <s v="Standard"/>
    <n v="1.55"/>
    <x v="41"/>
    <x v="2"/>
    <x v="2"/>
    <n v="13.99"/>
    <n v="1"/>
    <n v="13.99"/>
    <x v="4"/>
    <n v="3"/>
    <n v="0.05"/>
    <s v="Documentary"/>
  </r>
  <r>
    <s v="c40c9949-8c3e-4002-9ad3-3e98abf9d759"/>
    <n v="33"/>
    <s v="Other"/>
    <s v="Standard"/>
    <n v="11.4"/>
    <x v="53"/>
    <x v="5"/>
    <x v="3"/>
    <n v="13.99"/>
    <n v="1"/>
    <n v="13.99"/>
    <x v="1"/>
    <n v="4"/>
    <n v="0.27"/>
    <s v="Action"/>
  </r>
  <r>
    <s v="629cdfb3-3b30-4a6d-8112-8a323da83e34"/>
    <n v="33"/>
    <s v="Male"/>
    <s v="Standard"/>
    <n v="6.6"/>
    <x v="22"/>
    <x v="1"/>
    <x v="3"/>
    <n v="13.99"/>
    <n v="1"/>
    <n v="13.99"/>
    <x v="0"/>
    <n v="2"/>
    <n v="0.12"/>
    <s v="Documentary"/>
  </r>
  <r>
    <s v="9e095556-c0fe-4ebd-9e42-00fdbd49a5e6"/>
    <n v="19"/>
    <s v="Female"/>
    <s v="Premium"/>
    <n v="8.2899999999999991"/>
    <x v="54"/>
    <x v="1"/>
    <x v="0"/>
    <n v="17.989999999999998"/>
    <n v="0"/>
    <n v="0"/>
    <x v="1"/>
    <n v="5"/>
    <n v="0.28999999999999998"/>
    <s v="Drama"/>
  </r>
  <r>
    <s v="54c05598-365d-4f0a-9053-47c773d60fb0"/>
    <n v="58"/>
    <s v="Male"/>
    <s v="Standard"/>
    <n v="4.38"/>
    <x v="33"/>
    <x v="0"/>
    <x v="4"/>
    <n v="13.99"/>
    <n v="1"/>
    <n v="13.99"/>
    <x v="4"/>
    <n v="1"/>
    <n v="0.17"/>
    <s v="Romance"/>
  </r>
  <r>
    <s v="33b1d71a-a301-4ff5-b31e-e0ae15703dc6"/>
    <n v="63"/>
    <s v="Other"/>
    <s v="Basic"/>
    <n v="14.16"/>
    <x v="29"/>
    <x v="1"/>
    <x v="2"/>
    <n v="8.99"/>
    <n v="1"/>
    <n v="8.99"/>
    <x v="4"/>
    <n v="4"/>
    <n v="0.31"/>
    <s v="Romance"/>
  </r>
  <r>
    <s v="a7e66b70-b8a9-466c-83c2-28f7ee12b1f5"/>
    <n v="50"/>
    <s v="Female"/>
    <s v="Standard"/>
    <n v="23.31"/>
    <x v="59"/>
    <x v="4"/>
    <x v="4"/>
    <n v="13.99"/>
    <n v="0"/>
    <n v="0"/>
    <x v="4"/>
    <n v="1"/>
    <n v="3.88"/>
    <s v="Action"/>
  </r>
  <r>
    <s v="23738ea6-6051-407f-b134-54b5abf97c76"/>
    <n v="43"/>
    <s v="Other"/>
    <s v="Premium"/>
    <n v="4.96"/>
    <x v="8"/>
    <x v="1"/>
    <x v="0"/>
    <n v="17.989999999999998"/>
    <n v="1"/>
    <n v="17.989999999999998"/>
    <x v="1"/>
    <n v="3"/>
    <n v="0.14000000000000001"/>
    <s v="Documentary"/>
  </r>
  <r>
    <s v="127c0924-f08c-4b58-826e-eaba5d7e5684"/>
    <n v="46"/>
    <s v="Male"/>
    <s v="Standard"/>
    <n v="18.14"/>
    <x v="29"/>
    <x v="1"/>
    <x v="3"/>
    <n v="13.99"/>
    <n v="1"/>
    <n v="13.99"/>
    <x v="4"/>
    <n v="2"/>
    <n v="0.39"/>
    <s v="Sci-Fi"/>
  </r>
  <r>
    <s v="5db3f1f4-2a78-4905-a404-38b184a190d4"/>
    <n v="19"/>
    <s v="Other"/>
    <s v="Basic"/>
    <n v="4.42"/>
    <x v="25"/>
    <x v="1"/>
    <x v="2"/>
    <n v="8.99"/>
    <n v="0"/>
    <n v="0"/>
    <x v="4"/>
    <n v="3"/>
    <n v="4.42"/>
    <s v="Drama"/>
  </r>
  <r>
    <s v="ca048e28-c4a0-423c-abe2-a0da5ead69a1"/>
    <n v="64"/>
    <s v="Other"/>
    <s v="Standard"/>
    <n v="19.87"/>
    <x v="45"/>
    <x v="4"/>
    <x v="1"/>
    <n v="13.99"/>
    <n v="0"/>
    <n v="0"/>
    <x v="4"/>
    <n v="5"/>
    <n v="0.47"/>
    <s v="Romance"/>
  </r>
  <r>
    <s v="ece55bb3-fc9a-4a30-92b0-fb95a55aec51"/>
    <n v="59"/>
    <s v="Male"/>
    <s v="Standard"/>
    <n v="25.89"/>
    <x v="56"/>
    <x v="5"/>
    <x v="3"/>
    <n v="13.99"/>
    <n v="0"/>
    <n v="0"/>
    <x v="2"/>
    <n v="1"/>
    <n v="0.44"/>
    <s v="Documentary"/>
  </r>
  <r>
    <s v="2f262b29-6001-432d-9f5c-0f6558826627"/>
    <n v="66"/>
    <s v="Other"/>
    <s v="Premium"/>
    <n v="51.07"/>
    <x v="49"/>
    <x v="0"/>
    <x v="2"/>
    <n v="17.989999999999998"/>
    <n v="0"/>
    <n v="0"/>
    <x v="1"/>
    <n v="5"/>
    <n v="5.1100000000000003"/>
    <s v="Action"/>
  </r>
  <r>
    <s v="bc7703f4-a5d9-4d99-955e-158eb11751ef"/>
    <n v="51"/>
    <s v="Female"/>
    <s v="Premium"/>
    <n v="3.89"/>
    <x v="30"/>
    <x v="1"/>
    <x v="4"/>
    <n v="17.989999999999998"/>
    <n v="0"/>
    <n v="0"/>
    <x v="4"/>
    <n v="2"/>
    <n v="1.95"/>
    <s v="Drama"/>
  </r>
  <r>
    <s v="9253a50a-fd90-4a43-a419-1a8725cdaaad"/>
    <n v="27"/>
    <s v="Other"/>
    <s v="Standard"/>
    <n v="10.69"/>
    <x v="17"/>
    <x v="2"/>
    <x v="1"/>
    <n v="13.99"/>
    <n v="0"/>
    <n v="0"/>
    <x v="1"/>
    <n v="3"/>
    <n v="2.14"/>
    <s v="Drama"/>
  </r>
  <r>
    <s v="6dd30fa8-e9be-4ba1-831d-ec479489390d"/>
    <n v="60"/>
    <s v="Female"/>
    <s v="Standard"/>
    <n v="1.1299999999999999"/>
    <x v="3"/>
    <x v="2"/>
    <x v="2"/>
    <n v="13.99"/>
    <n v="1"/>
    <n v="13.99"/>
    <x v="4"/>
    <n v="2"/>
    <n v="0.09"/>
    <s v="Romance"/>
  </r>
  <r>
    <s v="0f3aff18-a29f-48d1-96fd-3dce25aa3f30"/>
    <n v="41"/>
    <s v="Female"/>
    <s v="Basic"/>
    <n v="23.74"/>
    <x v="60"/>
    <x v="5"/>
    <x v="1"/>
    <n v="8.99"/>
    <n v="0"/>
    <n v="0"/>
    <x v="1"/>
    <n v="2"/>
    <n v="2.64"/>
    <s v="Documentary"/>
  </r>
  <r>
    <s v="b2ac1325-4f88-49f8-b626-c339c8a839b8"/>
    <n v="37"/>
    <s v="Other"/>
    <s v="Premium"/>
    <n v="11.15"/>
    <x v="57"/>
    <x v="3"/>
    <x v="3"/>
    <n v="17.989999999999998"/>
    <n v="0"/>
    <n v="0"/>
    <x v="3"/>
    <n v="4"/>
    <n v="0.18"/>
    <s v="Documentary"/>
  </r>
  <r>
    <s v="2cea2e6f-6ac0-451e-bc97-28c032b6431b"/>
    <n v="26"/>
    <s v="Female"/>
    <s v="Premium"/>
    <n v="2.92"/>
    <x v="14"/>
    <x v="4"/>
    <x v="4"/>
    <n v="17.989999999999998"/>
    <n v="1"/>
    <n v="17.989999999999998"/>
    <x v="1"/>
    <n v="2"/>
    <n v="0.09"/>
    <s v="Sci-Fi"/>
  </r>
  <r>
    <s v="daba8bad-2131-40db-9fa3-467c7da43703"/>
    <n v="69"/>
    <s v="Other"/>
    <s v="Premium"/>
    <n v="13.61"/>
    <x v="59"/>
    <x v="1"/>
    <x v="0"/>
    <n v="17.989999999999998"/>
    <n v="0"/>
    <n v="0"/>
    <x v="4"/>
    <n v="3"/>
    <n v="2.27"/>
    <s v="Romance"/>
  </r>
  <r>
    <s v="ad2be0d3-7744-43bd-b4b8-5b61799756a1"/>
    <n v="42"/>
    <s v="Other"/>
    <s v="Basic"/>
    <n v="2.65"/>
    <x v="41"/>
    <x v="0"/>
    <x v="0"/>
    <n v="8.99"/>
    <n v="1"/>
    <n v="8.99"/>
    <x v="0"/>
    <n v="1"/>
    <n v="0.09"/>
    <s v="Documentary"/>
  </r>
  <r>
    <s v="2e6ffbc2-aaf8-41c1-9d30-47ae9260fb4b"/>
    <n v="19"/>
    <s v="Female"/>
    <s v="Premium"/>
    <n v="7.43"/>
    <x v="2"/>
    <x v="1"/>
    <x v="4"/>
    <n v="17.989999999999998"/>
    <n v="0"/>
    <n v="0"/>
    <x v="2"/>
    <n v="4"/>
    <n v="0.68"/>
    <s v="Drama"/>
  </r>
  <r>
    <s v="13fc0db0-35b8-4902-a770-11a2aade369d"/>
    <n v="61"/>
    <s v="Male"/>
    <s v="Standard"/>
    <n v="5.61"/>
    <x v="7"/>
    <x v="1"/>
    <x v="2"/>
    <n v="13.99"/>
    <n v="1"/>
    <n v="13.99"/>
    <x v="2"/>
    <n v="1"/>
    <n v="0.1"/>
    <s v="Horror"/>
  </r>
  <r>
    <s v="286e9bc1-b9d2-4d4d-9b46-8f823a170139"/>
    <n v="34"/>
    <s v="Female"/>
    <s v="Standard"/>
    <n v="0.32"/>
    <x v="56"/>
    <x v="2"/>
    <x v="1"/>
    <n v="13.99"/>
    <n v="1"/>
    <n v="13.99"/>
    <x v="0"/>
    <n v="1"/>
    <n v="0.01"/>
    <s v="Comedy"/>
  </r>
  <r>
    <s v="a9bac7bd-9fb2-43cc-b170-fb3a6c9772f7"/>
    <n v="68"/>
    <s v="Other"/>
    <s v="Standard"/>
    <n v="12.66"/>
    <x v="13"/>
    <x v="2"/>
    <x v="4"/>
    <n v="13.99"/>
    <n v="0"/>
    <n v="0"/>
    <x v="4"/>
    <n v="2"/>
    <n v="1.58"/>
    <s v="Romance"/>
  </r>
  <r>
    <s v="6e498648-f7cf-4fd0-9315-df66b413fba8"/>
    <n v="32"/>
    <s v="Female"/>
    <s v="Basic"/>
    <n v="8.94"/>
    <x v="21"/>
    <x v="5"/>
    <x v="3"/>
    <n v="8.99"/>
    <n v="0"/>
    <n v="0"/>
    <x v="1"/>
    <n v="5"/>
    <n v="1.28"/>
    <s v="Action"/>
  </r>
  <r>
    <s v="0acb8995-d92d-46a1-b80a-2c5d7fac4df3"/>
    <n v="21"/>
    <s v="Male"/>
    <s v="Basic"/>
    <n v="11.25"/>
    <x v="55"/>
    <x v="4"/>
    <x v="1"/>
    <n v="8.99"/>
    <n v="1"/>
    <n v="8.99"/>
    <x v="2"/>
    <n v="2"/>
    <n v="0.19"/>
    <s v="Action"/>
  </r>
  <r>
    <s v="b81c524a-a1a3-4047-a9ca-a656564f9ad2"/>
    <n v="24"/>
    <s v="Other"/>
    <s v="Premium"/>
    <n v="14.15"/>
    <x v="56"/>
    <x v="1"/>
    <x v="0"/>
    <n v="17.989999999999998"/>
    <n v="1"/>
    <n v="17.989999999999998"/>
    <x v="3"/>
    <n v="1"/>
    <n v="0.24"/>
    <s v="Romance"/>
  </r>
  <r>
    <s v="8c722fa9-57be-4fa0-a466-f43e61d35f94"/>
    <n v="55"/>
    <s v="Male"/>
    <s v="Premium"/>
    <n v="0.44"/>
    <x v="29"/>
    <x v="4"/>
    <x v="3"/>
    <n v="17.989999999999998"/>
    <n v="1"/>
    <n v="17.989999999999998"/>
    <x v="2"/>
    <n v="1"/>
    <n v="0.01"/>
    <s v="Sci-Fi"/>
  </r>
  <r>
    <s v="67261644-d5d8-4867-a359-22d606e2dcc9"/>
    <n v="65"/>
    <s v="Male"/>
    <s v="Standard"/>
    <n v="4.05"/>
    <x v="29"/>
    <x v="2"/>
    <x v="1"/>
    <n v="13.99"/>
    <n v="1"/>
    <n v="13.99"/>
    <x v="0"/>
    <n v="4"/>
    <n v="0.09"/>
    <s v="Sci-Fi"/>
  </r>
  <r>
    <s v="3cbf2873-561b-4ef3-a946-fc8693dab3bc"/>
    <n v="25"/>
    <s v="Other"/>
    <s v="Standard"/>
    <n v="18.23"/>
    <x v="5"/>
    <x v="0"/>
    <x v="3"/>
    <n v="13.99"/>
    <n v="0"/>
    <n v="0"/>
    <x v="3"/>
    <n v="2"/>
    <n v="0.68"/>
    <s v="Horror"/>
  </r>
  <r>
    <s v="d021c19c-289d-44b2-959c-bb3231f5f23a"/>
    <n v="63"/>
    <s v="Female"/>
    <s v="Standard"/>
    <n v="6.42"/>
    <x v="51"/>
    <x v="1"/>
    <x v="4"/>
    <n v="13.99"/>
    <n v="0"/>
    <n v="0"/>
    <x v="1"/>
    <n v="4"/>
    <n v="0.36"/>
    <s v="Action"/>
  </r>
  <r>
    <s v="d73ea6c0-c6a3-43ef-b4df-34d432f0295f"/>
    <n v="56"/>
    <s v="Female"/>
    <s v="Premium"/>
    <n v="14.39"/>
    <x v="10"/>
    <x v="2"/>
    <x v="4"/>
    <n v="17.989999999999998"/>
    <n v="1"/>
    <n v="17.989999999999998"/>
    <x v="4"/>
    <n v="3"/>
    <n v="0.37"/>
    <s v="Comedy"/>
  </r>
  <r>
    <s v="9ab55bb5-1957-46a6-8472-d26b2fda624a"/>
    <n v="47"/>
    <s v="Other"/>
    <s v="Basic"/>
    <n v="13.22"/>
    <x v="60"/>
    <x v="5"/>
    <x v="1"/>
    <n v="8.99"/>
    <n v="0"/>
    <n v="0"/>
    <x v="1"/>
    <n v="4"/>
    <n v="1.47"/>
    <s v="Action"/>
  </r>
  <r>
    <s v="7492f32f-8c97-4a80-81ad-78749329c8f3"/>
    <n v="29"/>
    <s v="Female"/>
    <s v="Standard"/>
    <n v="1.1200000000000001"/>
    <x v="57"/>
    <x v="2"/>
    <x v="3"/>
    <n v="13.99"/>
    <n v="1"/>
    <n v="13.99"/>
    <x v="3"/>
    <n v="5"/>
    <n v="0.02"/>
    <s v="Horror"/>
  </r>
  <r>
    <s v="d9ea07b7-ffa7-4165-8d37-04fdfe0fd5fa"/>
    <n v="52"/>
    <s v="Female"/>
    <s v="Standard"/>
    <n v="8.4499999999999993"/>
    <x v="54"/>
    <x v="5"/>
    <x v="2"/>
    <n v="13.99"/>
    <n v="0"/>
    <n v="0"/>
    <x v="0"/>
    <n v="2"/>
    <n v="0.28999999999999998"/>
    <s v="Action"/>
  </r>
  <r>
    <s v="ad0caecf-9b95-4921-8a81-7bb311564c2a"/>
    <n v="26"/>
    <s v="Male"/>
    <s v="Standard"/>
    <n v="0.89"/>
    <x v="33"/>
    <x v="4"/>
    <x v="0"/>
    <n v="13.99"/>
    <n v="1"/>
    <n v="13.99"/>
    <x v="4"/>
    <n v="2"/>
    <n v="0.03"/>
    <s v="Action"/>
  </r>
  <r>
    <s v="5b2ec7eb-5ee5-4b1a-a409-88f9b0dba73e"/>
    <n v="39"/>
    <s v="Female"/>
    <s v="Premium"/>
    <n v="7.21"/>
    <x v="53"/>
    <x v="0"/>
    <x v="4"/>
    <n v="17.989999999999998"/>
    <n v="1"/>
    <n v="17.989999999999998"/>
    <x v="3"/>
    <n v="2"/>
    <n v="0.17"/>
    <s v="Action"/>
  </r>
  <r>
    <s v="9fa65636-ca49-40ef-bd85-85dac00a0612"/>
    <n v="46"/>
    <s v="Other"/>
    <s v="Standard"/>
    <n v="40.93"/>
    <x v="36"/>
    <x v="5"/>
    <x v="4"/>
    <n v="13.99"/>
    <n v="0"/>
    <n v="0"/>
    <x v="1"/>
    <n v="4"/>
    <n v="1.02"/>
    <s v="Horror"/>
  </r>
  <r>
    <s v="f916f25f-2303-4145-af99-99a0b8e8de5b"/>
    <n v="22"/>
    <s v="Male"/>
    <s v="Basic"/>
    <n v="0.75"/>
    <x v="2"/>
    <x v="4"/>
    <x v="1"/>
    <n v="8.99"/>
    <n v="1"/>
    <n v="8.99"/>
    <x v="0"/>
    <n v="3"/>
    <n v="7.0000000000000007E-2"/>
    <s v="Sci-Fi"/>
  </r>
  <r>
    <s v="37b1f7e9-731b-45f0-8b64-0019780a7c3c"/>
    <n v="36"/>
    <s v="Male"/>
    <s v="Premium"/>
    <n v="25.23"/>
    <x v="23"/>
    <x v="0"/>
    <x v="1"/>
    <n v="17.989999999999998"/>
    <n v="0"/>
    <n v="0"/>
    <x v="1"/>
    <n v="2"/>
    <n v="0.47"/>
    <s v="Sci-Fi"/>
  </r>
  <r>
    <s v="0c65fd72-9e3b-4033-99ed-4397ccf9346f"/>
    <n v="40"/>
    <s v="Other"/>
    <s v="Basic"/>
    <n v="4.68"/>
    <x v="33"/>
    <x v="0"/>
    <x v="4"/>
    <n v="8.99"/>
    <n v="1"/>
    <n v="8.99"/>
    <x v="3"/>
    <n v="5"/>
    <n v="0.18"/>
    <s v="Action"/>
  </r>
  <r>
    <s v="9212f1ee-8fcc-49de-9379-496677369ec0"/>
    <n v="29"/>
    <s v="Male"/>
    <s v="Standard"/>
    <n v="35.97"/>
    <x v="2"/>
    <x v="4"/>
    <x v="3"/>
    <n v="13.99"/>
    <n v="0"/>
    <n v="0"/>
    <x v="2"/>
    <n v="4"/>
    <n v="3.27"/>
    <s v="Romance"/>
  </r>
  <r>
    <s v="245a68d0-ff48-4300-8fd9-94cc361e02c9"/>
    <n v="53"/>
    <s v="Female"/>
    <s v="Standard"/>
    <n v="6.2"/>
    <x v="59"/>
    <x v="3"/>
    <x v="3"/>
    <n v="13.99"/>
    <n v="0"/>
    <n v="0"/>
    <x v="0"/>
    <n v="4"/>
    <n v="1.03"/>
    <s v="Documentary"/>
  </r>
  <r>
    <s v="88d0c4cb-a32d-45df-b849-536859b8ba10"/>
    <n v="43"/>
    <s v="Other"/>
    <s v="Standard"/>
    <n v="13.53"/>
    <x v="31"/>
    <x v="1"/>
    <x v="4"/>
    <n v="13.99"/>
    <n v="0"/>
    <n v="0"/>
    <x v="2"/>
    <n v="4"/>
    <n v="0.85"/>
    <s v="Comedy"/>
  </r>
  <r>
    <s v="9b18d52f-d169-4ac0-aae9-840d5b8fd937"/>
    <n v="40"/>
    <s v="Female"/>
    <s v="Premium"/>
    <n v="0.17"/>
    <x v="56"/>
    <x v="4"/>
    <x v="3"/>
    <n v="17.989999999999998"/>
    <n v="1"/>
    <n v="17.989999999999998"/>
    <x v="0"/>
    <n v="5"/>
    <n v="0"/>
    <s v="Horror"/>
  </r>
  <r>
    <s v="85f3c893-5cb4-402f-893a-563686a5a644"/>
    <n v="40"/>
    <s v="Female"/>
    <s v="Premium"/>
    <n v="30.61"/>
    <x v="28"/>
    <x v="1"/>
    <x v="0"/>
    <n v="17.989999999999998"/>
    <n v="0"/>
    <n v="0"/>
    <x v="2"/>
    <n v="3"/>
    <n v="0.85"/>
    <s v="Romance"/>
  </r>
  <r>
    <s v="ff5354ce-5deb-4dc4-8d39-a68c03938af3"/>
    <n v="69"/>
    <s v="Female"/>
    <s v="Standard"/>
    <n v="4.53"/>
    <x v="27"/>
    <x v="1"/>
    <x v="2"/>
    <n v="13.99"/>
    <n v="1"/>
    <n v="13.99"/>
    <x v="1"/>
    <n v="2"/>
    <n v="0.27"/>
    <s v="Horror"/>
  </r>
  <r>
    <s v="e60d2e98-1236-4d67-aa6c-b5b3ca28e7a0"/>
    <n v="29"/>
    <s v="Male"/>
    <s v="Basic"/>
    <n v="14.23"/>
    <x v="17"/>
    <x v="1"/>
    <x v="3"/>
    <n v="8.99"/>
    <n v="0"/>
    <n v="0"/>
    <x v="4"/>
    <n v="2"/>
    <n v="2.85"/>
    <s v="Documentary"/>
  </r>
  <r>
    <s v="d6dbab58-a030-43a9-9873-06b044b65052"/>
    <n v="24"/>
    <s v="Female"/>
    <s v="Premium"/>
    <n v="42.14"/>
    <x v="60"/>
    <x v="4"/>
    <x v="2"/>
    <n v="17.989999999999998"/>
    <n v="0"/>
    <n v="0"/>
    <x v="0"/>
    <n v="3"/>
    <n v="4.68"/>
    <s v="Horror"/>
  </r>
  <r>
    <s v="f290c3ba-8bc9-48c3-8b9f-d4c878f405fa"/>
    <n v="59"/>
    <s v="Male"/>
    <s v="Standard"/>
    <n v="2.41"/>
    <x v="17"/>
    <x v="2"/>
    <x v="4"/>
    <n v="13.99"/>
    <n v="0"/>
    <n v="0"/>
    <x v="2"/>
    <n v="2"/>
    <n v="0.48"/>
    <s v="Action"/>
  </r>
  <r>
    <s v="a12e71fd-b9d2-4a9f-aa23-ec9901dd1fc3"/>
    <n v="51"/>
    <s v="Other"/>
    <s v="Standard"/>
    <n v="10.19"/>
    <x v="39"/>
    <x v="1"/>
    <x v="0"/>
    <n v="13.99"/>
    <n v="0"/>
    <n v="0"/>
    <x v="3"/>
    <n v="3"/>
    <n v="0.44"/>
    <s v="Horror"/>
  </r>
  <r>
    <s v="44bf9ce1-bd7d-40f8-a16c-abce926888ae"/>
    <n v="40"/>
    <s v="Other"/>
    <s v="Premium"/>
    <n v="4.13"/>
    <x v="56"/>
    <x v="5"/>
    <x v="3"/>
    <n v="17.989999999999998"/>
    <n v="1"/>
    <n v="17.989999999999998"/>
    <x v="1"/>
    <n v="3"/>
    <n v="7.0000000000000007E-2"/>
    <s v="Action"/>
  </r>
  <r>
    <s v="10b310c8-dca5-4bbc-a54e-696beba345f2"/>
    <n v="19"/>
    <s v="Male"/>
    <s v="Standard"/>
    <n v="6.08"/>
    <x v="35"/>
    <x v="0"/>
    <x v="1"/>
    <n v="13.99"/>
    <n v="1"/>
    <n v="13.99"/>
    <x v="1"/>
    <n v="1"/>
    <n v="0.14000000000000001"/>
    <s v="Drama"/>
  </r>
  <r>
    <s v="38d1c68c-e901-4446-a303-9ea123048b89"/>
    <n v="52"/>
    <s v="Male"/>
    <s v="Premium"/>
    <n v="33.130000000000003"/>
    <x v="16"/>
    <x v="5"/>
    <x v="0"/>
    <n v="17.989999999999998"/>
    <n v="0"/>
    <n v="0"/>
    <x v="1"/>
    <n v="4"/>
    <n v="1.18"/>
    <s v="Sci-Fi"/>
  </r>
  <r>
    <s v="795a4e3f-5b2a-4d74-94c7-0879c68f7140"/>
    <n v="20"/>
    <s v="Male"/>
    <s v="Standard"/>
    <n v="5.0599999999999996"/>
    <x v="33"/>
    <x v="2"/>
    <x v="0"/>
    <n v="13.99"/>
    <n v="0"/>
    <n v="0"/>
    <x v="0"/>
    <n v="4"/>
    <n v="0.19"/>
    <s v="Documentary"/>
  </r>
  <r>
    <s v="5eb42c33-ba38-441a-8c46-55726449543b"/>
    <n v="26"/>
    <s v="Female"/>
    <s v="Standard"/>
    <n v="11.7"/>
    <x v="13"/>
    <x v="5"/>
    <x v="4"/>
    <n v="13.99"/>
    <n v="0"/>
    <n v="0"/>
    <x v="1"/>
    <n v="5"/>
    <n v="1.46"/>
    <s v="Action"/>
  </r>
  <r>
    <s v="6bbbd9ca-d3d6-443d-aed6-a5c6d9a6aa03"/>
    <n v="66"/>
    <s v="Male"/>
    <s v="Basic"/>
    <n v="7"/>
    <x v="36"/>
    <x v="2"/>
    <x v="0"/>
    <n v="8.99"/>
    <n v="1"/>
    <n v="8.99"/>
    <x v="2"/>
    <n v="2"/>
    <n v="0.17"/>
    <s v="Sci-Fi"/>
  </r>
  <r>
    <s v="7c517774-77b3-4c4c-acb6-8d338fcb3a6f"/>
    <n v="48"/>
    <s v="Other"/>
    <s v="Basic"/>
    <n v="21.91"/>
    <x v="24"/>
    <x v="5"/>
    <x v="3"/>
    <n v="8.99"/>
    <n v="1"/>
    <n v="8.99"/>
    <x v="0"/>
    <n v="5"/>
    <n v="0.41"/>
    <s v="Comedy"/>
  </r>
  <r>
    <s v="3485b497-ec38-4c7f-abdb-05c2bad0e25b"/>
    <n v="56"/>
    <s v="Female"/>
    <s v="Standard"/>
    <n v="21.44"/>
    <x v="58"/>
    <x v="1"/>
    <x v="0"/>
    <n v="13.99"/>
    <n v="1"/>
    <n v="13.99"/>
    <x v="1"/>
    <n v="1"/>
    <n v="0.45"/>
    <s v="Comedy"/>
  </r>
  <r>
    <s v="4b02c88c-a29d-46c6-aa87-2dae9f140e4e"/>
    <n v="52"/>
    <s v="Male"/>
    <s v="Standard"/>
    <n v="0.33"/>
    <x v="32"/>
    <x v="3"/>
    <x v="3"/>
    <n v="13.99"/>
    <n v="1"/>
    <n v="13.99"/>
    <x v="0"/>
    <n v="2"/>
    <n v="0.02"/>
    <s v="Comedy"/>
  </r>
  <r>
    <s v="1f0e4cc1-431d-4fbe-89ca-3bd42241cd29"/>
    <n v="28"/>
    <s v="Other"/>
    <s v="Standard"/>
    <n v="2.06"/>
    <x v="55"/>
    <x v="2"/>
    <x v="1"/>
    <n v="13.99"/>
    <n v="1"/>
    <n v="13.99"/>
    <x v="1"/>
    <n v="2"/>
    <n v="0.03"/>
    <s v="Romance"/>
  </r>
  <r>
    <s v="2a059484-209d-4e60-8329-4344aac42bbb"/>
    <n v="26"/>
    <s v="Female"/>
    <s v="Basic"/>
    <n v="11.07"/>
    <x v="50"/>
    <x v="1"/>
    <x v="2"/>
    <n v="8.99"/>
    <n v="1"/>
    <n v="8.99"/>
    <x v="4"/>
    <n v="4"/>
    <n v="0.2"/>
    <s v="Drama"/>
  </r>
  <r>
    <s v="1ee12cc7-48c9-452c-83d0-aaf89ee786ff"/>
    <n v="50"/>
    <s v="Male"/>
    <s v="Standard"/>
    <n v="15.65"/>
    <x v="16"/>
    <x v="5"/>
    <x v="0"/>
    <n v="13.99"/>
    <n v="0"/>
    <n v="0"/>
    <x v="0"/>
    <n v="2"/>
    <n v="0.56000000000000005"/>
    <s v="Drama"/>
  </r>
  <r>
    <s v="2fb99e15-5e31-4f4e-acaa-78dc5da4b8bf"/>
    <n v="49"/>
    <s v="Female"/>
    <s v="Standard"/>
    <n v="5.21"/>
    <x v="12"/>
    <x v="2"/>
    <x v="3"/>
    <n v="13.99"/>
    <n v="1"/>
    <n v="13.99"/>
    <x v="1"/>
    <n v="4"/>
    <n v="0.15"/>
    <s v="Documentary"/>
  </r>
  <r>
    <s v="75609f51-5ee6-4cac-ad28-a3821e94554e"/>
    <n v="37"/>
    <s v="Female"/>
    <s v="Basic"/>
    <n v="4.6900000000000004"/>
    <x v="33"/>
    <x v="1"/>
    <x v="4"/>
    <n v="8.99"/>
    <n v="1"/>
    <n v="8.99"/>
    <x v="0"/>
    <n v="4"/>
    <n v="0.18"/>
    <s v="Romance"/>
  </r>
  <r>
    <s v="f33d248f-0bb4-4189-919e-61f1a239d69e"/>
    <n v="38"/>
    <s v="Male"/>
    <s v="Premium"/>
    <n v="2.2400000000000002"/>
    <x v="56"/>
    <x v="0"/>
    <x v="2"/>
    <n v="17.989999999999998"/>
    <n v="1"/>
    <n v="17.989999999999998"/>
    <x v="2"/>
    <n v="4"/>
    <n v="0.04"/>
    <s v="Documentary"/>
  </r>
  <r>
    <s v="43cb53f5-d22c-4cb2-ae1c-879ffabb8b97"/>
    <n v="62"/>
    <s v="Female"/>
    <s v="Standard"/>
    <n v="26.88"/>
    <x v="22"/>
    <x v="2"/>
    <x v="0"/>
    <n v="13.99"/>
    <n v="0"/>
    <n v="0"/>
    <x v="3"/>
    <n v="4"/>
    <n v="0.48"/>
    <s v="Romance"/>
  </r>
  <r>
    <s v="85629d48-5eda-4610-b233-c4e4d562c796"/>
    <n v="63"/>
    <s v="Female"/>
    <s v="Standard"/>
    <n v="2.84"/>
    <x v="20"/>
    <x v="3"/>
    <x v="4"/>
    <n v="13.99"/>
    <n v="1"/>
    <n v="13.99"/>
    <x v="0"/>
    <n v="3"/>
    <n v="0.15"/>
    <s v="Horror"/>
  </r>
  <r>
    <s v="207f99b4-fa1e-4ed8-ad8e-7fb58d76e1aa"/>
    <n v="26"/>
    <s v="Other"/>
    <s v="Basic"/>
    <n v="9.9700000000000006"/>
    <x v="42"/>
    <x v="5"/>
    <x v="0"/>
    <n v="8.99"/>
    <n v="1"/>
    <n v="8.99"/>
    <x v="4"/>
    <n v="1"/>
    <n v="0.26"/>
    <s v="Drama"/>
  </r>
  <r>
    <s v="39319e9d-faad-4026-bac4-4270b7853cd0"/>
    <n v="40"/>
    <s v="Male"/>
    <s v="Premium"/>
    <n v="46.29"/>
    <x v="5"/>
    <x v="0"/>
    <x v="2"/>
    <n v="17.989999999999998"/>
    <n v="0"/>
    <n v="0"/>
    <x v="1"/>
    <n v="4"/>
    <n v="1.71"/>
    <s v="Drama"/>
  </r>
  <r>
    <s v="a5c028fb-e6fd-43ab-a87c-bd591558b580"/>
    <n v="68"/>
    <s v="Male"/>
    <s v="Premium"/>
    <n v="9.36"/>
    <x v="31"/>
    <x v="1"/>
    <x v="0"/>
    <n v="17.989999999999998"/>
    <n v="0"/>
    <n v="0"/>
    <x v="1"/>
    <n v="5"/>
    <n v="0.57999999999999996"/>
    <s v="Action"/>
  </r>
  <r>
    <s v="1a19714f-fc3f-4023-8006-84d562378a9b"/>
    <n v="23"/>
    <s v="Female"/>
    <s v="Standard"/>
    <n v="0.89"/>
    <x v="20"/>
    <x v="1"/>
    <x v="4"/>
    <n v="13.99"/>
    <n v="1"/>
    <n v="13.99"/>
    <x v="3"/>
    <n v="1"/>
    <n v="0.05"/>
    <s v="Action"/>
  </r>
  <r>
    <s v="96506b65-616a-497c-a3e4-888b830db1c3"/>
    <n v="31"/>
    <s v="Other"/>
    <s v="Standard"/>
    <n v="1.17"/>
    <x v="9"/>
    <x v="1"/>
    <x v="2"/>
    <n v="13.99"/>
    <n v="1"/>
    <n v="13.99"/>
    <x v="3"/>
    <n v="1"/>
    <n v="0.03"/>
    <s v="Comedy"/>
  </r>
  <r>
    <s v="2d7ebb9d-93bb-495c-80de-4346c8a4cbee"/>
    <n v="47"/>
    <s v="Male"/>
    <s v="Basic"/>
    <n v="1.25"/>
    <x v="35"/>
    <x v="4"/>
    <x v="1"/>
    <n v="8.99"/>
    <n v="1"/>
    <n v="8.99"/>
    <x v="4"/>
    <n v="1"/>
    <n v="0.03"/>
    <s v="Sci-Fi"/>
  </r>
  <r>
    <s v="9d34ab95-164d-4c46-8f82-38b03ea4a17f"/>
    <n v="67"/>
    <s v="Male"/>
    <s v="Premium"/>
    <n v="13.19"/>
    <x v="22"/>
    <x v="4"/>
    <x v="3"/>
    <n v="17.989999999999998"/>
    <n v="1"/>
    <n v="17.989999999999998"/>
    <x v="1"/>
    <n v="3"/>
    <n v="0.24"/>
    <s v="Comedy"/>
  </r>
  <r>
    <s v="025f67d8-5ff0-4e79-9463-ec829fec6755"/>
    <n v="63"/>
    <s v="Other"/>
    <s v="Basic"/>
    <n v="1.25"/>
    <x v="47"/>
    <x v="2"/>
    <x v="4"/>
    <n v="8.99"/>
    <n v="1"/>
    <n v="8.99"/>
    <x v="2"/>
    <n v="5"/>
    <n v="0.31"/>
    <s v="Comedy"/>
  </r>
  <r>
    <s v="72795539-6b5f-4f9a-8105-7f15dba34e9d"/>
    <n v="59"/>
    <s v="Female"/>
    <s v="Basic"/>
    <n v="1.2"/>
    <x v="14"/>
    <x v="5"/>
    <x v="0"/>
    <n v="8.99"/>
    <n v="1"/>
    <n v="8.99"/>
    <x v="4"/>
    <n v="2"/>
    <n v="0.04"/>
    <s v="Comedy"/>
  </r>
  <r>
    <s v="610b1d2e-92ab-4c35-868a-3227a0e36ba5"/>
    <n v="34"/>
    <s v="Male"/>
    <s v="Standard"/>
    <n v="7.38"/>
    <x v="5"/>
    <x v="4"/>
    <x v="3"/>
    <n v="13.99"/>
    <n v="0"/>
    <n v="0"/>
    <x v="2"/>
    <n v="1"/>
    <n v="0.27"/>
    <s v="Sci-Fi"/>
  </r>
  <r>
    <s v="7b2c7b95-8650-4966-80b5-50bcedc9ef73"/>
    <n v="35"/>
    <s v="Female"/>
    <s v="Premium"/>
    <n v="3.59"/>
    <x v="23"/>
    <x v="2"/>
    <x v="4"/>
    <n v="17.989999999999998"/>
    <n v="1"/>
    <n v="17.989999999999998"/>
    <x v="1"/>
    <n v="3"/>
    <n v="7.0000000000000007E-2"/>
    <s v="Romance"/>
  </r>
  <r>
    <s v="2ce755db-5314-4c64-b00b-ad8c71df90f8"/>
    <n v="21"/>
    <s v="Female"/>
    <s v="Standard"/>
    <n v="4.17"/>
    <x v="10"/>
    <x v="4"/>
    <x v="1"/>
    <n v="13.99"/>
    <n v="1"/>
    <n v="13.99"/>
    <x v="1"/>
    <n v="1"/>
    <n v="0.11"/>
    <s v="Horror"/>
  </r>
  <r>
    <s v="905edc2c-831c-4d3a-90e1-c80fd7f63a97"/>
    <n v="29"/>
    <s v="Female"/>
    <s v="Premium"/>
    <n v="15.26"/>
    <x v="52"/>
    <x v="5"/>
    <x v="4"/>
    <n v="17.989999999999998"/>
    <n v="1"/>
    <n v="17.989999999999998"/>
    <x v="4"/>
    <n v="1"/>
    <n v="0.31"/>
    <s v="Sci-Fi"/>
  </r>
  <r>
    <s v="b3210d44-92c1-40ad-b881-b560dda637c1"/>
    <n v="55"/>
    <s v="Male"/>
    <s v="Standard"/>
    <n v="2.7"/>
    <x v="43"/>
    <x v="2"/>
    <x v="0"/>
    <n v="13.99"/>
    <n v="1"/>
    <n v="13.99"/>
    <x v="2"/>
    <n v="4"/>
    <n v="0.08"/>
    <s v="Sci-Fi"/>
  </r>
  <r>
    <s v="9e87210e-05ee-4e33-9e89-9cd544cf9a4e"/>
    <n v="51"/>
    <s v="Female"/>
    <s v="Premium"/>
    <n v="3.82"/>
    <x v="8"/>
    <x v="2"/>
    <x v="0"/>
    <n v="17.989999999999998"/>
    <n v="1"/>
    <n v="17.989999999999998"/>
    <x v="0"/>
    <n v="1"/>
    <n v="0.11"/>
    <s v="Horror"/>
  </r>
  <r>
    <s v="6380741d-7d1c-4c91-8df5-cb4db02fbac7"/>
    <n v="23"/>
    <s v="Male"/>
    <s v="Basic"/>
    <n v="6.7"/>
    <x v="26"/>
    <x v="5"/>
    <x v="1"/>
    <n v="8.99"/>
    <n v="1"/>
    <n v="8.99"/>
    <x v="4"/>
    <n v="4"/>
    <n v="0.14000000000000001"/>
    <s v="Sci-Fi"/>
  </r>
  <r>
    <s v="67f97be2-f7bd-4fe4-b6f9-5b5f3fd1da4c"/>
    <n v="63"/>
    <s v="Female"/>
    <s v="Standard"/>
    <n v="12.08"/>
    <x v="51"/>
    <x v="4"/>
    <x v="3"/>
    <n v="13.99"/>
    <n v="0"/>
    <n v="0"/>
    <x v="4"/>
    <n v="4"/>
    <n v="0.67"/>
    <s v="Horror"/>
  </r>
  <r>
    <s v="3b02d521-586b-4e03-88dc-a0e6f9d01eda"/>
    <n v="42"/>
    <s v="Other"/>
    <s v="Premium"/>
    <n v="10.89"/>
    <x v="43"/>
    <x v="4"/>
    <x v="4"/>
    <n v="17.989999999999998"/>
    <n v="0"/>
    <n v="0"/>
    <x v="3"/>
    <n v="5"/>
    <n v="0.34"/>
    <s v="Drama"/>
  </r>
  <r>
    <s v="053a53a2-0627-432e-b93b-ae6465d32095"/>
    <n v="51"/>
    <s v="Other"/>
    <s v="Standard"/>
    <n v="1.23"/>
    <x v="17"/>
    <x v="4"/>
    <x v="2"/>
    <n v="13.99"/>
    <n v="0"/>
    <n v="0"/>
    <x v="4"/>
    <n v="5"/>
    <n v="0.25"/>
    <s v="Romance"/>
  </r>
  <r>
    <s v="a2e3e19d-086e-4e27-9fcd-4677c429156f"/>
    <n v="20"/>
    <s v="Male"/>
    <s v="Basic"/>
    <n v="0.76"/>
    <x v="54"/>
    <x v="2"/>
    <x v="2"/>
    <n v="8.99"/>
    <n v="1"/>
    <n v="8.99"/>
    <x v="3"/>
    <n v="3"/>
    <n v="0.03"/>
    <s v="Drama"/>
  </r>
  <r>
    <s v="559d5073-6ed9-4e7a-ab5c-4cabe918406b"/>
    <n v="26"/>
    <s v="Male"/>
    <s v="Premium"/>
    <n v="6.15"/>
    <x v="53"/>
    <x v="4"/>
    <x v="1"/>
    <n v="17.989999999999998"/>
    <n v="1"/>
    <n v="17.989999999999998"/>
    <x v="0"/>
    <n v="2"/>
    <n v="0.14000000000000001"/>
    <s v="Drama"/>
  </r>
  <r>
    <s v="6be63f37-9c93-4781-b9d3-ee6e4170a2c5"/>
    <n v="50"/>
    <s v="Female"/>
    <s v="Basic"/>
    <n v="6.01"/>
    <x v="19"/>
    <x v="2"/>
    <x v="3"/>
    <n v="8.99"/>
    <n v="1"/>
    <n v="8.99"/>
    <x v="1"/>
    <n v="1"/>
    <n v="0.14000000000000001"/>
    <s v="Sci-Fi"/>
  </r>
  <r>
    <s v="0ba4451f-8bef-4373-99e9-338665b1faaf"/>
    <n v="60"/>
    <s v="Other"/>
    <s v="Standard"/>
    <n v="82.61"/>
    <x v="12"/>
    <x v="5"/>
    <x v="1"/>
    <n v="13.99"/>
    <n v="0"/>
    <n v="0"/>
    <x v="3"/>
    <n v="3"/>
    <n v="2.4300000000000002"/>
    <s v="Sci-Fi"/>
  </r>
  <r>
    <s v="d4a3ccb8-d383-49aa-8b56-259c70e96ec1"/>
    <n v="50"/>
    <s v="Female"/>
    <s v="Standard"/>
    <n v="8.2100000000000009"/>
    <x v="39"/>
    <x v="3"/>
    <x v="1"/>
    <n v="13.99"/>
    <n v="0"/>
    <n v="0"/>
    <x v="3"/>
    <n v="5"/>
    <n v="0.36"/>
    <s v="Action"/>
  </r>
  <r>
    <s v="1b5e5fe1-2e6d-44d7-9a7c-e5bccbfe2c6d"/>
    <n v="53"/>
    <s v="Other"/>
    <s v="Basic"/>
    <n v="11.01"/>
    <x v="35"/>
    <x v="1"/>
    <x v="3"/>
    <n v="8.99"/>
    <n v="1"/>
    <n v="8.99"/>
    <x v="4"/>
    <n v="1"/>
    <n v="0.24"/>
    <s v="Sci-Fi"/>
  </r>
  <r>
    <s v="febcc30f-5bb3-4977-ba96-f546920d93c9"/>
    <n v="55"/>
    <s v="Other"/>
    <s v="Basic"/>
    <n v="0.21"/>
    <x v="8"/>
    <x v="4"/>
    <x v="2"/>
    <n v="8.99"/>
    <n v="1"/>
    <n v="8.99"/>
    <x v="2"/>
    <n v="5"/>
    <n v="0.01"/>
    <s v="Horror"/>
  </r>
  <r>
    <s v="362b51e7-e0eb-49f2-aa16-2e94b8062820"/>
    <n v="34"/>
    <s v="Male"/>
    <s v="Standard"/>
    <n v="1.22"/>
    <x v="49"/>
    <x v="5"/>
    <x v="3"/>
    <n v="13.99"/>
    <n v="0"/>
    <n v="0"/>
    <x v="2"/>
    <n v="5"/>
    <n v="0.12"/>
    <s v="Action"/>
  </r>
  <r>
    <s v="759ff976-7636-4958-8a91-acb48aa80dfe"/>
    <n v="49"/>
    <s v="Female"/>
    <s v="Basic"/>
    <n v="9.81"/>
    <x v="36"/>
    <x v="3"/>
    <x v="0"/>
    <n v="8.99"/>
    <n v="1"/>
    <n v="8.99"/>
    <x v="3"/>
    <n v="5"/>
    <n v="0.25"/>
    <s v="Sci-Fi"/>
  </r>
  <r>
    <s v="33522bd5-ca92-4999-9077-ded7f2fb1e49"/>
    <n v="55"/>
    <s v="Other"/>
    <s v="Premium"/>
    <n v="3.15"/>
    <x v="48"/>
    <x v="2"/>
    <x v="4"/>
    <n v="17.989999999999998"/>
    <n v="1"/>
    <n v="17.989999999999998"/>
    <x v="2"/>
    <n v="5"/>
    <n v="0.06"/>
    <s v="Sci-Fi"/>
  </r>
  <r>
    <s v="32d86b8c-cf94-4d2e-9963-baae45c6b1ea"/>
    <n v="61"/>
    <s v="Male"/>
    <s v="Basic"/>
    <n v="1.1000000000000001"/>
    <x v="46"/>
    <x v="4"/>
    <x v="2"/>
    <n v="8.99"/>
    <n v="1"/>
    <n v="8.99"/>
    <x v="3"/>
    <n v="5"/>
    <n v="0.37"/>
    <s v="Romance"/>
  </r>
  <r>
    <s v="b58920d7-b06e-4602-8f17-6351acee76bb"/>
    <n v="33"/>
    <s v="Female"/>
    <s v="Standard"/>
    <n v="32.18"/>
    <x v="0"/>
    <x v="4"/>
    <x v="3"/>
    <n v="13.99"/>
    <n v="0"/>
    <n v="0"/>
    <x v="3"/>
    <n v="1"/>
    <n v="1.07"/>
    <s v="Action"/>
  </r>
  <r>
    <s v="40426e9f-3686-43a6-b231-f0d6d435df43"/>
    <n v="34"/>
    <s v="Male"/>
    <s v="Premium"/>
    <n v="3.58"/>
    <x v="17"/>
    <x v="1"/>
    <x v="3"/>
    <n v="17.989999999999998"/>
    <n v="0"/>
    <n v="0"/>
    <x v="0"/>
    <n v="1"/>
    <n v="0.72"/>
    <s v="Sci-Fi"/>
  </r>
  <r>
    <s v="34ce66fa-96d9-43d5-a840-7d0f624e6686"/>
    <n v="69"/>
    <s v="Male"/>
    <s v="Basic"/>
    <n v="1.07"/>
    <x v="58"/>
    <x v="1"/>
    <x v="1"/>
    <n v="8.99"/>
    <n v="1"/>
    <n v="8.99"/>
    <x v="3"/>
    <n v="2"/>
    <n v="0.02"/>
    <s v="Action"/>
  </r>
  <r>
    <s v="9ae7d36b-12f9-4d0d-a13e-dbade0db9f8e"/>
    <n v="59"/>
    <s v="Male"/>
    <s v="Standard"/>
    <n v="14.46"/>
    <x v="54"/>
    <x v="3"/>
    <x v="2"/>
    <n v="13.99"/>
    <n v="0"/>
    <n v="0"/>
    <x v="1"/>
    <n v="2"/>
    <n v="0.5"/>
    <s v="Horror"/>
  </r>
  <r>
    <s v="06571e46-9baa-43e8-a233-e03930636b84"/>
    <n v="59"/>
    <s v="Female"/>
    <s v="Basic"/>
    <n v="2.44"/>
    <x v="22"/>
    <x v="0"/>
    <x v="4"/>
    <n v="8.99"/>
    <n v="1"/>
    <n v="8.99"/>
    <x v="1"/>
    <n v="1"/>
    <n v="0.04"/>
    <s v="Comedy"/>
  </r>
  <r>
    <s v="3fd709e6-3919-422b-a31f-5d087936d68b"/>
    <n v="21"/>
    <s v="Other"/>
    <s v="Premium"/>
    <n v="6.14"/>
    <x v="13"/>
    <x v="1"/>
    <x v="3"/>
    <n v="17.989999999999998"/>
    <n v="0"/>
    <n v="0"/>
    <x v="1"/>
    <n v="4"/>
    <n v="0.77"/>
    <s v="Documentary"/>
  </r>
  <r>
    <s v="8701ef59-597f-4cb4-abf3-c2fac543e7e4"/>
    <n v="58"/>
    <s v="Other"/>
    <s v="Premium"/>
    <n v="12.9"/>
    <x v="10"/>
    <x v="3"/>
    <x v="2"/>
    <n v="17.989999999999998"/>
    <n v="0"/>
    <n v="0"/>
    <x v="4"/>
    <n v="4"/>
    <n v="0.33"/>
    <s v="Romance"/>
  </r>
  <r>
    <s v="cd226887-22a7-4f48-ab87-03e7b874b9cb"/>
    <n v="20"/>
    <s v="Other"/>
    <s v="Standard"/>
    <n v="5.31"/>
    <x v="33"/>
    <x v="2"/>
    <x v="0"/>
    <n v="13.99"/>
    <n v="0"/>
    <n v="0"/>
    <x v="4"/>
    <n v="3"/>
    <n v="0.2"/>
    <s v="Comedy"/>
  </r>
  <r>
    <s v="2eba8457-300a-470e-add1-a90f68e6b02a"/>
    <n v="31"/>
    <s v="Other"/>
    <s v="Basic"/>
    <n v="2.36"/>
    <x v="44"/>
    <x v="5"/>
    <x v="0"/>
    <n v="8.99"/>
    <n v="1"/>
    <n v="8.99"/>
    <x v="4"/>
    <n v="2"/>
    <n v="0.05"/>
    <s v="Romance"/>
  </r>
  <r>
    <s v="115385ba-4d05-41c3-8437-4c6892265daa"/>
    <n v="69"/>
    <s v="Male"/>
    <s v="Premium"/>
    <n v="0.24"/>
    <x v="6"/>
    <x v="3"/>
    <x v="0"/>
    <n v="17.989999999999998"/>
    <n v="1"/>
    <n v="17.989999999999998"/>
    <x v="0"/>
    <n v="1"/>
    <n v="0.01"/>
    <s v="Sci-Fi"/>
  </r>
  <r>
    <s v="d42b27cf-7d96-4bd9-8752-2a3e2dbc0def"/>
    <n v="68"/>
    <s v="Male"/>
    <s v="Premium"/>
    <n v="18.88"/>
    <x v="8"/>
    <x v="2"/>
    <x v="0"/>
    <n v="17.989999999999998"/>
    <n v="0"/>
    <n v="0"/>
    <x v="3"/>
    <n v="4"/>
    <n v="0.54"/>
    <s v="Horror"/>
  </r>
  <r>
    <s v="64c6a3d1-570a-4835-9f8a-295e5f4f5607"/>
    <n v="32"/>
    <s v="Female"/>
    <s v="Standard"/>
    <n v="11.47"/>
    <x v="17"/>
    <x v="2"/>
    <x v="2"/>
    <n v="13.99"/>
    <n v="0"/>
    <n v="0"/>
    <x v="3"/>
    <n v="1"/>
    <n v="2.29"/>
    <s v="Drama"/>
  </r>
  <r>
    <s v="1ab284de-6a45-4a1e-bccb-f31c7e8304b9"/>
    <n v="67"/>
    <s v="Other"/>
    <s v="Premium"/>
    <n v="8.2799999999999994"/>
    <x v="55"/>
    <x v="4"/>
    <x v="0"/>
    <n v="17.989999999999998"/>
    <n v="1"/>
    <n v="17.989999999999998"/>
    <x v="0"/>
    <n v="3"/>
    <n v="0.14000000000000001"/>
    <s v="Documentary"/>
  </r>
  <r>
    <s v="3da7720a-a9fb-48f9-835c-45d6eba9a95c"/>
    <n v="19"/>
    <s v="Male"/>
    <s v="Premium"/>
    <n v="29.48"/>
    <x v="57"/>
    <x v="0"/>
    <x v="2"/>
    <n v="17.989999999999998"/>
    <n v="0"/>
    <n v="0"/>
    <x v="0"/>
    <n v="3"/>
    <n v="0.48"/>
    <s v="Drama"/>
  </r>
  <r>
    <s v="501815fc-7cd1-4680-8c34-93a69e69f7eb"/>
    <n v="37"/>
    <s v="Male"/>
    <s v="Standard"/>
    <n v="8.39"/>
    <x v="60"/>
    <x v="3"/>
    <x v="3"/>
    <n v="13.99"/>
    <n v="0"/>
    <n v="0"/>
    <x v="1"/>
    <n v="5"/>
    <n v="0.93"/>
    <s v="Action"/>
  </r>
  <r>
    <s v="8a86d03a-5e09-42ff-bd95-e5195e959450"/>
    <n v="35"/>
    <s v="Female"/>
    <s v="Premium"/>
    <n v="26.28"/>
    <x v="11"/>
    <x v="1"/>
    <x v="3"/>
    <n v="17.989999999999998"/>
    <n v="0"/>
    <n v="0"/>
    <x v="2"/>
    <n v="1"/>
    <n v="1.0900000000000001"/>
    <s v="Drama"/>
  </r>
  <r>
    <s v="9aaa979e-72ef-477c-b2ea-e1e373a1533e"/>
    <n v="51"/>
    <s v="Male"/>
    <s v="Premium"/>
    <n v="3.79"/>
    <x v="46"/>
    <x v="2"/>
    <x v="2"/>
    <n v="17.989999999999998"/>
    <n v="0"/>
    <n v="0"/>
    <x v="4"/>
    <n v="3"/>
    <n v="1.26"/>
    <s v="Sci-Fi"/>
  </r>
  <r>
    <s v="dcf5f39e-43d4-4d3e-bd9a-217b4ef016b8"/>
    <n v="37"/>
    <s v="Male"/>
    <s v="Basic"/>
    <n v="37.369999999999997"/>
    <x v="24"/>
    <x v="0"/>
    <x v="3"/>
    <n v="8.99"/>
    <n v="0"/>
    <n v="0"/>
    <x v="3"/>
    <n v="3"/>
    <n v="0.71"/>
    <s v="Drama"/>
  </r>
  <r>
    <s v="193ff2d8-d842-4028-837d-b13263e2f08f"/>
    <n v="60"/>
    <s v="Female"/>
    <s v="Basic"/>
    <n v="21.66"/>
    <x v="40"/>
    <x v="4"/>
    <x v="3"/>
    <n v="8.99"/>
    <n v="0"/>
    <n v="0"/>
    <x v="1"/>
    <n v="2"/>
    <n v="1.8"/>
    <s v="Comedy"/>
  </r>
  <r>
    <s v="8798f187-18cb-42aa-a3bf-698dfd72a880"/>
    <n v="45"/>
    <s v="Female"/>
    <s v="Premium"/>
    <n v="3.45"/>
    <x v="47"/>
    <x v="0"/>
    <x v="3"/>
    <n v="17.989999999999998"/>
    <n v="0"/>
    <n v="0"/>
    <x v="1"/>
    <n v="3"/>
    <n v="0.86"/>
    <s v="Horror"/>
  </r>
  <r>
    <s v="81ff625a-3b7d-4d84-8a40-c0e42881eab7"/>
    <n v="44"/>
    <s v="Male"/>
    <s v="Basic"/>
    <n v="19.82"/>
    <x v="19"/>
    <x v="4"/>
    <x v="1"/>
    <n v="8.99"/>
    <n v="1"/>
    <n v="8.99"/>
    <x v="3"/>
    <n v="2"/>
    <n v="0.45"/>
    <s v="Comedy"/>
  </r>
  <r>
    <s v="af59c21c-5c00-4051-b1a8-96b84b8c46be"/>
    <n v="26"/>
    <s v="Female"/>
    <s v="Premium"/>
    <n v="4.78"/>
    <x v="20"/>
    <x v="3"/>
    <x v="1"/>
    <n v="17.989999999999998"/>
    <n v="1"/>
    <n v="17.989999999999998"/>
    <x v="0"/>
    <n v="4"/>
    <n v="0.25"/>
    <s v="Sci-Fi"/>
  </r>
  <r>
    <s v="25af57e2-b956-4155-bf4c-3d7687b5d3b8"/>
    <n v="69"/>
    <s v="Other"/>
    <s v="Premium"/>
    <n v="32.54"/>
    <x v="29"/>
    <x v="4"/>
    <x v="4"/>
    <n v="17.989999999999998"/>
    <n v="0"/>
    <n v="0"/>
    <x v="1"/>
    <n v="4"/>
    <n v="0.71"/>
    <s v="Documentary"/>
  </r>
  <r>
    <s v="4fc64b59-3f7e-4560-b434-027440fd4e30"/>
    <n v="18"/>
    <s v="Other"/>
    <s v="Standard"/>
    <n v="4.6399999999999997"/>
    <x v="38"/>
    <x v="5"/>
    <x v="2"/>
    <n v="13.99"/>
    <n v="1"/>
    <n v="13.99"/>
    <x v="2"/>
    <n v="3"/>
    <n v="0.21"/>
    <s v="Documentary"/>
  </r>
  <r>
    <s v="e8dd552e-5b29-4c98-b499-ac4be92ea012"/>
    <n v="33"/>
    <s v="Male"/>
    <s v="Standard"/>
    <n v="2.71"/>
    <x v="39"/>
    <x v="1"/>
    <x v="1"/>
    <n v="13.99"/>
    <n v="1"/>
    <n v="13.99"/>
    <x v="1"/>
    <n v="3"/>
    <n v="0.12"/>
    <s v="Drama"/>
  </r>
  <r>
    <s v="2a0d5401-4f2f-49e7-811e-f0ea4fe51a48"/>
    <n v="39"/>
    <s v="Male"/>
    <s v="Basic"/>
    <n v="22.24"/>
    <x v="58"/>
    <x v="5"/>
    <x v="2"/>
    <n v="8.99"/>
    <n v="1"/>
    <n v="8.99"/>
    <x v="2"/>
    <n v="3"/>
    <n v="0.46"/>
    <s v="Action"/>
  </r>
  <r>
    <s v="1feead91-6d5b-4113-84f7-8a01c3112fa4"/>
    <n v="22"/>
    <s v="Male"/>
    <s v="Standard"/>
    <n v="13.78"/>
    <x v="25"/>
    <x v="3"/>
    <x v="0"/>
    <n v="13.99"/>
    <n v="0"/>
    <n v="0"/>
    <x v="3"/>
    <n v="2"/>
    <n v="13.78"/>
    <s v="Sci-Fi"/>
  </r>
  <r>
    <s v="5508c3b7-0927-40eb-9e4f-b9fed144ab44"/>
    <n v="62"/>
    <s v="Female"/>
    <s v="Basic"/>
    <n v="5.64"/>
    <x v="9"/>
    <x v="1"/>
    <x v="4"/>
    <n v="8.99"/>
    <n v="1"/>
    <n v="8.99"/>
    <x v="0"/>
    <n v="5"/>
    <n v="0.15"/>
    <s v="Horror"/>
  </r>
  <r>
    <s v="47fe2c0b-aac3-4406-9d6f-fac41aa6ef9b"/>
    <n v="32"/>
    <s v="Other"/>
    <s v="Basic"/>
    <n v="41.97"/>
    <x v="8"/>
    <x v="1"/>
    <x v="3"/>
    <n v="8.99"/>
    <n v="0"/>
    <n v="0"/>
    <x v="4"/>
    <n v="1"/>
    <n v="1.2"/>
    <s v="Horror"/>
  </r>
  <r>
    <s v="ec4b1929-7af9-4042-af0d-580378d7fd70"/>
    <n v="64"/>
    <s v="Male"/>
    <s v="Premium"/>
    <n v="0.01"/>
    <x v="27"/>
    <x v="0"/>
    <x v="0"/>
    <n v="17.989999999999998"/>
    <n v="0"/>
    <n v="0"/>
    <x v="3"/>
    <n v="5"/>
    <n v="0"/>
    <s v="Horror"/>
  </r>
  <r>
    <s v="b81d84e9-720c-4ebf-88d1-76fb220fec64"/>
    <n v="58"/>
    <s v="Male"/>
    <s v="Premium"/>
    <n v="2.83"/>
    <x v="56"/>
    <x v="5"/>
    <x v="0"/>
    <n v="17.989999999999998"/>
    <n v="1"/>
    <n v="17.989999999999998"/>
    <x v="0"/>
    <n v="4"/>
    <n v="0.05"/>
    <s v="Romance"/>
  </r>
  <r>
    <s v="dc750f45-8d0f-4d97-9c14-5f2c12b388df"/>
    <n v="35"/>
    <s v="Male"/>
    <s v="Premium"/>
    <n v="9.2899999999999991"/>
    <x v="6"/>
    <x v="0"/>
    <x v="4"/>
    <n v="17.989999999999998"/>
    <n v="0"/>
    <n v="0"/>
    <x v="2"/>
    <n v="4"/>
    <n v="0.44"/>
    <s v="Comedy"/>
  </r>
  <r>
    <s v="35183e0c-9d34-4de7-8e56-c02d8150d52a"/>
    <n v="59"/>
    <s v="Female"/>
    <s v="Standard"/>
    <n v="30.59"/>
    <x v="42"/>
    <x v="2"/>
    <x v="4"/>
    <n v="13.99"/>
    <n v="0"/>
    <n v="0"/>
    <x v="3"/>
    <n v="1"/>
    <n v="0.81"/>
    <s v="Comedy"/>
  </r>
  <r>
    <s v="ea0ee4eb-bc26-492d-a755-e024bd41fc86"/>
    <n v="33"/>
    <s v="Male"/>
    <s v="Premium"/>
    <n v="12.28"/>
    <x v="19"/>
    <x v="0"/>
    <x v="0"/>
    <n v="17.989999999999998"/>
    <n v="0"/>
    <n v="0"/>
    <x v="3"/>
    <n v="4"/>
    <n v="0.28000000000000003"/>
    <s v="Comedy"/>
  </r>
  <r>
    <s v="e68ca7ad-262c-4faa-8f72-31acf9b3520c"/>
    <n v="60"/>
    <s v="Female"/>
    <s v="Premium"/>
    <n v="3.92"/>
    <x v="13"/>
    <x v="5"/>
    <x v="0"/>
    <n v="17.989999999999998"/>
    <n v="1"/>
    <n v="17.989999999999998"/>
    <x v="1"/>
    <n v="2"/>
    <n v="0.49"/>
    <s v="Comedy"/>
  </r>
  <r>
    <s v="5cbb9981-6f2d-424f-af91-af52901b2f54"/>
    <n v="65"/>
    <s v="Female"/>
    <s v="Basic"/>
    <n v="4.12"/>
    <x v="49"/>
    <x v="4"/>
    <x v="4"/>
    <n v="8.99"/>
    <n v="1"/>
    <n v="8.99"/>
    <x v="4"/>
    <n v="5"/>
    <n v="0.41"/>
    <s v="Romance"/>
  </r>
  <r>
    <s v="c7d5fd94-65a7-44d0-9950-cbd4a81baefc"/>
    <n v="49"/>
    <s v="Male"/>
    <s v="Standard"/>
    <n v="24.88"/>
    <x v="9"/>
    <x v="5"/>
    <x v="1"/>
    <n v="13.99"/>
    <n v="0"/>
    <n v="0"/>
    <x v="0"/>
    <n v="3"/>
    <n v="0.67"/>
    <s v="Comedy"/>
  </r>
  <r>
    <s v="5ff73d3c-2fab-46f6-9b67-48982872780e"/>
    <n v="25"/>
    <s v="Male"/>
    <s v="Premium"/>
    <n v="12.73"/>
    <x v="55"/>
    <x v="0"/>
    <x v="0"/>
    <n v="17.989999999999998"/>
    <n v="0"/>
    <n v="0"/>
    <x v="3"/>
    <n v="5"/>
    <n v="0.21"/>
    <s v="Documentary"/>
  </r>
  <r>
    <s v="1d278ed7-0ab6-4012-8ab9-58513b6242e1"/>
    <n v="46"/>
    <s v="Other"/>
    <s v="Premium"/>
    <n v="2.98"/>
    <x v="3"/>
    <x v="1"/>
    <x v="2"/>
    <n v="17.989999999999998"/>
    <n v="1"/>
    <n v="17.989999999999998"/>
    <x v="2"/>
    <n v="2"/>
    <n v="0.23"/>
    <s v="Action"/>
  </r>
  <r>
    <s v="37371173-515b-475e-afc8-832445a40a2a"/>
    <n v="19"/>
    <s v="Male"/>
    <s v="Premium"/>
    <n v="17.420000000000002"/>
    <x v="15"/>
    <x v="4"/>
    <x v="3"/>
    <n v="17.989999999999998"/>
    <n v="1"/>
    <n v="17.989999999999998"/>
    <x v="3"/>
    <n v="3"/>
    <n v="0.42"/>
    <s v="Drama"/>
  </r>
  <r>
    <s v="175442f3-3430-402e-8032-bd875f2163c2"/>
    <n v="47"/>
    <s v="Male"/>
    <s v="Standard"/>
    <n v="3.71"/>
    <x v="50"/>
    <x v="4"/>
    <x v="3"/>
    <n v="13.99"/>
    <n v="1"/>
    <n v="13.99"/>
    <x v="1"/>
    <n v="5"/>
    <n v="7.0000000000000007E-2"/>
    <s v="Action"/>
  </r>
  <r>
    <s v="74c58c56-4bbd-4e7c-8ff9-1853e03f0e7b"/>
    <n v="51"/>
    <s v="Other"/>
    <s v="Basic"/>
    <n v="8.34"/>
    <x v="12"/>
    <x v="1"/>
    <x v="0"/>
    <n v="8.99"/>
    <n v="1"/>
    <n v="8.99"/>
    <x v="4"/>
    <n v="1"/>
    <n v="0.25"/>
    <s v="Documentary"/>
  </r>
  <r>
    <s v="1367ea74-884b-4db8-b4be-43a00413f280"/>
    <n v="32"/>
    <s v="Female"/>
    <s v="Standard"/>
    <n v="5.93"/>
    <x v="45"/>
    <x v="1"/>
    <x v="1"/>
    <n v="13.99"/>
    <n v="0"/>
    <n v="0"/>
    <x v="3"/>
    <n v="4"/>
    <n v="0.14000000000000001"/>
    <s v="Action"/>
  </r>
  <r>
    <s v="b5632911-eebb-4df5-98e5-68ba421fee57"/>
    <n v="59"/>
    <s v="Female"/>
    <s v="Basic"/>
    <n v="19.32"/>
    <x v="9"/>
    <x v="5"/>
    <x v="4"/>
    <n v="8.99"/>
    <n v="1"/>
    <n v="8.99"/>
    <x v="3"/>
    <n v="3"/>
    <n v="0.52"/>
    <s v="Comedy"/>
  </r>
  <r>
    <s v="10b6a948-69ee-4074-8e15-c15ce0304f8f"/>
    <n v="64"/>
    <s v="Female"/>
    <s v="Standard"/>
    <n v="8.5299999999999994"/>
    <x v="26"/>
    <x v="5"/>
    <x v="4"/>
    <n v="13.99"/>
    <n v="0"/>
    <n v="0"/>
    <x v="2"/>
    <n v="4"/>
    <n v="0.17"/>
    <s v="Romance"/>
  </r>
  <r>
    <s v="05cc6f25-3ad7-48e3-b37d-cd542f0facd8"/>
    <n v="29"/>
    <s v="Female"/>
    <s v="Standard"/>
    <n v="6.13"/>
    <x v="49"/>
    <x v="5"/>
    <x v="1"/>
    <n v="13.99"/>
    <n v="0"/>
    <n v="0"/>
    <x v="0"/>
    <n v="3"/>
    <n v="0.61"/>
    <s v="Sci-Fi"/>
  </r>
  <r>
    <s v="1170be2f-64e5-4819-856d-961cd44a38d4"/>
    <n v="57"/>
    <s v="Male"/>
    <s v="Basic"/>
    <n v="4.3499999999999996"/>
    <x v="36"/>
    <x v="4"/>
    <x v="2"/>
    <n v="8.99"/>
    <n v="1"/>
    <n v="8.99"/>
    <x v="2"/>
    <n v="1"/>
    <n v="0.11"/>
    <s v="Action"/>
  </r>
  <r>
    <s v="c6a8e5fa-5432-47ce-b361-ae6096451a27"/>
    <n v="49"/>
    <s v="Other"/>
    <s v="Basic"/>
    <n v="76.16"/>
    <x v="4"/>
    <x v="5"/>
    <x v="0"/>
    <n v="8.99"/>
    <n v="0"/>
    <n v="0"/>
    <x v="3"/>
    <n v="5"/>
    <n v="5.44"/>
    <s v="Comedy"/>
  </r>
  <r>
    <s v="ec9db0f2-3043-427d-a332-28ec111524de"/>
    <n v="65"/>
    <s v="Female"/>
    <s v="Basic"/>
    <n v="2.39"/>
    <x v="5"/>
    <x v="1"/>
    <x v="1"/>
    <n v="8.99"/>
    <n v="1"/>
    <n v="8.99"/>
    <x v="0"/>
    <n v="3"/>
    <n v="0.09"/>
    <s v="Horror"/>
  </r>
  <r>
    <s v="2773e85d-c7cf-4a74-885e-e2f0d15c50f5"/>
    <n v="21"/>
    <s v="Female"/>
    <s v="Premium"/>
    <n v="5.25"/>
    <x v="23"/>
    <x v="3"/>
    <x v="4"/>
    <n v="17.989999999999998"/>
    <n v="1"/>
    <n v="17.989999999999998"/>
    <x v="2"/>
    <n v="2"/>
    <n v="0.1"/>
    <s v="Comedy"/>
  </r>
  <r>
    <s v="82f97023-7abf-4356-9b04-437f708c843a"/>
    <n v="66"/>
    <s v="Other"/>
    <s v="Standard"/>
    <n v="16.52"/>
    <x v="7"/>
    <x v="2"/>
    <x v="3"/>
    <n v="13.99"/>
    <n v="1"/>
    <n v="13.99"/>
    <x v="0"/>
    <n v="5"/>
    <n v="0.28999999999999998"/>
    <s v="Sci-Fi"/>
  </r>
  <r>
    <s v="7cdbbdf7-d057-4b7f-b595-38a19016ad63"/>
    <n v="69"/>
    <s v="Other"/>
    <s v="Standard"/>
    <n v="8.57"/>
    <x v="15"/>
    <x v="3"/>
    <x v="4"/>
    <n v="13.99"/>
    <n v="1"/>
    <n v="13.99"/>
    <x v="3"/>
    <n v="3"/>
    <n v="0.21"/>
    <s v="Drama"/>
  </r>
  <r>
    <s v="7d6adea2-0428-4b69-b74a-83be5a20dcdd"/>
    <n v="38"/>
    <s v="Female"/>
    <s v="Standard"/>
    <n v="1.69"/>
    <x v="3"/>
    <x v="0"/>
    <x v="1"/>
    <n v="13.99"/>
    <n v="1"/>
    <n v="13.99"/>
    <x v="2"/>
    <n v="3"/>
    <n v="0.13"/>
    <s v="Drama"/>
  </r>
  <r>
    <s v="58c2d13e-80d1-4d13-ba1b-c10fdb76845d"/>
    <n v="63"/>
    <s v="Female"/>
    <s v="Basic"/>
    <n v="15.81"/>
    <x v="49"/>
    <x v="1"/>
    <x v="1"/>
    <n v="8.99"/>
    <n v="0"/>
    <n v="0"/>
    <x v="3"/>
    <n v="3"/>
    <n v="1.58"/>
    <s v="Comedy"/>
  </r>
  <r>
    <s v="fd0bbc67-8b8e-4ced-ae4b-67e27c0e854e"/>
    <n v="31"/>
    <s v="Male"/>
    <s v="Premium"/>
    <n v="5.04"/>
    <x v="54"/>
    <x v="1"/>
    <x v="2"/>
    <n v="17.989999999999998"/>
    <n v="0"/>
    <n v="0"/>
    <x v="2"/>
    <n v="3"/>
    <n v="0.17"/>
    <s v="Sci-Fi"/>
  </r>
  <r>
    <s v="0b3ee497-e62e-42de-907d-169ab8c05e41"/>
    <n v="42"/>
    <s v="Male"/>
    <s v="Premium"/>
    <n v="2.81"/>
    <x v="14"/>
    <x v="1"/>
    <x v="3"/>
    <n v="17.989999999999998"/>
    <n v="1"/>
    <n v="17.989999999999998"/>
    <x v="0"/>
    <n v="2"/>
    <n v="0.09"/>
    <s v="Comedy"/>
  </r>
  <r>
    <s v="578a0a90-3fed-4c72-ba24-bb08903f1d4e"/>
    <n v="48"/>
    <s v="Male"/>
    <s v="Premium"/>
    <n v="19.559999999999999"/>
    <x v="56"/>
    <x v="1"/>
    <x v="1"/>
    <n v="17.989999999999998"/>
    <n v="1"/>
    <n v="17.989999999999998"/>
    <x v="4"/>
    <n v="1"/>
    <n v="0.33"/>
    <s v="Action"/>
  </r>
  <r>
    <s v="7a9a43fb-a99f-4468-a7df-8b037e5723d7"/>
    <n v="67"/>
    <s v="Female"/>
    <s v="Standard"/>
    <n v="10.88"/>
    <x v="41"/>
    <x v="4"/>
    <x v="0"/>
    <n v="13.99"/>
    <n v="0"/>
    <n v="0"/>
    <x v="0"/>
    <n v="5"/>
    <n v="0.35"/>
    <s v="Romance"/>
  </r>
  <r>
    <s v="9bdf15cd-9bb1-498f-ae9f-182f09db433a"/>
    <n v="70"/>
    <s v="Other"/>
    <s v="Basic"/>
    <n v="5.74"/>
    <x v="26"/>
    <x v="4"/>
    <x v="0"/>
    <n v="8.99"/>
    <n v="1"/>
    <n v="8.99"/>
    <x v="0"/>
    <n v="5"/>
    <n v="0.12"/>
    <s v="Comedy"/>
  </r>
  <r>
    <s v="c3f7aa56-f0bd-416c-8351-b4a71bb9cc03"/>
    <n v="49"/>
    <s v="Male"/>
    <s v="Premium"/>
    <n v="8.49"/>
    <x v="13"/>
    <x v="4"/>
    <x v="2"/>
    <n v="17.989999999999998"/>
    <n v="0"/>
    <n v="0"/>
    <x v="1"/>
    <n v="1"/>
    <n v="1.06"/>
    <s v="Sci-Fi"/>
  </r>
  <r>
    <s v="b21933f8-6d51-47a5-8cc3-800b518ebd77"/>
    <n v="46"/>
    <s v="Male"/>
    <s v="Standard"/>
    <n v="14.29"/>
    <x v="28"/>
    <x v="4"/>
    <x v="3"/>
    <n v="13.99"/>
    <n v="0"/>
    <n v="0"/>
    <x v="2"/>
    <n v="5"/>
    <n v="0.4"/>
    <s v="Sci-Fi"/>
  </r>
  <r>
    <s v="816f0519-7f1f-4840-b216-b8c08471d1c9"/>
    <n v="31"/>
    <s v="Female"/>
    <s v="Premium"/>
    <n v="9.9499999999999993"/>
    <x v="21"/>
    <x v="5"/>
    <x v="1"/>
    <n v="17.989999999999998"/>
    <n v="0"/>
    <n v="0"/>
    <x v="2"/>
    <n v="2"/>
    <n v="1.42"/>
    <s v="Documentary"/>
  </r>
  <r>
    <s v="fbf49131-0d40-4538-b833-61f2853232f7"/>
    <n v="41"/>
    <s v="Female"/>
    <s v="Standard"/>
    <n v="18.04"/>
    <x v="52"/>
    <x v="4"/>
    <x v="0"/>
    <n v="13.99"/>
    <n v="0"/>
    <n v="0"/>
    <x v="3"/>
    <n v="4"/>
    <n v="0.36"/>
    <s v="Romance"/>
  </r>
  <r>
    <s v="fca823b8-3edd-4563-a0cf-b232af5e2b5b"/>
    <n v="62"/>
    <s v="Female"/>
    <s v="Standard"/>
    <n v="35.130000000000003"/>
    <x v="17"/>
    <x v="1"/>
    <x v="3"/>
    <n v="13.99"/>
    <n v="0"/>
    <n v="0"/>
    <x v="1"/>
    <n v="4"/>
    <n v="7.03"/>
    <s v="Comedy"/>
  </r>
  <r>
    <s v="003a0b79-bbe0-4fc3-a472-6f41163304f6"/>
    <n v="38"/>
    <s v="Female"/>
    <s v="Premium"/>
    <n v="34.08"/>
    <x v="30"/>
    <x v="5"/>
    <x v="2"/>
    <n v="17.989999999999998"/>
    <n v="0"/>
    <n v="0"/>
    <x v="4"/>
    <n v="4"/>
    <n v="17.04"/>
    <s v="Drama"/>
  </r>
  <r>
    <s v="9df42ee9-00e2-45dc-90a7-f5111edb1dd4"/>
    <n v="45"/>
    <s v="Female"/>
    <s v="Premium"/>
    <n v="17.829999999999998"/>
    <x v="29"/>
    <x v="1"/>
    <x v="0"/>
    <n v="17.989999999999998"/>
    <n v="1"/>
    <n v="17.989999999999998"/>
    <x v="2"/>
    <n v="1"/>
    <n v="0.39"/>
    <s v="Drama"/>
  </r>
  <r>
    <s v="a5274505-ce99-404d-91d2-7eb2b196c891"/>
    <n v="20"/>
    <s v="Female"/>
    <s v="Premium"/>
    <n v="9.9600000000000009"/>
    <x v="51"/>
    <x v="5"/>
    <x v="0"/>
    <n v="17.989999999999998"/>
    <n v="0"/>
    <n v="0"/>
    <x v="0"/>
    <n v="4"/>
    <n v="0.55000000000000004"/>
    <s v="Horror"/>
  </r>
  <r>
    <s v="ab0b6855-52b4-4535-bde3-ef4e0941742b"/>
    <n v="18"/>
    <s v="Male"/>
    <s v="Premium"/>
    <n v="23.07"/>
    <x v="60"/>
    <x v="4"/>
    <x v="0"/>
    <n v="17.989999999999998"/>
    <n v="0"/>
    <n v="0"/>
    <x v="4"/>
    <n v="1"/>
    <n v="2.56"/>
    <s v="Drama"/>
  </r>
  <r>
    <s v="b69cfa34-4ed4-4990-91ba-4e92acf4365d"/>
    <n v="28"/>
    <s v="Female"/>
    <s v="Premium"/>
    <n v="28.72"/>
    <x v="15"/>
    <x v="4"/>
    <x v="2"/>
    <n v="17.989999999999998"/>
    <n v="0"/>
    <n v="0"/>
    <x v="0"/>
    <n v="2"/>
    <n v="0.7"/>
    <s v="Romance"/>
  </r>
  <r>
    <s v="9ec86251-a006-474a-a64e-cdca8f8c125d"/>
    <n v="34"/>
    <s v="Other"/>
    <s v="Standard"/>
    <n v="26.66"/>
    <x v="22"/>
    <x v="5"/>
    <x v="3"/>
    <n v="13.99"/>
    <n v="0"/>
    <n v="0"/>
    <x v="3"/>
    <n v="2"/>
    <n v="0.48"/>
    <s v="Comedy"/>
  </r>
  <r>
    <s v="28da7e28-603e-4b58-90d9-084ffdc09314"/>
    <n v="53"/>
    <s v="Female"/>
    <s v="Basic"/>
    <n v="0.33"/>
    <x v="28"/>
    <x v="3"/>
    <x v="1"/>
    <n v="8.99"/>
    <n v="1"/>
    <n v="8.99"/>
    <x v="4"/>
    <n v="1"/>
    <n v="0.01"/>
    <s v="Action"/>
  </r>
  <r>
    <s v="168a2180-feec-4b0e-82e7-a717621851ad"/>
    <n v="56"/>
    <s v="Other"/>
    <s v="Basic"/>
    <n v="29"/>
    <x v="11"/>
    <x v="3"/>
    <x v="4"/>
    <n v="8.99"/>
    <n v="0"/>
    <n v="0"/>
    <x v="0"/>
    <n v="4"/>
    <n v="1.21"/>
    <s v="Action"/>
  </r>
  <r>
    <s v="66b059d7-75da-4083-ae90-baf7321930ba"/>
    <n v="29"/>
    <s v="Female"/>
    <s v="Basic"/>
    <n v="1.88"/>
    <x v="44"/>
    <x v="2"/>
    <x v="3"/>
    <n v="8.99"/>
    <n v="1"/>
    <n v="8.99"/>
    <x v="1"/>
    <n v="4"/>
    <n v="0.04"/>
    <s v="Sci-Fi"/>
  </r>
  <r>
    <s v="1fda63bb-9af0-4c63-b275-92e1711d8c2f"/>
    <n v="62"/>
    <s v="Female"/>
    <s v="Premium"/>
    <n v="5.81"/>
    <x v="0"/>
    <x v="2"/>
    <x v="2"/>
    <n v="17.989999999999998"/>
    <n v="0"/>
    <n v="0"/>
    <x v="3"/>
    <n v="2"/>
    <n v="0.19"/>
    <s v="Drama"/>
  </r>
  <r>
    <s v="1e5ea5bb-78d0-44d0-8ed9-1ab9ee0f5ec6"/>
    <n v="40"/>
    <s v="Male"/>
    <s v="Basic"/>
    <n v="23.44"/>
    <x v="15"/>
    <x v="5"/>
    <x v="0"/>
    <n v="8.99"/>
    <n v="0"/>
    <n v="0"/>
    <x v="0"/>
    <n v="4"/>
    <n v="0.56999999999999995"/>
    <s v="Horror"/>
  </r>
  <r>
    <s v="3e7541bd-bfd7-4c88-a7f6-bcdb0c97507a"/>
    <n v="54"/>
    <s v="Other"/>
    <s v="Premium"/>
    <n v="4.79"/>
    <x v="52"/>
    <x v="0"/>
    <x v="0"/>
    <n v="17.989999999999998"/>
    <n v="1"/>
    <n v="17.989999999999998"/>
    <x v="0"/>
    <n v="4"/>
    <n v="0.1"/>
    <s v="Action"/>
  </r>
  <r>
    <s v="5ce962cf-4737-4fed-b993-de3e16546c74"/>
    <n v="63"/>
    <s v="Female"/>
    <s v="Basic"/>
    <n v="24.97"/>
    <x v="11"/>
    <x v="4"/>
    <x v="1"/>
    <n v="8.99"/>
    <n v="0"/>
    <n v="0"/>
    <x v="4"/>
    <n v="1"/>
    <n v="1.04"/>
    <s v="Sci-Fi"/>
  </r>
  <r>
    <s v="3fe2608c-c96b-44ba-9bd4-3b9815ca30a8"/>
    <n v="34"/>
    <s v="Male"/>
    <s v="Basic"/>
    <n v="12.84"/>
    <x v="53"/>
    <x v="5"/>
    <x v="1"/>
    <n v="8.99"/>
    <n v="1"/>
    <n v="8.99"/>
    <x v="3"/>
    <n v="4"/>
    <n v="0.3"/>
    <s v="Sci-Fi"/>
  </r>
  <r>
    <s v="0518f586-beca-4a14-89bc-b8084bcf6599"/>
    <n v="29"/>
    <s v="Female"/>
    <s v="Basic"/>
    <n v="18.68"/>
    <x v="48"/>
    <x v="4"/>
    <x v="4"/>
    <n v="8.99"/>
    <n v="1"/>
    <n v="8.99"/>
    <x v="3"/>
    <n v="3"/>
    <n v="0.36"/>
    <s v="Sci-Fi"/>
  </r>
  <r>
    <s v="2841bec1-e995-44c2-a8a3-461e3eb33cb6"/>
    <n v="31"/>
    <s v="Male"/>
    <s v="Premium"/>
    <n v="2.7"/>
    <x v="48"/>
    <x v="1"/>
    <x v="4"/>
    <n v="17.989999999999998"/>
    <n v="1"/>
    <n v="17.989999999999998"/>
    <x v="1"/>
    <n v="5"/>
    <n v="0.05"/>
    <s v="Horror"/>
  </r>
  <r>
    <s v="79834450-f52d-498e-902b-cb69d3f6c6a4"/>
    <n v="26"/>
    <s v="Female"/>
    <s v="Premium"/>
    <n v="16.27"/>
    <x v="8"/>
    <x v="2"/>
    <x v="1"/>
    <n v="17.989999999999998"/>
    <n v="1"/>
    <n v="17.989999999999998"/>
    <x v="1"/>
    <n v="3"/>
    <n v="0.46"/>
    <s v="Drama"/>
  </r>
  <r>
    <s v="2efa1510-6349-40ab-8c60-5b5abec779a6"/>
    <n v="23"/>
    <s v="Male"/>
    <s v="Premium"/>
    <n v="16.010000000000002"/>
    <x v="46"/>
    <x v="1"/>
    <x v="2"/>
    <n v="17.989999999999998"/>
    <n v="0"/>
    <n v="0"/>
    <x v="3"/>
    <n v="1"/>
    <n v="5.34"/>
    <s v="Sci-Fi"/>
  </r>
  <r>
    <s v="2adb38da-c9e8-43dc-b500-4ebdfc5187e1"/>
    <n v="45"/>
    <s v="Male"/>
    <s v="Basic"/>
    <n v="1.98"/>
    <x v="23"/>
    <x v="1"/>
    <x v="2"/>
    <n v="8.99"/>
    <n v="1"/>
    <n v="8.99"/>
    <x v="1"/>
    <n v="5"/>
    <n v="0.04"/>
    <s v="Documentary"/>
  </r>
  <r>
    <s v="fa4ec32f-55e7-4609-bb12-293d41b042f6"/>
    <n v="22"/>
    <s v="Male"/>
    <s v="Standard"/>
    <n v="39.11"/>
    <x v="4"/>
    <x v="4"/>
    <x v="1"/>
    <n v="13.99"/>
    <n v="0"/>
    <n v="0"/>
    <x v="1"/>
    <n v="2"/>
    <n v="2.79"/>
    <s v="Drama"/>
  </r>
  <r>
    <s v="54ef27f9-1c05-4e92-8b3d-adbaf901c73f"/>
    <n v="62"/>
    <s v="Female"/>
    <s v="Premium"/>
    <n v="6.17"/>
    <x v="30"/>
    <x v="2"/>
    <x v="0"/>
    <n v="17.989999999999998"/>
    <n v="0"/>
    <n v="0"/>
    <x v="2"/>
    <n v="2"/>
    <n v="3.08"/>
    <s v="Comedy"/>
  </r>
  <r>
    <s v="6a973e51-c068-46f4-92f7-8eec5d2028cd"/>
    <n v="33"/>
    <s v="Female"/>
    <s v="Premium"/>
    <n v="14.93"/>
    <x v="13"/>
    <x v="1"/>
    <x v="2"/>
    <n v="17.989999999999998"/>
    <n v="0"/>
    <n v="0"/>
    <x v="2"/>
    <n v="3"/>
    <n v="1.87"/>
    <s v="Action"/>
  </r>
  <r>
    <s v="6c9531ae-10ec-45cf-99bc-971287abef2a"/>
    <n v="68"/>
    <s v="Other"/>
    <s v="Premium"/>
    <n v="25.21"/>
    <x v="34"/>
    <x v="1"/>
    <x v="1"/>
    <n v="17.989999999999998"/>
    <n v="0"/>
    <n v="0"/>
    <x v="4"/>
    <n v="4"/>
    <n v="0.49"/>
    <s v="Drama"/>
  </r>
  <r>
    <s v="b6b5ba74-46cf-4df3-aeae-c16d3338d3e3"/>
    <n v="59"/>
    <s v="Other"/>
    <s v="Premium"/>
    <n v="2.4500000000000002"/>
    <x v="48"/>
    <x v="4"/>
    <x v="2"/>
    <n v="17.989999999999998"/>
    <n v="1"/>
    <n v="17.989999999999998"/>
    <x v="2"/>
    <n v="5"/>
    <n v="0.05"/>
    <s v="Action"/>
  </r>
  <r>
    <s v="04df6b31-22ff-4a64-b1f9-fde97eed25f8"/>
    <n v="37"/>
    <s v="Other"/>
    <s v="Standard"/>
    <n v="26.94"/>
    <x v="3"/>
    <x v="0"/>
    <x v="3"/>
    <n v="13.99"/>
    <n v="0"/>
    <n v="0"/>
    <x v="0"/>
    <n v="3"/>
    <n v="2.0699999999999998"/>
    <s v="Documentary"/>
  </r>
  <r>
    <s v="aa9475e4-00e1-4e7c-9c1b-780632d33b3d"/>
    <n v="39"/>
    <s v="Male"/>
    <s v="Basic"/>
    <n v="7.67"/>
    <x v="16"/>
    <x v="0"/>
    <x v="4"/>
    <n v="8.99"/>
    <n v="0"/>
    <n v="0"/>
    <x v="4"/>
    <n v="3"/>
    <n v="0.27"/>
    <s v="Comedy"/>
  </r>
  <r>
    <s v="aa019cbc-24d5-4898-93ee-5b2f4b89ef68"/>
    <n v="47"/>
    <s v="Other"/>
    <s v="Standard"/>
    <n v="2.11"/>
    <x v="37"/>
    <x v="0"/>
    <x v="1"/>
    <n v="13.99"/>
    <n v="1"/>
    <n v="13.99"/>
    <x v="1"/>
    <n v="4"/>
    <n v="0.08"/>
    <s v="Comedy"/>
  </r>
  <r>
    <s v="f8b2fc02-c42f-48c0-a07b-56e4d8eb9d85"/>
    <n v="64"/>
    <s v="Male"/>
    <s v="Basic"/>
    <n v="22.69"/>
    <x v="19"/>
    <x v="4"/>
    <x v="1"/>
    <n v="8.99"/>
    <n v="0"/>
    <n v="0"/>
    <x v="3"/>
    <n v="2"/>
    <n v="0.52"/>
    <s v="Drama"/>
  </r>
  <r>
    <s v="57e85db6-af70-499c-9d7d-c89dcc29a52d"/>
    <n v="55"/>
    <s v="Male"/>
    <s v="Standard"/>
    <n v="0.53"/>
    <x v="14"/>
    <x v="2"/>
    <x v="1"/>
    <n v="13.99"/>
    <n v="1"/>
    <n v="13.99"/>
    <x v="4"/>
    <n v="5"/>
    <n v="0.02"/>
    <s v="Drama"/>
  </r>
  <r>
    <s v="86b5d63b-5dd5-4d9b-907e-ef44a55e3c9e"/>
    <n v="55"/>
    <s v="Other"/>
    <s v="Basic"/>
    <n v="12.26"/>
    <x v="30"/>
    <x v="3"/>
    <x v="3"/>
    <n v="8.99"/>
    <n v="0"/>
    <n v="0"/>
    <x v="3"/>
    <n v="1"/>
    <n v="6.13"/>
    <s v="Comedy"/>
  </r>
  <r>
    <s v="15e35649-01d8-4a27-849b-6aab102fce77"/>
    <n v="56"/>
    <s v="Male"/>
    <s v="Standard"/>
    <n v="9.9700000000000006"/>
    <x v="2"/>
    <x v="2"/>
    <x v="1"/>
    <n v="13.99"/>
    <n v="0"/>
    <n v="0"/>
    <x v="4"/>
    <n v="5"/>
    <n v="0.91"/>
    <s v="Action"/>
  </r>
  <r>
    <s v="5bf04dcf-b209-4833-a2b7-be6c11aa6a41"/>
    <n v="38"/>
    <s v="Female"/>
    <s v="Standard"/>
    <n v="2.44"/>
    <x v="40"/>
    <x v="3"/>
    <x v="2"/>
    <n v="13.99"/>
    <n v="1"/>
    <n v="13.99"/>
    <x v="0"/>
    <n v="5"/>
    <n v="0.2"/>
    <s v="Documentary"/>
  </r>
  <r>
    <s v="3cf947ab-e2d5-43cf-8dee-e8b8566d5dee"/>
    <n v="56"/>
    <s v="Other"/>
    <s v="Premium"/>
    <n v="18.149999999999999"/>
    <x v="15"/>
    <x v="5"/>
    <x v="1"/>
    <n v="17.989999999999998"/>
    <n v="0"/>
    <n v="0"/>
    <x v="3"/>
    <n v="4"/>
    <n v="0.44"/>
    <s v="Drama"/>
  </r>
  <r>
    <s v="3a5fcf0b-57a7-4e8d-8afd-7bcf84b8adc5"/>
    <n v="63"/>
    <s v="Female"/>
    <s v="Standard"/>
    <n v="32.06"/>
    <x v="37"/>
    <x v="1"/>
    <x v="3"/>
    <n v="13.99"/>
    <n v="0"/>
    <n v="0"/>
    <x v="2"/>
    <n v="3"/>
    <n v="1.28"/>
    <s v="Documentary"/>
  </r>
  <r>
    <s v="61ae1e60-0d02-409b-b105-b64c3f2ecf90"/>
    <n v="38"/>
    <s v="Male"/>
    <s v="Premium"/>
    <n v="5.89"/>
    <x v="46"/>
    <x v="1"/>
    <x v="3"/>
    <n v="17.989999999999998"/>
    <n v="0"/>
    <n v="0"/>
    <x v="1"/>
    <n v="1"/>
    <n v="1.96"/>
    <s v="Romance"/>
  </r>
  <r>
    <s v="884c5fad-a79e-457f-be31-813997b37cf6"/>
    <n v="34"/>
    <s v="Male"/>
    <s v="Basic"/>
    <n v="8.25"/>
    <x v="16"/>
    <x v="1"/>
    <x v="4"/>
    <n v="8.99"/>
    <n v="0"/>
    <n v="0"/>
    <x v="4"/>
    <n v="5"/>
    <n v="0.28999999999999998"/>
    <s v="Comedy"/>
  </r>
  <r>
    <s v="3414e470-95a7-4043-b8ce-b7c876fa0969"/>
    <n v="33"/>
    <s v="Male"/>
    <s v="Premium"/>
    <n v="1.42"/>
    <x v="34"/>
    <x v="2"/>
    <x v="1"/>
    <n v="17.989999999999998"/>
    <n v="1"/>
    <n v="17.989999999999998"/>
    <x v="0"/>
    <n v="3"/>
    <n v="0.03"/>
    <s v="Comedy"/>
  </r>
  <r>
    <s v="2a4f3f62-fb1c-4854-b2d0-8078586f0eff"/>
    <n v="43"/>
    <s v="Male"/>
    <s v="Standard"/>
    <n v="12.79"/>
    <x v="9"/>
    <x v="0"/>
    <x v="4"/>
    <n v="13.99"/>
    <n v="0"/>
    <n v="0"/>
    <x v="4"/>
    <n v="5"/>
    <n v="0.35"/>
    <s v="Documentary"/>
  </r>
  <r>
    <s v="6d118c34-ab50-4536-a2a2-b07a214e2343"/>
    <n v="43"/>
    <s v="Female"/>
    <s v="Standard"/>
    <n v="5.74"/>
    <x v="21"/>
    <x v="3"/>
    <x v="1"/>
    <n v="13.99"/>
    <n v="0"/>
    <n v="0"/>
    <x v="4"/>
    <n v="3"/>
    <n v="0.82"/>
    <s v="Drama"/>
  </r>
  <r>
    <s v="147bda63-2552-4e10-a3d7-3ad43264b5e2"/>
    <n v="26"/>
    <s v="Female"/>
    <s v="Premium"/>
    <n v="2.99"/>
    <x v="55"/>
    <x v="2"/>
    <x v="0"/>
    <n v="17.989999999999998"/>
    <n v="1"/>
    <n v="17.989999999999998"/>
    <x v="2"/>
    <n v="3"/>
    <n v="0.05"/>
    <s v="Action"/>
  </r>
  <r>
    <s v="43711252-d3df-41aa-98bf-b17bd33ad95e"/>
    <n v="23"/>
    <s v="Other"/>
    <s v="Standard"/>
    <n v="39.630000000000003"/>
    <x v="6"/>
    <x v="2"/>
    <x v="4"/>
    <n v="13.99"/>
    <n v="0"/>
    <n v="0"/>
    <x v="4"/>
    <n v="3"/>
    <n v="1.89"/>
    <s v="Sci-Fi"/>
  </r>
  <r>
    <s v="755df1c3-0358-4107-9e92-d5bcc92e25ff"/>
    <n v="39"/>
    <s v="Female"/>
    <s v="Standard"/>
    <n v="15.89"/>
    <x v="38"/>
    <x v="3"/>
    <x v="3"/>
    <n v="13.99"/>
    <n v="0"/>
    <n v="0"/>
    <x v="0"/>
    <n v="4"/>
    <n v="0.72"/>
    <s v="Sci-Fi"/>
  </r>
  <r>
    <s v="a29dec9d-fc5a-4d29-9c63-5d4465de58c6"/>
    <n v="28"/>
    <s v="Male"/>
    <s v="Basic"/>
    <n v="11.24"/>
    <x v="42"/>
    <x v="2"/>
    <x v="4"/>
    <n v="8.99"/>
    <n v="1"/>
    <n v="8.99"/>
    <x v="1"/>
    <n v="4"/>
    <n v="0.3"/>
    <s v="Horror"/>
  </r>
  <r>
    <s v="4e50ad61-f951-418f-88ca-cbdaf2b57e8d"/>
    <n v="63"/>
    <s v="Female"/>
    <s v="Basic"/>
    <n v="1.07"/>
    <x v="59"/>
    <x v="4"/>
    <x v="0"/>
    <n v="8.99"/>
    <n v="1"/>
    <n v="8.99"/>
    <x v="4"/>
    <n v="4"/>
    <n v="0.18"/>
    <s v="Action"/>
  </r>
  <r>
    <s v="cc3ba241-0ca3-40b2-a1f9-a8e88cb724e8"/>
    <n v="66"/>
    <s v="Other"/>
    <s v="Standard"/>
    <n v="9.8800000000000008"/>
    <x v="33"/>
    <x v="1"/>
    <x v="1"/>
    <n v="13.99"/>
    <n v="0"/>
    <n v="0"/>
    <x v="4"/>
    <n v="3"/>
    <n v="0.38"/>
    <s v="Action"/>
  </r>
  <r>
    <s v="a8eeb6ff-e4e6-4fa6-b4dd-2147d66e5234"/>
    <n v="62"/>
    <s v="Other"/>
    <s v="Premium"/>
    <n v="3.8"/>
    <x v="56"/>
    <x v="0"/>
    <x v="3"/>
    <n v="17.989999999999998"/>
    <n v="1"/>
    <n v="17.989999999999998"/>
    <x v="2"/>
    <n v="4"/>
    <n v="0.06"/>
    <s v="Comedy"/>
  </r>
  <r>
    <s v="81a4ab80-32bd-4d9a-9e23-6cecbebf2173"/>
    <n v="57"/>
    <s v="Female"/>
    <s v="Standard"/>
    <n v="3.47"/>
    <x v="9"/>
    <x v="4"/>
    <x v="4"/>
    <n v="13.99"/>
    <n v="1"/>
    <n v="13.99"/>
    <x v="1"/>
    <n v="4"/>
    <n v="0.09"/>
    <s v="Romance"/>
  </r>
  <r>
    <s v="9677ed5d-0bf2-4ccc-92ca-c176e3ed5ab2"/>
    <n v="49"/>
    <s v="Male"/>
    <s v="Basic"/>
    <n v="1.64"/>
    <x v="14"/>
    <x v="1"/>
    <x v="2"/>
    <n v="8.99"/>
    <n v="1"/>
    <n v="8.99"/>
    <x v="3"/>
    <n v="5"/>
    <n v="0.05"/>
    <s v="Drama"/>
  </r>
  <r>
    <s v="bc860dfd-b813-4828-a17c-0b55c994de44"/>
    <n v="30"/>
    <s v="Male"/>
    <s v="Standard"/>
    <n v="10.47"/>
    <x v="34"/>
    <x v="0"/>
    <x v="1"/>
    <n v="13.99"/>
    <n v="1"/>
    <n v="13.99"/>
    <x v="1"/>
    <n v="4"/>
    <n v="0.21"/>
    <s v="Sci-Fi"/>
  </r>
  <r>
    <s v="a5f996c0-05a7-4654-b5ee-46b897cfbb83"/>
    <n v="23"/>
    <s v="Other"/>
    <s v="Basic"/>
    <n v="18.23"/>
    <x v="58"/>
    <x v="2"/>
    <x v="4"/>
    <n v="8.99"/>
    <n v="1"/>
    <n v="8.99"/>
    <x v="2"/>
    <n v="4"/>
    <n v="0.38"/>
    <s v="Romance"/>
  </r>
  <r>
    <s v="ac99a3e4-fbf6-4b32-82cc-76d8d2d528f1"/>
    <n v="57"/>
    <s v="Other"/>
    <s v="Premium"/>
    <n v="16.09"/>
    <x v="41"/>
    <x v="1"/>
    <x v="3"/>
    <n v="17.989999999999998"/>
    <n v="0"/>
    <n v="0"/>
    <x v="1"/>
    <n v="1"/>
    <n v="0.52"/>
    <s v="Horror"/>
  </r>
  <r>
    <s v="dc8a8278-a2ed-47b1-aa4f-c0693a216b8f"/>
    <n v="63"/>
    <s v="Male"/>
    <s v="Standard"/>
    <n v="11.89"/>
    <x v="24"/>
    <x v="1"/>
    <x v="2"/>
    <n v="13.99"/>
    <n v="1"/>
    <n v="13.99"/>
    <x v="2"/>
    <n v="1"/>
    <n v="0.22"/>
    <s v="Romance"/>
  </r>
  <r>
    <s v="19f92e26-27ea-420a-803a-fffce53367a5"/>
    <n v="69"/>
    <s v="Other"/>
    <s v="Basic"/>
    <n v="2.95"/>
    <x v="15"/>
    <x v="5"/>
    <x v="1"/>
    <n v="8.99"/>
    <n v="1"/>
    <n v="8.99"/>
    <x v="1"/>
    <n v="1"/>
    <n v="7.0000000000000007E-2"/>
    <s v="Documentary"/>
  </r>
  <r>
    <s v="1ada8db6-b7b4-4bfc-ae3d-600e0fce87c6"/>
    <n v="42"/>
    <s v="Other"/>
    <s v="Premium"/>
    <n v="25.84"/>
    <x v="55"/>
    <x v="5"/>
    <x v="4"/>
    <n v="17.989999999999998"/>
    <n v="0"/>
    <n v="0"/>
    <x v="3"/>
    <n v="3"/>
    <n v="0.43"/>
    <s v="Comedy"/>
  </r>
  <r>
    <s v="9e87a156-02ad-45a1-b98f-e218859f3d38"/>
    <n v="64"/>
    <s v="Male"/>
    <s v="Premium"/>
    <n v="14.53"/>
    <x v="0"/>
    <x v="4"/>
    <x v="0"/>
    <n v="17.989999999999998"/>
    <n v="0"/>
    <n v="0"/>
    <x v="4"/>
    <n v="2"/>
    <n v="0.48"/>
    <s v="Horror"/>
  </r>
  <r>
    <s v="eb5b6e30-6cc5-4abf-a0e0-99faac5951e6"/>
    <n v="41"/>
    <s v="Male"/>
    <s v="Basic"/>
    <n v="9.42"/>
    <x v="1"/>
    <x v="4"/>
    <x v="1"/>
    <n v="8.99"/>
    <n v="1"/>
    <n v="8.99"/>
    <x v="3"/>
    <n v="1"/>
    <n v="0.47"/>
    <s v="Documentary"/>
  </r>
  <r>
    <s v="4abe31be-3910-4fe0-9b6b-17481304f2c6"/>
    <n v="23"/>
    <s v="Female"/>
    <s v="Premium"/>
    <n v="5.81"/>
    <x v="29"/>
    <x v="2"/>
    <x v="2"/>
    <n v="17.989999999999998"/>
    <n v="1"/>
    <n v="17.989999999999998"/>
    <x v="1"/>
    <n v="2"/>
    <n v="0.13"/>
    <s v="Comedy"/>
  </r>
  <r>
    <s v="99e90dad-2eaa-46e0-838a-ed38065dcef8"/>
    <n v="37"/>
    <s v="Female"/>
    <s v="Basic"/>
    <n v="4.76"/>
    <x v="45"/>
    <x v="2"/>
    <x v="3"/>
    <n v="8.99"/>
    <n v="1"/>
    <n v="8.99"/>
    <x v="3"/>
    <n v="3"/>
    <n v="0.11"/>
    <s v="Romance"/>
  </r>
  <r>
    <s v="012bcaff-f27c-444f-bba9-0e8d362980d6"/>
    <n v="20"/>
    <s v="Female"/>
    <s v="Premium"/>
    <n v="1.22"/>
    <x v="34"/>
    <x v="1"/>
    <x v="2"/>
    <n v="17.989999999999998"/>
    <n v="1"/>
    <n v="17.989999999999998"/>
    <x v="1"/>
    <n v="3"/>
    <n v="0.02"/>
    <s v="Sci-Fi"/>
  </r>
  <r>
    <s v="67370c23-ea2c-4fae-a662-bac10e67fb5d"/>
    <n v="40"/>
    <s v="Female"/>
    <s v="Premium"/>
    <n v="3.93"/>
    <x v="41"/>
    <x v="5"/>
    <x v="4"/>
    <n v="17.989999999999998"/>
    <n v="0"/>
    <n v="0"/>
    <x v="2"/>
    <n v="4"/>
    <n v="0.13"/>
    <s v="Documentary"/>
  </r>
  <r>
    <s v="d58c60e4-282f-48df-a284-f965335453a6"/>
    <n v="37"/>
    <s v="Other"/>
    <s v="Premium"/>
    <n v="5.97"/>
    <x v="18"/>
    <x v="3"/>
    <x v="3"/>
    <n v="17.989999999999998"/>
    <n v="0"/>
    <n v="0"/>
    <x v="4"/>
    <n v="5"/>
    <n v="0.1"/>
    <s v="Action"/>
  </r>
  <r>
    <s v="2a7592d1-a98b-47f9-9b78-1da8608e4ba2"/>
    <n v="49"/>
    <s v="Other"/>
    <s v="Standard"/>
    <n v="9.91"/>
    <x v="32"/>
    <x v="1"/>
    <x v="2"/>
    <n v="13.99"/>
    <n v="0"/>
    <n v="0"/>
    <x v="4"/>
    <n v="3"/>
    <n v="0.66"/>
    <s v="Documentary"/>
  </r>
  <r>
    <s v="fb89a317-d2a8-4415-b75b-923bc1f30e87"/>
    <n v="32"/>
    <s v="Male"/>
    <s v="Basic"/>
    <n v="4"/>
    <x v="5"/>
    <x v="0"/>
    <x v="3"/>
    <n v="8.99"/>
    <n v="1"/>
    <n v="8.99"/>
    <x v="0"/>
    <n v="2"/>
    <n v="0.15"/>
    <s v="Horror"/>
  </r>
  <r>
    <s v="eae91e7a-6c46-4327-b6d4-a5ad5d813d39"/>
    <n v="43"/>
    <s v="Other"/>
    <s v="Standard"/>
    <n v="12.39"/>
    <x v="43"/>
    <x v="1"/>
    <x v="0"/>
    <n v="13.99"/>
    <n v="1"/>
    <n v="13.99"/>
    <x v="3"/>
    <n v="3"/>
    <n v="0.39"/>
    <s v="Comedy"/>
  </r>
  <r>
    <s v="c2e7c00e-db9d-4789-89ad-76d415275d8d"/>
    <n v="18"/>
    <s v="Female"/>
    <s v="Basic"/>
    <n v="3.68"/>
    <x v="57"/>
    <x v="4"/>
    <x v="2"/>
    <n v="8.99"/>
    <n v="1"/>
    <n v="8.99"/>
    <x v="2"/>
    <n v="4"/>
    <n v="0.06"/>
    <s v="Action"/>
  </r>
  <r>
    <s v="95b33d84-4e8c-487c-80e1-3612c7911294"/>
    <n v="70"/>
    <s v="Male"/>
    <s v="Standard"/>
    <n v="10.5"/>
    <x v="22"/>
    <x v="4"/>
    <x v="1"/>
    <n v="13.99"/>
    <n v="0"/>
    <n v="0"/>
    <x v="2"/>
    <n v="5"/>
    <n v="0.19"/>
    <s v="Horror"/>
  </r>
  <r>
    <s v="9691b88b-4dcc-4c06-a61b-7703cc740491"/>
    <n v="60"/>
    <s v="Other"/>
    <s v="Basic"/>
    <n v="28.75"/>
    <x v="36"/>
    <x v="1"/>
    <x v="4"/>
    <n v="8.99"/>
    <n v="0"/>
    <n v="0"/>
    <x v="2"/>
    <n v="4"/>
    <n v="0.72"/>
    <s v="Action"/>
  </r>
  <r>
    <s v="819a11d2-8939-4883-84fb-7983e1326cbb"/>
    <n v="26"/>
    <s v="Other"/>
    <s v="Premium"/>
    <n v="6.46"/>
    <x v="16"/>
    <x v="0"/>
    <x v="0"/>
    <n v="17.989999999999998"/>
    <n v="0"/>
    <n v="0"/>
    <x v="2"/>
    <n v="5"/>
    <n v="0.23"/>
    <s v="Drama"/>
  </r>
  <r>
    <s v="09cb6244-abf9-46b2-98fe-24e87b26170e"/>
    <n v="56"/>
    <s v="Other"/>
    <s v="Standard"/>
    <n v="4.4400000000000004"/>
    <x v="0"/>
    <x v="4"/>
    <x v="4"/>
    <n v="13.99"/>
    <n v="0"/>
    <n v="0"/>
    <x v="2"/>
    <n v="4"/>
    <n v="0.15"/>
    <s v="Action"/>
  </r>
  <r>
    <s v="eb9c8e47-3f0f-4851-95fc-9edd7ff39aa2"/>
    <n v="22"/>
    <s v="Other"/>
    <s v="Standard"/>
    <n v="3.31"/>
    <x v="28"/>
    <x v="1"/>
    <x v="3"/>
    <n v="13.99"/>
    <n v="1"/>
    <n v="13.99"/>
    <x v="1"/>
    <n v="2"/>
    <n v="0.09"/>
    <s v="Romance"/>
  </r>
  <r>
    <s v="d2947208-73ad-4e8c-9665-809f51d636fb"/>
    <n v="44"/>
    <s v="Female"/>
    <s v="Basic"/>
    <n v="50.38"/>
    <x v="23"/>
    <x v="5"/>
    <x v="1"/>
    <n v="8.99"/>
    <n v="0"/>
    <n v="0"/>
    <x v="1"/>
    <n v="4"/>
    <n v="0.93"/>
    <s v="Horror"/>
  </r>
  <r>
    <s v="cc7fca45-d81c-4971-8fd7-2a953250de71"/>
    <n v="44"/>
    <s v="Male"/>
    <s v="Standard"/>
    <n v="0.91"/>
    <x v="36"/>
    <x v="5"/>
    <x v="2"/>
    <n v="13.99"/>
    <n v="1"/>
    <n v="13.99"/>
    <x v="1"/>
    <n v="2"/>
    <n v="0.02"/>
    <s v="Comedy"/>
  </r>
  <r>
    <s v="28da3fe8-e182-4b9e-874c-0ac4c7cdf9cd"/>
    <n v="56"/>
    <s v="Male"/>
    <s v="Basic"/>
    <n v="10.45"/>
    <x v="10"/>
    <x v="1"/>
    <x v="4"/>
    <n v="8.99"/>
    <n v="1"/>
    <n v="8.99"/>
    <x v="3"/>
    <n v="4"/>
    <n v="0.27"/>
    <s v="Sci-Fi"/>
  </r>
  <r>
    <s v="6ef6129f-8d85-4be9-a20a-bd1e67689ab7"/>
    <n v="32"/>
    <s v="Female"/>
    <s v="Premium"/>
    <n v="8.77"/>
    <x v="34"/>
    <x v="2"/>
    <x v="4"/>
    <n v="17.989999999999998"/>
    <n v="1"/>
    <n v="17.989999999999998"/>
    <x v="4"/>
    <n v="3"/>
    <n v="0.17"/>
    <s v="Drama"/>
  </r>
  <r>
    <s v="bead6a43-11a4-4f53-af77-0d537fe06928"/>
    <n v="32"/>
    <s v="Female"/>
    <s v="Premium"/>
    <n v="9.11"/>
    <x v="15"/>
    <x v="5"/>
    <x v="0"/>
    <n v="17.989999999999998"/>
    <n v="1"/>
    <n v="17.989999999999998"/>
    <x v="3"/>
    <n v="3"/>
    <n v="0.22"/>
    <s v="Romance"/>
  </r>
  <r>
    <s v="e2f70790-f0ed-4ad8-8985-bc89def534a9"/>
    <n v="29"/>
    <s v="Other"/>
    <s v="Basic"/>
    <n v="12.54"/>
    <x v="5"/>
    <x v="5"/>
    <x v="4"/>
    <n v="8.99"/>
    <n v="0"/>
    <n v="0"/>
    <x v="2"/>
    <n v="2"/>
    <n v="0.46"/>
    <s v="Sci-Fi"/>
  </r>
  <r>
    <s v="8710f794-e3ec-4fd0-b4aa-f9feff298048"/>
    <n v="26"/>
    <s v="Other"/>
    <s v="Standard"/>
    <n v="18.760000000000002"/>
    <x v="8"/>
    <x v="1"/>
    <x v="4"/>
    <n v="13.99"/>
    <n v="0"/>
    <n v="0"/>
    <x v="4"/>
    <n v="2"/>
    <n v="0.54"/>
    <s v="Romance"/>
  </r>
  <r>
    <s v="35ccb42a-5b8f-4a56-b979-56ef4df94413"/>
    <n v="47"/>
    <s v="Male"/>
    <s v="Standard"/>
    <n v="0.18"/>
    <x v="34"/>
    <x v="0"/>
    <x v="3"/>
    <n v="13.99"/>
    <n v="1"/>
    <n v="13.99"/>
    <x v="3"/>
    <n v="4"/>
    <n v="0"/>
    <s v="Horror"/>
  </r>
  <r>
    <s v="3032fb1b-eee1-4e0b-8b51-30b6a52cd563"/>
    <n v="55"/>
    <s v="Other"/>
    <s v="Premium"/>
    <n v="1.43"/>
    <x v="57"/>
    <x v="2"/>
    <x v="2"/>
    <n v="17.989999999999998"/>
    <n v="1"/>
    <n v="17.989999999999998"/>
    <x v="2"/>
    <n v="1"/>
    <n v="0.02"/>
    <s v="Romance"/>
  </r>
  <r>
    <s v="a47b3283-a619-43f4-8ae0-b649ee493a8e"/>
    <n v="68"/>
    <s v="Female"/>
    <s v="Premium"/>
    <n v="5.94"/>
    <x v="11"/>
    <x v="3"/>
    <x v="1"/>
    <n v="17.989999999999998"/>
    <n v="0"/>
    <n v="0"/>
    <x v="0"/>
    <n v="5"/>
    <n v="0.25"/>
    <s v="Horror"/>
  </r>
  <r>
    <s v="e27f7ce7-451e-43a1-921d-805411db2e25"/>
    <n v="57"/>
    <s v="Other"/>
    <s v="Premium"/>
    <n v="10.89"/>
    <x v="47"/>
    <x v="5"/>
    <x v="3"/>
    <n v="17.989999999999998"/>
    <n v="0"/>
    <n v="0"/>
    <x v="1"/>
    <n v="5"/>
    <n v="2.72"/>
    <s v="Sci-Fi"/>
  </r>
  <r>
    <s v="985405ca-0c9a-41bb-b747-4c142f3e339a"/>
    <n v="46"/>
    <s v="Female"/>
    <s v="Basic"/>
    <n v="35.85"/>
    <x v="36"/>
    <x v="2"/>
    <x v="4"/>
    <n v="8.99"/>
    <n v="0"/>
    <n v="0"/>
    <x v="4"/>
    <n v="1"/>
    <n v="0.9"/>
    <s v="Sci-Fi"/>
  </r>
  <r>
    <s v="d8a243e7-f547-459a-929c-4105fd3f8b38"/>
    <n v="65"/>
    <s v="Male"/>
    <s v="Basic"/>
    <n v="8.06"/>
    <x v="37"/>
    <x v="0"/>
    <x v="0"/>
    <n v="8.99"/>
    <n v="0"/>
    <n v="0"/>
    <x v="3"/>
    <n v="4"/>
    <n v="0.32"/>
    <s v="Sci-Fi"/>
  </r>
  <r>
    <s v="ca6b3804-bb03-4b9b-b835-76b2fe647189"/>
    <n v="60"/>
    <s v="Other"/>
    <s v="Premium"/>
    <n v="11.77"/>
    <x v="20"/>
    <x v="4"/>
    <x v="2"/>
    <n v="17.989999999999998"/>
    <n v="0"/>
    <n v="0"/>
    <x v="1"/>
    <n v="1"/>
    <n v="0.62"/>
    <s v="Comedy"/>
  </r>
  <r>
    <s v="1bbee03c-aa9a-43ba-a760-10d789b2bb68"/>
    <n v="47"/>
    <s v="Female"/>
    <s v="Premium"/>
    <n v="2.25"/>
    <x v="23"/>
    <x v="1"/>
    <x v="1"/>
    <n v="17.989999999999998"/>
    <n v="1"/>
    <n v="17.989999999999998"/>
    <x v="0"/>
    <n v="2"/>
    <n v="0.04"/>
    <s v="Romance"/>
  </r>
  <r>
    <s v="b8c8c57b-903f-448b-88fc-0313c24694b7"/>
    <n v="24"/>
    <s v="Other"/>
    <s v="Standard"/>
    <n v="10.72"/>
    <x v="15"/>
    <x v="2"/>
    <x v="0"/>
    <n v="13.99"/>
    <n v="1"/>
    <n v="13.99"/>
    <x v="2"/>
    <n v="3"/>
    <n v="0.26"/>
    <s v="Comedy"/>
  </r>
  <r>
    <s v="39414f09-6fcd-4d7e-a1f0-f4345620df82"/>
    <n v="21"/>
    <s v="Other"/>
    <s v="Standard"/>
    <n v="2.77"/>
    <x v="60"/>
    <x v="0"/>
    <x v="0"/>
    <n v="13.99"/>
    <n v="1"/>
    <n v="13.99"/>
    <x v="0"/>
    <n v="4"/>
    <n v="0.31"/>
    <s v="Horror"/>
  </r>
  <r>
    <s v="b4aebd19-20bf-4d4e-a458-45038b95a910"/>
    <n v="54"/>
    <s v="Other"/>
    <s v="Standard"/>
    <n v="13.19"/>
    <x v="2"/>
    <x v="5"/>
    <x v="4"/>
    <n v="13.99"/>
    <n v="0"/>
    <n v="0"/>
    <x v="0"/>
    <n v="2"/>
    <n v="1.2"/>
    <s v="Action"/>
  </r>
  <r>
    <s v="4ca1ccbe-5e66-4bdc-b1d4-282060b755ed"/>
    <n v="67"/>
    <s v="Female"/>
    <s v="Premium"/>
    <n v="2.34"/>
    <x v="50"/>
    <x v="4"/>
    <x v="1"/>
    <n v="17.989999999999998"/>
    <n v="1"/>
    <n v="17.989999999999998"/>
    <x v="4"/>
    <n v="4"/>
    <n v="0.04"/>
    <s v="Documentary"/>
  </r>
  <r>
    <s v="c5bfe476-a505-42d5-8a63-9ec89b17d347"/>
    <n v="67"/>
    <s v="Other"/>
    <s v="Premium"/>
    <n v="16.71"/>
    <x v="49"/>
    <x v="1"/>
    <x v="0"/>
    <n v="17.989999999999998"/>
    <n v="0"/>
    <n v="0"/>
    <x v="1"/>
    <n v="4"/>
    <n v="1.67"/>
    <s v="Romance"/>
  </r>
  <r>
    <s v="2d9e4af8-9f66-4585-9e71-d42609937bb8"/>
    <n v="37"/>
    <s v="Male"/>
    <s v="Premium"/>
    <n v="4.12"/>
    <x v="54"/>
    <x v="3"/>
    <x v="1"/>
    <n v="17.989999999999998"/>
    <n v="1"/>
    <n v="17.989999999999998"/>
    <x v="3"/>
    <n v="1"/>
    <n v="0.14000000000000001"/>
    <s v="Drama"/>
  </r>
  <r>
    <s v="0bf9c06d-e909-461d-9505-147648fc9e80"/>
    <n v="46"/>
    <s v="Male"/>
    <s v="Premium"/>
    <n v="3.84"/>
    <x v="31"/>
    <x v="0"/>
    <x v="1"/>
    <n v="17.989999999999998"/>
    <n v="0"/>
    <n v="0"/>
    <x v="3"/>
    <n v="4"/>
    <n v="0.24"/>
    <s v="Documentary"/>
  </r>
  <r>
    <s v="730c39fa-5f30-44a1-9ca8-0fb76e80cd16"/>
    <n v="37"/>
    <s v="Male"/>
    <s v="Basic"/>
    <n v="17.29"/>
    <x v="52"/>
    <x v="5"/>
    <x v="4"/>
    <n v="8.99"/>
    <n v="1"/>
    <n v="8.99"/>
    <x v="3"/>
    <n v="3"/>
    <n v="0.35"/>
    <s v="Horror"/>
  </r>
  <r>
    <s v="dd50e0b3-cece-4441-881f-09eee537b752"/>
    <n v="64"/>
    <s v="Male"/>
    <s v="Basic"/>
    <n v="7.29"/>
    <x v="20"/>
    <x v="2"/>
    <x v="2"/>
    <n v="8.99"/>
    <n v="0"/>
    <n v="0"/>
    <x v="3"/>
    <n v="2"/>
    <n v="0.38"/>
    <s v="Sci-Fi"/>
  </r>
  <r>
    <s v="7ebf8b63-c79a-41b3-b418-e06465b5d3ee"/>
    <n v="64"/>
    <s v="Male"/>
    <s v="Standard"/>
    <n v="54.34"/>
    <x v="49"/>
    <x v="2"/>
    <x v="3"/>
    <n v="13.99"/>
    <n v="0"/>
    <n v="0"/>
    <x v="2"/>
    <n v="3"/>
    <n v="5.43"/>
    <s v="Documentary"/>
  </r>
  <r>
    <s v="95f04ac9-d1ae-4d72-874a-8e2927626532"/>
    <n v="50"/>
    <s v="Male"/>
    <s v="Basic"/>
    <n v="2.0499999999999998"/>
    <x v="55"/>
    <x v="5"/>
    <x v="0"/>
    <n v="8.99"/>
    <n v="1"/>
    <n v="8.99"/>
    <x v="2"/>
    <n v="5"/>
    <n v="0.03"/>
    <s v="Action"/>
  </r>
  <r>
    <s v="a76291ab-bfb6-4bb9-8467-2c5c89ce0c01"/>
    <n v="31"/>
    <s v="Other"/>
    <s v="Premium"/>
    <n v="8.18"/>
    <x v="19"/>
    <x v="1"/>
    <x v="3"/>
    <n v="17.989999999999998"/>
    <n v="1"/>
    <n v="17.989999999999998"/>
    <x v="3"/>
    <n v="1"/>
    <n v="0.19"/>
    <s v="Horror"/>
  </r>
  <r>
    <s v="3d0adeac-cb46-4796-8548-b37987c94581"/>
    <n v="44"/>
    <s v="Female"/>
    <s v="Basic"/>
    <n v="1.75"/>
    <x v="24"/>
    <x v="0"/>
    <x v="0"/>
    <n v="8.99"/>
    <n v="1"/>
    <n v="8.99"/>
    <x v="1"/>
    <n v="5"/>
    <n v="0.03"/>
    <s v="Drama"/>
  </r>
  <r>
    <s v="54b96af4-ca5c-4846-a42d-4d6f8698163d"/>
    <n v="64"/>
    <s v="Male"/>
    <s v="Basic"/>
    <n v="24.36"/>
    <x v="14"/>
    <x v="3"/>
    <x v="2"/>
    <n v="8.99"/>
    <n v="0"/>
    <n v="0"/>
    <x v="1"/>
    <n v="3"/>
    <n v="0.74"/>
    <s v="Sci-Fi"/>
  </r>
  <r>
    <s v="e6a7df09-1068-494e-86b1-382393fc5ee9"/>
    <n v="54"/>
    <s v="Other"/>
    <s v="Standard"/>
    <n v="5.07"/>
    <x v="6"/>
    <x v="2"/>
    <x v="4"/>
    <n v="13.99"/>
    <n v="0"/>
    <n v="0"/>
    <x v="4"/>
    <n v="5"/>
    <n v="0.24"/>
    <s v="Documentary"/>
  </r>
  <r>
    <s v="b96e7dcf-5d14-4745-bb48-28c661562440"/>
    <n v="69"/>
    <s v="Male"/>
    <s v="Standard"/>
    <n v="17.010000000000002"/>
    <x v="58"/>
    <x v="4"/>
    <x v="2"/>
    <n v="13.99"/>
    <n v="1"/>
    <n v="13.99"/>
    <x v="1"/>
    <n v="2"/>
    <n v="0.35"/>
    <s v="Drama"/>
  </r>
  <r>
    <s v="ad17bae3-ef4b-43ea-95f6-c26fd969493e"/>
    <n v="65"/>
    <s v="Male"/>
    <s v="Basic"/>
    <n v="0.14000000000000001"/>
    <x v="27"/>
    <x v="4"/>
    <x v="1"/>
    <n v="8.99"/>
    <n v="1"/>
    <n v="8.99"/>
    <x v="0"/>
    <n v="1"/>
    <n v="0.01"/>
    <s v="Drama"/>
  </r>
  <r>
    <s v="2cb5d01b-9a5a-4270-a03f-d487eb11ae88"/>
    <n v="58"/>
    <s v="Other"/>
    <s v="Premium"/>
    <n v="23.9"/>
    <x v="10"/>
    <x v="5"/>
    <x v="0"/>
    <n v="17.989999999999998"/>
    <n v="0"/>
    <n v="0"/>
    <x v="2"/>
    <n v="1"/>
    <n v="0.61"/>
    <s v="Romance"/>
  </r>
  <r>
    <s v="b832a589-8dc2-48a0-8a58-25d1035941ec"/>
    <n v="21"/>
    <s v="Female"/>
    <s v="Premium"/>
    <n v="4.12"/>
    <x v="28"/>
    <x v="5"/>
    <x v="2"/>
    <n v="17.989999999999998"/>
    <n v="1"/>
    <n v="17.989999999999998"/>
    <x v="0"/>
    <n v="2"/>
    <n v="0.11"/>
    <s v="Comedy"/>
  </r>
  <r>
    <s v="728a8191-97ca-408b-882e-f8f5ec540146"/>
    <n v="28"/>
    <s v="Female"/>
    <s v="Premium"/>
    <n v="29.83"/>
    <x v="14"/>
    <x v="5"/>
    <x v="3"/>
    <n v="17.989999999999998"/>
    <n v="0"/>
    <n v="0"/>
    <x v="1"/>
    <n v="4"/>
    <n v="0.9"/>
    <s v="Drama"/>
  </r>
  <r>
    <s v="10d74e3d-d297-4008-9a90-bd424fd2423e"/>
    <n v="70"/>
    <s v="Female"/>
    <s v="Premium"/>
    <n v="7.13"/>
    <x v="0"/>
    <x v="0"/>
    <x v="3"/>
    <n v="17.989999999999998"/>
    <n v="0"/>
    <n v="0"/>
    <x v="3"/>
    <n v="5"/>
    <n v="0.24"/>
    <s v="Action"/>
  </r>
  <r>
    <s v="8492a1da-4c16-458f-b27f-7f3127b402bb"/>
    <n v="69"/>
    <s v="Other"/>
    <s v="Basic"/>
    <n v="9.77"/>
    <x v="3"/>
    <x v="3"/>
    <x v="3"/>
    <n v="8.99"/>
    <n v="0"/>
    <n v="0"/>
    <x v="4"/>
    <n v="3"/>
    <n v="0.75"/>
    <s v="Romance"/>
  </r>
  <r>
    <s v="ac9e9c4b-a50e-4c0c-9f68-d0a2b3a657f5"/>
    <n v="28"/>
    <s v="Male"/>
    <s v="Basic"/>
    <n v="13.44"/>
    <x v="6"/>
    <x v="3"/>
    <x v="0"/>
    <n v="8.99"/>
    <n v="0"/>
    <n v="0"/>
    <x v="4"/>
    <n v="1"/>
    <n v="0.64"/>
    <s v="Comedy"/>
  </r>
  <r>
    <s v="ccddfb15-797a-4e9e-b571-4675290b071d"/>
    <n v="42"/>
    <s v="Female"/>
    <s v="Standard"/>
    <n v="4.16"/>
    <x v="44"/>
    <x v="2"/>
    <x v="2"/>
    <n v="13.99"/>
    <n v="1"/>
    <n v="13.99"/>
    <x v="2"/>
    <n v="5"/>
    <n v="0.09"/>
    <s v="Horror"/>
  </r>
  <r>
    <s v="414f08d4-5a4c-4113-b152-09813060f9a4"/>
    <n v="27"/>
    <s v="Male"/>
    <s v="Basic"/>
    <n v="0.4"/>
    <x v="49"/>
    <x v="3"/>
    <x v="4"/>
    <n v="8.99"/>
    <n v="1"/>
    <n v="8.99"/>
    <x v="2"/>
    <n v="5"/>
    <n v="0.04"/>
    <s v="Action"/>
  </r>
  <r>
    <s v="16bb271f-9990-42ef-a49e-5563fb1d11b9"/>
    <n v="30"/>
    <s v="Male"/>
    <s v="Basic"/>
    <n v="0.39"/>
    <x v="17"/>
    <x v="0"/>
    <x v="1"/>
    <n v="8.99"/>
    <n v="1"/>
    <n v="8.99"/>
    <x v="4"/>
    <n v="2"/>
    <n v="0.08"/>
    <s v="Comedy"/>
  </r>
  <r>
    <s v="724493ea-fdfc-4cb1-914c-4f157f8803a8"/>
    <n v="41"/>
    <s v="Other"/>
    <s v="Basic"/>
    <n v="1.06"/>
    <x v="41"/>
    <x v="2"/>
    <x v="4"/>
    <n v="8.99"/>
    <n v="1"/>
    <n v="8.99"/>
    <x v="2"/>
    <n v="4"/>
    <n v="0.03"/>
    <s v="Horror"/>
  </r>
  <r>
    <s v="525028b4-ea2d-463f-892f-86a839621ee9"/>
    <n v="27"/>
    <s v="Male"/>
    <s v="Basic"/>
    <n v="26.34"/>
    <x v="20"/>
    <x v="5"/>
    <x v="3"/>
    <n v="8.99"/>
    <n v="0"/>
    <n v="0"/>
    <x v="0"/>
    <n v="2"/>
    <n v="1.39"/>
    <s v="Romance"/>
  </r>
  <r>
    <s v="ea3decc3-11cf-464e-8b9b-91e394e97d41"/>
    <n v="57"/>
    <s v="Female"/>
    <s v="Basic"/>
    <n v="7.46"/>
    <x v="2"/>
    <x v="2"/>
    <x v="3"/>
    <n v="8.99"/>
    <n v="0"/>
    <n v="0"/>
    <x v="2"/>
    <n v="1"/>
    <n v="0.68"/>
    <s v="Comedy"/>
  </r>
  <r>
    <s v="ad8bfdb0-341b-4c9c-8e83-d96aed9203e5"/>
    <n v="69"/>
    <s v="Male"/>
    <s v="Basic"/>
    <n v="24.18"/>
    <x v="7"/>
    <x v="1"/>
    <x v="2"/>
    <n v="8.99"/>
    <n v="1"/>
    <n v="8.99"/>
    <x v="0"/>
    <n v="2"/>
    <n v="0.42"/>
    <s v="Romance"/>
  </r>
  <r>
    <s v="b146adf9-cdfd-48d7-bc1c-0748cca548b2"/>
    <n v="38"/>
    <s v="Male"/>
    <s v="Basic"/>
    <n v="15.01"/>
    <x v="40"/>
    <x v="4"/>
    <x v="0"/>
    <n v="8.99"/>
    <n v="0"/>
    <n v="0"/>
    <x v="2"/>
    <n v="3"/>
    <n v="1.25"/>
    <s v="Documentary"/>
  </r>
  <r>
    <s v="b488bac9-04c0-425b-a671-70598580c686"/>
    <n v="55"/>
    <s v="Female"/>
    <s v="Premium"/>
    <n v="3.72"/>
    <x v="50"/>
    <x v="5"/>
    <x v="2"/>
    <n v="17.989999999999998"/>
    <n v="1"/>
    <n v="17.989999999999998"/>
    <x v="1"/>
    <n v="5"/>
    <n v="7.0000000000000007E-2"/>
    <s v="Action"/>
  </r>
  <r>
    <s v="d29365dc-c4e0-4b7e-a094-b3aee49a99f4"/>
    <n v="26"/>
    <s v="Female"/>
    <s v="Basic"/>
    <n v="0.11"/>
    <x v="22"/>
    <x v="4"/>
    <x v="2"/>
    <n v="8.99"/>
    <n v="1"/>
    <n v="8.99"/>
    <x v="1"/>
    <n v="4"/>
    <n v="0"/>
    <s v="Sci-Fi"/>
  </r>
  <r>
    <s v="63f9d986-7068-49e3-b822-fab8e0a49bc1"/>
    <n v="31"/>
    <s v="Male"/>
    <s v="Basic"/>
    <n v="7.69"/>
    <x v="18"/>
    <x v="0"/>
    <x v="3"/>
    <n v="8.99"/>
    <n v="1"/>
    <n v="8.99"/>
    <x v="2"/>
    <n v="2"/>
    <n v="0.13"/>
    <s v="Comedy"/>
  </r>
  <r>
    <s v="d2bbf3a7-d910-4d8b-b554-497251508886"/>
    <n v="36"/>
    <s v="Other"/>
    <s v="Standard"/>
    <n v="3.89"/>
    <x v="42"/>
    <x v="4"/>
    <x v="0"/>
    <n v="13.99"/>
    <n v="1"/>
    <n v="13.99"/>
    <x v="1"/>
    <n v="3"/>
    <n v="0.1"/>
    <s v="Romance"/>
  </r>
  <r>
    <s v="0ceddb1d-533e-46bc-967f-823b87b432fa"/>
    <n v="70"/>
    <s v="Other"/>
    <s v="Basic"/>
    <n v="13.74"/>
    <x v="35"/>
    <x v="4"/>
    <x v="1"/>
    <n v="8.99"/>
    <n v="1"/>
    <n v="8.99"/>
    <x v="3"/>
    <n v="3"/>
    <n v="0.31"/>
    <s v="Romance"/>
  </r>
  <r>
    <s v="9747ed12-6f16-46af-8c59-c54fcd947b73"/>
    <n v="49"/>
    <s v="Other"/>
    <s v="Premium"/>
    <n v="18.55"/>
    <x v="34"/>
    <x v="5"/>
    <x v="0"/>
    <n v="17.989999999999998"/>
    <n v="1"/>
    <n v="17.989999999999998"/>
    <x v="1"/>
    <n v="3"/>
    <n v="0.36"/>
    <s v="Sci-Fi"/>
  </r>
  <r>
    <s v="08dbcf43-5ce6-4326-a997-8da4cf6f731f"/>
    <n v="47"/>
    <s v="Female"/>
    <s v="Standard"/>
    <n v="13.27"/>
    <x v="5"/>
    <x v="3"/>
    <x v="2"/>
    <n v="13.99"/>
    <n v="0"/>
    <n v="0"/>
    <x v="4"/>
    <n v="3"/>
    <n v="0.49"/>
    <s v="Documentary"/>
  </r>
  <r>
    <s v="3c78a99f-e9a5-4f6a-9bd4-9bea5f137515"/>
    <n v="31"/>
    <s v="Other"/>
    <s v="Standard"/>
    <n v="15.37"/>
    <x v="17"/>
    <x v="4"/>
    <x v="2"/>
    <n v="13.99"/>
    <n v="0"/>
    <n v="0"/>
    <x v="1"/>
    <n v="3"/>
    <n v="3.07"/>
    <s v="Comedy"/>
  </r>
  <r>
    <s v="99cbb3de-fe56-4704-82c1-ffa8dd5c7a36"/>
    <n v="40"/>
    <s v="Female"/>
    <s v="Basic"/>
    <n v="3"/>
    <x v="25"/>
    <x v="3"/>
    <x v="2"/>
    <n v="8.99"/>
    <n v="0"/>
    <n v="0"/>
    <x v="2"/>
    <n v="4"/>
    <n v="3"/>
    <s v="Drama"/>
  </r>
  <r>
    <s v="ae2fd5ac-59e1-4433-b26b-3ac43b42a4bf"/>
    <n v="69"/>
    <s v="Female"/>
    <s v="Standard"/>
    <n v="9.43"/>
    <x v="30"/>
    <x v="1"/>
    <x v="3"/>
    <n v="13.99"/>
    <n v="0"/>
    <n v="0"/>
    <x v="4"/>
    <n v="3"/>
    <n v="4.71"/>
    <s v="Action"/>
  </r>
  <r>
    <s v="0a82244e-e72e-46a5-9d96-76eedc5674c6"/>
    <n v="19"/>
    <s v="Other"/>
    <s v="Basic"/>
    <n v="5.62"/>
    <x v="4"/>
    <x v="1"/>
    <x v="0"/>
    <n v="8.99"/>
    <n v="0"/>
    <n v="0"/>
    <x v="3"/>
    <n v="4"/>
    <n v="0.4"/>
    <s v="Drama"/>
  </r>
  <r>
    <s v="8316d994-9295-49d6-b608-7a27856fa6cf"/>
    <n v="30"/>
    <s v="Male"/>
    <s v="Standard"/>
    <n v="4.62"/>
    <x v="44"/>
    <x v="1"/>
    <x v="2"/>
    <n v="13.99"/>
    <n v="1"/>
    <n v="13.99"/>
    <x v="3"/>
    <n v="3"/>
    <n v="0.1"/>
    <s v="Action"/>
  </r>
  <r>
    <s v="e1b71893-1f20-45ab-b9e6-0edacceaf9d3"/>
    <n v="29"/>
    <s v="Male"/>
    <s v="Basic"/>
    <n v="26.48"/>
    <x v="23"/>
    <x v="0"/>
    <x v="1"/>
    <n v="8.99"/>
    <n v="1"/>
    <n v="8.99"/>
    <x v="2"/>
    <n v="3"/>
    <n v="0.49"/>
    <s v="Romance"/>
  </r>
  <r>
    <s v="00c85c4a-478b-411c-a06f-8d229eea4684"/>
    <n v="62"/>
    <s v="Female"/>
    <s v="Standard"/>
    <n v="24.14"/>
    <x v="46"/>
    <x v="0"/>
    <x v="3"/>
    <n v="13.99"/>
    <n v="0"/>
    <n v="0"/>
    <x v="1"/>
    <n v="4"/>
    <n v="8.0500000000000007"/>
    <s v="Horror"/>
  </r>
  <r>
    <s v="77601669-57ba-4d83-822b-2c9d3fbee785"/>
    <n v="38"/>
    <s v="Female"/>
    <s v="Premium"/>
    <n v="12.49"/>
    <x v="10"/>
    <x v="3"/>
    <x v="0"/>
    <n v="17.989999999999998"/>
    <n v="1"/>
    <n v="17.989999999999998"/>
    <x v="4"/>
    <n v="1"/>
    <n v="0.32"/>
    <s v="Sci-Fi"/>
  </r>
  <r>
    <s v="aa3d931e-f2c1-4a87-ac26-f4feed539178"/>
    <n v="47"/>
    <s v="Male"/>
    <s v="Premium"/>
    <n v="37.49"/>
    <x v="7"/>
    <x v="4"/>
    <x v="4"/>
    <n v="17.989999999999998"/>
    <n v="0"/>
    <n v="0"/>
    <x v="1"/>
    <n v="5"/>
    <n v="0.66"/>
    <s v="Sci-Fi"/>
  </r>
  <r>
    <s v="4abb2b16-b493-4d53-a738-9475abc94756"/>
    <n v="64"/>
    <s v="Female"/>
    <s v="Premium"/>
    <n v="31.88"/>
    <x v="27"/>
    <x v="1"/>
    <x v="1"/>
    <n v="17.989999999999998"/>
    <n v="0"/>
    <n v="0"/>
    <x v="3"/>
    <n v="4"/>
    <n v="1.88"/>
    <s v="Comedy"/>
  </r>
  <r>
    <s v="dbee2c1d-4003-4723-b0db-0cdd117d341d"/>
    <n v="21"/>
    <s v="Male"/>
    <s v="Premium"/>
    <n v="3.13"/>
    <x v="23"/>
    <x v="2"/>
    <x v="1"/>
    <n v="17.989999999999998"/>
    <n v="1"/>
    <n v="17.989999999999998"/>
    <x v="0"/>
    <n v="4"/>
    <n v="0.06"/>
    <s v="Drama"/>
  </r>
  <r>
    <s v="06ad36eb-67ec-4eb4-93d7-fa5c1a4abded"/>
    <n v="22"/>
    <s v="Female"/>
    <s v="Basic"/>
    <n v="11.2"/>
    <x v="32"/>
    <x v="0"/>
    <x v="4"/>
    <n v="8.99"/>
    <n v="0"/>
    <n v="0"/>
    <x v="0"/>
    <n v="4"/>
    <n v="0.75"/>
    <s v="Horror"/>
  </r>
  <r>
    <s v="74296717-7313-49b7-a0ff-17281751b037"/>
    <n v="60"/>
    <s v="Other"/>
    <s v="Premium"/>
    <n v="14.41"/>
    <x v="45"/>
    <x v="5"/>
    <x v="4"/>
    <n v="17.989999999999998"/>
    <n v="0"/>
    <n v="0"/>
    <x v="2"/>
    <n v="4"/>
    <n v="0.34"/>
    <s v="Sci-Fi"/>
  </r>
  <r>
    <s v="10374c5a-0a9b-46c9-a19a-4b9acbfe6322"/>
    <n v="27"/>
    <s v="Male"/>
    <s v="Premium"/>
    <n v="7.92"/>
    <x v="49"/>
    <x v="4"/>
    <x v="3"/>
    <n v="17.989999999999998"/>
    <n v="0"/>
    <n v="0"/>
    <x v="2"/>
    <n v="5"/>
    <n v="0.79"/>
    <s v="Horror"/>
  </r>
  <r>
    <s v="107f9e60-e4ce-4fe0-b90f-7f478b64e346"/>
    <n v="36"/>
    <s v="Female"/>
    <s v="Basic"/>
    <n v="9.02"/>
    <x v="14"/>
    <x v="1"/>
    <x v="4"/>
    <n v="8.99"/>
    <n v="1"/>
    <n v="8.99"/>
    <x v="3"/>
    <n v="2"/>
    <n v="0.27"/>
    <s v="Sci-Fi"/>
  </r>
  <r>
    <s v="e6f5aad8-3d0d-482c-b377-0399c888f984"/>
    <n v="22"/>
    <s v="Female"/>
    <s v="Basic"/>
    <n v="5.59"/>
    <x v="18"/>
    <x v="4"/>
    <x v="3"/>
    <n v="8.99"/>
    <n v="1"/>
    <n v="8.99"/>
    <x v="0"/>
    <n v="3"/>
    <n v="0.1"/>
    <s v="Action"/>
  </r>
  <r>
    <s v="e88ae0bf-e5ca-4295-ab09-1ea14e389b70"/>
    <n v="43"/>
    <s v="Female"/>
    <s v="Basic"/>
    <n v="3.17"/>
    <x v="41"/>
    <x v="5"/>
    <x v="2"/>
    <n v="8.99"/>
    <n v="1"/>
    <n v="8.99"/>
    <x v="3"/>
    <n v="4"/>
    <n v="0.1"/>
    <s v="Romance"/>
  </r>
  <r>
    <s v="3c748cc8-fab5-41d0-971e-eba32b247a66"/>
    <n v="50"/>
    <s v="Other"/>
    <s v="Standard"/>
    <n v="26.57"/>
    <x v="8"/>
    <x v="0"/>
    <x v="1"/>
    <n v="13.99"/>
    <n v="0"/>
    <n v="0"/>
    <x v="4"/>
    <n v="5"/>
    <n v="0.76"/>
    <s v="Documentary"/>
  </r>
  <r>
    <s v="bd3ee325-8a00-419a-b1a6-e976080197f5"/>
    <n v="67"/>
    <s v="Male"/>
    <s v="Basic"/>
    <n v="7.17"/>
    <x v="45"/>
    <x v="1"/>
    <x v="0"/>
    <n v="8.99"/>
    <n v="1"/>
    <n v="8.99"/>
    <x v="1"/>
    <n v="4"/>
    <n v="0.17"/>
    <s v="Comedy"/>
  </r>
  <r>
    <s v="ce5f31e7-101e-4709-ac71-b46dfd8c8c59"/>
    <n v="59"/>
    <s v="Female"/>
    <s v="Premium"/>
    <n v="19.86"/>
    <x v="42"/>
    <x v="1"/>
    <x v="1"/>
    <n v="17.989999999999998"/>
    <n v="0"/>
    <n v="0"/>
    <x v="0"/>
    <n v="3"/>
    <n v="0.52"/>
    <s v="Sci-Fi"/>
  </r>
  <r>
    <s v="f9aae5f5-3f3b-4afe-ba24-4f313a94ec46"/>
    <n v="33"/>
    <s v="Other"/>
    <s v="Basic"/>
    <n v="40.049999999999997"/>
    <x v="58"/>
    <x v="1"/>
    <x v="4"/>
    <n v="8.99"/>
    <n v="0"/>
    <n v="0"/>
    <x v="1"/>
    <n v="5"/>
    <n v="0.83"/>
    <s v="Horror"/>
  </r>
  <r>
    <s v="46942525-7197-40ab-a5d1-79e46f5e09f4"/>
    <n v="50"/>
    <s v="Male"/>
    <s v="Standard"/>
    <n v="8.9"/>
    <x v="53"/>
    <x v="3"/>
    <x v="3"/>
    <n v="13.99"/>
    <n v="1"/>
    <n v="13.99"/>
    <x v="0"/>
    <n v="3"/>
    <n v="0.21"/>
    <s v="Horror"/>
  </r>
  <r>
    <s v="eca3b2cc-7fa6-4731-93c2-c2af38d448ad"/>
    <n v="55"/>
    <s v="Other"/>
    <s v="Basic"/>
    <n v="22.18"/>
    <x v="0"/>
    <x v="3"/>
    <x v="1"/>
    <n v="8.99"/>
    <n v="0"/>
    <n v="0"/>
    <x v="4"/>
    <n v="3"/>
    <n v="0.74"/>
    <s v="Action"/>
  </r>
  <r>
    <s v="17f77859-2514-41c7-95be-cd3570d0025c"/>
    <n v="46"/>
    <s v="Female"/>
    <s v="Standard"/>
    <n v="4.38"/>
    <x v="42"/>
    <x v="5"/>
    <x v="4"/>
    <n v="13.99"/>
    <n v="1"/>
    <n v="13.99"/>
    <x v="1"/>
    <n v="4"/>
    <n v="0.12"/>
    <s v="Romance"/>
  </r>
  <r>
    <s v="e0795841-bcb5-499e-86e6-cb0f87f9870f"/>
    <n v="51"/>
    <s v="Female"/>
    <s v="Basic"/>
    <n v="12.08"/>
    <x v="45"/>
    <x v="5"/>
    <x v="1"/>
    <n v="8.99"/>
    <n v="1"/>
    <n v="8.99"/>
    <x v="2"/>
    <n v="5"/>
    <n v="0.28999999999999998"/>
    <s v="Horror"/>
  </r>
  <r>
    <s v="c76969cd-336d-4838-a240-8002d91705f2"/>
    <n v="67"/>
    <s v="Other"/>
    <s v="Premium"/>
    <n v="6.7"/>
    <x v="41"/>
    <x v="0"/>
    <x v="1"/>
    <n v="17.989999999999998"/>
    <n v="0"/>
    <n v="0"/>
    <x v="4"/>
    <n v="5"/>
    <n v="0.22"/>
    <s v="Comedy"/>
  </r>
  <r>
    <s v="74dcb7c7-74c6-43e6-9034-d1a72adad651"/>
    <n v="44"/>
    <s v="Female"/>
    <s v="Basic"/>
    <n v="9.0299999999999994"/>
    <x v="52"/>
    <x v="3"/>
    <x v="3"/>
    <n v="8.99"/>
    <n v="1"/>
    <n v="8.99"/>
    <x v="4"/>
    <n v="2"/>
    <n v="0.18"/>
    <s v="Documentary"/>
  </r>
  <r>
    <s v="9ee5c445-56ec-4208-b47c-759c3b7f01bb"/>
    <n v="58"/>
    <s v="Other"/>
    <s v="Standard"/>
    <n v="4.6900000000000004"/>
    <x v="52"/>
    <x v="0"/>
    <x v="0"/>
    <n v="13.99"/>
    <n v="1"/>
    <n v="13.99"/>
    <x v="1"/>
    <n v="1"/>
    <n v="0.09"/>
    <s v="Romance"/>
  </r>
  <r>
    <s v="999d8e4e-1e8e-46fa-818e-9657afcc0068"/>
    <n v="59"/>
    <s v="Other"/>
    <s v="Basic"/>
    <n v="7.17"/>
    <x v="43"/>
    <x v="4"/>
    <x v="1"/>
    <n v="8.99"/>
    <n v="1"/>
    <n v="8.99"/>
    <x v="0"/>
    <n v="3"/>
    <n v="0.22"/>
    <s v="Horror"/>
  </r>
  <r>
    <s v="a1743e4c-9e2c-4f48-a208-dba3b8df1c91"/>
    <n v="22"/>
    <s v="Other"/>
    <s v="Basic"/>
    <n v="25.18"/>
    <x v="36"/>
    <x v="3"/>
    <x v="0"/>
    <n v="8.99"/>
    <n v="0"/>
    <n v="0"/>
    <x v="2"/>
    <n v="5"/>
    <n v="0.63"/>
    <s v="Action"/>
  </r>
  <r>
    <s v="32b42dc3-6e82-44bb-b5d0-f323244aba7c"/>
    <n v="44"/>
    <s v="Female"/>
    <s v="Basic"/>
    <n v="7.25"/>
    <x v="1"/>
    <x v="3"/>
    <x v="3"/>
    <n v="8.99"/>
    <n v="1"/>
    <n v="8.99"/>
    <x v="4"/>
    <n v="1"/>
    <n v="0.36"/>
    <s v="Horror"/>
  </r>
  <r>
    <s v="1386123c-5f7c-459e-ae51-08ae5fbe47bb"/>
    <n v="63"/>
    <s v="Male"/>
    <s v="Premium"/>
    <n v="1.43"/>
    <x v="18"/>
    <x v="2"/>
    <x v="0"/>
    <n v="17.989999999999998"/>
    <n v="1"/>
    <n v="17.989999999999998"/>
    <x v="0"/>
    <n v="5"/>
    <n v="0.02"/>
    <s v="Comedy"/>
  </r>
  <r>
    <s v="b1298a61-b99b-4b75-a99a-ad94966f69f6"/>
    <n v="57"/>
    <s v="Male"/>
    <s v="Standard"/>
    <n v="2.34"/>
    <x v="25"/>
    <x v="5"/>
    <x v="3"/>
    <n v="13.99"/>
    <n v="0"/>
    <n v="0"/>
    <x v="2"/>
    <n v="5"/>
    <n v="2.34"/>
    <s v="Sci-Fi"/>
  </r>
  <r>
    <s v="71f9b5da-cd65-4d82-aadc-03be9f0d0822"/>
    <n v="43"/>
    <s v="Male"/>
    <s v="Premium"/>
    <n v="14.21"/>
    <x v="40"/>
    <x v="4"/>
    <x v="0"/>
    <n v="17.989999999999998"/>
    <n v="0"/>
    <n v="0"/>
    <x v="3"/>
    <n v="3"/>
    <n v="1.18"/>
    <s v="Horror"/>
  </r>
  <r>
    <s v="feb0dafb-ef3c-4cd8-a3e4-530babafb063"/>
    <n v="55"/>
    <s v="Female"/>
    <s v="Standard"/>
    <n v="5.36"/>
    <x v="53"/>
    <x v="0"/>
    <x v="3"/>
    <n v="13.99"/>
    <n v="0"/>
    <n v="0"/>
    <x v="2"/>
    <n v="5"/>
    <n v="0.12"/>
    <s v="Horror"/>
  </r>
  <r>
    <s v="68fd098e-d088-47eb-b14f-bd5e306322a0"/>
    <n v="19"/>
    <s v="Female"/>
    <s v="Standard"/>
    <n v="5.42"/>
    <x v="57"/>
    <x v="5"/>
    <x v="0"/>
    <n v="13.99"/>
    <n v="1"/>
    <n v="13.99"/>
    <x v="4"/>
    <n v="1"/>
    <n v="0.09"/>
    <s v="Comedy"/>
  </r>
  <r>
    <s v="ad293cc0-f9c5-41cc-b98b-d30104acd571"/>
    <n v="64"/>
    <s v="Other"/>
    <s v="Premium"/>
    <n v="11.09"/>
    <x v="5"/>
    <x v="0"/>
    <x v="3"/>
    <n v="17.989999999999998"/>
    <n v="0"/>
    <n v="0"/>
    <x v="2"/>
    <n v="5"/>
    <n v="0.41"/>
    <s v="Drama"/>
  </r>
  <r>
    <s v="2d709119-8028-4486-8e2c-d140c42a3e33"/>
    <n v="61"/>
    <s v="Female"/>
    <s v="Premium"/>
    <n v="1.91"/>
    <x v="24"/>
    <x v="5"/>
    <x v="0"/>
    <n v="17.989999999999998"/>
    <n v="1"/>
    <n v="17.989999999999998"/>
    <x v="2"/>
    <n v="1"/>
    <n v="0.04"/>
    <s v="Romance"/>
  </r>
  <r>
    <s v="2619177e-ff09-4d89-b00b-f61e7dad8bf9"/>
    <n v="44"/>
    <s v="Male"/>
    <s v="Premium"/>
    <n v="1.22"/>
    <x v="37"/>
    <x v="3"/>
    <x v="4"/>
    <n v="17.989999999999998"/>
    <n v="1"/>
    <n v="17.989999999999998"/>
    <x v="1"/>
    <n v="3"/>
    <n v="0.05"/>
    <s v="Horror"/>
  </r>
  <r>
    <s v="a2fa6fbd-35f8-4db0-aff2-2673727dc84c"/>
    <n v="40"/>
    <s v="Female"/>
    <s v="Standard"/>
    <n v="3.21"/>
    <x v="56"/>
    <x v="1"/>
    <x v="3"/>
    <n v="13.99"/>
    <n v="1"/>
    <n v="13.99"/>
    <x v="3"/>
    <n v="2"/>
    <n v="0.05"/>
    <s v="Action"/>
  </r>
  <r>
    <s v="dc3a0a45-0717-4baa-86f2-8d6573d5cd0c"/>
    <n v="33"/>
    <s v="Female"/>
    <s v="Standard"/>
    <n v="13.21"/>
    <x v="38"/>
    <x v="3"/>
    <x v="4"/>
    <n v="13.99"/>
    <n v="0"/>
    <n v="0"/>
    <x v="2"/>
    <n v="4"/>
    <n v="0.6"/>
    <s v="Comedy"/>
  </r>
  <r>
    <s v="5fa5ca82-b81d-40df-a054-96e09acb28ea"/>
    <n v="47"/>
    <s v="Other"/>
    <s v="Standard"/>
    <n v="8.01"/>
    <x v="40"/>
    <x v="1"/>
    <x v="1"/>
    <n v="13.99"/>
    <n v="0"/>
    <n v="0"/>
    <x v="0"/>
    <n v="4"/>
    <n v="0.67"/>
    <s v="Horror"/>
  </r>
  <r>
    <s v="ce71d08b-80b9-4b6a-a055-d07ad964b74e"/>
    <n v="48"/>
    <s v="Other"/>
    <s v="Premium"/>
    <n v="6.53"/>
    <x v="22"/>
    <x v="2"/>
    <x v="1"/>
    <n v="17.989999999999998"/>
    <n v="1"/>
    <n v="17.989999999999998"/>
    <x v="0"/>
    <n v="2"/>
    <n v="0.12"/>
    <s v="Documentary"/>
  </r>
  <r>
    <s v="3f0c299b-2856-4fcd-9da8-a1d19afa1365"/>
    <n v="69"/>
    <s v="Female"/>
    <s v="Basic"/>
    <n v="20.61"/>
    <x v="42"/>
    <x v="4"/>
    <x v="4"/>
    <n v="8.99"/>
    <n v="0"/>
    <n v="0"/>
    <x v="1"/>
    <n v="5"/>
    <n v="0.54"/>
    <s v="Romance"/>
  </r>
  <r>
    <s v="c298405c-4f93-4e45-b8ce-de46bc13b51a"/>
    <n v="37"/>
    <s v="Other"/>
    <s v="Basic"/>
    <n v="6.29"/>
    <x v="27"/>
    <x v="0"/>
    <x v="4"/>
    <n v="8.99"/>
    <n v="0"/>
    <n v="0"/>
    <x v="2"/>
    <n v="2"/>
    <n v="0.37"/>
    <s v="Drama"/>
  </r>
  <r>
    <s v="107b7ac2-d69a-482e-ba42-0707d07983f5"/>
    <n v="36"/>
    <s v="Female"/>
    <s v="Standard"/>
    <n v="2.06"/>
    <x v="37"/>
    <x v="0"/>
    <x v="2"/>
    <n v="13.99"/>
    <n v="1"/>
    <n v="13.99"/>
    <x v="1"/>
    <n v="1"/>
    <n v="0.08"/>
    <s v="Romance"/>
  </r>
  <r>
    <s v="a9414457-2c36-4d97-8820-4dcc8349368e"/>
    <n v="25"/>
    <s v="Other"/>
    <s v="Premium"/>
    <n v="0.56999999999999995"/>
    <x v="23"/>
    <x v="5"/>
    <x v="1"/>
    <n v="17.989999999999998"/>
    <n v="1"/>
    <n v="17.989999999999998"/>
    <x v="3"/>
    <n v="4"/>
    <n v="0.01"/>
    <s v="Romance"/>
  </r>
  <r>
    <s v="db07d34d-d62e-4cee-a65b-00f8a336c73b"/>
    <n v="37"/>
    <s v="Male"/>
    <s v="Basic"/>
    <n v="9.34"/>
    <x v="19"/>
    <x v="2"/>
    <x v="4"/>
    <n v="8.99"/>
    <n v="1"/>
    <n v="8.99"/>
    <x v="1"/>
    <n v="3"/>
    <n v="0.21"/>
    <s v="Sci-Fi"/>
  </r>
  <r>
    <s v="a1fa1e89-c730-4c7f-b615-5fc51f92abfc"/>
    <n v="54"/>
    <s v="Male"/>
    <s v="Standard"/>
    <n v="3.6"/>
    <x v="36"/>
    <x v="5"/>
    <x v="1"/>
    <n v="13.99"/>
    <n v="1"/>
    <n v="13.99"/>
    <x v="4"/>
    <n v="3"/>
    <n v="0.09"/>
    <s v="Drama"/>
  </r>
  <r>
    <s v="df2e5ee6-a486-4cd8-b452-959e63e397c6"/>
    <n v="67"/>
    <s v="Male"/>
    <s v="Premium"/>
    <n v="2.2400000000000002"/>
    <x v="8"/>
    <x v="0"/>
    <x v="0"/>
    <n v="17.989999999999998"/>
    <n v="1"/>
    <n v="17.989999999999998"/>
    <x v="1"/>
    <n v="2"/>
    <n v="0.06"/>
    <s v="Action"/>
  </r>
  <r>
    <s v="5dbd7687-5f99-4393-93cd-22ad811b4d22"/>
    <n v="63"/>
    <s v="Other"/>
    <s v="Standard"/>
    <n v="3.8"/>
    <x v="18"/>
    <x v="5"/>
    <x v="0"/>
    <n v="13.99"/>
    <n v="1"/>
    <n v="13.99"/>
    <x v="1"/>
    <n v="3"/>
    <n v="7.0000000000000007E-2"/>
    <s v="Action"/>
  </r>
  <r>
    <s v="3f8f748f-aae8-4ebd-8e6d-a88ed721f2fd"/>
    <n v="69"/>
    <s v="Other"/>
    <s v="Basic"/>
    <n v="32.42"/>
    <x v="19"/>
    <x v="5"/>
    <x v="3"/>
    <n v="8.99"/>
    <n v="0"/>
    <n v="0"/>
    <x v="4"/>
    <n v="3"/>
    <n v="0.74"/>
    <s v="Action"/>
  </r>
  <r>
    <s v="dfb72a40-99ce-419c-8bb8-a7e6d80f8d0f"/>
    <n v="45"/>
    <s v="Female"/>
    <s v="Basic"/>
    <n v="42.32"/>
    <x v="41"/>
    <x v="2"/>
    <x v="0"/>
    <n v="8.99"/>
    <n v="0"/>
    <n v="0"/>
    <x v="1"/>
    <n v="4"/>
    <n v="1.37"/>
    <s v="Documentary"/>
  </r>
  <r>
    <s v="2c9893fa-7934-40a5-8ddb-85f934f5dbe0"/>
    <n v="68"/>
    <s v="Other"/>
    <s v="Standard"/>
    <n v="3.68"/>
    <x v="23"/>
    <x v="4"/>
    <x v="4"/>
    <n v="13.99"/>
    <n v="1"/>
    <n v="13.99"/>
    <x v="4"/>
    <n v="3"/>
    <n v="7.0000000000000007E-2"/>
    <s v="Horror"/>
  </r>
  <r>
    <s v="45c38e06-d28c-46b6-b473-bd983b259d4c"/>
    <n v="20"/>
    <s v="Male"/>
    <s v="Standard"/>
    <n v="2.97"/>
    <x v="28"/>
    <x v="4"/>
    <x v="0"/>
    <n v="13.99"/>
    <n v="1"/>
    <n v="13.99"/>
    <x v="3"/>
    <n v="2"/>
    <n v="0.08"/>
    <s v="Romance"/>
  </r>
  <r>
    <s v="64d85f24-42f8-48b1-8675-590db42d23e5"/>
    <n v="18"/>
    <s v="Male"/>
    <s v="Standard"/>
    <n v="28.66"/>
    <x v="25"/>
    <x v="3"/>
    <x v="3"/>
    <n v="13.99"/>
    <n v="0"/>
    <n v="0"/>
    <x v="0"/>
    <n v="5"/>
    <n v="28.66"/>
    <s v="Drama"/>
  </r>
  <r>
    <s v="0aa018d1-6f8d-493a-bd1b-7d79b803fd22"/>
    <n v="26"/>
    <s v="Other"/>
    <s v="Standard"/>
    <n v="2"/>
    <x v="40"/>
    <x v="0"/>
    <x v="3"/>
    <n v="13.99"/>
    <n v="1"/>
    <n v="13.99"/>
    <x v="3"/>
    <n v="3"/>
    <n v="0.17"/>
    <s v="Documentary"/>
  </r>
  <r>
    <s v="d50276ec-30c4-4e33-94b1-68cb83eaf5a7"/>
    <n v="59"/>
    <s v="Other"/>
    <s v="Basic"/>
    <n v="5.65"/>
    <x v="42"/>
    <x v="0"/>
    <x v="4"/>
    <n v="8.99"/>
    <n v="1"/>
    <n v="8.99"/>
    <x v="2"/>
    <n v="2"/>
    <n v="0.15"/>
    <s v="Comedy"/>
  </r>
  <r>
    <s v="76cc2999-f28b-46ee-b31d-a27407c1f421"/>
    <n v="36"/>
    <s v="Male"/>
    <s v="Premium"/>
    <n v="22.32"/>
    <x v="22"/>
    <x v="2"/>
    <x v="0"/>
    <n v="17.989999999999998"/>
    <n v="0"/>
    <n v="0"/>
    <x v="0"/>
    <n v="3"/>
    <n v="0.4"/>
    <s v="Drama"/>
  </r>
  <r>
    <s v="9ae4fd75-7402-4539-8d0d-a5d7d1ac9596"/>
    <n v="51"/>
    <s v="Other"/>
    <s v="Premium"/>
    <n v="9.5299999999999994"/>
    <x v="11"/>
    <x v="3"/>
    <x v="2"/>
    <n v="17.989999999999998"/>
    <n v="0"/>
    <n v="0"/>
    <x v="4"/>
    <n v="2"/>
    <n v="0.4"/>
    <s v="Comedy"/>
  </r>
  <r>
    <s v="1b9db6e9-6522-4731-9474-7b1f63da1fc9"/>
    <n v="44"/>
    <s v="Male"/>
    <s v="Basic"/>
    <n v="21.72"/>
    <x v="25"/>
    <x v="2"/>
    <x v="4"/>
    <n v="8.99"/>
    <n v="0"/>
    <n v="0"/>
    <x v="1"/>
    <n v="2"/>
    <n v="21.72"/>
    <s v="Documentary"/>
  </r>
  <r>
    <s v="0c7a461a-e6f9-45c9-a1ba-b9745a6b3b17"/>
    <n v="57"/>
    <s v="Female"/>
    <s v="Basic"/>
    <n v="1.22"/>
    <x v="60"/>
    <x v="3"/>
    <x v="0"/>
    <n v="8.99"/>
    <n v="1"/>
    <n v="8.99"/>
    <x v="4"/>
    <n v="5"/>
    <n v="0.14000000000000001"/>
    <s v="Horror"/>
  </r>
  <r>
    <s v="37dd41be-f537-46b1-8e2e-905604a8cdad"/>
    <n v="24"/>
    <s v="Other"/>
    <s v="Premium"/>
    <n v="6.21"/>
    <x v="33"/>
    <x v="4"/>
    <x v="3"/>
    <n v="17.989999999999998"/>
    <n v="0"/>
    <n v="0"/>
    <x v="3"/>
    <n v="4"/>
    <n v="0.24"/>
    <s v="Horror"/>
  </r>
  <r>
    <s v="2fa9fc55-ecbd-428f-a0e6-7ce6f60e8975"/>
    <n v="54"/>
    <s v="Female"/>
    <s v="Premium"/>
    <n v="22.73"/>
    <x v="36"/>
    <x v="1"/>
    <x v="0"/>
    <n v="17.989999999999998"/>
    <n v="0"/>
    <n v="0"/>
    <x v="3"/>
    <n v="5"/>
    <n v="0.56999999999999995"/>
    <s v="Sci-Fi"/>
  </r>
  <r>
    <s v="76f5fba2-0349-4f73-84aa-475fa2f8c789"/>
    <n v="63"/>
    <s v="Male"/>
    <s v="Basic"/>
    <n v="0.24"/>
    <x v="38"/>
    <x v="1"/>
    <x v="2"/>
    <n v="8.99"/>
    <n v="1"/>
    <n v="8.99"/>
    <x v="4"/>
    <n v="5"/>
    <n v="0.01"/>
    <s v="Action"/>
  </r>
  <r>
    <s v="cf48d58a-217e-40c4-b6c5-72bbbe03fd56"/>
    <n v="20"/>
    <s v="Other"/>
    <s v="Standard"/>
    <n v="11.07"/>
    <x v="11"/>
    <x v="5"/>
    <x v="2"/>
    <n v="13.99"/>
    <n v="0"/>
    <n v="0"/>
    <x v="3"/>
    <n v="1"/>
    <n v="0.46"/>
    <s v="Horror"/>
  </r>
  <r>
    <s v="ac919ac2-e711-45b2-8d74-f2d164585c15"/>
    <n v="37"/>
    <s v="Female"/>
    <s v="Standard"/>
    <n v="11.8"/>
    <x v="11"/>
    <x v="0"/>
    <x v="2"/>
    <n v="13.99"/>
    <n v="0"/>
    <n v="0"/>
    <x v="2"/>
    <n v="3"/>
    <n v="0.49"/>
    <s v="Comedy"/>
  </r>
  <r>
    <s v="dbdab0cd-577e-49b5-b94e-4c5d8162c4f5"/>
    <n v="66"/>
    <s v="Male"/>
    <s v="Standard"/>
    <n v="7.95"/>
    <x v="58"/>
    <x v="2"/>
    <x v="3"/>
    <n v="13.99"/>
    <n v="1"/>
    <n v="13.99"/>
    <x v="0"/>
    <n v="2"/>
    <n v="0.17"/>
    <s v="Documentary"/>
  </r>
  <r>
    <s v="d85e4916-857b-4008-b7a5-20ea8157e9af"/>
    <n v="36"/>
    <s v="Male"/>
    <s v="Standard"/>
    <n v="4.34"/>
    <x v="18"/>
    <x v="4"/>
    <x v="2"/>
    <n v="13.99"/>
    <n v="1"/>
    <n v="13.99"/>
    <x v="2"/>
    <n v="3"/>
    <n v="7.0000000000000007E-2"/>
    <s v="Romance"/>
  </r>
  <r>
    <s v="17ed341d-de04-4466-8b18-bda03f5e38fd"/>
    <n v="35"/>
    <s v="Female"/>
    <s v="Premium"/>
    <n v="12.01"/>
    <x v="59"/>
    <x v="2"/>
    <x v="1"/>
    <n v="17.989999999999998"/>
    <n v="0"/>
    <n v="0"/>
    <x v="2"/>
    <n v="4"/>
    <n v="2"/>
    <s v="Horror"/>
  </r>
  <r>
    <s v="274599c6-5a23-4d2e-a471-22fa0e76e24e"/>
    <n v="51"/>
    <s v="Male"/>
    <s v="Basic"/>
    <n v="89.83"/>
    <x v="23"/>
    <x v="4"/>
    <x v="2"/>
    <n v="8.99"/>
    <n v="0"/>
    <n v="0"/>
    <x v="0"/>
    <n v="5"/>
    <n v="1.66"/>
    <s v="Drama"/>
  </r>
  <r>
    <s v="dc5b0984-88d3-4ff3-b093-f0cfdb80070d"/>
    <n v="22"/>
    <s v="Female"/>
    <s v="Premium"/>
    <n v="0.79"/>
    <x v="51"/>
    <x v="5"/>
    <x v="1"/>
    <n v="17.989999999999998"/>
    <n v="1"/>
    <n v="17.989999999999998"/>
    <x v="1"/>
    <n v="4"/>
    <n v="0.04"/>
    <s v="Horror"/>
  </r>
  <r>
    <s v="ca23a8be-fef8-4b6c-afba-136af304b2d5"/>
    <n v="19"/>
    <s v="Female"/>
    <s v="Standard"/>
    <n v="13.89"/>
    <x v="41"/>
    <x v="2"/>
    <x v="3"/>
    <n v="13.99"/>
    <n v="0"/>
    <n v="0"/>
    <x v="1"/>
    <n v="3"/>
    <n v="0.45"/>
    <s v="Sci-Fi"/>
  </r>
  <r>
    <s v="4099d31a-cc4b-4948-bcb8-d3270cf3a9f5"/>
    <n v="58"/>
    <s v="Other"/>
    <s v="Basic"/>
    <n v="20.100000000000001"/>
    <x v="33"/>
    <x v="4"/>
    <x v="1"/>
    <n v="8.99"/>
    <n v="0"/>
    <n v="0"/>
    <x v="3"/>
    <n v="2"/>
    <n v="0.77"/>
    <s v="Action"/>
  </r>
  <r>
    <s v="37c521d5-e042-4dc6-a38a-be7eafeb9092"/>
    <n v="37"/>
    <s v="Other"/>
    <s v="Standard"/>
    <n v="0.44"/>
    <x v="28"/>
    <x v="0"/>
    <x v="0"/>
    <n v="13.99"/>
    <n v="1"/>
    <n v="13.99"/>
    <x v="0"/>
    <n v="2"/>
    <n v="0.01"/>
    <s v="Horror"/>
  </r>
  <r>
    <s v="17ce1fd9-fa04-4c76-b7c0-f23519005371"/>
    <n v="34"/>
    <s v="Female"/>
    <s v="Basic"/>
    <n v="13.6"/>
    <x v="30"/>
    <x v="5"/>
    <x v="1"/>
    <n v="8.99"/>
    <n v="0"/>
    <n v="0"/>
    <x v="2"/>
    <n v="2"/>
    <n v="6.8"/>
    <s v="Romance"/>
  </r>
  <r>
    <s v="c1660018-6e78-4bd4-88f0-3a1faa017c4c"/>
    <n v="47"/>
    <s v="Female"/>
    <s v="Basic"/>
    <n v="2.57"/>
    <x v="2"/>
    <x v="4"/>
    <x v="4"/>
    <n v="8.99"/>
    <n v="1"/>
    <n v="8.99"/>
    <x v="0"/>
    <n v="5"/>
    <n v="0.23"/>
    <s v="Sci-Fi"/>
  </r>
  <r>
    <s v="86079cfc-0cd9-4487-ac31-0e38a2859cd2"/>
    <n v="26"/>
    <s v="Male"/>
    <s v="Premium"/>
    <n v="16.34"/>
    <x v="59"/>
    <x v="2"/>
    <x v="0"/>
    <n v="17.989999999999998"/>
    <n v="0"/>
    <n v="0"/>
    <x v="4"/>
    <n v="2"/>
    <n v="2.72"/>
    <s v="Drama"/>
  </r>
  <r>
    <s v="3e3cfb79-20ef-4690-a186-7f69adb9c1c6"/>
    <n v="35"/>
    <s v="Other"/>
    <s v="Basic"/>
    <n v="14.78"/>
    <x v="37"/>
    <x v="2"/>
    <x v="1"/>
    <n v="8.99"/>
    <n v="0"/>
    <n v="0"/>
    <x v="1"/>
    <n v="4"/>
    <n v="0.59"/>
    <s v="Sci-Fi"/>
  </r>
  <r>
    <s v="c726aec5-29ec-4b62-b752-7d9f91d7ebd1"/>
    <n v="41"/>
    <s v="Other"/>
    <s v="Standard"/>
    <n v="2.14"/>
    <x v="55"/>
    <x v="5"/>
    <x v="3"/>
    <n v="13.99"/>
    <n v="1"/>
    <n v="13.99"/>
    <x v="4"/>
    <n v="1"/>
    <n v="0.04"/>
    <s v="Horror"/>
  </r>
  <r>
    <s v="7911e6e5-fad9-423b-b343-c74a045ad2ae"/>
    <n v="65"/>
    <s v="Male"/>
    <s v="Basic"/>
    <n v="0.71"/>
    <x v="50"/>
    <x v="3"/>
    <x v="2"/>
    <n v="8.99"/>
    <n v="1"/>
    <n v="8.99"/>
    <x v="1"/>
    <n v="3"/>
    <n v="0.01"/>
    <s v="Documentary"/>
  </r>
  <r>
    <s v="0a5ee218-5618-44fe-b90d-cae6da8f6859"/>
    <n v="63"/>
    <s v="Male"/>
    <s v="Premium"/>
    <n v="45.68"/>
    <x v="24"/>
    <x v="4"/>
    <x v="3"/>
    <n v="17.989999999999998"/>
    <n v="0"/>
    <n v="0"/>
    <x v="0"/>
    <n v="1"/>
    <n v="0.86"/>
    <s v="Sci-Fi"/>
  </r>
  <r>
    <s v="99b365a9-075d-4ed6-b3a4-539d4245cd22"/>
    <n v="54"/>
    <s v="Other"/>
    <s v="Standard"/>
    <n v="2.91"/>
    <x v="5"/>
    <x v="1"/>
    <x v="2"/>
    <n v="13.99"/>
    <n v="1"/>
    <n v="13.99"/>
    <x v="0"/>
    <n v="5"/>
    <n v="0.11"/>
    <s v="Documentary"/>
  </r>
  <r>
    <s v="20b10142-39c2-4061-8573-a1e5f91ad019"/>
    <n v="26"/>
    <s v="Male"/>
    <s v="Standard"/>
    <n v="3.81"/>
    <x v="45"/>
    <x v="4"/>
    <x v="0"/>
    <n v="13.99"/>
    <n v="1"/>
    <n v="13.99"/>
    <x v="1"/>
    <n v="4"/>
    <n v="0.09"/>
    <s v="Documentary"/>
  </r>
  <r>
    <s v="2b784338-d744-4800-b6f8-4508260255b7"/>
    <n v="69"/>
    <s v="Male"/>
    <s v="Premium"/>
    <n v="11.8"/>
    <x v="23"/>
    <x v="3"/>
    <x v="4"/>
    <n v="17.989999999999998"/>
    <n v="1"/>
    <n v="17.989999999999998"/>
    <x v="1"/>
    <n v="5"/>
    <n v="0.22"/>
    <s v="Comedy"/>
  </r>
  <r>
    <s v="ac8576dd-8167-485c-9452-c8fc0e559ed8"/>
    <n v="45"/>
    <s v="Female"/>
    <s v="Basic"/>
    <n v="9.77"/>
    <x v="27"/>
    <x v="2"/>
    <x v="2"/>
    <n v="8.99"/>
    <n v="0"/>
    <n v="0"/>
    <x v="0"/>
    <n v="2"/>
    <n v="0.56999999999999995"/>
    <s v="Romance"/>
  </r>
  <r>
    <s v="e95a32d7-dbb3-457d-b655-df5765b3ea84"/>
    <n v="18"/>
    <s v="Female"/>
    <s v="Basic"/>
    <n v="0.33"/>
    <x v="54"/>
    <x v="3"/>
    <x v="4"/>
    <n v="8.99"/>
    <n v="1"/>
    <n v="8.99"/>
    <x v="3"/>
    <n v="3"/>
    <n v="0.01"/>
    <s v="Action"/>
  </r>
  <r>
    <s v="a22b2cef-2032-47d9-8fb4-36f3dcf93b94"/>
    <n v="30"/>
    <s v="Other"/>
    <s v="Standard"/>
    <n v="7.51"/>
    <x v="29"/>
    <x v="1"/>
    <x v="4"/>
    <n v="13.99"/>
    <n v="1"/>
    <n v="13.99"/>
    <x v="1"/>
    <n v="3"/>
    <n v="0.16"/>
    <s v="Horror"/>
  </r>
  <r>
    <s v="ba13ed63-7cc2-4a1e-9d77-d45bfe793cc5"/>
    <n v="58"/>
    <s v="Female"/>
    <s v="Premium"/>
    <n v="24.06"/>
    <x v="10"/>
    <x v="5"/>
    <x v="1"/>
    <n v="17.989999999999998"/>
    <n v="0"/>
    <n v="0"/>
    <x v="3"/>
    <n v="5"/>
    <n v="0.62"/>
    <s v="Horror"/>
  </r>
  <r>
    <s v="8bdf4628-437d-4675-a5bd-c0e70adb590d"/>
    <n v="37"/>
    <s v="Other"/>
    <s v="Standard"/>
    <n v="8.25"/>
    <x v="17"/>
    <x v="5"/>
    <x v="2"/>
    <n v="13.99"/>
    <n v="0"/>
    <n v="0"/>
    <x v="3"/>
    <n v="1"/>
    <n v="1.65"/>
    <s v="Horror"/>
  </r>
  <r>
    <s v="e203e4ef-dc62-4e97-884d-77a46ddf3813"/>
    <n v="18"/>
    <s v="Female"/>
    <s v="Standard"/>
    <n v="0.27"/>
    <x v="6"/>
    <x v="3"/>
    <x v="3"/>
    <n v="13.99"/>
    <n v="1"/>
    <n v="13.99"/>
    <x v="4"/>
    <n v="1"/>
    <n v="0.01"/>
    <s v="Comedy"/>
  </r>
  <r>
    <s v="5b4c2040-0725-49cd-b8bb-0c1848fe1577"/>
    <n v="57"/>
    <s v="Female"/>
    <s v="Premium"/>
    <n v="0.98"/>
    <x v="55"/>
    <x v="0"/>
    <x v="2"/>
    <n v="17.989999999999998"/>
    <n v="1"/>
    <n v="17.989999999999998"/>
    <x v="2"/>
    <n v="2"/>
    <n v="0.02"/>
    <s v="Documentary"/>
  </r>
  <r>
    <s v="cdd7611f-d900-43cf-b218-71d45bca9a13"/>
    <n v="59"/>
    <s v="Female"/>
    <s v="Premium"/>
    <n v="0.1"/>
    <x v="6"/>
    <x v="5"/>
    <x v="2"/>
    <n v="17.989999999999998"/>
    <n v="1"/>
    <n v="17.989999999999998"/>
    <x v="1"/>
    <n v="1"/>
    <n v="0"/>
    <s v="Sci-Fi"/>
  </r>
  <r>
    <s v="11d562cc-a296-442c-8ad0-4c2a5f5f2e1f"/>
    <n v="29"/>
    <s v="Other"/>
    <s v="Premium"/>
    <n v="8.1300000000000008"/>
    <x v="51"/>
    <x v="3"/>
    <x v="0"/>
    <n v="17.989999999999998"/>
    <n v="0"/>
    <n v="0"/>
    <x v="4"/>
    <n v="2"/>
    <n v="0.45"/>
    <s v="Sci-Fi"/>
  </r>
  <r>
    <s v="1fb210c3-6369-4fb9-9abc-f56736df9f47"/>
    <n v="66"/>
    <s v="Male"/>
    <s v="Standard"/>
    <n v="3.46"/>
    <x v="35"/>
    <x v="3"/>
    <x v="4"/>
    <n v="13.99"/>
    <n v="1"/>
    <n v="13.99"/>
    <x v="1"/>
    <n v="4"/>
    <n v="0.08"/>
    <s v="Comedy"/>
  </r>
  <r>
    <s v="1aab7315-184d-4e18-8338-071aab257e63"/>
    <n v="55"/>
    <s v="Male"/>
    <s v="Basic"/>
    <n v="2.74"/>
    <x v="35"/>
    <x v="4"/>
    <x v="2"/>
    <n v="8.99"/>
    <n v="1"/>
    <n v="8.99"/>
    <x v="4"/>
    <n v="4"/>
    <n v="0.06"/>
    <s v="Documentary"/>
  </r>
  <r>
    <s v="33e54062-d5b6-400e-9f34-fe98abbe476c"/>
    <n v="39"/>
    <s v="Male"/>
    <s v="Premium"/>
    <n v="21.09"/>
    <x v="18"/>
    <x v="5"/>
    <x v="2"/>
    <n v="17.989999999999998"/>
    <n v="0"/>
    <n v="0"/>
    <x v="0"/>
    <n v="2"/>
    <n v="0.36"/>
    <s v="Drama"/>
  </r>
  <r>
    <s v="5d0fd4a3-dc03-4a99-8cb0-087424513a52"/>
    <n v="51"/>
    <s v="Other"/>
    <s v="Premium"/>
    <n v="4.43"/>
    <x v="49"/>
    <x v="4"/>
    <x v="2"/>
    <n v="17.989999999999998"/>
    <n v="1"/>
    <n v="17.989999999999998"/>
    <x v="0"/>
    <n v="3"/>
    <n v="0.44"/>
    <s v="Horror"/>
  </r>
  <r>
    <s v="d16fcf8a-89ce-4b6c-9083-bf9e43fbd8d7"/>
    <n v="57"/>
    <s v="Female"/>
    <s v="Standard"/>
    <n v="1.41"/>
    <x v="40"/>
    <x v="1"/>
    <x v="4"/>
    <n v="13.99"/>
    <n v="0"/>
    <n v="0"/>
    <x v="3"/>
    <n v="5"/>
    <n v="0.12"/>
    <s v="Romance"/>
  </r>
  <r>
    <s v="609e1a47-614a-4c12-b0c7-50c6a27c83bb"/>
    <n v="48"/>
    <s v="Other"/>
    <s v="Basic"/>
    <n v="3.04"/>
    <x v="6"/>
    <x v="1"/>
    <x v="1"/>
    <n v="8.99"/>
    <n v="1"/>
    <n v="8.99"/>
    <x v="2"/>
    <n v="2"/>
    <n v="0.14000000000000001"/>
    <s v="Action"/>
  </r>
  <r>
    <s v="c3fc2a8b-b9e3-48b3-9c46-b3a64b62157d"/>
    <n v="26"/>
    <s v="Female"/>
    <s v="Premium"/>
    <n v="4.66"/>
    <x v="10"/>
    <x v="4"/>
    <x v="2"/>
    <n v="17.989999999999998"/>
    <n v="1"/>
    <n v="17.989999999999998"/>
    <x v="2"/>
    <n v="5"/>
    <n v="0.12"/>
    <s v="Documentary"/>
  </r>
  <r>
    <s v="6af2ef31-7637-45a5-8a64-201ec7cb3065"/>
    <n v="34"/>
    <s v="Female"/>
    <s v="Basic"/>
    <n v="18.39"/>
    <x v="23"/>
    <x v="3"/>
    <x v="2"/>
    <n v="8.99"/>
    <n v="1"/>
    <n v="8.99"/>
    <x v="2"/>
    <n v="1"/>
    <n v="0.34"/>
    <s v="Action"/>
  </r>
  <r>
    <s v="a35b0e4d-c43a-48cb-8c56-e49d6879c391"/>
    <n v="18"/>
    <s v="Male"/>
    <s v="Standard"/>
    <n v="3.03"/>
    <x v="39"/>
    <x v="3"/>
    <x v="4"/>
    <n v="13.99"/>
    <n v="1"/>
    <n v="13.99"/>
    <x v="0"/>
    <n v="5"/>
    <n v="0.13"/>
    <s v="Action"/>
  </r>
  <r>
    <s v="1c904da9-0232-449d-a20e-43a3c0e409b7"/>
    <n v="51"/>
    <s v="Male"/>
    <s v="Basic"/>
    <n v="6.65"/>
    <x v="46"/>
    <x v="5"/>
    <x v="0"/>
    <n v="8.99"/>
    <n v="0"/>
    <n v="0"/>
    <x v="3"/>
    <n v="4"/>
    <n v="2.2200000000000002"/>
    <s v="Horror"/>
  </r>
  <r>
    <s v="3f0b4a45-5ec6-4a10-a6f0-dfab7d32c292"/>
    <n v="55"/>
    <s v="Male"/>
    <s v="Basic"/>
    <n v="7.22"/>
    <x v="47"/>
    <x v="5"/>
    <x v="4"/>
    <n v="8.99"/>
    <n v="0"/>
    <n v="0"/>
    <x v="0"/>
    <n v="2"/>
    <n v="1.8"/>
    <s v="Romance"/>
  </r>
  <r>
    <s v="696ead93-5262-4d00-a2ab-042f737bcb9c"/>
    <n v="20"/>
    <s v="Male"/>
    <s v="Basic"/>
    <n v="1.81"/>
    <x v="25"/>
    <x v="0"/>
    <x v="1"/>
    <n v="8.99"/>
    <n v="0"/>
    <n v="0"/>
    <x v="4"/>
    <n v="3"/>
    <n v="1.81"/>
    <s v="Sci-Fi"/>
  </r>
  <r>
    <s v="eacf58bf-9e97-4299-b176-75e028554818"/>
    <n v="21"/>
    <s v="Other"/>
    <s v="Premium"/>
    <n v="27.46"/>
    <x v="19"/>
    <x v="5"/>
    <x v="4"/>
    <n v="17.989999999999998"/>
    <n v="0"/>
    <n v="0"/>
    <x v="0"/>
    <n v="2"/>
    <n v="0.62"/>
    <s v="Documentary"/>
  </r>
  <r>
    <s v="75c9cb84-d05c-4a42-8ab2-828d008f94ba"/>
    <n v="70"/>
    <s v="Other"/>
    <s v="Basic"/>
    <n v="18.36"/>
    <x v="44"/>
    <x v="5"/>
    <x v="2"/>
    <n v="8.99"/>
    <n v="1"/>
    <n v="8.99"/>
    <x v="0"/>
    <n v="2"/>
    <n v="0.39"/>
    <s v="Horror"/>
  </r>
  <r>
    <s v="dac932ff-cdf8-4b8d-a369-7a25f9bd7a0e"/>
    <n v="70"/>
    <s v="Female"/>
    <s v="Basic"/>
    <n v="1.26"/>
    <x v="6"/>
    <x v="0"/>
    <x v="0"/>
    <n v="8.99"/>
    <n v="1"/>
    <n v="8.99"/>
    <x v="2"/>
    <n v="5"/>
    <n v="0.06"/>
    <s v="Drama"/>
  </r>
  <r>
    <s v="39000a6b-840b-4387-8278-74242df72456"/>
    <n v="66"/>
    <s v="Male"/>
    <s v="Standard"/>
    <n v="0.28999999999999998"/>
    <x v="46"/>
    <x v="3"/>
    <x v="2"/>
    <n v="13.99"/>
    <n v="1"/>
    <n v="13.99"/>
    <x v="0"/>
    <n v="2"/>
    <n v="0.1"/>
    <s v="Action"/>
  </r>
  <r>
    <s v="0c1633dd-ffdf-4a8e-acf3-6b8726513703"/>
    <n v="55"/>
    <s v="Female"/>
    <s v="Premium"/>
    <n v="13.7"/>
    <x v="55"/>
    <x v="4"/>
    <x v="3"/>
    <n v="17.989999999999998"/>
    <n v="1"/>
    <n v="17.989999999999998"/>
    <x v="3"/>
    <n v="3"/>
    <n v="0.23"/>
    <s v="Action"/>
  </r>
  <r>
    <s v="4c9b0d0f-1fa8-439e-af1f-8282130cf0bf"/>
    <n v="28"/>
    <s v="Female"/>
    <s v="Standard"/>
    <n v="2.25"/>
    <x v="41"/>
    <x v="4"/>
    <x v="2"/>
    <n v="13.99"/>
    <n v="1"/>
    <n v="13.99"/>
    <x v="1"/>
    <n v="3"/>
    <n v="7.0000000000000007E-2"/>
    <s v="Action"/>
  </r>
  <r>
    <s v="dbaf9169-5442-4b8c-b41d-b9f87f96e404"/>
    <n v="47"/>
    <s v="Other"/>
    <s v="Premium"/>
    <n v="7.74"/>
    <x v="33"/>
    <x v="0"/>
    <x v="3"/>
    <n v="17.989999999999998"/>
    <n v="0"/>
    <n v="0"/>
    <x v="2"/>
    <n v="1"/>
    <n v="0.3"/>
    <s v="Documentary"/>
  </r>
  <r>
    <s v="56eae98d-0f94-42e9-bc74-b87ee559adc0"/>
    <n v="38"/>
    <s v="Female"/>
    <s v="Basic"/>
    <n v="7.99"/>
    <x v="16"/>
    <x v="4"/>
    <x v="1"/>
    <n v="8.99"/>
    <n v="0"/>
    <n v="0"/>
    <x v="4"/>
    <n v="3"/>
    <n v="0.28999999999999998"/>
    <s v="Comedy"/>
  </r>
  <r>
    <s v="4234d7ee-c5d2-43be-ad24-1545623c4983"/>
    <n v="63"/>
    <s v="Other"/>
    <s v="Premium"/>
    <n v="26.2"/>
    <x v="24"/>
    <x v="5"/>
    <x v="2"/>
    <n v="17.989999999999998"/>
    <n v="0"/>
    <n v="0"/>
    <x v="0"/>
    <n v="2"/>
    <n v="0.49"/>
    <s v="Horror"/>
  </r>
  <r>
    <s v="a880a8d5-fd6c-4056-8fea-151329ac0bc0"/>
    <n v="29"/>
    <s v="Other"/>
    <s v="Standard"/>
    <n v="8.15"/>
    <x v="4"/>
    <x v="5"/>
    <x v="0"/>
    <n v="13.99"/>
    <n v="0"/>
    <n v="0"/>
    <x v="1"/>
    <n v="2"/>
    <n v="0.57999999999999996"/>
    <s v="Drama"/>
  </r>
  <r>
    <s v="fe3fe07b-85b9-4f24-aef0-78a120ffca7d"/>
    <n v="39"/>
    <s v="Male"/>
    <s v="Premium"/>
    <n v="4.84"/>
    <x v="25"/>
    <x v="0"/>
    <x v="2"/>
    <n v="17.989999999999998"/>
    <n v="0"/>
    <n v="0"/>
    <x v="2"/>
    <n v="2"/>
    <n v="4.84"/>
    <s v="Comedy"/>
  </r>
  <r>
    <s v="da3695da-d79e-4240-be6f-e5252500e74c"/>
    <n v="23"/>
    <s v="Male"/>
    <s v="Basic"/>
    <n v="0.6"/>
    <x v="21"/>
    <x v="3"/>
    <x v="3"/>
    <n v="8.99"/>
    <n v="1"/>
    <n v="8.99"/>
    <x v="3"/>
    <n v="3"/>
    <n v="0.09"/>
    <s v="Documentary"/>
  </r>
  <r>
    <s v="45556d1e-cca3-4681-91f0-c400a3523511"/>
    <n v="58"/>
    <s v="Female"/>
    <s v="Basic"/>
    <n v="10.42"/>
    <x v="21"/>
    <x v="3"/>
    <x v="4"/>
    <n v="8.99"/>
    <n v="0"/>
    <n v="0"/>
    <x v="2"/>
    <n v="2"/>
    <n v="1.49"/>
    <s v="Documentary"/>
  </r>
  <r>
    <s v="755ce452-4079-48bb-bc47-4ba2b2ecd942"/>
    <n v="26"/>
    <s v="Male"/>
    <s v="Standard"/>
    <n v="2.35"/>
    <x v="33"/>
    <x v="3"/>
    <x v="4"/>
    <n v="13.99"/>
    <n v="0"/>
    <n v="0"/>
    <x v="3"/>
    <n v="5"/>
    <n v="0.09"/>
    <s v="Romance"/>
  </r>
  <r>
    <s v="fa010757-b01a-4f20-abed-bce22f5a810a"/>
    <n v="63"/>
    <s v="Male"/>
    <s v="Premium"/>
    <n v="3.17"/>
    <x v="32"/>
    <x v="3"/>
    <x v="4"/>
    <n v="17.989999999999998"/>
    <n v="1"/>
    <n v="17.989999999999998"/>
    <x v="0"/>
    <n v="5"/>
    <n v="0.21"/>
    <s v="Comedy"/>
  </r>
  <r>
    <s v="e2dfa569-35ea-412e-9a4e-2b194f5d62c8"/>
    <n v="37"/>
    <s v="Male"/>
    <s v="Premium"/>
    <n v="24.13"/>
    <x v="43"/>
    <x v="4"/>
    <x v="0"/>
    <n v="17.989999999999998"/>
    <n v="0"/>
    <n v="0"/>
    <x v="1"/>
    <n v="2"/>
    <n v="0.75"/>
    <s v="Action"/>
  </r>
  <r>
    <s v="003e8ce2-25ac-44b6-91db-fc2784528c36"/>
    <n v="48"/>
    <s v="Female"/>
    <s v="Standard"/>
    <n v="3.84"/>
    <x v="11"/>
    <x v="4"/>
    <x v="4"/>
    <n v="13.99"/>
    <n v="1"/>
    <n v="13.99"/>
    <x v="1"/>
    <n v="1"/>
    <n v="0.16"/>
    <s v="Romance"/>
  </r>
  <r>
    <s v="e25b97a4-daab-4243-8698-14b71b085a13"/>
    <n v="32"/>
    <s v="Other"/>
    <s v="Premium"/>
    <n v="14.31"/>
    <x v="19"/>
    <x v="1"/>
    <x v="3"/>
    <n v="17.989999999999998"/>
    <n v="0"/>
    <n v="0"/>
    <x v="4"/>
    <n v="5"/>
    <n v="0.33"/>
    <s v="Horror"/>
  </r>
  <r>
    <s v="8acd78db-f4ed-4bc0-a385-0764a60e7b9f"/>
    <n v="64"/>
    <s v="Female"/>
    <s v="Basic"/>
    <n v="6.74"/>
    <x v="44"/>
    <x v="5"/>
    <x v="4"/>
    <n v="8.99"/>
    <n v="1"/>
    <n v="8.99"/>
    <x v="4"/>
    <n v="5"/>
    <n v="0.14000000000000001"/>
    <s v="Documentary"/>
  </r>
  <r>
    <s v="8a3af76b-7153-48c0-a775-3534fd49fe16"/>
    <n v="47"/>
    <s v="Female"/>
    <s v="Basic"/>
    <n v="10.89"/>
    <x v="26"/>
    <x v="3"/>
    <x v="1"/>
    <n v="8.99"/>
    <n v="1"/>
    <n v="8.99"/>
    <x v="2"/>
    <n v="5"/>
    <n v="0.22"/>
    <s v="Comedy"/>
  </r>
  <r>
    <s v="8661f083-bf8b-497e-80af-74b5442aa691"/>
    <n v="48"/>
    <s v="Female"/>
    <s v="Standard"/>
    <n v="21.16"/>
    <x v="54"/>
    <x v="4"/>
    <x v="1"/>
    <n v="13.99"/>
    <n v="0"/>
    <n v="0"/>
    <x v="3"/>
    <n v="5"/>
    <n v="0.73"/>
    <s v="Comedy"/>
  </r>
  <r>
    <s v="e444d340-ba14-40bd-99f4-85f85f98cf78"/>
    <n v="44"/>
    <s v="Other"/>
    <s v="Basic"/>
    <n v="22.22"/>
    <x v="53"/>
    <x v="2"/>
    <x v="4"/>
    <n v="8.99"/>
    <n v="0"/>
    <n v="0"/>
    <x v="0"/>
    <n v="5"/>
    <n v="0.52"/>
    <s v="Comedy"/>
  </r>
  <r>
    <s v="e12dbde6-af94-4fed-8392-75efd9f8c1a8"/>
    <n v="44"/>
    <s v="Male"/>
    <s v="Standard"/>
    <n v="27.08"/>
    <x v="27"/>
    <x v="2"/>
    <x v="3"/>
    <n v="13.99"/>
    <n v="0"/>
    <n v="0"/>
    <x v="1"/>
    <n v="3"/>
    <n v="1.59"/>
    <s v="Horror"/>
  </r>
  <r>
    <s v="095b2666-34f3-42ba-aaa6-f9512b8d30cc"/>
    <n v="49"/>
    <s v="Female"/>
    <s v="Basic"/>
    <n v="7.69"/>
    <x v="46"/>
    <x v="0"/>
    <x v="1"/>
    <n v="8.99"/>
    <n v="0"/>
    <n v="0"/>
    <x v="0"/>
    <n v="1"/>
    <n v="2.56"/>
    <s v="Comedy"/>
  </r>
  <r>
    <s v="d3c3d095-8b42-45d2-9c19-7e3fa96ca787"/>
    <n v="60"/>
    <s v="Female"/>
    <s v="Basic"/>
    <n v="15.01"/>
    <x v="6"/>
    <x v="4"/>
    <x v="1"/>
    <n v="8.99"/>
    <n v="0"/>
    <n v="0"/>
    <x v="1"/>
    <n v="1"/>
    <n v="0.71"/>
    <s v="Sci-Fi"/>
  </r>
  <r>
    <s v="1aa16b12-fff7-48b4-9b72-fa22e08d058d"/>
    <n v="61"/>
    <s v="Other"/>
    <s v="Premium"/>
    <n v="12.59"/>
    <x v="40"/>
    <x v="5"/>
    <x v="0"/>
    <n v="17.989999999999998"/>
    <n v="0"/>
    <n v="0"/>
    <x v="1"/>
    <n v="5"/>
    <n v="1.05"/>
    <s v="Romance"/>
  </r>
  <r>
    <s v="f8aa86e5-518a-4051-9727-74947064db92"/>
    <n v="68"/>
    <s v="Female"/>
    <s v="Basic"/>
    <n v="6.43"/>
    <x v="10"/>
    <x v="2"/>
    <x v="3"/>
    <n v="8.99"/>
    <n v="1"/>
    <n v="8.99"/>
    <x v="1"/>
    <n v="3"/>
    <n v="0.16"/>
    <s v="Comedy"/>
  </r>
  <r>
    <s v="a92a788b-ae74-4716-9bea-7eb0b3cef793"/>
    <n v="55"/>
    <s v="Male"/>
    <s v="Standard"/>
    <n v="22.74"/>
    <x v="59"/>
    <x v="1"/>
    <x v="1"/>
    <n v="13.99"/>
    <n v="0"/>
    <n v="0"/>
    <x v="3"/>
    <n v="3"/>
    <n v="3.79"/>
    <s v="Horror"/>
  </r>
  <r>
    <s v="17183448-1fc2-4e97-a5f2-36d1d5a9ca1e"/>
    <n v="54"/>
    <s v="Male"/>
    <s v="Premium"/>
    <n v="10.36"/>
    <x v="34"/>
    <x v="1"/>
    <x v="0"/>
    <n v="17.989999999999998"/>
    <n v="0"/>
    <n v="0"/>
    <x v="4"/>
    <n v="5"/>
    <n v="0.2"/>
    <s v="Sci-Fi"/>
  </r>
  <r>
    <s v="cdb0c59c-6086-4985-a133-bd141e1bb6ca"/>
    <n v="29"/>
    <s v="Female"/>
    <s v="Basic"/>
    <n v="0.65"/>
    <x v="3"/>
    <x v="1"/>
    <x v="4"/>
    <n v="8.99"/>
    <n v="1"/>
    <n v="8.99"/>
    <x v="1"/>
    <n v="3"/>
    <n v="0.05"/>
    <s v="Drama"/>
  </r>
  <r>
    <s v="dcb91836-142b-4bcd-b42c-f0b34c272121"/>
    <n v="56"/>
    <s v="Other"/>
    <s v="Premium"/>
    <n v="0.85"/>
    <x v="0"/>
    <x v="3"/>
    <x v="0"/>
    <n v="17.989999999999998"/>
    <n v="1"/>
    <n v="17.989999999999998"/>
    <x v="1"/>
    <n v="5"/>
    <n v="0.03"/>
    <s v="Sci-Fi"/>
  </r>
  <r>
    <s v="828e263c-a5a2-4390-8880-5851ba9395c1"/>
    <n v="18"/>
    <s v="Other"/>
    <s v="Premium"/>
    <n v="6.61"/>
    <x v="34"/>
    <x v="4"/>
    <x v="2"/>
    <n v="17.989999999999998"/>
    <n v="1"/>
    <n v="17.989999999999998"/>
    <x v="0"/>
    <n v="2"/>
    <n v="0.13"/>
    <s v="Horror"/>
  </r>
  <r>
    <s v="c54f6982-c7af-4460-b1ca-661c411ee091"/>
    <n v="26"/>
    <s v="Other"/>
    <s v="Standard"/>
    <n v="5.59"/>
    <x v="30"/>
    <x v="5"/>
    <x v="4"/>
    <n v="13.99"/>
    <n v="0"/>
    <n v="0"/>
    <x v="2"/>
    <n v="3"/>
    <n v="2.79"/>
    <s v="Romance"/>
  </r>
  <r>
    <s v="e7c17a68-7cb0-445f-8d31-f2c1d07aab3d"/>
    <n v="24"/>
    <s v="Male"/>
    <s v="Standard"/>
    <n v="2.65"/>
    <x v="14"/>
    <x v="4"/>
    <x v="0"/>
    <n v="13.99"/>
    <n v="1"/>
    <n v="13.99"/>
    <x v="4"/>
    <n v="4"/>
    <n v="0.08"/>
    <s v="Drama"/>
  </r>
  <r>
    <s v="da5099cc-9057-4fcd-a133-8873336c7697"/>
    <n v="26"/>
    <s v="Male"/>
    <s v="Standard"/>
    <n v="10.62"/>
    <x v="57"/>
    <x v="4"/>
    <x v="1"/>
    <n v="13.99"/>
    <n v="0"/>
    <n v="0"/>
    <x v="2"/>
    <n v="5"/>
    <n v="0.17"/>
    <s v="Action"/>
  </r>
  <r>
    <s v="2d6081cb-4964-472e-ad69-86ebf0dd7c1c"/>
    <n v="47"/>
    <s v="Male"/>
    <s v="Standard"/>
    <n v="4.22"/>
    <x v="3"/>
    <x v="4"/>
    <x v="1"/>
    <n v="13.99"/>
    <n v="1"/>
    <n v="13.99"/>
    <x v="2"/>
    <n v="3"/>
    <n v="0.32"/>
    <s v="Drama"/>
  </r>
  <r>
    <s v="45edfde5-88c9-424d-8d71-709998c94939"/>
    <n v="59"/>
    <s v="Male"/>
    <s v="Standard"/>
    <n v="7.33"/>
    <x v="38"/>
    <x v="3"/>
    <x v="1"/>
    <n v="13.99"/>
    <n v="0"/>
    <n v="0"/>
    <x v="3"/>
    <n v="4"/>
    <n v="0.33"/>
    <s v="Documentary"/>
  </r>
  <r>
    <s v="55e8d23c-b8a3-4bb1-9c03-3e14641639ac"/>
    <n v="25"/>
    <s v="Other"/>
    <s v="Standard"/>
    <n v="9.92"/>
    <x v="47"/>
    <x v="1"/>
    <x v="4"/>
    <n v="13.99"/>
    <n v="0"/>
    <n v="0"/>
    <x v="1"/>
    <n v="5"/>
    <n v="2.48"/>
    <s v="Horror"/>
  </r>
  <r>
    <s v="def3e5b6-5ce0-4d69-b0b5-b39fad417a6d"/>
    <n v="35"/>
    <s v="Male"/>
    <s v="Premium"/>
    <n v="9.51"/>
    <x v="46"/>
    <x v="3"/>
    <x v="3"/>
    <n v="17.989999999999998"/>
    <n v="0"/>
    <n v="0"/>
    <x v="0"/>
    <n v="1"/>
    <n v="3.17"/>
    <s v="Horror"/>
  </r>
  <r>
    <s v="b27e3290-ca39-4779-89db-6402ae280a3d"/>
    <n v="37"/>
    <s v="Other"/>
    <s v="Basic"/>
    <n v="23.55"/>
    <x v="51"/>
    <x v="1"/>
    <x v="1"/>
    <n v="8.99"/>
    <n v="0"/>
    <n v="0"/>
    <x v="1"/>
    <n v="2"/>
    <n v="1.31"/>
    <s v="Comedy"/>
  </r>
  <r>
    <s v="3a23e4a5-22f8-4647-8717-8331fa5eba94"/>
    <n v="27"/>
    <s v="Female"/>
    <s v="Standard"/>
    <n v="3.4"/>
    <x v="44"/>
    <x v="0"/>
    <x v="2"/>
    <n v="13.99"/>
    <n v="1"/>
    <n v="13.99"/>
    <x v="3"/>
    <n v="1"/>
    <n v="7.0000000000000007E-2"/>
    <s v="Action"/>
  </r>
  <r>
    <s v="b945055d-449d-47e8-9f14-574ea7cea9a1"/>
    <n v="54"/>
    <s v="Other"/>
    <s v="Standard"/>
    <n v="3.47"/>
    <x v="43"/>
    <x v="0"/>
    <x v="2"/>
    <n v="13.99"/>
    <n v="1"/>
    <n v="13.99"/>
    <x v="3"/>
    <n v="5"/>
    <n v="0.11"/>
    <s v="Documentary"/>
  </r>
  <r>
    <s v="c5dc62ac-e177-461a-bc76-d7842de60ca8"/>
    <n v="66"/>
    <s v="Female"/>
    <s v="Standard"/>
    <n v="0.06"/>
    <x v="56"/>
    <x v="1"/>
    <x v="1"/>
    <n v="13.99"/>
    <n v="1"/>
    <n v="13.99"/>
    <x v="3"/>
    <n v="2"/>
    <n v="0"/>
    <s v="Documentary"/>
  </r>
  <r>
    <s v="035988be-2cdb-4a69-a630-6d76bc1b97f6"/>
    <n v="64"/>
    <s v="Female"/>
    <s v="Standard"/>
    <n v="31.14"/>
    <x v="36"/>
    <x v="3"/>
    <x v="2"/>
    <n v="13.99"/>
    <n v="0"/>
    <n v="0"/>
    <x v="2"/>
    <n v="3"/>
    <n v="0.78"/>
    <s v="Documentary"/>
  </r>
  <r>
    <s v="8a0a4ccf-0708-43c7-8b95-12cf9b4fb001"/>
    <n v="38"/>
    <s v="Female"/>
    <s v="Basic"/>
    <n v="5.61"/>
    <x v="3"/>
    <x v="4"/>
    <x v="3"/>
    <n v="8.99"/>
    <n v="1"/>
    <n v="8.99"/>
    <x v="0"/>
    <n v="2"/>
    <n v="0.43"/>
    <s v="Drama"/>
  </r>
  <r>
    <s v="f044c71b-3fed-4121-9cd6-b3a3d0be4cf6"/>
    <n v="53"/>
    <s v="Male"/>
    <s v="Standard"/>
    <n v="3.74"/>
    <x v="38"/>
    <x v="0"/>
    <x v="2"/>
    <n v="13.99"/>
    <n v="1"/>
    <n v="13.99"/>
    <x v="2"/>
    <n v="3"/>
    <n v="0.17"/>
    <s v="Romance"/>
  </r>
  <r>
    <s v="77a6c968-3ec1-4c82-ae01-a2e5b4db0931"/>
    <n v="51"/>
    <s v="Female"/>
    <s v="Premium"/>
    <n v="0.46"/>
    <x v="13"/>
    <x v="0"/>
    <x v="0"/>
    <n v="17.989999999999998"/>
    <n v="1"/>
    <n v="17.989999999999998"/>
    <x v="3"/>
    <n v="2"/>
    <n v="0.06"/>
    <s v="Drama"/>
  </r>
  <r>
    <s v="6a53dd10-b7e8-44f2-8f4a-56015f9a5c61"/>
    <n v="69"/>
    <s v="Male"/>
    <s v="Basic"/>
    <n v="4.88"/>
    <x v="0"/>
    <x v="4"/>
    <x v="3"/>
    <n v="8.99"/>
    <n v="1"/>
    <n v="8.99"/>
    <x v="3"/>
    <n v="1"/>
    <n v="0.16"/>
    <s v="Comedy"/>
  </r>
  <r>
    <s v="bbe577b2-0e7e-44de-aec5-8d54cbb0eed8"/>
    <n v="61"/>
    <s v="Male"/>
    <s v="Standard"/>
    <n v="8.85"/>
    <x v="4"/>
    <x v="0"/>
    <x v="4"/>
    <n v="13.99"/>
    <n v="0"/>
    <n v="0"/>
    <x v="1"/>
    <n v="2"/>
    <n v="0.63"/>
    <s v="Comedy"/>
  </r>
  <r>
    <s v="8b412cdc-c03a-456c-af50-3d045bc026ee"/>
    <n v="18"/>
    <s v="Male"/>
    <s v="Basic"/>
    <n v="4.91"/>
    <x v="35"/>
    <x v="0"/>
    <x v="4"/>
    <n v="8.99"/>
    <n v="1"/>
    <n v="8.99"/>
    <x v="0"/>
    <n v="1"/>
    <n v="0.11"/>
    <s v="Romance"/>
  </r>
  <r>
    <s v="735190c8-4a3d-46a6-885f-795f3ecdad42"/>
    <n v="31"/>
    <s v="Female"/>
    <s v="Basic"/>
    <n v="2.82"/>
    <x v="48"/>
    <x v="5"/>
    <x v="3"/>
    <n v="8.99"/>
    <n v="1"/>
    <n v="8.99"/>
    <x v="4"/>
    <n v="2"/>
    <n v="0.05"/>
    <s v="Action"/>
  </r>
  <r>
    <s v="f60e85aa-2c80-4282-9a7e-885c5b1801fd"/>
    <n v="29"/>
    <s v="Other"/>
    <s v="Standard"/>
    <n v="2.2200000000000002"/>
    <x v="8"/>
    <x v="5"/>
    <x v="4"/>
    <n v="13.99"/>
    <n v="1"/>
    <n v="13.99"/>
    <x v="2"/>
    <n v="4"/>
    <n v="0.06"/>
    <s v="Action"/>
  </r>
  <r>
    <s v="43316923-630e-4b9d-97af-cc263e0b56e3"/>
    <n v="45"/>
    <s v="Female"/>
    <s v="Premium"/>
    <n v="9.2799999999999994"/>
    <x v="8"/>
    <x v="1"/>
    <x v="2"/>
    <n v="17.989999999999998"/>
    <n v="1"/>
    <n v="17.989999999999998"/>
    <x v="4"/>
    <n v="2"/>
    <n v="0.27"/>
    <s v="Horror"/>
  </r>
  <r>
    <s v="67ce86b7-0f74-4af8-acf1-5987206db796"/>
    <n v="41"/>
    <s v="Male"/>
    <s v="Premium"/>
    <n v="10.7"/>
    <x v="34"/>
    <x v="4"/>
    <x v="4"/>
    <n v="17.989999999999998"/>
    <n v="0"/>
    <n v="0"/>
    <x v="3"/>
    <n v="5"/>
    <n v="0.21"/>
    <s v="Drama"/>
  </r>
  <r>
    <s v="87d5811f-29bd-480a-b53e-8b2775331cfe"/>
    <n v="69"/>
    <s v="Female"/>
    <s v="Basic"/>
    <n v="9.9499999999999993"/>
    <x v="8"/>
    <x v="0"/>
    <x v="2"/>
    <n v="8.99"/>
    <n v="1"/>
    <n v="8.99"/>
    <x v="1"/>
    <n v="4"/>
    <n v="0.28000000000000003"/>
    <s v="Documentary"/>
  </r>
  <r>
    <s v="6d446445-a1b2-455d-bba9-d7f3077c0a10"/>
    <n v="33"/>
    <s v="Male"/>
    <s v="Standard"/>
    <n v="2.31"/>
    <x v="44"/>
    <x v="2"/>
    <x v="4"/>
    <n v="13.99"/>
    <n v="1"/>
    <n v="13.99"/>
    <x v="4"/>
    <n v="1"/>
    <n v="0.05"/>
    <s v="Sci-Fi"/>
  </r>
  <r>
    <s v="dce7ccc8-e51c-4cb3-9aed-7f952220a2d1"/>
    <n v="55"/>
    <s v="Female"/>
    <s v="Premium"/>
    <n v="2.59"/>
    <x v="51"/>
    <x v="5"/>
    <x v="1"/>
    <n v="17.989999999999998"/>
    <n v="0"/>
    <n v="0"/>
    <x v="3"/>
    <n v="5"/>
    <n v="0.14000000000000001"/>
    <s v="Drama"/>
  </r>
  <r>
    <s v="688d52ac-3051-4780-b1f1-5436fdb4d51b"/>
    <n v="34"/>
    <s v="Female"/>
    <s v="Premium"/>
    <n v="14.62"/>
    <x v="58"/>
    <x v="5"/>
    <x v="4"/>
    <n v="17.989999999999998"/>
    <n v="1"/>
    <n v="17.989999999999998"/>
    <x v="1"/>
    <n v="5"/>
    <n v="0.3"/>
    <s v="Drama"/>
  </r>
  <r>
    <s v="efe57503-644e-4224-a159-a8d880e1676b"/>
    <n v="68"/>
    <s v="Other"/>
    <s v="Basic"/>
    <n v="2.39"/>
    <x v="58"/>
    <x v="3"/>
    <x v="1"/>
    <n v="8.99"/>
    <n v="1"/>
    <n v="8.99"/>
    <x v="4"/>
    <n v="5"/>
    <n v="0.05"/>
    <s v="Sci-Fi"/>
  </r>
  <r>
    <s v="8a965066-832a-445b-a5d3-6935102c89a0"/>
    <n v="32"/>
    <s v="Male"/>
    <s v="Basic"/>
    <n v="26.07"/>
    <x v="42"/>
    <x v="3"/>
    <x v="2"/>
    <n v="8.99"/>
    <n v="0"/>
    <n v="0"/>
    <x v="4"/>
    <n v="2"/>
    <n v="0.69"/>
    <s v="Drama"/>
  </r>
  <r>
    <s v="211cc3e6-2493-4cb5-a05d-648a8b62339e"/>
    <n v="64"/>
    <s v="Male"/>
    <s v="Basic"/>
    <n v="15.08"/>
    <x v="9"/>
    <x v="1"/>
    <x v="3"/>
    <n v="8.99"/>
    <n v="1"/>
    <n v="8.99"/>
    <x v="4"/>
    <n v="3"/>
    <n v="0.41"/>
    <s v="Romance"/>
  </r>
  <r>
    <s v="827b839a-2a40-41e8-a668-3e84708aab8d"/>
    <n v="44"/>
    <s v="Female"/>
    <s v="Basic"/>
    <n v="47.4"/>
    <x v="49"/>
    <x v="5"/>
    <x v="3"/>
    <n v="8.99"/>
    <n v="0"/>
    <n v="0"/>
    <x v="2"/>
    <n v="5"/>
    <n v="4.74"/>
    <s v="Romance"/>
  </r>
  <r>
    <s v="5a434596-ec80-4d47-a472-46587f20a98f"/>
    <n v="29"/>
    <s v="Other"/>
    <s v="Standard"/>
    <n v="0.53"/>
    <x v="4"/>
    <x v="0"/>
    <x v="3"/>
    <n v="13.99"/>
    <n v="1"/>
    <n v="13.99"/>
    <x v="2"/>
    <n v="3"/>
    <n v="0.04"/>
    <s v="Action"/>
  </r>
  <r>
    <s v="6c297fda-c973-4435-ac49-c330b5e20030"/>
    <n v="40"/>
    <s v="Male"/>
    <s v="Basic"/>
    <n v="2.2400000000000002"/>
    <x v="49"/>
    <x v="3"/>
    <x v="3"/>
    <n v="8.99"/>
    <n v="1"/>
    <n v="8.99"/>
    <x v="2"/>
    <n v="2"/>
    <n v="0.22"/>
    <s v="Drama"/>
  </r>
  <r>
    <s v="e7336493-b9bd-47ee-9298-a74a91625ab9"/>
    <n v="57"/>
    <s v="Other"/>
    <s v="Basic"/>
    <n v="6.73"/>
    <x v="48"/>
    <x v="5"/>
    <x v="3"/>
    <n v="8.99"/>
    <n v="1"/>
    <n v="8.99"/>
    <x v="2"/>
    <n v="1"/>
    <n v="0.13"/>
    <s v="Romance"/>
  </r>
  <r>
    <s v="14ef7d6f-0c7f-448e-8bb2-a718401cd8a9"/>
    <n v="47"/>
    <s v="Other"/>
    <s v="Premium"/>
    <n v="12.6"/>
    <x v="24"/>
    <x v="0"/>
    <x v="0"/>
    <n v="17.989999999999998"/>
    <n v="1"/>
    <n v="17.989999999999998"/>
    <x v="1"/>
    <n v="5"/>
    <n v="0.24"/>
    <s v="Sci-Fi"/>
  </r>
  <r>
    <s v="3914fd90-24cd-4681-a26a-2ba4a2a159f9"/>
    <n v="31"/>
    <s v="Other"/>
    <s v="Standard"/>
    <n v="0.21"/>
    <x v="27"/>
    <x v="0"/>
    <x v="2"/>
    <n v="13.99"/>
    <n v="1"/>
    <n v="13.99"/>
    <x v="2"/>
    <n v="1"/>
    <n v="0.01"/>
    <s v="Drama"/>
  </r>
  <r>
    <s v="5f056e77-b597-4372-81ec-74cfa153e832"/>
    <n v="66"/>
    <s v="Female"/>
    <s v="Premium"/>
    <n v="19.190000000000001"/>
    <x v="15"/>
    <x v="0"/>
    <x v="3"/>
    <n v="17.989999999999998"/>
    <n v="1"/>
    <n v="17.989999999999998"/>
    <x v="4"/>
    <n v="3"/>
    <n v="0.47"/>
    <s v="Documentary"/>
  </r>
  <r>
    <s v="f1f834a6-23c4-405a-b5f2-dfd604ce318b"/>
    <n v="32"/>
    <s v="Other"/>
    <s v="Premium"/>
    <n v="5.09"/>
    <x v="42"/>
    <x v="3"/>
    <x v="3"/>
    <n v="17.989999999999998"/>
    <n v="0"/>
    <n v="0"/>
    <x v="4"/>
    <n v="5"/>
    <n v="0.13"/>
    <s v="Drama"/>
  </r>
  <r>
    <s v="2cf69775-8761-45e2-a44d-b4bd0669b757"/>
    <n v="55"/>
    <s v="Other"/>
    <s v="Premium"/>
    <n v="1.63"/>
    <x v="24"/>
    <x v="0"/>
    <x v="4"/>
    <n v="17.989999999999998"/>
    <n v="1"/>
    <n v="17.989999999999998"/>
    <x v="0"/>
    <n v="1"/>
    <n v="0.03"/>
    <s v="Action"/>
  </r>
  <r>
    <s v="4f25b8c4-d5c9-4131-af78-55e3ffeed2dd"/>
    <n v="48"/>
    <s v="Female"/>
    <s v="Basic"/>
    <n v="4.59"/>
    <x v="22"/>
    <x v="4"/>
    <x v="4"/>
    <n v="8.99"/>
    <n v="1"/>
    <n v="8.99"/>
    <x v="2"/>
    <n v="1"/>
    <n v="0.08"/>
    <s v="Drama"/>
  </r>
  <r>
    <s v="c51b4715-3ce4-49e7-9102-508107212399"/>
    <n v="66"/>
    <s v="Female"/>
    <s v="Premium"/>
    <n v="2.29"/>
    <x v="24"/>
    <x v="1"/>
    <x v="3"/>
    <n v="17.989999999999998"/>
    <n v="1"/>
    <n v="17.989999999999998"/>
    <x v="1"/>
    <n v="2"/>
    <n v="0.04"/>
    <s v="Romance"/>
  </r>
  <r>
    <s v="2430b31a-ab1d-4aeb-9d8f-5b5bb2427ff5"/>
    <n v="60"/>
    <s v="Female"/>
    <s v="Premium"/>
    <n v="2.09"/>
    <x v="32"/>
    <x v="5"/>
    <x v="2"/>
    <n v="17.989999999999998"/>
    <n v="1"/>
    <n v="17.989999999999998"/>
    <x v="0"/>
    <n v="2"/>
    <n v="0.14000000000000001"/>
    <s v="Comedy"/>
  </r>
  <r>
    <s v="a06f6ebb-cdf1-4d0a-ab74-c3c1b86d53ae"/>
    <n v="34"/>
    <s v="Male"/>
    <s v="Premium"/>
    <n v="27.92"/>
    <x v="28"/>
    <x v="0"/>
    <x v="0"/>
    <n v="17.989999999999998"/>
    <n v="0"/>
    <n v="0"/>
    <x v="1"/>
    <n v="4"/>
    <n v="0.78"/>
    <s v="Horror"/>
  </r>
  <r>
    <s v="b160aa5f-532a-4e17-999d-5d17abb3926f"/>
    <n v="38"/>
    <s v="Other"/>
    <s v="Standard"/>
    <n v="32.69"/>
    <x v="13"/>
    <x v="2"/>
    <x v="4"/>
    <n v="13.99"/>
    <n v="0"/>
    <n v="0"/>
    <x v="0"/>
    <n v="4"/>
    <n v="4.09"/>
    <s v="Documentary"/>
  </r>
  <r>
    <s v="f7f78b0a-14a9-43c0-8ab4-dbae4364badc"/>
    <n v="22"/>
    <s v="Male"/>
    <s v="Premium"/>
    <n v="1.78"/>
    <x v="51"/>
    <x v="0"/>
    <x v="3"/>
    <n v="17.989999999999998"/>
    <n v="1"/>
    <n v="17.989999999999998"/>
    <x v="0"/>
    <n v="4"/>
    <n v="0.1"/>
    <s v="Documentary"/>
  </r>
  <r>
    <s v="6516706c-08dd-4be3-9bcf-d8cc39b8e59b"/>
    <n v="24"/>
    <s v="Female"/>
    <s v="Basic"/>
    <n v="8.27"/>
    <x v="32"/>
    <x v="0"/>
    <x v="0"/>
    <n v="8.99"/>
    <n v="0"/>
    <n v="0"/>
    <x v="4"/>
    <n v="3"/>
    <n v="0.55000000000000004"/>
    <s v="Sci-Fi"/>
  </r>
  <r>
    <s v="e518b0d5-b916-43a0-9f3e-23030ae34aa7"/>
    <n v="65"/>
    <s v="Other"/>
    <s v="Standard"/>
    <n v="10.38"/>
    <x v="2"/>
    <x v="3"/>
    <x v="3"/>
    <n v="13.99"/>
    <n v="0"/>
    <n v="0"/>
    <x v="3"/>
    <n v="4"/>
    <n v="0.94"/>
    <s v="Horror"/>
  </r>
  <r>
    <s v="ca6e759e-e5b0-4f69-b548-2acfba9ef338"/>
    <n v="41"/>
    <s v="Male"/>
    <s v="Premium"/>
    <n v="10.81"/>
    <x v="35"/>
    <x v="4"/>
    <x v="4"/>
    <n v="17.989999999999998"/>
    <n v="1"/>
    <n v="17.989999999999998"/>
    <x v="0"/>
    <n v="3"/>
    <n v="0.24"/>
    <s v="Documentary"/>
  </r>
  <r>
    <s v="b0d6c364-2083-42c5-9c6f-92fb5a21a71a"/>
    <n v="20"/>
    <s v="Other"/>
    <s v="Premium"/>
    <n v="2.86"/>
    <x v="8"/>
    <x v="0"/>
    <x v="2"/>
    <n v="17.989999999999998"/>
    <n v="1"/>
    <n v="17.989999999999998"/>
    <x v="4"/>
    <n v="3"/>
    <n v="0.08"/>
    <s v="Romance"/>
  </r>
  <r>
    <s v="5d26a7bf-3240-4197-a94c-369861b65c37"/>
    <n v="50"/>
    <s v="Male"/>
    <s v="Premium"/>
    <n v="7.96"/>
    <x v="48"/>
    <x v="3"/>
    <x v="4"/>
    <n v="17.989999999999998"/>
    <n v="1"/>
    <n v="17.989999999999998"/>
    <x v="0"/>
    <n v="5"/>
    <n v="0.15"/>
    <s v="Horror"/>
  </r>
  <r>
    <s v="58ae61ba-c2a5-4ae2-b3ec-3a99c8ea6357"/>
    <n v="38"/>
    <s v="Other"/>
    <s v="Standard"/>
    <n v="29.16"/>
    <x v="44"/>
    <x v="5"/>
    <x v="4"/>
    <n v="13.99"/>
    <n v="0"/>
    <n v="0"/>
    <x v="1"/>
    <n v="5"/>
    <n v="0.62"/>
    <s v="Drama"/>
  </r>
  <r>
    <s v="f55fe025-31da-4f50-ab61-f691c3fc3631"/>
    <n v="30"/>
    <s v="Female"/>
    <s v="Basic"/>
    <n v="12.11"/>
    <x v="33"/>
    <x v="3"/>
    <x v="0"/>
    <n v="8.99"/>
    <n v="0"/>
    <n v="0"/>
    <x v="0"/>
    <n v="4"/>
    <n v="0.47"/>
    <s v="Romance"/>
  </r>
  <r>
    <s v="b78b1bc6-d7d2-45a0-ba76-f10383ccc023"/>
    <n v="35"/>
    <s v="Female"/>
    <s v="Premium"/>
    <n v="14.42"/>
    <x v="41"/>
    <x v="4"/>
    <x v="0"/>
    <n v="17.989999999999998"/>
    <n v="0"/>
    <n v="0"/>
    <x v="0"/>
    <n v="2"/>
    <n v="0.47"/>
    <s v="Action"/>
  </r>
  <r>
    <s v="7bb98f8f-da88-4641-9a18-990f20e1ec42"/>
    <n v="35"/>
    <s v="Male"/>
    <s v="Standard"/>
    <n v="1.91"/>
    <x v="10"/>
    <x v="2"/>
    <x v="3"/>
    <n v="13.99"/>
    <n v="1"/>
    <n v="13.99"/>
    <x v="2"/>
    <n v="2"/>
    <n v="0.05"/>
    <s v="Drama"/>
  </r>
  <r>
    <s v="8639ee6f-b8d5-4f6a-949e-ede441e48612"/>
    <n v="59"/>
    <s v="Male"/>
    <s v="Premium"/>
    <n v="9.49"/>
    <x v="53"/>
    <x v="3"/>
    <x v="3"/>
    <n v="17.989999999999998"/>
    <n v="1"/>
    <n v="17.989999999999998"/>
    <x v="2"/>
    <n v="2"/>
    <n v="0.22"/>
    <s v="Action"/>
  </r>
  <r>
    <s v="4cac4adf-90cb-4cce-a753-7aee0a1c21ae"/>
    <n v="27"/>
    <s v="Male"/>
    <s v="Premium"/>
    <n v="2.83"/>
    <x v="42"/>
    <x v="3"/>
    <x v="4"/>
    <n v="17.989999999999998"/>
    <n v="1"/>
    <n v="17.989999999999998"/>
    <x v="0"/>
    <n v="2"/>
    <n v="7.0000000000000007E-2"/>
    <s v="Action"/>
  </r>
  <r>
    <s v="ed8ebb86-abad-4cd8-b5b9-c5a6fb6abac7"/>
    <n v="22"/>
    <s v="Other"/>
    <s v="Standard"/>
    <n v="0.72"/>
    <x v="52"/>
    <x v="0"/>
    <x v="3"/>
    <n v="13.99"/>
    <n v="1"/>
    <n v="13.99"/>
    <x v="0"/>
    <n v="5"/>
    <n v="0.01"/>
    <s v="Horror"/>
  </r>
  <r>
    <s v="d9ebed4c-cdb4-468e-a1e1-9e2cf8ad491d"/>
    <n v="23"/>
    <s v="Female"/>
    <s v="Premium"/>
    <n v="5.48"/>
    <x v="27"/>
    <x v="1"/>
    <x v="4"/>
    <n v="17.989999999999998"/>
    <n v="0"/>
    <n v="0"/>
    <x v="2"/>
    <n v="1"/>
    <n v="0.32"/>
    <s v="Drama"/>
  </r>
  <r>
    <s v="ad1bd590-72fa-472e-9a02-22ec6cd82e5f"/>
    <n v="24"/>
    <s v="Other"/>
    <s v="Basic"/>
    <n v="5.28"/>
    <x v="22"/>
    <x v="4"/>
    <x v="4"/>
    <n v="8.99"/>
    <n v="1"/>
    <n v="8.99"/>
    <x v="4"/>
    <n v="4"/>
    <n v="0.09"/>
    <s v="Horror"/>
  </r>
  <r>
    <s v="e68fd0c3-ad0e-46be-b2c8-233662c68310"/>
    <n v="20"/>
    <s v="Other"/>
    <s v="Standard"/>
    <n v="8.9600000000000009"/>
    <x v="8"/>
    <x v="0"/>
    <x v="4"/>
    <n v="13.99"/>
    <n v="1"/>
    <n v="13.99"/>
    <x v="0"/>
    <n v="1"/>
    <n v="0.26"/>
    <s v="Comedy"/>
  </r>
  <r>
    <s v="6b127fa4-cce8-4a17-8b7f-926b1d1edd42"/>
    <n v="19"/>
    <s v="Male"/>
    <s v="Premium"/>
    <n v="14.47"/>
    <x v="16"/>
    <x v="2"/>
    <x v="1"/>
    <n v="17.989999999999998"/>
    <n v="0"/>
    <n v="0"/>
    <x v="1"/>
    <n v="2"/>
    <n v="0.52"/>
    <s v="Action"/>
  </r>
  <r>
    <s v="c8cfc65c-6035-46d5-8c9c-d7bb68bf9f20"/>
    <n v="27"/>
    <s v="Other"/>
    <s v="Premium"/>
    <n v="1.44"/>
    <x v="26"/>
    <x v="2"/>
    <x v="2"/>
    <n v="17.989999999999998"/>
    <n v="1"/>
    <n v="17.989999999999998"/>
    <x v="4"/>
    <n v="1"/>
    <n v="0.03"/>
    <s v="Sci-Fi"/>
  </r>
  <r>
    <s v="c0670d76-1e6f-4c29-b07e-c28c5ce90b62"/>
    <n v="33"/>
    <s v="Other"/>
    <s v="Standard"/>
    <n v="16.3"/>
    <x v="40"/>
    <x v="1"/>
    <x v="4"/>
    <n v="13.99"/>
    <n v="0"/>
    <n v="0"/>
    <x v="0"/>
    <n v="2"/>
    <n v="1.36"/>
    <s v="Sci-Fi"/>
  </r>
  <r>
    <s v="dca23069-4f5f-4525-9277-eadd2bc97e9c"/>
    <n v="21"/>
    <s v="Male"/>
    <s v="Basic"/>
    <n v="8.58"/>
    <x v="35"/>
    <x v="4"/>
    <x v="0"/>
    <n v="8.99"/>
    <n v="1"/>
    <n v="8.99"/>
    <x v="1"/>
    <n v="2"/>
    <n v="0.19"/>
    <s v="Sci-Fi"/>
  </r>
  <r>
    <s v="8e164955-faf6-4390-8b3f-f65a067bdf27"/>
    <n v="61"/>
    <s v="Female"/>
    <s v="Standard"/>
    <n v="6.67"/>
    <x v="21"/>
    <x v="4"/>
    <x v="4"/>
    <n v="13.99"/>
    <n v="0"/>
    <n v="0"/>
    <x v="0"/>
    <n v="1"/>
    <n v="0.95"/>
    <s v="Sci-Fi"/>
  </r>
  <r>
    <s v="8f0aadba-150a-48c7-a659-16e5cee03b2e"/>
    <n v="67"/>
    <s v="Female"/>
    <s v="Basic"/>
    <n v="35.369999999999997"/>
    <x v="16"/>
    <x v="4"/>
    <x v="3"/>
    <n v="8.99"/>
    <n v="0"/>
    <n v="0"/>
    <x v="2"/>
    <n v="4"/>
    <n v="1.26"/>
    <s v="Sci-Fi"/>
  </r>
  <r>
    <s v="9836211a-c1be-4ccd-b56c-fe50e8f975fd"/>
    <n v="18"/>
    <s v="Male"/>
    <s v="Standard"/>
    <n v="3.57"/>
    <x v="34"/>
    <x v="0"/>
    <x v="3"/>
    <n v="13.99"/>
    <n v="1"/>
    <n v="13.99"/>
    <x v="2"/>
    <n v="4"/>
    <n v="7.0000000000000007E-2"/>
    <s v="Horror"/>
  </r>
  <r>
    <s v="28f087f2-d7ca-4d0c-b8cc-17ac530ecd68"/>
    <n v="25"/>
    <s v="Female"/>
    <s v="Premium"/>
    <n v="33.04"/>
    <x v="42"/>
    <x v="2"/>
    <x v="4"/>
    <n v="17.989999999999998"/>
    <n v="0"/>
    <n v="0"/>
    <x v="1"/>
    <n v="2"/>
    <n v="0.87"/>
    <s v="Horror"/>
  </r>
  <r>
    <s v="b392aeef-57c0-4bfd-95a8-0d91d61a7493"/>
    <n v="48"/>
    <s v="Male"/>
    <s v="Basic"/>
    <n v="6.44"/>
    <x v="15"/>
    <x v="2"/>
    <x v="3"/>
    <n v="8.99"/>
    <n v="1"/>
    <n v="8.99"/>
    <x v="1"/>
    <n v="5"/>
    <n v="0.16"/>
    <s v="Documentary"/>
  </r>
  <r>
    <s v="be65e2d8-f330-4919-af85-108de70426dd"/>
    <n v="60"/>
    <s v="Other"/>
    <s v="Standard"/>
    <n v="10.1"/>
    <x v="54"/>
    <x v="5"/>
    <x v="1"/>
    <n v="13.99"/>
    <n v="0"/>
    <n v="0"/>
    <x v="1"/>
    <n v="5"/>
    <n v="0.35"/>
    <s v="Romance"/>
  </r>
  <r>
    <s v="2b853bf7-98c9-4980-8425-80cf8a0b472b"/>
    <n v="50"/>
    <s v="Other"/>
    <s v="Basic"/>
    <n v="3.37"/>
    <x v="47"/>
    <x v="4"/>
    <x v="1"/>
    <n v="8.99"/>
    <n v="0"/>
    <n v="0"/>
    <x v="4"/>
    <n v="3"/>
    <n v="0.84"/>
    <s v="Documentary"/>
  </r>
  <r>
    <s v="48231d68-14ab-4cff-a17c-f9fb1022ba1a"/>
    <n v="43"/>
    <s v="Male"/>
    <s v="Standard"/>
    <n v="16.440000000000001"/>
    <x v="57"/>
    <x v="0"/>
    <x v="2"/>
    <n v="13.99"/>
    <n v="1"/>
    <n v="13.99"/>
    <x v="0"/>
    <n v="4"/>
    <n v="0.27"/>
    <s v="Drama"/>
  </r>
  <r>
    <s v="7501de45-fff5-4212-8179-1c1877baab45"/>
    <n v="26"/>
    <s v="Male"/>
    <s v="Standard"/>
    <n v="11.12"/>
    <x v="46"/>
    <x v="2"/>
    <x v="0"/>
    <n v="13.99"/>
    <n v="0"/>
    <n v="0"/>
    <x v="2"/>
    <n v="4"/>
    <n v="3.71"/>
    <s v="Horror"/>
  </r>
  <r>
    <s v="c8dd50f4-f755-486a-a904-024a1be2ba69"/>
    <n v="25"/>
    <s v="Female"/>
    <s v="Premium"/>
    <n v="11.67"/>
    <x v="51"/>
    <x v="0"/>
    <x v="3"/>
    <n v="17.989999999999998"/>
    <n v="0"/>
    <n v="0"/>
    <x v="0"/>
    <n v="4"/>
    <n v="0.65"/>
    <s v="Sci-Fi"/>
  </r>
  <r>
    <s v="f739acc1-b74a-4659-87ee-b634e946c9b5"/>
    <n v="26"/>
    <s v="Male"/>
    <s v="Basic"/>
    <n v="10.54"/>
    <x v="16"/>
    <x v="3"/>
    <x v="0"/>
    <n v="8.99"/>
    <n v="1"/>
    <n v="8.99"/>
    <x v="3"/>
    <n v="1"/>
    <n v="0.38"/>
    <s v="Horror"/>
  </r>
  <r>
    <s v="5095a93a-4007-4f71-b9c0-063e9a8f41e5"/>
    <n v="67"/>
    <s v="Other"/>
    <s v="Standard"/>
    <n v="17.13"/>
    <x v="53"/>
    <x v="5"/>
    <x v="4"/>
    <n v="13.99"/>
    <n v="0"/>
    <n v="0"/>
    <x v="3"/>
    <n v="4"/>
    <n v="0.4"/>
    <s v="Drama"/>
  </r>
  <r>
    <s v="927b4844-c0e6-41ba-bb80-76019beb67c8"/>
    <n v="47"/>
    <s v="Other"/>
    <s v="Premium"/>
    <n v="33.79"/>
    <x v="24"/>
    <x v="2"/>
    <x v="4"/>
    <n v="17.989999999999998"/>
    <n v="0"/>
    <n v="0"/>
    <x v="2"/>
    <n v="3"/>
    <n v="0.64"/>
    <s v="Drama"/>
  </r>
  <r>
    <s v="a4d87de9-69bf-459a-b5e9-95b76b21badb"/>
    <n v="33"/>
    <s v="Male"/>
    <s v="Premium"/>
    <n v="32.700000000000003"/>
    <x v="58"/>
    <x v="2"/>
    <x v="0"/>
    <n v="17.989999999999998"/>
    <n v="0"/>
    <n v="0"/>
    <x v="2"/>
    <n v="2"/>
    <n v="0.68"/>
    <s v="Comedy"/>
  </r>
  <r>
    <s v="625dc945-cbd7-42b5-9199-2f64f2abd664"/>
    <n v="41"/>
    <s v="Other"/>
    <s v="Standard"/>
    <n v="3.59"/>
    <x v="45"/>
    <x v="0"/>
    <x v="2"/>
    <n v="13.99"/>
    <n v="1"/>
    <n v="13.99"/>
    <x v="0"/>
    <n v="5"/>
    <n v="0.09"/>
    <s v="Comedy"/>
  </r>
  <r>
    <s v="72adca9f-6269-4e59-a56b-cb03c699549c"/>
    <n v="47"/>
    <s v="Male"/>
    <s v="Premium"/>
    <n v="22.31"/>
    <x v="21"/>
    <x v="0"/>
    <x v="0"/>
    <n v="17.989999999999998"/>
    <n v="0"/>
    <n v="0"/>
    <x v="0"/>
    <n v="3"/>
    <n v="3.19"/>
    <s v="Comedy"/>
  </r>
  <r>
    <s v="fce4863c-99e6-4058-ab31-561b8607bbe4"/>
    <n v="50"/>
    <s v="Female"/>
    <s v="Basic"/>
    <n v="7.45"/>
    <x v="46"/>
    <x v="1"/>
    <x v="2"/>
    <n v="8.99"/>
    <n v="0"/>
    <n v="0"/>
    <x v="0"/>
    <n v="3"/>
    <n v="2.48"/>
    <s v="Sci-Fi"/>
  </r>
  <r>
    <s v="f6652572-c33f-4cf6-ba8e-db6ce43bf4b9"/>
    <n v="56"/>
    <s v="Other"/>
    <s v="Premium"/>
    <n v="3.41"/>
    <x v="23"/>
    <x v="2"/>
    <x v="4"/>
    <n v="17.989999999999998"/>
    <n v="1"/>
    <n v="17.989999999999998"/>
    <x v="3"/>
    <n v="4"/>
    <n v="0.06"/>
    <s v="Horror"/>
  </r>
  <r>
    <s v="b9380b2a-266e-4475-a158-19726cfc98f7"/>
    <n v="26"/>
    <s v="Female"/>
    <s v="Basic"/>
    <n v="14.85"/>
    <x v="5"/>
    <x v="5"/>
    <x v="1"/>
    <n v="8.99"/>
    <n v="0"/>
    <n v="0"/>
    <x v="1"/>
    <n v="4"/>
    <n v="0.55000000000000004"/>
    <s v="Action"/>
  </r>
  <r>
    <s v="e9b2749d-d99a-4826-96f7-a9b971b69714"/>
    <n v="24"/>
    <s v="Other"/>
    <s v="Basic"/>
    <n v="17.04"/>
    <x v="11"/>
    <x v="1"/>
    <x v="1"/>
    <n v="8.99"/>
    <n v="0"/>
    <n v="0"/>
    <x v="4"/>
    <n v="4"/>
    <n v="0.71"/>
    <s v="Romance"/>
  </r>
  <r>
    <s v="c448fef8-33e2-4067-b717-ae7f77695a51"/>
    <n v="51"/>
    <s v="Male"/>
    <s v="Premium"/>
    <n v="0.19"/>
    <x v="6"/>
    <x v="0"/>
    <x v="0"/>
    <n v="17.989999999999998"/>
    <n v="0"/>
    <n v="0"/>
    <x v="2"/>
    <n v="4"/>
    <n v="0.01"/>
    <s v="Romance"/>
  </r>
  <r>
    <s v="aed594ac-9218-427f-8d52-d137f7604c5f"/>
    <n v="50"/>
    <s v="Male"/>
    <s v="Premium"/>
    <n v="13.05"/>
    <x v="43"/>
    <x v="2"/>
    <x v="4"/>
    <n v="17.989999999999998"/>
    <n v="0"/>
    <n v="0"/>
    <x v="2"/>
    <n v="4"/>
    <n v="0.41"/>
    <s v="Horror"/>
  </r>
  <r>
    <s v="7370e647-9b05-42bd-8ede-b893eebcbafc"/>
    <n v="35"/>
    <s v="Other"/>
    <s v="Basic"/>
    <n v="0.87"/>
    <x v="56"/>
    <x v="5"/>
    <x v="4"/>
    <n v="8.99"/>
    <n v="1"/>
    <n v="8.99"/>
    <x v="2"/>
    <n v="5"/>
    <n v="0.01"/>
    <s v="Action"/>
  </r>
  <r>
    <s v="60d0282f-3849-479f-a487-9a3b59e0c727"/>
    <n v="53"/>
    <s v="Male"/>
    <s v="Premium"/>
    <n v="1.83"/>
    <x v="31"/>
    <x v="5"/>
    <x v="4"/>
    <n v="17.989999999999998"/>
    <n v="1"/>
    <n v="17.989999999999998"/>
    <x v="3"/>
    <n v="3"/>
    <n v="0.11"/>
    <s v="Drama"/>
  </r>
  <r>
    <s v="3f92d3cc-76cc-4fc6-a6fb-cfea5a0292be"/>
    <n v="32"/>
    <s v="Female"/>
    <s v="Standard"/>
    <n v="52.67"/>
    <x v="8"/>
    <x v="2"/>
    <x v="2"/>
    <n v="13.99"/>
    <n v="0"/>
    <n v="0"/>
    <x v="0"/>
    <n v="3"/>
    <n v="1.5"/>
    <s v="Sci-Fi"/>
  </r>
  <r>
    <s v="c98b0d35-2af6-43a6-8589-e358859de87f"/>
    <n v="34"/>
    <s v="Female"/>
    <s v="Basic"/>
    <n v="37.61"/>
    <x v="34"/>
    <x v="2"/>
    <x v="0"/>
    <n v="8.99"/>
    <n v="0"/>
    <n v="0"/>
    <x v="4"/>
    <n v="5"/>
    <n v="0.74"/>
    <s v="Action"/>
  </r>
  <r>
    <s v="052e5ea6-7c77-4cc2-9437-1baf5694adb5"/>
    <n v="69"/>
    <s v="Male"/>
    <s v="Standard"/>
    <n v="11.83"/>
    <x v="13"/>
    <x v="3"/>
    <x v="0"/>
    <n v="13.99"/>
    <n v="0"/>
    <n v="0"/>
    <x v="2"/>
    <n v="4"/>
    <n v="1.48"/>
    <s v="Documentary"/>
  </r>
  <r>
    <s v="2452bd61-488e-4fa5-a947-3329c9d4aac3"/>
    <n v="31"/>
    <s v="Male"/>
    <s v="Premium"/>
    <n v="2.62"/>
    <x v="8"/>
    <x v="3"/>
    <x v="3"/>
    <n v="17.989999999999998"/>
    <n v="1"/>
    <n v="17.989999999999998"/>
    <x v="1"/>
    <n v="4"/>
    <n v="7.0000000000000007E-2"/>
    <s v="Comedy"/>
  </r>
  <r>
    <s v="800c65d1-ea65-45d2-843e-b710461c44fd"/>
    <n v="58"/>
    <s v="Female"/>
    <s v="Premium"/>
    <n v="25.6"/>
    <x v="22"/>
    <x v="2"/>
    <x v="4"/>
    <n v="17.989999999999998"/>
    <n v="0"/>
    <n v="0"/>
    <x v="3"/>
    <n v="1"/>
    <n v="0.46"/>
    <s v="Action"/>
  </r>
  <r>
    <s v="00dda31e-daec-401f-af63-32a4bd2be0f9"/>
    <n v="42"/>
    <s v="Female"/>
    <s v="Basic"/>
    <n v="9.75"/>
    <x v="26"/>
    <x v="4"/>
    <x v="2"/>
    <n v="8.99"/>
    <n v="1"/>
    <n v="8.99"/>
    <x v="1"/>
    <n v="5"/>
    <n v="0.2"/>
    <s v="Sci-Fi"/>
  </r>
  <r>
    <s v="62d7e157-addd-463a-8fa3-07f8f309d8ca"/>
    <n v="35"/>
    <s v="Other"/>
    <s v="Basic"/>
    <n v="0.03"/>
    <x v="59"/>
    <x v="2"/>
    <x v="0"/>
    <n v="8.99"/>
    <n v="1"/>
    <n v="8.99"/>
    <x v="3"/>
    <n v="3"/>
    <n v="0.01"/>
    <s v="Horror"/>
  </r>
  <r>
    <s v="134fda45-9bd5-42dd-8192-f1b24ff87fc8"/>
    <n v="61"/>
    <s v="Female"/>
    <s v="Premium"/>
    <n v="16.440000000000001"/>
    <x v="39"/>
    <x v="1"/>
    <x v="1"/>
    <n v="17.989999999999998"/>
    <n v="0"/>
    <n v="0"/>
    <x v="4"/>
    <n v="2"/>
    <n v="0.71"/>
    <s v="Sci-Fi"/>
  </r>
  <r>
    <s v="5df7e878-2b99-4215-813e-76ddff65867e"/>
    <n v="19"/>
    <s v="Female"/>
    <s v="Standard"/>
    <n v="2.38"/>
    <x v="1"/>
    <x v="1"/>
    <x v="3"/>
    <n v="13.99"/>
    <n v="1"/>
    <n v="13.99"/>
    <x v="1"/>
    <n v="3"/>
    <n v="0.12"/>
    <s v="Action"/>
  </r>
  <r>
    <s v="f6b53553-e1df-4c96-ab51-1b9f5d512011"/>
    <n v="65"/>
    <s v="Male"/>
    <s v="Standard"/>
    <n v="19.079999999999998"/>
    <x v="24"/>
    <x v="2"/>
    <x v="4"/>
    <n v="13.99"/>
    <n v="1"/>
    <n v="13.99"/>
    <x v="3"/>
    <n v="2"/>
    <n v="0.36"/>
    <s v="Drama"/>
  </r>
  <r>
    <s v="4bcc6a9a-9a97-477c-9fef-531b6bee4626"/>
    <n v="24"/>
    <s v="Male"/>
    <s v="Standard"/>
    <n v="19.5"/>
    <x v="35"/>
    <x v="0"/>
    <x v="3"/>
    <n v="13.99"/>
    <n v="1"/>
    <n v="13.99"/>
    <x v="1"/>
    <n v="5"/>
    <n v="0.43"/>
    <s v="Sci-Fi"/>
  </r>
  <r>
    <s v="4b1239ba-6b62-4d21-a8a6-2b59b284a1b9"/>
    <n v="25"/>
    <s v="Other"/>
    <s v="Premium"/>
    <n v="11.65"/>
    <x v="20"/>
    <x v="0"/>
    <x v="3"/>
    <n v="17.989999999999998"/>
    <n v="0"/>
    <n v="0"/>
    <x v="4"/>
    <n v="3"/>
    <n v="0.61"/>
    <s v="Comedy"/>
  </r>
  <r>
    <s v="10180c1a-d001-46c9-910a-1a232602a1e2"/>
    <n v="20"/>
    <s v="Male"/>
    <s v="Basic"/>
    <n v="10.81"/>
    <x v="39"/>
    <x v="4"/>
    <x v="4"/>
    <n v="8.99"/>
    <n v="1"/>
    <n v="8.99"/>
    <x v="0"/>
    <n v="2"/>
    <n v="0.47"/>
    <s v="Drama"/>
  </r>
  <r>
    <s v="91d28d6e-d797-43b0-918a-180131e67a89"/>
    <n v="37"/>
    <s v="Male"/>
    <s v="Standard"/>
    <n v="21.24"/>
    <x v="45"/>
    <x v="3"/>
    <x v="1"/>
    <n v="13.99"/>
    <n v="0"/>
    <n v="0"/>
    <x v="2"/>
    <n v="4"/>
    <n v="0.51"/>
    <s v="Drama"/>
  </r>
  <r>
    <s v="0e25484d-2192-4933-af25-8c1ce66ddef1"/>
    <n v="30"/>
    <s v="Female"/>
    <s v="Basic"/>
    <n v="19.21"/>
    <x v="39"/>
    <x v="2"/>
    <x v="1"/>
    <n v="8.99"/>
    <n v="0"/>
    <n v="0"/>
    <x v="3"/>
    <n v="4"/>
    <n v="0.84"/>
    <s v="Romance"/>
  </r>
  <r>
    <s v="b8109934-3350-4d7d-a4a2-4665cbbac2b0"/>
    <n v="44"/>
    <s v="Other"/>
    <s v="Standard"/>
    <n v="7.64"/>
    <x v="28"/>
    <x v="0"/>
    <x v="2"/>
    <n v="13.99"/>
    <n v="0"/>
    <n v="0"/>
    <x v="4"/>
    <n v="4"/>
    <n v="0.21"/>
    <s v="Comedy"/>
  </r>
  <r>
    <s v="37efe8d4-f30b-4839-8707-67cfb77cc1ff"/>
    <n v="62"/>
    <s v="Female"/>
    <s v="Basic"/>
    <n v="1.8"/>
    <x v="17"/>
    <x v="4"/>
    <x v="1"/>
    <n v="8.99"/>
    <n v="1"/>
    <n v="8.99"/>
    <x v="1"/>
    <n v="5"/>
    <n v="0.36"/>
    <s v="Drama"/>
  </r>
  <r>
    <s v="3127338f-47d9-4aa7-b9f6-79107e057b80"/>
    <n v="46"/>
    <s v="Other"/>
    <s v="Basic"/>
    <n v="8.48"/>
    <x v="8"/>
    <x v="4"/>
    <x v="0"/>
    <n v="8.99"/>
    <n v="1"/>
    <n v="8.99"/>
    <x v="2"/>
    <n v="5"/>
    <n v="0.24"/>
    <s v="Comedy"/>
  </r>
  <r>
    <s v="0a8aa6a2-ba3d-4042-b959-8cb224db42f2"/>
    <n v="63"/>
    <s v="Other"/>
    <s v="Premium"/>
    <n v="20.27"/>
    <x v="18"/>
    <x v="4"/>
    <x v="1"/>
    <n v="17.989999999999998"/>
    <n v="0"/>
    <n v="0"/>
    <x v="3"/>
    <n v="4"/>
    <n v="0.35"/>
    <s v="Documentary"/>
  </r>
  <r>
    <s v="f267db4a-af7e-447d-b5b2-09798e3160a4"/>
    <n v="41"/>
    <s v="Male"/>
    <s v="Basic"/>
    <n v="17.87"/>
    <x v="21"/>
    <x v="5"/>
    <x v="4"/>
    <n v="8.99"/>
    <n v="0"/>
    <n v="0"/>
    <x v="3"/>
    <n v="1"/>
    <n v="2.5499999999999998"/>
    <s v="Drama"/>
  </r>
  <r>
    <s v="7e3de2a4-1eda-4822-9414-edf630b56ca0"/>
    <n v="63"/>
    <s v="Male"/>
    <s v="Standard"/>
    <n v="3.82"/>
    <x v="43"/>
    <x v="3"/>
    <x v="4"/>
    <n v="13.99"/>
    <n v="1"/>
    <n v="13.99"/>
    <x v="3"/>
    <n v="4"/>
    <n v="0.12"/>
    <s v="Action"/>
  </r>
  <r>
    <s v="c08952b5-9e61-464b-8118-851535b2f0a0"/>
    <n v="52"/>
    <s v="Female"/>
    <s v="Basic"/>
    <n v="41.33"/>
    <x v="45"/>
    <x v="5"/>
    <x v="2"/>
    <n v="8.99"/>
    <n v="1"/>
    <n v="8.99"/>
    <x v="0"/>
    <n v="1"/>
    <n v="0.98"/>
    <s v="Sci-Fi"/>
  </r>
  <r>
    <s v="e183f03b-e7ec-425a-b5be-b5c7ee8010b2"/>
    <n v="50"/>
    <s v="Male"/>
    <s v="Premium"/>
    <n v="25.98"/>
    <x v="42"/>
    <x v="3"/>
    <x v="4"/>
    <n v="17.989999999999998"/>
    <n v="0"/>
    <n v="0"/>
    <x v="3"/>
    <n v="5"/>
    <n v="0.68"/>
    <s v="Drama"/>
  </r>
  <r>
    <s v="fa9e2423-d295-4fb8-af3c-4197ee5b7435"/>
    <n v="30"/>
    <s v="Male"/>
    <s v="Standard"/>
    <n v="1.87"/>
    <x v="54"/>
    <x v="5"/>
    <x v="3"/>
    <n v="13.99"/>
    <n v="0"/>
    <n v="0"/>
    <x v="2"/>
    <n v="4"/>
    <n v="0.06"/>
    <s v="Sci-Fi"/>
  </r>
  <r>
    <s v="ed914a01-62e5-4b18-b4ad-1e9a28c3a68c"/>
    <n v="50"/>
    <s v="Other"/>
    <s v="Basic"/>
    <n v="2.85"/>
    <x v="39"/>
    <x v="1"/>
    <x v="3"/>
    <n v="8.99"/>
    <n v="1"/>
    <n v="8.99"/>
    <x v="2"/>
    <n v="1"/>
    <n v="0.12"/>
    <s v="Drama"/>
  </r>
  <r>
    <s v="53c0345a-7d19-48bd-b659-70d4a6781dfb"/>
    <n v="61"/>
    <s v="Female"/>
    <s v="Standard"/>
    <n v="5.84"/>
    <x v="56"/>
    <x v="5"/>
    <x v="3"/>
    <n v="13.99"/>
    <n v="0"/>
    <n v="0"/>
    <x v="3"/>
    <n v="5"/>
    <n v="0.1"/>
    <s v="Horror"/>
  </r>
  <r>
    <s v="6d6a8d7b-f943-4279-ba4f-f2fcc8df2fc0"/>
    <n v="30"/>
    <s v="Male"/>
    <s v="Basic"/>
    <n v="1.07"/>
    <x v="28"/>
    <x v="3"/>
    <x v="4"/>
    <n v="8.99"/>
    <n v="1"/>
    <n v="8.99"/>
    <x v="4"/>
    <n v="3"/>
    <n v="0.03"/>
    <s v="Horror"/>
  </r>
  <r>
    <s v="783898c5-a397-44be-9556-e1fd61bf35e9"/>
    <n v="43"/>
    <s v="Female"/>
    <s v="Basic"/>
    <n v="12.52"/>
    <x v="5"/>
    <x v="1"/>
    <x v="0"/>
    <n v="8.99"/>
    <n v="0"/>
    <n v="0"/>
    <x v="4"/>
    <n v="2"/>
    <n v="0.46"/>
    <s v="Horror"/>
  </r>
  <r>
    <s v="82dee3af-9f17-421c-8d3e-2177420183e1"/>
    <n v="56"/>
    <s v="Other"/>
    <s v="Premium"/>
    <n v="2.04"/>
    <x v="16"/>
    <x v="3"/>
    <x v="0"/>
    <n v="17.989999999999998"/>
    <n v="1"/>
    <n v="17.989999999999998"/>
    <x v="2"/>
    <n v="1"/>
    <n v="7.0000000000000007E-2"/>
    <s v="Romance"/>
  </r>
  <r>
    <s v="05aa98f7-b533-4184-9f57-bafe5be92e11"/>
    <n v="35"/>
    <s v="Female"/>
    <s v="Basic"/>
    <n v="7.06"/>
    <x v="32"/>
    <x v="0"/>
    <x v="4"/>
    <n v="8.99"/>
    <n v="0"/>
    <n v="0"/>
    <x v="0"/>
    <n v="5"/>
    <n v="0.47"/>
    <s v="Documentary"/>
  </r>
  <r>
    <s v="a16eabd8-7500-401f-a09f-c196e8084525"/>
    <n v="61"/>
    <s v="Other"/>
    <s v="Standard"/>
    <n v="12.41"/>
    <x v="2"/>
    <x v="1"/>
    <x v="0"/>
    <n v="13.99"/>
    <n v="0"/>
    <n v="0"/>
    <x v="1"/>
    <n v="2"/>
    <n v="1.1299999999999999"/>
    <s v="Romance"/>
  </r>
  <r>
    <s v="125660b9-b996-4330-b1c1-c12ecf075f80"/>
    <n v="40"/>
    <s v="Other"/>
    <s v="Basic"/>
    <n v="75.989999999999995"/>
    <x v="49"/>
    <x v="0"/>
    <x v="1"/>
    <n v="8.99"/>
    <n v="0"/>
    <n v="0"/>
    <x v="4"/>
    <n v="1"/>
    <n v="7.6"/>
    <s v="Comedy"/>
  </r>
  <r>
    <s v="c214433b-2cd5-42bb-8b59-657928b311a6"/>
    <n v="57"/>
    <s v="Other"/>
    <s v="Standard"/>
    <n v="4.99"/>
    <x v="49"/>
    <x v="5"/>
    <x v="4"/>
    <n v="13.99"/>
    <n v="0"/>
    <n v="0"/>
    <x v="1"/>
    <n v="5"/>
    <n v="0.5"/>
    <s v="Romance"/>
  </r>
  <r>
    <s v="ff769f45-e8c0-4224-8fef-763d9b9cf9b6"/>
    <n v="19"/>
    <s v="Other"/>
    <s v="Standard"/>
    <n v="12.97"/>
    <x v="9"/>
    <x v="4"/>
    <x v="3"/>
    <n v="13.99"/>
    <n v="0"/>
    <n v="0"/>
    <x v="2"/>
    <n v="4"/>
    <n v="0.35"/>
    <s v="Romance"/>
  </r>
  <r>
    <s v="7aaf4a07-bbee-41cc-b800-8084935b8b7c"/>
    <n v="55"/>
    <s v="Female"/>
    <s v="Premium"/>
    <n v="9.52"/>
    <x v="31"/>
    <x v="2"/>
    <x v="4"/>
    <n v="17.989999999999998"/>
    <n v="0"/>
    <n v="0"/>
    <x v="3"/>
    <n v="2"/>
    <n v="0.59"/>
    <s v="Comedy"/>
  </r>
  <r>
    <s v="7cd4a8f6-a14a-4c46-9c67-d52b2279855e"/>
    <n v="41"/>
    <s v="Other"/>
    <s v="Basic"/>
    <n v="2.09"/>
    <x v="24"/>
    <x v="2"/>
    <x v="2"/>
    <n v="8.99"/>
    <n v="1"/>
    <n v="8.99"/>
    <x v="1"/>
    <n v="3"/>
    <n v="0.04"/>
    <s v="Comedy"/>
  </r>
  <r>
    <s v="4231d1df-7cdf-491d-b0ca-794940a56bfd"/>
    <n v="22"/>
    <s v="Female"/>
    <s v="Standard"/>
    <n v="19.190000000000001"/>
    <x v="0"/>
    <x v="2"/>
    <x v="0"/>
    <n v="13.99"/>
    <n v="0"/>
    <n v="0"/>
    <x v="2"/>
    <n v="1"/>
    <n v="0.64"/>
    <s v="Sci-Fi"/>
  </r>
  <r>
    <s v="f1cfed63-b6f3-4af8-b406-dc92beac76ce"/>
    <n v="35"/>
    <s v="Female"/>
    <s v="Standard"/>
    <n v="0.45"/>
    <x v="13"/>
    <x v="3"/>
    <x v="2"/>
    <n v="13.99"/>
    <n v="0"/>
    <n v="0"/>
    <x v="2"/>
    <n v="5"/>
    <n v="0.06"/>
    <s v="Documentary"/>
  </r>
  <r>
    <s v="914a0ec2-9ccc-4c89-a18e-4a95f8f38049"/>
    <n v="35"/>
    <s v="Other"/>
    <s v="Premium"/>
    <n v="5.39"/>
    <x v="50"/>
    <x v="4"/>
    <x v="0"/>
    <n v="17.989999999999998"/>
    <n v="1"/>
    <n v="17.989999999999998"/>
    <x v="2"/>
    <n v="1"/>
    <n v="0.1"/>
    <s v="Comedy"/>
  </r>
  <r>
    <s v="c39ca4e9-d9f8-440e-a74b-56d91473dd2c"/>
    <n v="70"/>
    <s v="Male"/>
    <s v="Premium"/>
    <n v="15.73"/>
    <x v="7"/>
    <x v="5"/>
    <x v="1"/>
    <n v="17.989999999999998"/>
    <n v="1"/>
    <n v="17.989999999999998"/>
    <x v="1"/>
    <n v="3"/>
    <n v="0.28000000000000003"/>
    <s v="Drama"/>
  </r>
  <r>
    <s v="edfd175f-6d64-4ba5-9c17-5ed2312cfb32"/>
    <n v="32"/>
    <s v="Female"/>
    <s v="Premium"/>
    <n v="14.36"/>
    <x v="25"/>
    <x v="4"/>
    <x v="3"/>
    <n v="17.989999999999998"/>
    <n v="0"/>
    <n v="0"/>
    <x v="3"/>
    <n v="2"/>
    <n v="14.36"/>
    <s v="Romance"/>
  </r>
  <r>
    <s v="c251eb3b-1929-4c6a-a29e-7bb49e637a0a"/>
    <n v="25"/>
    <s v="Other"/>
    <s v="Basic"/>
    <n v="15.26"/>
    <x v="8"/>
    <x v="2"/>
    <x v="2"/>
    <n v="8.99"/>
    <n v="1"/>
    <n v="8.99"/>
    <x v="4"/>
    <n v="4"/>
    <n v="0.44"/>
    <s v="Comedy"/>
  </r>
  <r>
    <s v="4c80103d-ac0a-4e95-a494-7ba0f6388867"/>
    <n v="49"/>
    <s v="Female"/>
    <s v="Basic"/>
    <n v="1.58"/>
    <x v="0"/>
    <x v="5"/>
    <x v="4"/>
    <n v="8.99"/>
    <n v="1"/>
    <n v="8.99"/>
    <x v="4"/>
    <n v="4"/>
    <n v="0.05"/>
    <s v="Comedy"/>
  </r>
  <r>
    <s v="ae7ea312-9fa1-40ef-a563-25d4efa57399"/>
    <n v="49"/>
    <s v="Other"/>
    <s v="Standard"/>
    <n v="2.76"/>
    <x v="6"/>
    <x v="1"/>
    <x v="1"/>
    <n v="13.99"/>
    <n v="0"/>
    <n v="0"/>
    <x v="2"/>
    <n v="4"/>
    <n v="0.13"/>
    <s v="Action"/>
  </r>
  <r>
    <s v="9eec0f0f-8898-49ab-bdd4-59839a8a1d9d"/>
    <n v="67"/>
    <s v="Female"/>
    <s v="Basic"/>
    <n v="6.88"/>
    <x v="35"/>
    <x v="0"/>
    <x v="2"/>
    <n v="8.99"/>
    <n v="1"/>
    <n v="8.99"/>
    <x v="0"/>
    <n v="4"/>
    <n v="0.15"/>
    <s v="Horror"/>
  </r>
  <r>
    <s v="0b97eae3-769e-4f45-bdc7-47173286870f"/>
    <n v="39"/>
    <s v="Male"/>
    <s v="Premium"/>
    <n v="4.22"/>
    <x v="12"/>
    <x v="2"/>
    <x v="3"/>
    <n v="17.989999999999998"/>
    <n v="1"/>
    <n v="17.989999999999998"/>
    <x v="3"/>
    <n v="2"/>
    <n v="0.12"/>
    <s v="Drama"/>
  </r>
  <r>
    <s v="97b3ebca-2895-42c0-8c95-d75f212b5efa"/>
    <n v="34"/>
    <s v="Other"/>
    <s v="Basic"/>
    <n v="4.43"/>
    <x v="12"/>
    <x v="3"/>
    <x v="2"/>
    <n v="8.99"/>
    <n v="1"/>
    <n v="8.99"/>
    <x v="0"/>
    <n v="2"/>
    <n v="0.13"/>
    <s v="Romance"/>
  </r>
  <r>
    <s v="72b5dad8-35cd-4e5b-b5f6-9fd189e46db5"/>
    <n v="27"/>
    <s v="Other"/>
    <s v="Premium"/>
    <n v="5.05"/>
    <x v="58"/>
    <x v="4"/>
    <x v="4"/>
    <n v="17.989999999999998"/>
    <n v="1"/>
    <n v="17.989999999999998"/>
    <x v="1"/>
    <n v="5"/>
    <n v="0.11"/>
    <s v="Romance"/>
  </r>
  <r>
    <s v="bc0deac4-46d4-46a3-aa7f-7e4f7d0cd88c"/>
    <n v="53"/>
    <s v="Female"/>
    <s v="Standard"/>
    <n v="3.47"/>
    <x v="10"/>
    <x v="2"/>
    <x v="1"/>
    <n v="13.99"/>
    <n v="1"/>
    <n v="13.99"/>
    <x v="1"/>
    <n v="1"/>
    <n v="0.09"/>
    <s v="Horror"/>
  </r>
  <r>
    <s v="33ce32b1-a79b-4b4f-8e3f-a73a326be03a"/>
    <n v="31"/>
    <s v="Male"/>
    <s v="Premium"/>
    <n v="8.8800000000000008"/>
    <x v="33"/>
    <x v="2"/>
    <x v="0"/>
    <n v="17.989999999999998"/>
    <n v="0"/>
    <n v="0"/>
    <x v="2"/>
    <n v="4"/>
    <n v="0.34"/>
    <s v="Action"/>
  </r>
  <r>
    <s v="0d5125bb-9a77-46fd-a008-e12965c68f6e"/>
    <n v="46"/>
    <s v="Other"/>
    <s v="Basic"/>
    <n v="19.72"/>
    <x v="58"/>
    <x v="3"/>
    <x v="3"/>
    <n v="8.99"/>
    <n v="1"/>
    <n v="8.99"/>
    <x v="4"/>
    <n v="1"/>
    <n v="0.41"/>
    <s v="Horror"/>
  </r>
  <r>
    <s v="7c554923-0fc8-4af4-9482-48ddaa9af4ce"/>
    <n v="30"/>
    <s v="Female"/>
    <s v="Standard"/>
    <n v="28.52"/>
    <x v="54"/>
    <x v="0"/>
    <x v="0"/>
    <n v="13.99"/>
    <n v="0"/>
    <n v="0"/>
    <x v="4"/>
    <n v="4"/>
    <n v="0.98"/>
    <s v="Documentary"/>
  </r>
  <r>
    <s v="4aaa4b30-0995-42b2-86f8-acd420bd1f27"/>
    <n v="65"/>
    <s v="Other"/>
    <s v="Standard"/>
    <n v="3.26"/>
    <x v="45"/>
    <x v="2"/>
    <x v="3"/>
    <n v="13.99"/>
    <n v="1"/>
    <n v="13.99"/>
    <x v="3"/>
    <n v="5"/>
    <n v="0.08"/>
    <s v="Action"/>
  </r>
  <r>
    <s v="0b4d9c35-a743-4c45-acac-1953cacbac29"/>
    <n v="64"/>
    <s v="Male"/>
    <s v="Standard"/>
    <n v="1.24"/>
    <x v="49"/>
    <x v="0"/>
    <x v="1"/>
    <n v="13.99"/>
    <n v="0"/>
    <n v="0"/>
    <x v="4"/>
    <n v="4"/>
    <n v="0.12"/>
    <s v="Sci-Fi"/>
  </r>
  <r>
    <s v="6f2eb696-241e-4d07-b0dd-f8fa78955fc7"/>
    <n v="38"/>
    <s v="Other"/>
    <s v="Standard"/>
    <n v="32.729999999999997"/>
    <x v="38"/>
    <x v="2"/>
    <x v="1"/>
    <n v="13.99"/>
    <n v="0"/>
    <n v="0"/>
    <x v="2"/>
    <n v="5"/>
    <n v="1.49"/>
    <s v="Documentary"/>
  </r>
  <r>
    <s v="37eab84e-f904-41ee-9fa0-9160d1a8ac85"/>
    <n v="56"/>
    <s v="Female"/>
    <s v="Basic"/>
    <n v="20.91"/>
    <x v="28"/>
    <x v="5"/>
    <x v="4"/>
    <n v="8.99"/>
    <n v="0"/>
    <n v="0"/>
    <x v="4"/>
    <n v="4"/>
    <n v="0.57999999999999996"/>
    <s v="Documentary"/>
  </r>
  <r>
    <s v="07d39ac7-4f54-407c-9065-d2de9017092b"/>
    <n v="34"/>
    <s v="Male"/>
    <s v="Standard"/>
    <n v="8.59"/>
    <x v="51"/>
    <x v="4"/>
    <x v="0"/>
    <n v="13.99"/>
    <n v="0"/>
    <n v="0"/>
    <x v="0"/>
    <n v="3"/>
    <n v="0.48"/>
    <s v="Drama"/>
  </r>
  <r>
    <s v="a816aad2-ddc6-4714-9013-8d76b4de89e5"/>
    <n v="35"/>
    <s v="Female"/>
    <s v="Basic"/>
    <n v="7.37"/>
    <x v="49"/>
    <x v="2"/>
    <x v="4"/>
    <n v="8.99"/>
    <n v="0"/>
    <n v="0"/>
    <x v="3"/>
    <n v="4"/>
    <n v="0.74"/>
    <s v="Horror"/>
  </r>
  <r>
    <s v="4825a472-0710-4ab2-824d-2fdd30ed23ca"/>
    <n v="27"/>
    <s v="Male"/>
    <s v="Premium"/>
    <n v="18.7"/>
    <x v="0"/>
    <x v="1"/>
    <x v="1"/>
    <n v="17.989999999999998"/>
    <n v="0"/>
    <n v="0"/>
    <x v="4"/>
    <n v="4"/>
    <n v="0.62"/>
    <s v="Action"/>
  </r>
  <r>
    <s v="934908b3-41b9-4415-bbad-0f3032a18506"/>
    <n v="52"/>
    <s v="Other"/>
    <s v="Basic"/>
    <n v="2.11"/>
    <x v="44"/>
    <x v="2"/>
    <x v="1"/>
    <n v="8.99"/>
    <n v="1"/>
    <n v="8.99"/>
    <x v="3"/>
    <n v="5"/>
    <n v="0.04"/>
    <s v="Action"/>
  </r>
  <r>
    <s v="c52a8297-84ec-4e1f-8193-4ee88a0fc34e"/>
    <n v="46"/>
    <s v="Male"/>
    <s v="Premium"/>
    <n v="21.11"/>
    <x v="26"/>
    <x v="0"/>
    <x v="4"/>
    <n v="17.989999999999998"/>
    <n v="0"/>
    <n v="0"/>
    <x v="0"/>
    <n v="4"/>
    <n v="0.43"/>
    <s v="Horror"/>
  </r>
  <r>
    <s v="b2161461-eb4c-4473-a193-e167ba3c784c"/>
    <n v="56"/>
    <s v="Other"/>
    <s v="Basic"/>
    <n v="2.19"/>
    <x v="28"/>
    <x v="2"/>
    <x v="2"/>
    <n v="8.99"/>
    <n v="1"/>
    <n v="8.99"/>
    <x v="4"/>
    <n v="5"/>
    <n v="0.06"/>
    <s v="Documentary"/>
  </r>
  <r>
    <s v="c5fc233b-21e3-410c-85bf-742fca828d6a"/>
    <n v="44"/>
    <s v="Male"/>
    <s v="Premium"/>
    <n v="30.04"/>
    <x v="7"/>
    <x v="2"/>
    <x v="1"/>
    <n v="17.989999999999998"/>
    <n v="0"/>
    <n v="0"/>
    <x v="2"/>
    <n v="5"/>
    <n v="0.53"/>
    <s v="Romance"/>
  </r>
  <r>
    <s v="3ca556af-b4d6-4c39-bb53-f00960221cbf"/>
    <n v="36"/>
    <s v="Male"/>
    <s v="Basic"/>
    <n v="12.52"/>
    <x v="21"/>
    <x v="2"/>
    <x v="2"/>
    <n v="8.99"/>
    <n v="0"/>
    <n v="0"/>
    <x v="4"/>
    <n v="4"/>
    <n v="1.79"/>
    <s v="Documentary"/>
  </r>
  <r>
    <s v="5a11d8d0-cb62-456e-939d-ae4a8cbdde5c"/>
    <n v="62"/>
    <s v="Male"/>
    <s v="Standard"/>
    <n v="21.13"/>
    <x v="9"/>
    <x v="2"/>
    <x v="1"/>
    <n v="13.99"/>
    <n v="0"/>
    <n v="0"/>
    <x v="3"/>
    <n v="2"/>
    <n v="0.56999999999999995"/>
    <s v="Documentary"/>
  </r>
  <r>
    <s v="b7fd931c-d59d-466c-b104-dc8819641e5d"/>
    <n v="60"/>
    <s v="Other"/>
    <s v="Standard"/>
    <n v="13.86"/>
    <x v="60"/>
    <x v="1"/>
    <x v="3"/>
    <n v="13.99"/>
    <n v="0"/>
    <n v="0"/>
    <x v="2"/>
    <n v="1"/>
    <n v="1.54"/>
    <s v="Documentary"/>
  </r>
  <r>
    <s v="c175fd94-acfe-41f0-9c92-0f5e386499fe"/>
    <n v="21"/>
    <s v="Female"/>
    <s v="Standard"/>
    <n v="12.52"/>
    <x v="44"/>
    <x v="0"/>
    <x v="2"/>
    <n v="13.99"/>
    <n v="1"/>
    <n v="13.99"/>
    <x v="1"/>
    <n v="5"/>
    <n v="0.27"/>
    <s v="Horror"/>
  </r>
  <r>
    <s v="0a762b77-7701-436c-a5e6-2b4a2cff7d03"/>
    <n v="53"/>
    <s v="Male"/>
    <s v="Premium"/>
    <n v="2.27"/>
    <x v="10"/>
    <x v="5"/>
    <x v="4"/>
    <n v="17.989999999999998"/>
    <n v="1"/>
    <n v="17.989999999999998"/>
    <x v="1"/>
    <n v="4"/>
    <n v="0.06"/>
    <s v="Drama"/>
  </r>
  <r>
    <s v="ffdf0f37-5ab0-4b5d-b33d-1a4a11e02c70"/>
    <n v="70"/>
    <s v="Male"/>
    <s v="Basic"/>
    <n v="1.69"/>
    <x v="11"/>
    <x v="3"/>
    <x v="4"/>
    <n v="8.99"/>
    <n v="1"/>
    <n v="8.99"/>
    <x v="1"/>
    <n v="3"/>
    <n v="7.0000000000000007E-2"/>
    <s v="Sci-Fi"/>
  </r>
  <r>
    <s v="d4b6b1c5-e809-4a36-9126-c485c93c2099"/>
    <n v="32"/>
    <s v="Male"/>
    <s v="Premium"/>
    <n v="0.53"/>
    <x v="11"/>
    <x v="5"/>
    <x v="1"/>
    <n v="17.989999999999998"/>
    <n v="1"/>
    <n v="17.989999999999998"/>
    <x v="1"/>
    <n v="3"/>
    <n v="0.02"/>
    <s v="Action"/>
  </r>
  <r>
    <s v="fac8f5fe-151e-4991-98a9-7906520b9967"/>
    <n v="39"/>
    <s v="Female"/>
    <s v="Basic"/>
    <n v="6.52"/>
    <x v="50"/>
    <x v="2"/>
    <x v="0"/>
    <n v="8.99"/>
    <n v="1"/>
    <n v="8.99"/>
    <x v="3"/>
    <n v="4"/>
    <n v="0.12"/>
    <s v="Romance"/>
  </r>
  <r>
    <s v="b794556e-1123-4c20-bc98-4ad400d68f76"/>
    <n v="35"/>
    <s v="Female"/>
    <s v="Standard"/>
    <n v="2.19"/>
    <x v="18"/>
    <x v="3"/>
    <x v="4"/>
    <n v="13.99"/>
    <n v="1"/>
    <n v="13.99"/>
    <x v="0"/>
    <n v="2"/>
    <n v="0.04"/>
    <s v="Comedy"/>
  </r>
  <r>
    <s v="abcdc4df-ade6-4dc0-a29f-26751510f091"/>
    <n v="26"/>
    <s v="Other"/>
    <s v="Standard"/>
    <n v="4.42"/>
    <x v="22"/>
    <x v="2"/>
    <x v="2"/>
    <n v="13.99"/>
    <n v="1"/>
    <n v="13.99"/>
    <x v="3"/>
    <n v="4"/>
    <n v="0.08"/>
    <s v="Horror"/>
  </r>
  <r>
    <s v="92a658bc-f2c1-4f19-ba0a-5f8627195a23"/>
    <n v="38"/>
    <s v="Female"/>
    <s v="Standard"/>
    <n v="3.79"/>
    <x v="14"/>
    <x v="0"/>
    <x v="4"/>
    <n v="13.99"/>
    <n v="1"/>
    <n v="13.99"/>
    <x v="1"/>
    <n v="3"/>
    <n v="0.11"/>
    <s v="Drama"/>
  </r>
  <r>
    <s v="9176aa47-8f35-4b61-aa0c-7f5e82ef4315"/>
    <n v="31"/>
    <s v="Female"/>
    <s v="Basic"/>
    <n v="0.42"/>
    <x v="19"/>
    <x v="3"/>
    <x v="4"/>
    <n v="8.99"/>
    <n v="1"/>
    <n v="8.99"/>
    <x v="4"/>
    <n v="3"/>
    <n v="0.01"/>
    <s v="Documentary"/>
  </r>
  <r>
    <s v="a74837e1-dc9c-4feb-a9f4-4091b15d15ea"/>
    <n v="43"/>
    <s v="Male"/>
    <s v="Premium"/>
    <n v="0.05"/>
    <x v="12"/>
    <x v="1"/>
    <x v="4"/>
    <n v="17.989999999999998"/>
    <n v="1"/>
    <n v="17.989999999999998"/>
    <x v="2"/>
    <n v="4"/>
    <n v="0"/>
    <s v="Sci-Fi"/>
  </r>
  <r>
    <s v="9e6a25d6-4014-4c58-a23f-6016815d6f31"/>
    <n v="62"/>
    <s v="Other"/>
    <s v="Basic"/>
    <n v="6.72"/>
    <x v="1"/>
    <x v="3"/>
    <x v="4"/>
    <n v="8.99"/>
    <n v="0"/>
    <n v="0"/>
    <x v="2"/>
    <n v="5"/>
    <n v="0.34"/>
    <s v="Romance"/>
  </r>
  <r>
    <s v="c52e4d67-f98f-4f1e-83a0-ec401295cd65"/>
    <n v="28"/>
    <s v="Male"/>
    <s v="Standard"/>
    <n v="1.05"/>
    <x v="5"/>
    <x v="1"/>
    <x v="2"/>
    <n v="13.99"/>
    <n v="0"/>
    <n v="0"/>
    <x v="3"/>
    <n v="4"/>
    <n v="0.04"/>
    <s v="Action"/>
  </r>
  <r>
    <s v="6d40b2a3-6520-4f59-b076-276940e28dee"/>
    <n v="19"/>
    <s v="Female"/>
    <s v="Premium"/>
    <n v="4.0599999999999996"/>
    <x v="13"/>
    <x v="0"/>
    <x v="2"/>
    <n v="17.989999999999998"/>
    <n v="0"/>
    <n v="0"/>
    <x v="3"/>
    <n v="3"/>
    <n v="0.51"/>
    <s v="Action"/>
  </r>
  <r>
    <s v="65c8b6a9-0386-40de-b313-0ccfd413fda0"/>
    <n v="34"/>
    <s v="Other"/>
    <s v="Premium"/>
    <n v="9.67"/>
    <x v="13"/>
    <x v="3"/>
    <x v="1"/>
    <n v="17.989999999999998"/>
    <n v="0"/>
    <n v="0"/>
    <x v="4"/>
    <n v="1"/>
    <n v="1.21"/>
    <s v="Drama"/>
  </r>
  <r>
    <s v="eab869fb-6318-4e76-ad3d-453d4fd7a219"/>
    <n v="59"/>
    <s v="Male"/>
    <s v="Premium"/>
    <n v="6.27"/>
    <x v="3"/>
    <x v="5"/>
    <x v="1"/>
    <n v="17.989999999999998"/>
    <n v="0"/>
    <n v="0"/>
    <x v="2"/>
    <n v="3"/>
    <n v="0.48"/>
    <s v="Romance"/>
  </r>
  <r>
    <s v="f30ef5c3-be17-4886-9bcf-a859532fbfef"/>
    <n v="27"/>
    <s v="Other"/>
    <s v="Basic"/>
    <n v="2.58"/>
    <x v="21"/>
    <x v="4"/>
    <x v="4"/>
    <n v="8.99"/>
    <n v="1"/>
    <n v="8.99"/>
    <x v="2"/>
    <n v="3"/>
    <n v="0.37"/>
    <s v="Romance"/>
  </r>
  <r>
    <s v="086bac2e-0490-4c8b-8b1e-5b9813ef2e72"/>
    <n v="65"/>
    <s v="Other"/>
    <s v="Standard"/>
    <n v="10.07"/>
    <x v="6"/>
    <x v="0"/>
    <x v="1"/>
    <n v="13.99"/>
    <n v="0"/>
    <n v="0"/>
    <x v="4"/>
    <n v="1"/>
    <n v="0.48"/>
    <s v="Romance"/>
  </r>
  <r>
    <s v="13169809-d529-496b-a4f8-1d470a744300"/>
    <n v="22"/>
    <s v="Other"/>
    <s v="Standard"/>
    <n v="2.12"/>
    <x v="56"/>
    <x v="1"/>
    <x v="1"/>
    <n v="13.99"/>
    <n v="1"/>
    <n v="13.99"/>
    <x v="0"/>
    <n v="1"/>
    <n v="0.04"/>
    <s v="Action"/>
  </r>
  <r>
    <s v="0a7127ae-3d90-4b6d-8249-484df4905aec"/>
    <n v="51"/>
    <s v="Male"/>
    <s v="Standard"/>
    <n v="11.48"/>
    <x v="31"/>
    <x v="2"/>
    <x v="2"/>
    <n v="13.99"/>
    <n v="0"/>
    <n v="0"/>
    <x v="1"/>
    <n v="2"/>
    <n v="0.72"/>
    <s v="Romance"/>
  </r>
  <r>
    <s v="d5dbc55b-8ef1-4988-a9b0-c45505ca2431"/>
    <n v="28"/>
    <s v="Other"/>
    <s v="Basic"/>
    <n v="4.82"/>
    <x v="43"/>
    <x v="5"/>
    <x v="3"/>
    <n v="8.99"/>
    <n v="1"/>
    <n v="8.99"/>
    <x v="1"/>
    <n v="5"/>
    <n v="0.15"/>
    <s v="Drama"/>
  </r>
  <r>
    <s v="8afd45e9-d401-4a9b-b3c6-e20808c39073"/>
    <n v="27"/>
    <s v="Male"/>
    <s v="Basic"/>
    <n v="46.09"/>
    <x v="47"/>
    <x v="3"/>
    <x v="0"/>
    <n v="8.99"/>
    <n v="0"/>
    <n v="0"/>
    <x v="1"/>
    <n v="4"/>
    <n v="11.52"/>
    <s v="Documentary"/>
  </r>
  <r>
    <s v="7d40c105-0ae1-4235-aab9-f8ec0122145d"/>
    <n v="60"/>
    <s v="Female"/>
    <s v="Premium"/>
    <n v="15.94"/>
    <x v="17"/>
    <x v="4"/>
    <x v="3"/>
    <n v="17.989999999999998"/>
    <n v="0"/>
    <n v="0"/>
    <x v="3"/>
    <n v="3"/>
    <n v="3.19"/>
    <s v="Action"/>
  </r>
  <r>
    <s v="4834dd77-26eb-49c2-9684-2ca5183ca4f0"/>
    <n v="47"/>
    <s v="Female"/>
    <s v="Standard"/>
    <n v="20.83"/>
    <x v="56"/>
    <x v="2"/>
    <x v="0"/>
    <n v="13.99"/>
    <n v="0"/>
    <n v="0"/>
    <x v="2"/>
    <n v="3"/>
    <n v="0.35"/>
    <s v="Horror"/>
  </r>
  <r>
    <s v="a2a1697f-7d68-4c9a-bd9f-82c6958a0222"/>
    <n v="40"/>
    <s v="Female"/>
    <s v="Premium"/>
    <n v="2.66"/>
    <x v="24"/>
    <x v="4"/>
    <x v="2"/>
    <n v="17.989999999999998"/>
    <n v="1"/>
    <n v="17.989999999999998"/>
    <x v="3"/>
    <n v="1"/>
    <n v="0.05"/>
    <s v="Romance"/>
  </r>
  <r>
    <s v="a7a9bf50-f432-4336-b5ce-f5fc967c388d"/>
    <n v="45"/>
    <s v="Female"/>
    <s v="Basic"/>
    <n v="31.15"/>
    <x v="39"/>
    <x v="2"/>
    <x v="4"/>
    <n v="8.99"/>
    <n v="0"/>
    <n v="0"/>
    <x v="4"/>
    <n v="5"/>
    <n v="1.35"/>
    <s v="Drama"/>
  </r>
  <r>
    <s v="4aa4cb4e-bb15-429c-88ae-00274c3fcebf"/>
    <n v="64"/>
    <s v="Female"/>
    <s v="Standard"/>
    <n v="12.5"/>
    <x v="12"/>
    <x v="2"/>
    <x v="0"/>
    <n v="13.99"/>
    <n v="0"/>
    <n v="0"/>
    <x v="2"/>
    <n v="5"/>
    <n v="0.37"/>
    <s v="Romance"/>
  </r>
  <r>
    <s v="938b3e5a-2269-45d3-9a05-b04df79d7719"/>
    <n v="22"/>
    <s v="Other"/>
    <s v="Premium"/>
    <n v="2.15"/>
    <x v="41"/>
    <x v="4"/>
    <x v="4"/>
    <n v="17.989999999999998"/>
    <n v="1"/>
    <n v="17.989999999999998"/>
    <x v="2"/>
    <n v="3"/>
    <n v="7.0000000000000007E-2"/>
    <s v="Drama"/>
  </r>
  <r>
    <s v="ea9ede30-ded4-475e-8bdb-6e6f74ef8557"/>
    <n v="55"/>
    <s v="Female"/>
    <s v="Premium"/>
    <n v="17.760000000000002"/>
    <x v="52"/>
    <x v="1"/>
    <x v="4"/>
    <n v="17.989999999999998"/>
    <n v="1"/>
    <n v="17.989999999999998"/>
    <x v="4"/>
    <n v="3"/>
    <n v="0.36"/>
    <s v="Drama"/>
  </r>
  <r>
    <s v="16cf6caf-bc65-4ec7-bf7b-ed1944ac741d"/>
    <n v="21"/>
    <s v="Male"/>
    <s v="Standard"/>
    <n v="12.34"/>
    <x v="59"/>
    <x v="0"/>
    <x v="4"/>
    <n v="13.99"/>
    <n v="0"/>
    <n v="0"/>
    <x v="3"/>
    <n v="2"/>
    <n v="2.06"/>
    <s v="Sci-Fi"/>
  </r>
  <r>
    <s v="57b01680-4141-4474-a48b-e78a987b9d2f"/>
    <n v="37"/>
    <s v="Female"/>
    <s v="Basic"/>
    <n v="18.86"/>
    <x v="53"/>
    <x v="1"/>
    <x v="4"/>
    <n v="8.99"/>
    <n v="1"/>
    <n v="8.99"/>
    <x v="3"/>
    <n v="5"/>
    <n v="0.44"/>
    <s v="Comedy"/>
  </r>
  <r>
    <s v="34c37623-852f-4ce4-92f1-f8c41322e3a3"/>
    <n v="21"/>
    <s v="Other"/>
    <s v="Premium"/>
    <n v="13.66"/>
    <x v="9"/>
    <x v="3"/>
    <x v="4"/>
    <n v="17.989999999999998"/>
    <n v="1"/>
    <n v="17.989999999999998"/>
    <x v="4"/>
    <n v="3"/>
    <n v="0.37"/>
    <s v="Horror"/>
  </r>
  <r>
    <s v="1de748fc-27f6-4d04-95b1-43185506ff98"/>
    <n v="32"/>
    <s v="Male"/>
    <s v="Premium"/>
    <n v="13.09"/>
    <x v="48"/>
    <x v="5"/>
    <x v="4"/>
    <n v="17.989999999999998"/>
    <n v="1"/>
    <n v="17.989999999999998"/>
    <x v="1"/>
    <n v="2"/>
    <n v="0.25"/>
    <s v="Action"/>
  </r>
  <r>
    <s v="f5463712-8752-4fb0-ae3f-30137078f44b"/>
    <n v="37"/>
    <s v="Other"/>
    <s v="Standard"/>
    <n v="10.87"/>
    <x v="30"/>
    <x v="3"/>
    <x v="1"/>
    <n v="13.99"/>
    <n v="0"/>
    <n v="0"/>
    <x v="0"/>
    <n v="5"/>
    <n v="5.43"/>
    <s v="Documentary"/>
  </r>
  <r>
    <s v="c1d63ea1-39ef-402c-aaac-6086bd3e3368"/>
    <n v="42"/>
    <s v="Female"/>
    <s v="Standard"/>
    <n v="33.479999999999997"/>
    <x v="27"/>
    <x v="1"/>
    <x v="3"/>
    <n v="13.99"/>
    <n v="0"/>
    <n v="0"/>
    <x v="2"/>
    <n v="2"/>
    <n v="1.97"/>
    <s v="Action"/>
  </r>
  <r>
    <s v="c3892ced-e6d1-4218-aa88-6ed1d835de10"/>
    <n v="46"/>
    <s v="Male"/>
    <s v="Basic"/>
    <n v="5.07"/>
    <x v="25"/>
    <x v="0"/>
    <x v="3"/>
    <n v="8.99"/>
    <n v="0"/>
    <n v="0"/>
    <x v="2"/>
    <n v="1"/>
    <n v="5.07"/>
    <s v="Comedy"/>
  </r>
  <r>
    <s v="d7cbf38b-95b2-46b7-8ac3-50f4b316878c"/>
    <n v="59"/>
    <s v="Female"/>
    <s v="Premium"/>
    <n v="26.54"/>
    <x v="12"/>
    <x v="3"/>
    <x v="2"/>
    <n v="17.989999999999998"/>
    <n v="0"/>
    <n v="0"/>
    <x v="1"/>
    <n v="3"/>
    <n v="0.78"/>
    <s v="Sci-Fi"/>
  </r>
  <r>
    <s v="7ae851ab-037f-41f3-b58a-a54190149ed0"/>
    <n v="24"/>
    <s v="Female"/>
    <s v="Basic"/>
    <n v="0.19"/>
    <x v="52"/>
    <x v="3"/>
    <x v="4"/>
    <n v="8.99"/>
    <n v="1"/>
    <n v="8.99"/>
    <x v="1"/>
    <n v="3"/>
    <n v="0"/>
    <s v="Romance"/>
  </r>
  <r>
    <s v="692b797c-2e2c-4907-a81a-24f394f25810"/>
    <n v="30"/>
    <s v="Female"/>
    <s v="Basic"/>
    <n v="4.21"/>
    <x v="4"/>
    <x v="3"/>
    <x v="3"/>
    <n v="8.99"/>
    <n v="1"/>
    <n v="8.99"/>
    <x v="2"/>
    <n v="4"/>
    <n v="0.3"/>
    <s v="Drama"/>
  </r>
  <r>
    <s v="b3d7df66-3750-4afa-afd1-d217ac259eff"/>
    <n v="63"/>
    <s v="Other"/>
    <s v="Standard"/>
    <n v="5.1100000000000003"/>
    <x v="20"/>
    <x v="2"/>
    <x v="4"/>
    <n v="13.99"/>
    <n v="0"/>
    <n v="0"/>
    <x v="1"/>
    <n v="1"/>
    <n v="0.27"/>
    <s v="Horror"/>
  </r>
  <r>
    <s v="0ac9f17d-3658-4d74-9054-0f96a5460c54"/>
    <n v="51"/>
    <s v="Male"/>
    <s v="Premium"/>
    <n v="3.41"/>
    <x v="44"/>
    <x v="2"/>
    <x v="3"/>
    <n v="17.989999999999998"/>
    <n v="1"/>
    <n v="17.989999999999998"/>
    <x v="0"/>
    <n v="2"/>
    <n v="7.0000000000000007E-2"/>
    <s v="Comedy"/>
  </r>
  <r>
    <s v="32c2a5bc-7e17-4fe3-85f0-b00105dde7dc"/>
    <n v="47"/>
    <s v="Male"/>
    <s v="Premium"/>
    <n v="7.42"/>
    <x v="58"/>
    <x v="0"/>
    <x v="4"/>
    <n v="17.989999999999998"/>
    <n v="1"/>
    <n v="17.989999999999998"/>
    <x v="1"/>
    <n v="4"/>
    <n v="0.15"/>
    <s v="Horror"/>
  </r>
  <r>
    <s v="91898a2b-07f0-43d5-aecb-7933052c3f77"/>
    <n v="32"/>
    <s v="Female"/>
    <s v="Standard"/>
    <n v="2.74"/>
    <x v="60"/>
    <x v="2"/>
    <x v="0"/>
    <n v="13.99"/>
    <n v="1"/>
    <n v="13.99"/>
    <x v="4"/>
    <n v="1"/>
    <n v="0.3"/>
    <s v="Action"/>
  </r>
  <r>
    <s v="d11573bf-f68b-4134-89ff-659630bb63f3"/>
    <n v="60"/>
    <s v="Other"/>
    <s v="Premium"/>
    <n v="2.56"/>
    <x v="39"/>
    <x v="2"/>
    <x v="1"/>
    <n v="17.989999999999998"/>
    <n v="1"/>
    <n v="17.989999999999998"/>
    <x v="1"/>
    <n v="2"/>
    <n v="0.11"/>
    <s v="Sci-Fi"/>
  </r>
  <r>
    <s v="aeca46b3-2f4a-4f8a-941a-bcc7c536f372"/>
    <n v="40"/>
    <s v="Other"/>
    <s v="Premium"/>
    <n v="2.2799999999999998"/>
    <x v="42"/>
    <x v="0"/>
    <x v="2"/>
    <n v="17.989999999999998"/>
    <n v="1"/>
    <n v="17.989999999999998"/>
    <x v="0"/>
    <n v="2"/>
    <n v="0.06"/>
    <s v="Action"/>
  </r>
  <r>
    <s v="c8117a2e-0ad2-4702-98d4-a91b9e29247c"/>
    <n v="46"/>
    <s v="Other"/>
    <s v="Basic"/>
    <n v="6.46"/>
    <x v="28"/>
    <x v="1"/>
    <x v="3"/>
    <n v="8.99"/>
    <n v="1"/>
    <n v="8.99"/>
    <x v="0"/>
    <n v="4"/>
    <n v="0.18"/>
    <s v="Sci-Fi"/>
  </r>
  <r>
    <s v="12be3d4b-67ef-4665-a7bb-f889989afe1a"/>
    <n v="33"/>
    <s v="Female"/>
    <s v="Premium"/>
    <n v="11.3"/>
    <x v="13"/>
    <x v="5"/>
    <x v="4"/>
    <n v="17.989999999999998"/>
    <n v="0"/>
    <n v="0"/>
    <x v="0"/>
    <n v="1"/>
    <n v="1.41"/>
    <s v="Drama"/>
  </r>
  <r>
    <s v="d14be48f-b54b-4b14-90b7-153e6c90a1ed"/>
    <n v="31"/>
    <s v="Female"/>
    <s v="Premium"/>
    <n v="3.13"/>
    <x v="13"/>
    <x v="5"/>
    <x v="1"/>
    <n v="17.989999999999998"/>
    <n v="0"/>
    <n v="0"/>
    <x v="2"/>
    <n v="5"/>
    <n v="0.39"/>
    <s v="Documentary"/>
  </r>
  <r>
    <s v="89f7d229-8ad2-4553-8582-066a2af2ebed"/>
    <n v="39"/>
    <s v="Other"/>
    <s v="Basic"/>
    <n v="9.89"/>
    <x v="29"/>
    <x v="0"/>
    <x v="1"/>
    <n v="8.99"/>
    <n v="1"/>
    <n v="8.99"/>
    <x v="0"/>
    <n v="4"/>
    <n v="0.22"/>
    <s v="Documentary"/>
  </r>
  <r>
    <s v="f4eaec8d-554b-40c5-9761-c74633a253b5"/>
    <n v="19"/>
    <s v="Female"/>
    <s v="Premium"/>
    <n v="0.6"/>
    <x v="5"/>
    <x v="3"/>
    <x v="1"/>
    <n v="17.989999999999998"/>
    <n v="1"/>
    <n v="17.989999999999998"/>
    <x v="0"/>
    <n v="1"/>
    <n v="0.02"/>
    <s v="Sci-Fi"/>
  </r>
  <r>
    <s v="1d72e7f2-4e93-471d-8d46-772c2d538fdd"/>
    <n v="25"/>
    <s v="Male"/>
    <s v="Premium"/>
    <n v="44.46"/>
    <x v="12"/>
    <x v="3"/>
    <x v="4"/>
    <n v="17.989999999999998"/>
    <n v="0"/>
    <n v="0"/>
    <x v="3"/>
    <n v="1"/>
    <n v="1.31"/>
    <s v="Drama"/>
  </r>
  <r>
    <s v="e408ee62-5313-4e04-bcec-e23b5202a7ab"/>
    <n v="49"/>
    <s v="Male"/>
    <s v="Basic"/>
    <n v="9.67"/>
    <x v="18"/>
    <x v="1"/>
    <x v="1"/>
    <n v="8.99"/>
    <n v="1"/>
    <n v="8.99"/>
    <x v="4"/>
    <n v="1"/>
    <n v="0.17"/>
    <s v="Horror"/>
  </r>
  <r>
    <s v="f1c83b47-42f3-43d3-8e18-4ea89c57773c"/>
    <n v="67"/>
    <s v="Other"/>
    <s v="Basic"/>
    <n v="10.17"/>
    <x v="20"/>
    <x v="5"/>
    <x v="4"/>
    <n v="8.99"/>
    <n v="0"/>
    <n v="0"/>
    <x v="0"/>
    <n v="2"/>
    <n v="0.54"/>
    <s v="Action"/>
  </r>
  <r>
    <s v="610d956e-f1f5-4b11-9d7c-441a37b21a17"/>
    <n v="55"/>
    <s v="Male"/>
    <s v="Standard"/>
    <n v="1.88"/>
    <x v="35"/>
    <x v="1"/>
    <x v="4"/>
    <n v="13.99"/>
    <n v="1"/>
    <n v="13.99"/>
    <x v="3"/>
    <n v="4"/>
    <n v="0.04"/>
    <s v="Action"/>
  </r>
  <r>
    <s v="f0c87ced-93a5-4494-a348-fcfcecb24541"/>
    <n v="19"/>
    <s v="Male"/>
    <s v="Premium"/>
    <n v="0.36"/>
    <x v="54"/>
    <x v="3"/>
    <x v="3"/>
    <n v="17.989999999999998"/>
    <n v="1"/>
    <n v="17.989999999999998"/>
    <x v="4"/>
    <n v="1"/>
    <n v="0.01"/>
    <s v="Comedy"/>
  </r>
  <r>
    <s v="a32eee4c-69e9-41ee-a91d-f328cb381b15"/>
    <n v="59"/>
    <s v="Female"/>
    <s v="Premium"/>
    <n v="0.61"/>
    <x v="51"/>
    <x v="0"/>
    <x v="4"/>
    <n v="17.989999999999998"/>
    <n v="0"/>
    <n v="0"/>
    <x v="2"/>
    <n v="5"/>
    <n v="0.03"/>
    <s v="Documentary"/>
  </r>
  <r>
    <s v="a5e64288-3362-4735-be6e-a09c1c044761"/>
    <n v="26"/>
    <s v="Other"/>
    <s v="Basic"/>
    <n v="23.33"/>
    <x v="16"/>
    <x v="5"/>
    <x v="1"/>
    <n v="8.99"/>
    <n v="0"/>
    <n v="0"/>
    <x v="0"/>
    <n v="1"/>
    <n v="0.83"/>
    <s v="Action"/>
  </r>
  <r>
    <s v="2fe53083-6764-4dc3-bbaa-a88e030e71e2"/>
    <n v="58"/>
    <s v="Female"/>
    <s v="Standard"/>
    <n v="76.290000000000006"/>
    <x v="59"/>
    <x v="1"/>
    <x v="1"/>
    <n v="13.99"/>
    <n v="0"/>
    <n v="0"/>
    <x v="1"/>
    <n v="5"/>
    <n v="12.72"/>
    <s v="Sci-Fi"/>
  </r>
  <r>
    <s v="44f7004f-4f0c-4ff0-848b-97da9a781eb0"/>
    <n v="18"/>
    <s v="Male"/>
    <s v="Premium"/>
    <n v="10.08"/>
    <x v="12"/>
    <x v="3"/>
    <x v="1"/>
    <n v="17.989999999999998"/>
    <n v="1"/>
    <n v="17.989999999999998"/>
    <x v="4"/>
    <n v="2"/>
    <n v="0.3"/>
    <s v="Documentary"/>
  </r>
  <r>
    <s v="50ebca29-2130-4894-9f3c-63f3f938f819"/>
    <n v="59"/>
    <s v="Other"/>
    <s v="Basic"/>
    <n v="8.48"/>
    <x v="37"/>
    <x v="5"/>
    <x v="0"/>
    <n v="8.99"/>
    <n v="1"/>
    <n v="8.99"/>
    <x v="1"/>
    <n v="1"/>
    <n v="0.34"/>
    <s v="Drama"/>
  </r>
  <r>
    <s v="48486230-b6dd-4d6c-8d2a-0c8a2b7f2f39"/>
    <n v="41"/>
    <s v="Male"/>
    <s v="Premium"/>
    <n v="16.13"/>
    <x v="35"/>
    <x v="2"/>
    <x v="3"/>
    <n v="17.989999999999998"/>
    <n v="0"/>
    <n v="0"/>
    <x v="2"/>
    <n v="4"/>
    <n v="0.36"/>
    <s v="Horror"/>
  </r>
  <r>
    <s v="47ea998f-01f4-4e7e-8c55-0fa01baecd11"/>
    <n v="28"/>
    <s v="Male"/>
    <s v="Basic"/>
    <n v="0.43"/>
    <x v="21"/>
    <x v="4"/>
    <x v="0"/>
    <n v="8.99"/>
    <n v="1"/>
    <n v="8.99"/>
    <x v="4"/>
    <n v="3"/>
    <n v="0.06"/>
    <s v="Drama"/>
  </r>
  <r>
    <s v="5af2d5bd-47aa-435f-8ea9-f18bba61da3f"/>
    <n v="35"/>
    <s v="Male"/>
    <s v="Basic"/>
    <n v="43.84"/>
    <x v="37"/>
    <x v="4"/>
    <x v="0"/>
    <n v="8.99"/>
    <n v="0"/>
    <n v="0"/>
    <x v="0"/>
    <n v="4"/>
    <n v="1.75"/>
    <s v="Action"/>
  </r>
  <r>
    <s v="39218d93-3485-4f1a-b7db-f501deb29f04"/>
    <n v="56"/>
    <s v="Other"/>
    <s v="Standard"/>
    <n v="3.62"/>
    <x v="39"/>
    <x v="2"/>
    <x v="0"/>
    <n v="13.99"/>
    <n v="1"/>
    <n v="13.99"/>
    <x v="1"/>
    <n v="1"/>
    <n v="0.16"/>
    <s v="Horror"/>
  </r>
  <r>
    <s v="d763fc11-4943-4f8b-80c2-4de5ba439245"/>
    <n v="34"/>
    <s v="Female"/>
    <s v="Premium"/>
    <n v="1.67"/>
    <x v="0"/>
    <x v="0"/>
    <x v="4"/>
    <n v="17.989999999999998"/>
    <n v="1"/>
    <n v="17.989999999999998"/>
    <x v="4"/>
    <n v="1"/>
    <n v="0.06"/>
    <s v="Comedy"/>
  </r>
  <r>
    <s v="aacd3fe3-fdd1-415f-bdaf-a0d23aeb3c37"/>
    <n v="41"/>
    <s v="Female"/>
    <s v="Standard"/>
    <n v="7.91"/>
    <x v="45"/>
    <x v="2"/>
    <x v="3"/>
    <n v="13.99"/>
    <n v="0"/>
    <n v="0"/>
    <x v="3"/>
    <n v="4"/>
    <n v="0.19"/>
    <s v="Romance"/>
  </r>
  <r>
    <s v="26f6d31c-6d28-43f9-a56e-760eef8da91e"/>
    <n v="43"/>
    <s v="Other"/>
    <s v="Premium"/>
    <n v="7.18"/>
    <x v="59"/>
    <x v="5"/>
    <x v="3"/>
    <n v="17.989999999999998"/>
    <n v="0"/>
    <n v="0"/>
    <x v="1"/>
    <n v="5"/>
    <n v="1.2"/>
    <s v="Sci-Fi"/>
  </r>
  <r>
    <s v="1fc5bc15-e2ed-47e0-a8c3-78632ffeae19"/>
    <n v="56"/>
    <s v="Female"/>
    <s v="Standard"/>
    <n v="30.05"/>
    <x v="32"/>
    <x v="0"/>
    <x v="1"/>
    <n v="13.99"/>
    <n v="0"/>
    <n v="0"/>
    <x v="0"/>
    <n v="1"/>
    <n v="2"/>
    <s v="Horror"/>
  </r>
  <r>
    <s v="d9930885-add6-474c-91bd-a2f9d0d2629d"/>
    <n v="31"/>
    <s v="Female"/>
    <s v="Premium"/>
    <n v="0.56999999999999995"/>
    <x v="57"/>
    <x v="3"/>
    <x v="1"/>
    <n v="17.989999999999998"/>
    <n v="1"/>
    <n v="17.989999999999998"/>
    <x v="1"/>
    <n v="3"/>
    <n v="0.01"/>
    <s v="Action"/>
  </r>
  <r>
    <s v="b0204082-d07f-4b31-858a-7ece1b76fb30"/>
    <n v="46"/>
    <s v="Other"/>
    <s v="Standard"/>
    <n v="28.66"/>
    <x v="42"/>
    <x v="0"/>
    <x v="2"/>
    <n v="13.99"/>
    <n v="0"/>
    <n v="0"/>
    <x v="3"/>
    <n v="1"/>
    <n v="0.75"/>
    <s v="Comedy"/>
  </r>
  <r>
    <s v="f10c6464-abf4-4120-a49d-2b80657f5324"/>
    <n v="45"/>
    <s v="Male"/>
    <s v="Premium"/>
    <n v="18.07"/>
    <x v="17"/>
    <x v="2"/>
    <x v="4"/>
    <n v="17.989999999999998"/>
    <n v="0"/>
    <n v="0"/>
    <x v="0"/>
    <n v="1"/>
    <n v="3.61"/>
    <s v="Romance"/>
  </r>
  <r>
    <s v="23c526da-c76e-4a8c-82ea-838a7736f832"/>
    <n v="68"/>
    <s v="Female"/>
    <s v="Standard"/>
    <n v="36.44"/>
    <x v="52"/>
    <x v="3"/>
    <x v="1"/>
    <n v="13.99"/>
    <n v="0"/>
    <n v="0"/>
    <x v="0"/>
    <n v="3"/>
    <n v="0.73"/>
    <s v="Sci-Fi"/>
  </r>
  <r>
    <s v="bf9a7e56-2737-4931-a68d-e0b9696b65d7"/>
    <n v="29"/>
    <s v="Male"/>
    <s v="Standard"/>
    <n v="4.09"/>
    <x v="55"/>
    <x v="1"/>
    <x v="0"/>
    <n v="13.99"/>
    <n v="1"/>
    <n v="13.99"/>
    <x v="4"/>
    <n v="2"/>
    <n v="7.0000000000000007E-2"/>
    <s v="Sci-Fi"/>
  </r>
  <r>
    <s v="a88f8e6a-cf81-47eb-b982-5f73f413cf84"/>
    <n v="45"/>
    <s v="Other"/>
    <s v="Premium"/>
    <n v="8.9499999999999993"/>
    <x v="27"/>
    <x v="1"/>
    <x v="2"/>
    <n v="17.989999999999998"/>
    <n v="0"/>
    <n v="0"/>
    <x v="4"/>
    <n v="3"/>
    <n v="0.53"/>
    <s v="Sci-Fi"/>
  </r>
  <r>
    <s v="ee612990-fd6f-4b96-95c5-4c3d64a961a7"/>
    <n v="64"/>
    <s v="Male"/>
    <s v="Basic"/>
    <n v="1.84"/>
    <x v="41"/>
    <x v="3"/>
    <x v="4"/>
    <n v="8.99"/>
    <n v="1"/>
    <n v="8.99"/>
    <x v="4"/>
    <n v="4"/>
    <n v="0.06"/>
    <s v="Sci-Fi"/>
  </r>
  <r>
    <s v="70ef21fb-2720-408f-8d98-7070d307971b"/>
    <n v="57"/>
    <s v="Other"/>
    <s v="Standard"/>
    <n v="2.93"/>
    <x v="28"/>
    <x v="4"/>
    <x v="2"/>
    <n v="13.99"/>
    <n v="1"/>
    <n v="13.99"/>
    <x v="3"/>
    <n v="5"/>
    <n v="0.08"/>
    <s v="Drama"/>
  </r>
  <r>
    <s v="44e03489-87f8-4024-8ad0-24eb139168fe"/>
    <n v="27"/>
    <s v="Male"/>
    <s v="Basic"/>
    <n v="3.36"/>
    <x v="39"/>
    <x v="2"/>
    <x v="1"/>
    <n v="8.99"/>
    <n v="1"/>
    <n v="8.99"/>
    <x v="3"/>
    <n v="3"/>
    <n v="0.15"/>
    <s v="Romance"/>
  </r>
  <r>
    <s v="72556cf5-71a1-404b-bb96-e1d49e112ed3"/>
    <n v="30"/>
    <s v="Male"/>
    <s v="Premium"/>
    <n v="1.84"/>
    <x v="46"/>
    <x v="3"/>
    <x v="4"/>
    <n v="17.989999999999998"/>
    <n v="0"/>
    <n v="0"/>
    <x v="3"/>
    <n v="2"/>
    <n v="0.61"/>
    <s v="Action"/>
  </r>
  <r>
    <s v="94940860-8fc0-4fe9-a813-136e736dc785"/>
    <n v="69"/>
    <s v="Female"/>
    <s v="Standard"/>
    <n v="5.7"/>
    <x v="16"/>
    <x v="4"/>
    <x v="2"/>
    <n v="13.99"/>
    <n v="0"/>
    <n v="0"/>
    <x v="1"/>
    <n v="1"/>
    <n v="0.2"/>
    <s v="Horror"/>
  </r>
  <r>
    <s v="5d4f942c-5e0c-4e72-b7e5-c03cc4dc020c"/>
    <n v="33"/>
    <s v="Other"/>
    <s v="Basic"/>
    <n v="4.4400000000000004"/>
    <x v="54"/>
    <x v="2"/>
    <x v="1"/>
    <n v="8.99"/>
    <n v="1"/>
    <n v="8.99"/>
    <x v="1"/>
    <n v="1"/>
    <n v="0.15"/>
    <s v="Horror"/>
  </r>
  <r>
    <s v="6a1cf920-fbb2-4b70-881c-358c007bc43c"/>
    <n v="66"/>
    <s v="Female"/>
    <s v="Standard"/>
    <n v="32.75"/>
    <x v="45"/>
    <x v="0"/>
    <x v="4"/>
    <n v="13.99"/>
    <n v="0"/>
    <n v="0"/>
    <x v="4"/>
    <n v="1"/>
    <n v="0.78"/>
    <s v="Romance"/>
  </r>
  <r>
    <s v="8e64c096-6cc3-468e-b5bc-63c64e8ea64a"/>
    <n v="24"/>
    <s v="Female"/>
    <s v="Premium"/>
    <n v="15.52"/>
    <x v="12"/>
    <x v="1"/>
    <x v="0"/>
    <n v="17.989999999999998"/>
    <n v="1"/>
    <n v="17.989999999999998"/>
    <x v="1"/>
    <n v="1"/>
    <n v="0.46"/>
    <s v="Romance"/>
  </r>
  <r>
    <s v="c38f1921-4fc2-4350-a1e1-c0aaeedf1654"/>
    <n v="45"/>
    <s v="Male"/>
    <s v="Basic"/>
    <n v="0.28999999999999998"/>
    <x v="29"/>
    <x v="3"/>
    <x v="4"/>
    <n v="8.99"/>
    <n v="1"/>
    <n v="8.99"/>
    <x v="2"/>
    <n v="2"/>
    <n v="0.01"/>
    <s v="Documentary"/>
  </r>
  <r>
    <s v="dcc0039c-307a-4d72-a67e-a69688d676db"/>
    <n v="19"/>
    <s v="Other"/>
    <s v="Premium"/>
    <n v="1.68"/>
    <x v="20"/>
    <x v="0"/>
    <x v="4"/>
    <n v="17.989999999999998"/>
    <n v="0"/>
    <n v="0"/>
    <x v="3"/>
    <n v="4"/>
    <n v="0.09"/>
    <s v="Horror"/>
  </r>
  <r>
    <s v="6c89b2aa-65db-477b-8a60-5d8da393950f"/>
    <n v="33"/>
    <s v="Male"/>
    <s v="Premium"/>
    <n v="22.26"/>
    <x v="28"/>
    <x v="1"/>
    <x v="4"/>
    <n v="17.989999999999998"/>
    <n v="0"/>
    <n v="0"/>
    <x v="2"/>
    <n v="3"/>
    <n v="0.62"/>
    <s v="Drama"/>
  </r>
  <r>
    <s v="91c178ba-d603-4aa5-8a9f-f872b9e9ee38"/>
    <n v="43"/>
    <s v="Male"/>
    <s v="Standard"/>
    <n v="26.79"/>
    <x v="21"/>
    <x v="0"/>
    <x v="0"/>
    <n v="13.99"/>
    <n v="0"/>
    <n v="0"/>
    <x v="4"/>
    <n v="3"/>
    <n v="3.83"/>
    <s v="Comedy"/>
  </r>
  <r>
    <s v="2a2087f5-d137-4320-a395-2352acab3eef"/>
    <n v="19"/>
    <s v="Female"/>
    <s v="Basic"/>
    <n v="48.49"/>
    <x v="13"/>
    <x v="1"/>
    <x v="0"/>
    <n v="8.99"/>
    <n v="0"/>
    <n v="0"/>
    <x v="2"/>
    <n v="4"/>
    <n v="6.06"/>
    <s v="Action"/>
  </r>
  <r>
    <s v="e874713c-7349-4582-806f-1fb0d743ab6c"/>
    <n v="64"/>
    <s v="Other"/>
    <s v="Premium"/>
    <n v="1.83"/>
    <x v="25"/>
    <x v="0"/>
    <x v="4"/>
    <n v="17.989999999999998"/>
    <n v="0"/>
    <n v="0"/>
    <x v="3"/>
    <n v="1"/>
    <n v="1.83"/>
    <s v="Romance"/>
  </r>
  <r>
    <s v="75bb1697-a008-4d94-9307-8652f6b88827"/>
    <n v="42"/>
    <s v="Other"/>
    <s v="Standard"/>
    <n v="6.91"/>
    <x v="38"/>
    <x v="2"/>
    <x v="1"/>
    <n v="13.99"/>
    <n v="0"/>
    <n v="0"/>
    <x v="0"/>
    <n v="4"/>
    <n v="0.31"/>
    <s v="Drama"/>
  </r>
  <r>
    <s v="f5edc841-bc01-4908-ae59-2051c2757a7b"/>
    <n v="63"/>
    <s v="Male"/>
    <s v="Premium"/>
    <n v="50.34"/>
    <x v="27"/>
    <x v="1"/>
    <x v="0"/>
    <n v="17.989999999999998"/>
    <n v="0"/>
    <n v="0"/>
    <x v="1"/>
    <n v="5"/>
    <n v="2.96"/>
    <s v="Romance"/>
  </r>
  <r>
    <s v="95da76ce-dc72-4192-b15d-57b576909335"/>
    <n v="37"/>
    <s v="Other"/>
    <s v="Basic"/>
    <n v="11.16"/>
    <x v="11"/>
    <x v="5"/>
    <x v="4"/>
    <n v="8.99"/>
    <n v="0"/>
    <n v="0"/>
    <x v="3"/>
    <n v="2"/>
    <n v="0.47"/>
    <s v="Documentary"/>
  </r>
  <r>
    <s v="5152898c-b43a-4087-93bc-4ec283f379b2"/>
    <n v="60"/>
    <s v="Male"/>
    <s v="Basic"/>
    <n v="5.34"/>
    <x v="20"/>
    <x v="2"/>
    <x v="0"/>
    <n v="8.99"/>
    <n v="0"/>
    <n v="0"/>
    <x v="4"/>
    <n v="2"/>
    <n v="0.28000000000000003"/>
    <s v="Drama"/>
  </r>
  <r>
    <s v="eee51db1-409b-4642-becb-311ad53094a2"/>
    <n v="64"/>
    <s v="Male"/>
    <s v="Basic"/>
    <n v="19.100000000000001"/>
    <x v="41"/>
    <x v="1"/>
    <x v="4"/>
    <n v="8.99"/>
    <n v="0"/>
    <n v="0"/>
    <x v="4"/>
    <n v="4"/>
    <n v="0.62"/>
    <s v="Documentary"/>
  </r>
  <r>
    <s v="c8363c4a-8478-4498-b1fb-f6c33222e11d"/>
    <n v="18"/>
    <s v="Female"/>
    <s v="Basic"/>
    <n v="1.97"/>
    <x v="44"/>
    <x v="4"/>
    <x v="0"/>
    <n v="8.99"/>
    <n v="1"/>
    <n v="8.99"/>
    <x v="1"/>
    <n v="2"/>
    <n v="0.04"/>
    <s v="Action"/>
  </r>
  <r>
    <s v="8ba829fb-fe7c-47f4-89db-241934a74db6"/>
    <n v="61"/>
    <s v="Female"/>
    <s v="Standard"/>
    <n v="2.54"/>
    <x v="52"/>
    <x v="4"/>
    <x v="0"/>
    <n v="13.99"/>
    <n v="1"/>
    <n v="13.99"/>
    <x v="0"/>
    <n v="3"/>
    <n v="0.05"/>
    <s v="Drama"/>
  </r>
  <r>
    <s v="6bf1d15a-7ede-4fa1-8ac3-ca10566780ea"/>
    <n v="70"/>
    <s v="Other"/>
    <s v="Basic"/>
    <n v="13.09"/>
    <x v="4"/>
    <x v="2"/>
    <x v="4"/>
    <n v="8.99"/>
    <n v="0"/>
    <n v="0"/>
    <x v="2"/>
    <n v="2"/>
    <n v="0.93"/>
    <s v="Comedy"/>
  </r>
  <r>
    <s v="c3f2e7fd-8b89-48a5-8327-6db568e73a64"/>
    <n v="43"/>
    <s v="Female"/>
    <s v="Standard"/>
    <n v="3.16"/>
    <x v="13"/>
    <x v="2"/>
    <x v="1"/>
    <n v="13.99"/>
    <n v="1"/>
    <n v="13.99"/>
    <x v="3"/>
    <n v="2"/>
    <n v="0.4"/>
    <s v="Sci-Fi"/>
  </r>
  <r>
    <s v="ad7ef66f-b1ff-4e88-a13a-3a031501a8cb"/>
    <n v="20"/>
    <s v="Male"/>
    <s v="Basic"/>
    <n v="3.38"/>
    <x v="8"/>
    <x v="1"/>
    <x v="0"/>
    <n v="8.99"/>
    <n v="1"/>
    <n v="8.99"/>
    <x v="4"/>
    <n v="5"/>
    <n v="0.1"/>
    <s v="Romance"/>
  </r>
  <r>
    <s v="12ddaf98-d735-4343-954a-5269936b4d85"/>
    <n v="49"/>
    <s v="Other"/>
    <s v="Basic"/>
    <n v="1.17"/>
    <x v="44"/>
    <x v="4"/>
    <x v="2"/>
    <n v="8.99"/>
    <n v="1"/>
    <n v="8.99"/>
    <x v="2"/>
    <n v="1"/>
    <n v="0.02"/>
    <s v="Romance"/>
  </r>
  <r>
    <s v="28028f3f-af46-4e13-b3cd-d32ab1279c48"/>
    <n v="40"/>
    <s v="Male"/>
    <s v="Basic"/>
    <n v="4.92"/>
    <x v="41"/>
    <x v="5"/>
    <x v="4"/>
    <n v="8.99"/>
    <n v="1"/>
    <n v="8.99"/>
    <x v="4"/>
    <n v="5"/>
    <n v="0.16"/>
    <s v="Documentary"/>
  </r>
  <r>
    <s v="ab76d3cc-b330-42c9-ad6b-28b5e707a64d"/>
    <n v="63"/>
    <s v="Male"/>
    <s v="Basic"/>
    <n v="2.2400000000000002"/>
    <x v="16"/>
    <x v="0"/>
    <x v="1"/>
    <n v="8.99"/>
    <n v="1"/>
    <n v="8.99"/>
    <x v="4"/>
    <n v="4"/>
    <n v="0.08"/>
    <s v="Drama"/>
  </r>
  <r>
    <s v="1adad285-b2b1-4090-84b5-21d9aa4d1922"/>
    <n v="30"/>
    <s v="Other"/>
    <s v="Premium"/>
    <n v="4.45"/>
    <x v="19"/>
    <x v="1"/>
    <x v="1"/>
    <n v="17.989999999999998"/>
    <n v="1"/>
    <n v="17.989999999999998"/>
    <x v="0"/>
    <n v="4"/>
    <n v="0.1"/>
    <s v="Action"/>
  </r>
  <r>
    <s v="76ee5c7f-f3c8-49ae-b448-a2510b0bd954"/>
    <n v="53"/>
    <s v="Male"/>
    <s v="Premium"/>
    <n v="11.18"/>
    <x v="1"/>
    <x v="4"/>
    <x v="4"/>
    <n v="17.989999999999998"/>
    <n v="0"/>
    <n v="0"/>
    <x v="3"/>
    <n v="4"/>
    <n v="0.56000000000000005"/>
    <s v="Comedy"/>
  </r>
  <r>
    <s v="23cfb542-2422-44ab-9acf-48096caccd3c"/>
    <n v="18"/>
    <s v="Other"/>
    <s v="Premium"/>
    <n v="9.52"/>
    <x v="59"/>
    <x v="3"/>
    <x v="3"/>
    <n v="17.989999999999998"/>
    <n v="0"/>
    <n v="0"/>
    <x v="0"/>
    <n v="2"/>
    <n v="1.59"/>
    <s v="Drama"/>
  </r>
  <r>
    <s v="c32bafe7-6744-4901-bf9a-fa83bda82088"/>
    <n v="39"/>
    <s v="Other"/>
    <s v="Standard"/>
    <n v="0.75"/>
    <x v="16"/>
    <x v="0"/>
    <x v="2"/>
    <n v="13.99"/>
    <n v="1"/>
    <n v="13.99"/>
    <x v="1"/>
    <n v="4"/>
    <n v="0.03"/>
    <s v="Romance"/>
  </r>
  <r>
    <s v="c18a0290-a6c6-4d07-9641-5255c31da967"/>
    <n v="70"/>
    <s v="Male"/>
    <s v="Standard"/>
    <n v="13.92"/>
    <x v="18"/>
    <x v="5"/>
    <x v="2"/>
    <n v="13.99"/>
    <n v="1"/>
    <n v="13.99"/>
    <x v="1"/>
    <n v="1"/>
    <n v="0.24"/>
    <s v="Action"/>
  </r>
  <r>
    <s v="3ad7f42c-02c6-469e-915c-cc1d57bba996"/>
    <n v="19"/>
    <s v="Male"/>
    <s v="Premium"/>
    <n v="5.34"/>
    <x v="25"/>
    <x v="1"/>
    <x v="4"/>
    <n v="17.989999999999998"/>
    <n v="0"/>
    <n v="0"/>
    <x v="4"/>
    <n v="3"/>
    <n v="5.34"/>
    <s v="Documentary"/>
  </r>
  <r>
    <s v="ce97c787-6a6c-4162-aeda-19b2f014d2ff"/>
    <n v="48"/>
    <s v="Other"/>
    <s v="Basic"/>
    <n v="10.9"/>
    <x v="5"/>
    <x v="3"/>
    <x v="1"/>
    <n v="8.99"/>
    <n v="1"/>
    <n v="8.99"/>
    <x v="1"/>
    <n v="2"/>
    <n v="0.4"/>
    <s v="Horror"/>
  </r>
  <r>
    <s v="4f064243-4e60-4a9b-ab4e-b4b262969f53"/>
    <n v="26"/>
    <s v="Male"/>
    <s v="Premium"/>
    <n v="8.1300000000000008"/>
    <x v="3"/>
    <x v="4"/>
    <x v="2"/>
    <n v="17.989999999999998"/>
    <n v="0"/>
    <n v="0"/>
    <x v="4"/>
    <n v="4"/>
    <n v="0.63"/>
    <s v="Sci-Fi"/>
  </r>
  <r>
    <s v="87badf81-7a2d-4bbe-a869-321a3ca58275"/>
    <n v="48"/>
    <s v="Female"/>
    <s v="Standard"/>
    <n v="17.03"/>
    <x v="18"/>
    <x v="1"/>
    <x v="0"/>
    <n v="13.99"/>
    <n v="0"/>
    <n v="0"/>
    <x v="2"/>
    <n v="5"/>
    <n v="0.28999999999999998"/>
    <s v="Action"/>
  </r>
  <r>
    <s v="3cd1c05f-5575-4a10-ac1f-b67337a7acaf"/>
    <n v="19"/>
    <s v="Female"/>
    <s v="Premium"/>
    <n v="4.7300000000000004"/>
    <x v="45"/>
    <x v="2"/>
    <x v="4"/>
    <n v="17.989999999999998"/>
    <n v="1"/>
    <n v="17.989999999999998"/>
    <x v="1"/>
    <n v="2"/>
    <n v="0.11"/>
    <s v="Drama"/>
  </r>
  <r>
    <s v="336a2ae7-f0bc-4aa5-8fc8-540c138b7d3c"/>
    <n v="70"/>
    <s v="Male"/>
    <s v="Basic"/>
    <n v="110.4"/>
    <x v="12"/>
    <x v="0"/>
    <x v="3"/>
    <n v="8.99"/>
    <n v="0"/>
    <n v="0"/>
    <x v="3"/>
    <n v="5"/>
    <n v="3.25"/>
    <s v="Horror"/>
  </r>
  <r>
    <s v="7e9ddb87-4b17-40c9-aa12-a070f3720693"/>
    <n v="18"/>
    <s v="Female"/>
    <s v="Standard"/>
    <n v="5.32"/>
    <x v="20"/>
    <x v="2"/>
    <x v="3"/>
    <n v="13.99"/>
    <n v="0"/>
    <n v="0"/>
    <x v="0"/>
    <n v="3"/>
    <n v="0.28000000000000003"/>
    <s v="Sci-Fi"/>
  </r>
  <r>
    <s v="c1d1ae44-0bc9-49ee-b2ae-e2d6fb2bf599"/>
    <n v="58"/>
    <s v="Female"/>
    <s v="Standard"/>
    <n v="2.5099999999999998"/>
    <x v="43"/>
    <x v="5"/>
    <x v="3"/>
    <n v="13.99"/>
    <n v="1"/>
    <n v="13.99"/>
    <x v="3"/>
    <n v="5"/>
    <n v="0.08"/>
    <s v="Drama"/>
  </r>
  <r>
    <s v="b819383f-8219-47be-a119-7c9225b5436c"/>
    <n v="57"/>
    <s v="Male"/>
    <s v="Premium"/>
    <n v="44.65"/>
    <x v="24"/>
    <x v="3"/>
    <x v="4"/>
    <n v="17.989999999999998"/>
    <n v="0"/>
    <n v="0"/>
    <x v="4"/>
    <n v="5"/>
    <n v="0.84"/>
    <s v="Comedy"/>
  </r>
  <r>
    <s v="7c1dfa22-78a1-4be1-a9c9-929801f14b1c"/>
    <n v="47"/>
    <s v="Other"/>
    <s v="Standard"/>
    <n v="1.59"/>
    <x v="8"/>
    <x v="3"/>
    <x v="1"/>
    <n v="13.99"/>
    <n v="1"/>
    <n v="13.99"/>
    <x v="0"/>
    <n v="1"/>
    <n v="0.05"/>
    <s v="Comedy"/>
  </r>
  <r>
    <s v="a7ffdf22-b673-4b5a-aed8-8c53ed42814d"/>
    <n v="22"/>
    <s v="Other"/>
    <s v="Premium"/>
    <n v="32.25"/>
    <x v="41"/>
    <x v="0"/>
    <x v="0"/>
    <n v="17.989999999999998"/>
    <n v="0"/>
    <n v="0"/>
    <x v="0"/>
    <n v="2"/>
    <n v="1.04"/>
    <s v="Romance"/>
  </r>
  <r>
    <s v="958219d9-6c45-4863-ae79-e0580f7936a0"/>
    <n v="52"/>
    <s v="Other"/>
    <s v="Premium"/>
    <n v="1.42"/>
    <x v="29"/>
    <x v="5"/>
    <x v="4"/>
    <n v="17.989999999999998"/>
    <n v="1"/>
    <n v="17.989999999999998"/>
    <x v="3"/>
    <n v="5"/>
    <n v="0.03"/>
    <s v="Horror"/>
  </r>
  <r>
    <s v="cdcea36d-e4be-42ff-8df1-f792147643fc"/>
    <n v="53"/>
    <s v="Other"/>
    <s v="Standard"/>
    <n v="3.68"/>
    <x v="22"/>
    <x v="3"/>
    <x v="4"/>
    <n v="13.99"/>
    <n v="1"/>
    <n v="13.99"/>
    <x v="3"/>
    <n v="1"/>
    <n v="7.0000000000000007E-2"/>
    <s v="Documentary"/>
  </r>
  <r>
    <s v="71243054-81b6-43a9-bea5-0bb0a0b2cf11"/>
    <n v="34"/>
    <s v="Other"/>
    <s v="Premium"/>
    <n v="1.41"/>
    <x v="6"/>
    <x v="4"/>
    <x v="0"/>
    <n v="17.989999999999998"/>
    <n v="0"/>
    <n v="0"/>
    <x v="4"/>
    <n v="4"/>
    <n v="7.0000000000000007E-2"/>
    <s v="Action"/>
  </r>
  <r>
    <s v="f10cd6c5-f3ec-43e7-a296-ccfa7f15942e"/>
    <n v="46"/>
    <s v="Male"/>
    <s v="Basic"/>
    <n v="1.6"/>
    <x v="43"/>
    <x v="5"/>
    <x v="3"/>
    <n v="8.99"/>
    <n v="1"/>
    <n v="8.99"/>
    <x v="1"/>
    <n v="3"/>
    <n v="0.05"/>
    <s v="Drama"/>
  </r>
  <r>
    <s v="cde28795-9a83-4b21-85a4-2fdd628430a5"/>
    <n v="33"/>
    <s v="Male"/>
    <s v="Premium"/>
    <n v="12"/>
    <x v="20"/>
    <x v="0"/>
    <x v="2"/>
    <n v="17.989999999999998"/>
    <n v="0"/>
    <n v="0"/>
    <x v="2"/>
    <n v="3"/>
    <n v="0.63"/>
    <s v="Comedy"/>
  </r>
  <r>
    <s v="0d2e7cf3-53e8-4ff5-8385-3d2047301d5a"/>
    <n v="59"/>
    <s v="Other"/>
    <s v="Basic"/>
    <n v="10.68"/>
    <x v="4"/>
    <x v="2"/>
    <x v="0"/>
    <n v="8.99"/>
    <n v="0"/>
    <n v="0"/>
    <x v="2"/>
    <n v="1"/>
    <n v="0.76"/>
    <s v="Romance"/>
  </r>
  <r>
    <s v="5816a80b-d30e-4f74-b896-66982b245ac2"/>
    <n v="51"/>
    <s v="Other"/>
    <s v="Standard"/>
    <n v="1.23"/>
    <x v="17"/>
    <x v="1"/>
    <x v="4"/>
    <n v="13.99"/>
    <n v="0"/>
    <n v="0"/>
    <x v="4"/>
    <n v="4"/>
    <n v="0.25"/>
    <s v="Comedy"/>
  </r>
  <r>
    <s v="8b321e79-2eea-4412-8d82-1d3178d5bf05"/>
    <n v="36"/>
    <s v="Male"/>
    <s v="Basic"/>
    <n v="0.38"/>
    <x v="35"/>
    <x v="3"/>
    <x v="2"/>
    <n v="8.99"/>
    <n v="1"/>
    <n v="8.99"/>
    <x v="1"/>
    <n v="2"/>
    <n v="0.01"/>
    <s v="Comedy"/>
  </r>
  <r>
    <s v="dfcfa9b7-1cf2-4fc2-a671-12b758a6d6fd"/>
    <n v="31"/>
    <s v="Female"/>
    <s v="Basic"/>
    <n v="9.3800000000000008"/>
    <x v="49"/>
    <x v="0"/>
    <x v="0"/>
    <n v="8.99"/>
    <n v="0"/>
    <n v="0"/>
    <x v="1"/>
    <n v="1"/>
    <n v="0.94"/>
    <s v="Horror"/>
  </r>
  <r>
    <s v="e502bbd1-d79d-4705-b2f8-51d3d0da534a"/>
    <n v="22"/>
    <s v="Other"/>
    <s v="Premium"/>
    <n v="10.69"/>
    <x v="13"/>
    <x v="0"/>
    <x v="0"/>
    <n v="17.989999999999998"/>
    <n v="0"/>
    <n v="0"/>
    <x v="0"/>
    <n v="2"/>
    <n v="1.34"/>
    <s v="Drama"/>
  </r>
  <r>
    <s v="126bb497-94e7-4c3e-b7e4-58f87b347217"/>
    <n v="27"/>
    <s v="Other"/>
    <s v="Basic"/>
    <n v="8.8800000000000008"/>
    <x v="44"/>
    <x v="2"/>
    <x v="0"/>
    <n v="8.99"/>
    <n v="1"/>
    <n v="8.99"/>
    <x v="2"/>
    <n v="2"/>
    <n v="0.19"/>
    <s v="Action"/>
  </r>
  <r>
    <s v="783256b2-4209-4768-8239-6c32fd358074"/>
    <n v="26"/>
    <s v="Male"/>
    <s v="Basic"/>
    <n v="2.1800000000000002"/>
    <x v="42"/>
    <x v="1"/>
    <x v="1"/>
    <n v="8.99"/>
    <n v="1"/>
    <n v="8.99"/>
    <x v="3"/>
    <n v="5"/>
    <n v="0.06"/>
    <s v="Comedy"/>
  </r>
  <r>
    <s v="399c1cff-c016-45b4-b2b0-984443300064"/>
    <n v="54"/>
    <s v="Male"/>
    <s v="Basic"/>
    <n v="30"/>
    <x v="49"/>
    <x v="2"/>
    <x v="4"/>
    <n v="8.99"/>
    <n v="0"/>
    <n v="0"/>
    <x v="4"/>
    <n v="4"/>
    <n v="3"/>
    <s v="Drama"/>
  </r>
  <r>
    <s v="728cb69b-4920-4d86-83ce-8c89da725583"/>
    <n v="45"/>
    <s v="Male"/>
    <s v="Premium"/>
    <n v="17.57"/>
    <x v="42"/>
    <x v="0"/>
    <x v="0"/>
    <n v="17.989999999999998"/>
    <n v="0"/>
    <n v="0"/>
    <x v="3"/>
    <n v="4"/>
    <n v="0.46"/>
    <s v="Horror"/>
  </r>
  <r>
    <s v="9347980b-009d-4c3f-99d8-e7c509a64747"/>
    <n v="44"/>
    <s v="Female"/>
    <s v="Basic"/>
    <n v="6"/>
    <x v="35"/>
    <x v="1"/>
    <x v="2"/>
    <n v="8.99"/>
    <n v="1"/>
    <n v="8.99"/>
    <x v="1"/>
    <n v="4"/>
    <n v="0.13"/>
    <s v="Horror"/>
  </r>
  <r>
    <s v="1b8d684d-619c-41b0-9e21-ae96bf84dcf7"/>
    <n v="24"/>
    <s v="Other"/>
    <s v="Standard"/>
    <n v="0.72"/>
    <x v="7"/>
    <x v="4"/>
    <x v="0"/>
    <n v="13.99"/>
    <n v="1"/>
    <n v="13.99"/>
    <x v="1"/>
    <n v="2"/>
    <n v="0.01"/>
    <s v="Romance"/>
  </r>
  <r>
    <s v="8f4a47f4-7b2a-4afc-b520-7b99b5ab2b37"/>
    <n v="64"/>
    <s v="Male"/>
    <s v="Premium"/>
    <n v="2.66"/>
    <x v="18"/>
    <x v="5"/>
    <x v="3"/>
    <n v="17.989999999999998"/>
    <n v="1"/>
    <n v="17.989999999999998"/>
    <x v="4"/>
    <n v="2"/>
    <n v="0.05"/>
    <s v="Romance"/>
  </r>
  <r>
    <s v="96ff8ebe-a6e9-4cdc-ba8f-cd8ab503887e"/>
    <n v="41"/>
    <s v="Female"/>
    <s v="Standard"/>
    <n v="4.13"/>
    <x v="5"/>
    <x v="2"/>
    <x v="0"/>
    <n v="13.99"/>
    <n v="1"/>
    <n v="13.99"/>
    <x v="3"/>
    <n v="3"/>
    <n v="0.15"/>
    <s v="Horror"/>
  </r>
  <r>
    <s v="6e4404fd-2f42-4a86-8d30-769a4f940474"/>
    <n v="42"/>
    <s v="Other"/>
    <s v="Premium"/>
    <n v="0.15"/>
    <x v="59"/>
    <x v="4"/>
    <x v="4"/>
    <n v="17.989999999999998"/>
    <n v="0"/>
    <n v="0"/>
    <x v="2"/>
    <n v="4"/>
    <n v="0.02"/>
    <s v="Sci-Fi"/>
  </r>
  <r>
    <s v="aaddbc84-7ee8-4c0f-8e0c-16ca63dd7881"/>
    <n v="30"/>
    <s v="Female"/>
    <s v="Premium"/>
    <n v="6.24"/>
    <x v="0"/>
    <x v="3"/>
    <x v="4"/>
    <n v="17.989999999999998"/>
    <n v="0"/>
    <n v="0"/>
    <x v="0"/>
    <n v="3"/>
    <n v="0.21"/>
    <s v="Sci-Fi"/>
  </r>
  <r>
    <s v="8dc81534-c8a1-4a55-8f4c-5e34ba2ae7bc"/>
    <n v="28"/>
    <s v="Male"/>
    <s v="Standard"/>
    <n v="10.69"/>
    <x v="48"/>
    <x v="2"/>
    <x v="2"/>
    <n v="13.99"/>
    <n v="1"/>
    <n v="13.99"/>
    <x v="1"/>
    <n v="3"/>
    <n v="0.21"/>
    <s v="Comedy"/>
  </r>
  <r>
    <s v="ba083146-d48c-4d1f-aca2-ca4bc5d6178a"/>
    <n v="24"/>
    <s v="Female"/>
    <s v="Basic"/>
    <n v="26.07"/>
    <x v="16"/>
    <x v="2"/>
    <x v="2"/>
    <n v="8.99"/>
    <n v="0"/>
    <n v="0"/>
    <x v="4"/>
    <n v="2"/>
    <n v="0.93"/>
    <s v="Sci-Fi"/>
  </r>
  <r>
    <s v="f6f6624a-b2d0-4655-a972-f9bec17a6ee4"/>
    <n v="23"/>
    <s v="Other"/>
    <s v="Premium"/>
    <n v="12.51"/>
    <x v="40"/>
    <x v="1"/>
    <x v="1"/>
    <n v="17.989999999999998"/>
    <n v="0"/>
    <n v="0"/>
    <x v="1"/>
    <n v="4"/>
    <n v="1.04"/>
    <s v="Documentary"/>
  </r>
  <r>
    <s v="458dc247-15ed-4e76-aa27-d2f194e47d2a"/>
    <n v="30"/>
    <s v="Female"/>
    <s v="Basic"/>
    <n v="1.6"/>
    <x v="7"/>
    <x v="1"/>
    <x v="3"/>
    <n v="8.99"/>
    <n v="1"/>
    <n v="8.99"/>
    <x v="2"/>
    <n v="2"/>
    <n v="0.03"/>
    <s v="Horror"/>
  </r>
  <r>
    <s v="c889501d-97d7-4383-9fcf-9c87840e4a43"/>
    <n v="35"/>
    <s v="Female"/>
    <s v="Basic"/>
    <n v="1.1000000000000001"/>
    <x v="33"/>
    <x v="5"/>
    <x v="2"/>
    <n v="8.99"/>
    <n v="1"/>
    <n v="8.99"/>
    <x v="3"/>
    <n v="2"/>
    <n v="0.04"/>
    <s v="Horror"/>
  </r>
  <r>
    <s v="18fdd87e-1221-4b90-a8ac-c80d74f6511f"/>
    <n v="22"/>
    <s v="Other"/>
    <s v="Premium"/>
    <n v="17.850000000000001"/>
    <x v="44"/>
    <x v="4"/>
    <x v="0"/>
    <n v="17.989999999999998"/>
    <n v="1"/>
    <n v="17.989999999999998"/>
    <x v="3"/>
    <n v="2"/>
    <n v="0.38"/>
    <s v="Romance"/>
  </r>
  <r>
    <s v="74e8480b-6d93-4e54-8298-026036832022"/>
    <n v="35"/>
    <s v="Female"/>
    <s v="Basic"/>
    <n v="1.1000000000000001"/>
    <x v="28"/>
    <x v="0"/>
    <x v="0"/>
    <n v="8.99"/>
    <n v="1"/>
    <n v="8.99"/>
    <x v="3"/>
    <n v="2"/>
    <n v="0.03"/>
    <s v="Sci-Fi"/>
  </r>
  <r>
    <s v="5f0daf72-991e-4edc-a8c2-c1a330351e9a"/>
    <n v="35"/>
    <s v="Female"/>
    <s v="Basic"/>
    <n v="37.93"/>
    <x v="32"/>
    <x v="0"/>
    <x v="3"/>
    <n v="8.99"/>
    <n v="0"/>
    <n v="0"/>
    <x v="1"/>
    <n v="4"/>
    <n v="2.5299999999999998"/>
    <s v="Romance"/>
  </r>
  <r>
    <s v="ca75f885-2393-40f3-bd87-28f761ef8487"/>
    <n v="22"/>
    <s v="Female"/>
    <s v="Basic"/>
    <n v="0.68"/>
    <x v="38"/>
    <x v="3"/>
    <x v="0"/>
    <n v="8.99"/>
    <n v="1"/>
    <n v="8.99"/>
    <x v="2"/>
    <n v="1"/>
    <n v="0.03"/>
    <s v="Action"/>
  </r>
  <r>
    <s v="2bcf8e3c-c68d-4343-9d6f-8a0d4406a4cb"/>
    <n v="43"/>
    <s v="Male"/>
    <s v="Premium"/>
    <n v="13.49"/>
    <x v="60"/>
    <x v="1"/>
    <x v="3"/>
    <n v="17.989999999999998"/>
    <n v="0"/>
    <n v="0"/>
    <x v="0"/>
    <n v="4"/>
    <n v="1.5"/>
    <s v="Documentary"/>
  </r>
  <r>
    <s v="984019b7-1f52-407c-a36f-8288f6a141a0"/>
    <n v="33"/>
    <s v="Male"/>
    <s v="Premium"/>
    <n v="0.69"/>
    <x v="4"/>
    <x v="2"/>
    <x v="4"/>
    <n v="17.989999999999998"/>
    <n v="1"/>
    <n v="17.989999999999998"/>
    <x v="1"/>
    <n v="4"/>
    <n v="0.05"/>
    <s v="Documentary"/>
  </r>
  <r>
    <s v="6f60718e-5a94-4ed6-9350-982f44c4166c"/>
    <n v="48"/>
    <s v="Female"/>
    <s v="Premium"/>
    <n v="10.54"/>
    <x v="1"/>
    <x v="1"/>
    <x v="1"/>
    <n v="17.989999999999998"/>
    <n v="0"/>
    <n v="0"/>
    <x v="4"/>
    <n v="1"/>
    <n v="0.53"/>
    <s v="Sci-Fi"/>
  </r>
  <r>
    <s v="5d21578a-b614-4939-9ce3-0c2e84aed9a4"/>
    <n v="68"/>
    <s v="Female"/>
    <s v="Premium"/>
    <n v="1.85"/>
    <x v="47"/>
    <x v="1"/>
    <x v="4"/>
    <n v="17.989999999999998"/>
    <n v="0"/>
    <n v="0"/>
    <x v="0"/>
    <n v="5"/>
    <n v="0.46"/>
    <s v="Romance"/>
  </r>
  <r>
    <s v="9731c4f5-6e17-4efb-8757-47e7b6491b02"/>
    <n v="58"/>
    <s v="Other"/>
    <s v="Standard"/>
    <n v="1.32"/>
    <x v="0"/>
    <x v="3"/>
    <x v="1"/>
    <n v="13.99"/>
    <n v="1"/>
    <n v="13.99"/>
    <x v="3"/>
    <n v="2"/>
    <n v="0.04"/>
    <s v="Documentary"/>
  </r>
  <r>
    <s v="0601af52-dab0-4113-9231-3a750db99347"/>
    <n v="49"/>
    <s v="Other"/>
    <s v="Basic"/>
    <n v="10.47"/>
    <x v="19"/>
    <x v="0"/>
    <x v="2"/>
    <n v="8.99"/>
    <n v="1"/>
    <n v="8.99"/>
    <x v="2"/>
    <n v="5"/>
    <n v="0.24"/>
    <s v="Documentary"/>
  </r>
  <r>
    <s v="bf7c20e7-a641-4744-b5f5-77726be8761b"/>
    <n v="24"/>
    <s v="Other"/>
    <s v="Basic"/>
    <n v="2.59"/>
    <x v="37"/>
    <x v="5"/>
    <x v="1"/>
    <n v="8.99"/>
    <n v="1"/>
    <n v="8.99"/>
    <x v="0"/>
    <n v="3"/>
    <n v="0.1"/>
    <s v="Horror"/>
  </r>
  <r>
    <s v="b1f58e6d-869a-4bcc-b8ef-85c692608b44"/>
    <n v="66"/>
    <s v="Other"/>
    <s v="Standard"/>
    <n v="26.89"/>
    <x v="51"/>
    <x v="0"/>
    <x v="3"/>
    <n v="13.99"/>
    <n v="0"/>
    <n v="0"/>
    <x v="0"/>
    <n v="1"/>
    <n v="1.49"/>
    <s v="Documentary"/>
  </r>
  <r>
    <s v="615bf370-1547-4522-bd9a-095ea804c262"/>
    <n v="26"/>
    <s v="Male"/>
    <s v="Premium"/>
    <n v="1.87"/>
    <x v="5"/>
    <x v="4"/>
    <x v="0"/>
    <n v="17.989999999999998"/>
    <n v="1"/>
    <n v="17.989999999999998"/>
    <x v="1"/>
    <n v="3"/>
    <n v="7.0000000000000007E-2"/>
    <s v="Comedy"/>
  </r>
  <r>
    <s v="6b9ea7e4-5a75-4ad1-8e49-8b47731862a2"/>
    <n v="32"/>
    <s v="Female"/>
    <s v="Basic"/>
    <n v="6.82"/>
    <x v="53"/>
    <x v="0"/>
    <x v="1"/>
    <n v="8.99"/>
    <n v="1"/>
    <n v="8.99"/>
    <x v="4"/>
    <n v="5"/>
    <n v="0.16"/>
    <s v="Comedy"/>
  </r>
  <r>
    <s v="28e352ce-75b6-4fe3-8f57-ea1b0757ae28"/>
    <n v="54"/>
    <s v="Female"/>
    <s v="Basic"/>
    <n v="6.76"/>
    <x v="24"/>
    <x v="2"/>
    <x v="4"/>
    <n v="8.99"/>
    <n v="1"/>
    <n v="8.99"/>
    <x v="3"/>
    <n v="5"/>
    <n v="0.13"/>
    <s v="Drama"/>
  </r>
  <r>
    <s v="ca30626a-76d6-4200-a884-9883377bfbc5"/>
    <n v="45"/>
    <s v="Female"/>
    <s v="Premium"/>
    <n v="1.85"/>
    <x v="11"/>
    <x v="2"/>
    <x v="0"/>
    <n v="17.989999999999998"/>
    <n v="1"/>
    <n v="17.989999999999998"/>
    <x v="1"/>
    <n v="5"/>
    <n v="0.08"/>
    <s v="Sci-Fi"/>
  </r>
  <r>
    <s v="5bf1d96e-c284-4dae-851a-3b2cc3922dc9"/>
    <n v="59"/>
    <s v="Other"/>
    <s v="Premium"/>
    <n v="8.8800000000000008"/>
    <x v="27"/>
    <x v="4"/>
    <x v="1"/>
    <n v="17.989999999999998"/>
    <n v="0"/>
    <n v="0"/>
    <x v="2"/>
    <n v="1"/>
    <n v="0.52"/>
    <s v="Romance"/>
  </r>
  <r>
    <s v="2dd034c1-08b9-4b8a-9121-5ee5b4ff187e"/>
    <n v="67"/>
    <s v="Other"/>
    <s v="Basic"/>
    <n v="17.079999999999998"/>
    <x v="12"/>
    <x v="4"/>
    <x v="0"/>
    <n v="8.99"/>
    <n v="0"/>
    <n v="0"/>
    <x v="4"/>
    <n v="5"/>
    <n v="0.5"/>
    <s v="Drama"/>
  </r>
  <r>
    <s v="13b141f5-ad9b-49ea-9c0b-1fbbe042f285"/>
    <n v="61"/>
    <s v="Female"/>
    <s v="Basic"/>
    <n v="12.55"/>
    <x v="60"/>
    <x v="0"/>
    <x v="0"/>
    <n v="8.99"/>
    <n v="0"/>
    <n v="0"/>
    <x v="3"/>
    <n v="3"/>
    <n v="1.39"/>
    <s v="Romance"/>
  </r>
  <r>
    <s v="411b6bce-947c-4e94-a92c-f9709d42f9ea"/>
    <n v="22"/>
    <s v="Female"/>
    <s v="Standard"/>
    <n v="3.05"/>
    <x v="26"/>
    <x v="4"/>
    <x v="3"/>
    <n v="13.99"/>
    <n v="1"/>
    <n v="13.99"/>
    <x v="1"/>
    <n v="4"/>
    <n v="0.06"/>
    <s v="Documentary"/>
  </r>
  <r>
    <s v="7d2e8c99-eba5-41d7-8a5a-6f5d58fecaca"/>
    <n v="23"/>
    <s v="Other"/>
    <s v="Basic"/>
    <n v="14.42"/>
    <x v="46"/>
    <x v="0"/>
    <x v="4"/>
    <n v="8.99"/>
    <n v="0"/>
    <n v="0"/>
    <x v="1"/>
    <n v="2"/>
    <n v="4.8099999999999996"/>
    <s v="Romance"/>
  </r>
  <r>
    <s v="c9a12c20-e602-4d0f-b036-4877d4e55e9a"/>
    <n v="61"/>
    <s v="Female"/>
    <s v="Standard"/>
    <n v="16.829999999999998"/>
    <x v="44"/>
    <x v="4"/>
    <x v="1"/>
    <n v="13.99"/>
    <n v="0"/>
    <n v="0"/>
    <x v="3"/>
    <n v="5"/>
    <n v="0.36"/>
    <s v="Romance"/>
  </r>
  <r>
    <s v="df086863-9f4b-48ba-968b-0286614e5bd5"/>
    <n v="66"/>
    <s v="Male"/>
    <s v="Standard"/>
    <n v="1.65"/>
    <x v="35"/>
    <x v="0"/>
    <x v="0"/>
    <n v="13.99"/>
    <n v="1"/>
    <n v="13.99"/>
    <x v="3"/>
    <n v="2"/>
    <n v="0.04"/>
    <s v="Romance"/>
  </r>
  <r>
    <s v="c9246e8b-545b-4719-88f1-ee69be75e652"/>
    <n v="39"/>
    <s v="Female"/>
    <s v="Standard"/>
    <n v="2.76"/>
    <x v="30"/>
    <x v="4"/>
    <x v="1"/>
    <n v="13.99"/>
    <n v="0"/>
    <n v="0"/>
    <x v="3"/>
    <n v="3"/>
    <n v="1.38"/>
    <s v="Documentary"/>
  </r>
  <r>
    <s v="1b5a59a3-7bd7-460a-8978-0a0d192fe774"/>
    <n v="68"/>
    <s v="Other"/>
    <s v="Premium"/>
    <n v="1.23"/>
    <x v="3"/>
    <x v="2"/>
    <x v="1"/>
    <n v="17.989999999999998"/>
    <n v="1"/>
    <n v="17.989999999999998"/>
    <x v="1"/>
    <n v="5"/>
    <n v="0.09"/>
    <s v="Horror"/>
  </r>
  <r>
    <s v="f6cbd08c-12fa-4eba-b860-da3b6c21eb39"/>
    <n v="52"/>
    <s v="Other"/>
    <s v="Premium"/>
    <n v="3.1"/>
    <x v="21"/>
    <x v="1"/>
    <x v="4"/>
    <n v="17.989999999999998"/>
    <n v="0"/>
    <n v="0"/>
    <x v="4"/>
    <n v="3"/>
    <n v="0.44"/>
    <s v="Documentary"/>
  </r>
  <r>
    <s v="8443f57d-34f9-495c-9471-eb212212192e"/>
    <n v="21"/>
    <s v="Female"/>
    <s v="Premium"/>
    <n v="34.18"/>
    <x v="58"/>
    <x v="1"/>
    <x v="1"/>
    <n v="17.989999999999998"/>
    <n v="0"/>
    <n v="0"/>
    <x v="0"/>
    <n v="1"/>
    <n v="0.71"/>
    <s v="Comedy"/>
  </r>
  <r>
    <s v="d2a932ab-697b-4647-8f2c-dbc66caef165"/>
    <n v="53"/>
    <s v="Male"/>
    <s v="Standard"/>
    <n v="16.059999999999999"/>
    <x v="18"/>
    <x v="5"/>
    <x v="4"/>
    <n v="13.99"/>
    <n v="1"/>
    <n v="13.99"/>
    <x v="0"/>
    <n v="4"/>
    <n v="0.28000000000000003"/>
    <s v="Action"/>
  </r>
  <r>
    <s v="e6c7d246-1773-48c1-ac58-689c3e68ac6b"/>
    <n v="68"/>
    <s v="Male"/>
    <s v="Basic"/>
    <n v="5.26"/>
    <x v="29"/>
    <x v="2"/>
    <x v="3"/>
    <n v="8.99"/>
    <n v="1"/>
    <n v="8.99"/>
    <x v="0"/>
    <n v="1"/>
    <n v="0.11"/>
    <s v="Action"/>
  </r>
  <r>
    <s v="7a5a1c2d-4ddf-4ced-8b06-9fe87d4e0d77"/>
    <n v="46"/>
    <s v="Female"/>
    <s v="Standard"/>
    <n v="4.76"/>
    <x v="19"/>
    <x v="1"/>
    <x v="3"/>
    <n v="13.99"/>
    <n v="1"/>
    <n v="13.99"/>
    <x v="3"/>
    <n v="5"/>
    <n v="0.11"/>
    <s v="Romance"/>
  </r>
  <r>
    <s v="eb1715dc-8db7-4781-a6fd-027e5f6bb5ac"/>
    <n v="20"/>
    <s v="Other"/>
    <s v="Premium"/>
    <n v="1.78"/>
    <x v="8"/>
    <x v="2"/>
    <x v="3"/>
    <n v="17.989999999999998"/>
    <n v="1"/>
    <n v="17.989999999999998"/>
    <x v="4"/>
    <n v="5"/>
    <n v="0.05"/>
    <s v="Action"/>
  </r>
  <r>
    <s v="c2e9b503-386d-42dc-bac7-6a297a98e82c"/>
    <n v="34"/>
    <s v="Male"/>
    <s v="Basic"/>
    <n v="10.48"/>
    <x v="57"/>
    <x v="1"/>
    <x v="3"/>
    <n v="8.99"/>
    <n v="1"/>
    <n v="8.99"/>
    <x v="1"/>
    <n v="5"/>
    <n v="0.17"/>
    <s v="Romance"/>
  </r>
  <r>
    <s v="3589dd2e-c79a-4239-99fb-f35c8b19f77c"/>
    <n v="31"/>
    <s v="Male"/>
    <s v="Basic"/>
    <n v="1.61"/>
    <x v="45"/>
    <x v="5"/>
    <x v="4"/>
    <n v="8.99"/>
    <n v="1"/>
    <n v="8.99"/>
    <x v="0"/>
    <n v="2"/>
    <n v="0.04"/>
    <s v="Sci-Fi"/>
  </r>
  <r>
    <s v="d487b07d-0a2d-49c5-81f9-0ca3d4a25069"/>
    <n v="31"/>
    <s v="Male"/>
    <s v="Premium"/>
    <n v="4"/>
    <x v="2"/>
    <x v="4"/>
    <x v="1"/>
    <n v="17.989999999999998"/>
    <n v="0"/>
    <n v="0"/>
    <x v="2"/>
    <n v="5"/>
    <n v="0.36"/>
    <s v="Comedy"/>
  </r>
  <r>
    <s v="e1844a6b-1068-4951-83f9-eb207e5b60d3"/>
    <n v="24"/>
    <s v="Female"/>
    <s v="Basic"/>
    <n v="6.65"/>
    <x v="45"/>
    <x v="1"/>
    <x v="3"/>
    <n v="8.99"/>
    <n v="1"/>
    <n v="8.99"/>
    <x v="1"/>
    <n v="2"/>
    <n v="0.16"/>
    <s v="Romance"/>
  </r>
  <r>
    <s v="181fd400-afb0-4208-9315-759de2eb87d9"/>
    <n v="66"/>
    <s v="Other"/>
    <s v="Basic"/>
    <n v="12.76"/>
    <x v="25"/>
    <x v="5"/>
    <x v="4"/>
    <n v="8.99"/>
    <n v="0"/>
    <n v="0"/>
    <x v="4"/>
    <n v="1"/>
    <n v="12.76"/>
    <s v="Sci-Fi"/>
  </r>
  <r>
    <s v="996b6673-00fa-4bf0-b45d-74d98888f537"/>
    <n v="26"/>
    <s v="Female"/>
    <s v="Basic"/>
    <n v="7.83"/>
    <x v="30"/>
    <x v="5"/>
    <x v="4"/>
    <n v="8.99"/>
    <n v="0"/>
    <n v="0"/>
    <x v="4"/>
    <n v="1"/>
    <n v="3.92"/>
    <s v="Documentary"/>
  </r>
  <r>
    <s v="47610273-6edd-4a7b-a38e-8299b453981e"/>
    <n v="53"/>
    <s v="Female"/>
    <s v="Standard"/>
    <n v="2.34"/>
    <x v="44"/>
    <x v="2"/>
    <x v="3"/>
    <n v="13.99"/>
    <n v="1"/>
    <n v="13.99"/>
    <x v="3"/>
    <n v="1"/>
    <n v="0.05"/>
    <s v="Romance"/>
  </r>
  <r>
    <s v="01adeb52-273b-42eb-979a-3fb1a4440a75"/>
    <n v="32"/>
    <s v="Other"/>
    <s v="Basic"/>
    <n v="8.18"/>
    <x v="27"/>
    <x v="3"/>
    <x v="3"/>
    <n v="8.99"/>
    <n v="0"/>
    <n v="0"/>
    <x v="2"/>
    <n v="4"/>
    <n v="0.48"/>
    <s v="Sci-Fi"/>
  </r>
  <r>
    <s v="1a3f4483-772d-43ea-a48a-605e0ebe7079"/>
    <n v="33"/>
    <s v="Other"/>
    <s v="Premium"/>
    <n v="9.1"/>
    <x v="5"/>
    <x v="4"/>
    <x v="2"/>
    <n v="17.989999999999998"/>
    <n v="0"/>
    <n v="0"/>
    <x v="0"/>
    <n v="2"/>
    <n v="0.34"/>
    <s v="Drama"/>
  </r>
  <r>
    <s v="e473c69f-6859-4428-844e-93814aaf0186"/>
    <n v="49"/>
    <s v="Female"/>
    <s v="Premium"/>
    <n v="15.64"/>
    <x v="30"/>
    <x v="0"/>
    <x v="4"/>
    <n v="17.989999999999998"/>
    <n v="0"/>
    <n v="0"/>
    <x v="3"/>
    <n v="4"/>
    <n v="7.82"/>
    <s v="Horror"/>
  </r>
  <r>
    <s v="5ee0ae54-f871-4dd1-9614-e4ca9f74659f"/>
    <n v="46"/>
    <s v="Male"/>
    <s v="Standard"/>
    <n v="8.7200000000000006"/>
    <x v="60"/>
    <x v="1"/>
    <x v="3"/>
    <n v="13.99"/>
    <n v="0"/>
    <n v="0"/>
    <x v="2"/>
    <n v="5"/>
    <n v="0.97"/>
    <s v="Documentary"/>
  </r>
  <r>
    <s v="a03ee82d-6ef9-4c38-976a-d121e6b7dea0"/>
    <n v="29"/>
    <s v="Male"/>
    <s v="Basic"/>
    <n v="3.75"/>
    <x v="52"/>
    <x v="4"/>
    <x v="4"/>
    <n v="8.99"/>
    <n v="1"/>
    <n v="8.99"/>
    <x v="1"/>
    <n v="1"/>
    <n v="7.0000000000000007E-2"/>
    <s v="Romance"/>
  </r>
  <r>
    <s v="082c7632-daca-4f82-ba6e-dc1e7dca5624"/>
    <n v="69"/>
    <s v="Other"/>
    <s v="Basic"/>
    <n v="2.86"/>
    <x v="30"/>
    <x v="4"/>
    <x v="2"/>
    <n v="8.99"/>
    <n v="0"/>
    <n v="0"/>
    <x v="0"/>
    <n v="4"/>
    <n v="1.43"/>
    <s v="Action"/>
  </r>
  <r>
    <s v="da9c8b84-7d45-457f-9038-dfe4a87751a1"/>
    <n v="54"/>
    <s v="Male"/>
    <s v="Basic"/>
    <n v="1.29"/>
    <x v="52"/>
    <x v="1"/>
    <x v="2"/>
    <n v="8.99"/>
    <n v="1"/>
    <n v="8.99"/>
    <x v="4"/>
    <n v="4"/>
    <n v="0.03"/>
    <s v="Sci-Fi"/>
  </r>
  <r>
    <s v="1e2cf6c0-3fb4-49d5-8aeb-af2a4c886d64"/>
    <n v="59"/>
    <s v="Male"/>
    <s v="Standard"/>
    <n v="4.1399999999999997"/>
    <x v="22"/>
    <x v="4"/>
    <x v="3"/>
    <n v="13.99"/>
    <n v="1"/>
    <n v="13.99"/>
    <x v="1"/>
    <n v="5"/>
    <n v="7.0000000000000007E-2"/>
    <s v="Horror"/>
  </r>
  <r>
    <s v="b8004935-690f-401b-b365-33b40b1d5d4e"/>
    <n v="18"/>
    <s v="Male"/>
    <s v="Premium"/>
    <n v="2.5299999999999998"/>
    <x v="10"/>
    <x v="2"/>
    <x v="1"/>
    <n v="17.989999999999998"/>
    <n v="1"/>
    <n v="17.989999999999998"/>
    <x v="2"/>
    <n v="3"/>
    <n v="0.06"/>
    <s v="Sci-Fi"/>
  </r>
  <r>
    <s v="2de72af7-0363-4ede-bf96-c0003a896f72"/>
    <n v="42"/>
    <s v="Male"/>
    <s v="Premium"/>
    <n v="22.19"/>
    <x v="21"/>
    <x v="2"/>
    <x v="3"/>
    <n v="17.989999999999998"/>
    <n v="0"/>
    <n v="0"/>
    <x v="3"/>
    <n v="2"/>
    <n v="3.17"/>
    <s v="Sci-Fi"/>
  </r>
  <r>
    <s v="023674fd-9b81-45e5-8f9d-f8733d7d65d8"/>
    <n v="47"/>
    <s v="Other"/>
    <s v="Standard"/>
    <n v="2.92"/>
    <x v="7"/>
    <x v="4"/>
    <x v="1"/>
    <n v="13.99"/>
    <n v="1"/>
    <n v="13.99"/>
    <x v="2"/>
    <n v="5"/>
    <n v="0.05"/>
    <s v="Drama"/>
  </r>
  <r>
    <s v="77a52f9c-7768-491c-9b1d-723ead182bdf"/>
    <n v="23"/>
    <s v="Other"/>
    <s v="Basic"/>
    <n v="10.62"/>
    <x v="24"/>
    <x v="5"/>
    <x v="1"/>
    <n v="8.99"/>
    <n v="1"/>
    <n v="8.99"/>
    <x v="0"/>
    <n v="4"/>
    <n v="0.2"/>
    <s v="Comedy"/>
  </r>
  <r>
    <s v="454fec46-8e0d-4393-8447-cd6a9e571728"/>
    <n v="51"/>
    <s v="Male"/>
    <s v="Standard"/>
    <n v="18"/>
    <x v="57"/>
    <x v="4"/>
    <x v="3"/>
    <n v="13.99"/>
    <n v="0"/>
    <n v="0"/>
    <x v="2"/>
    <n v="4"/>
    <n v="0.3"/>
    <s v="Romance"/>
  </r>
  <r>
    <s v="5cc8a992-4c30-43be-a159-973c513b4dd6"/>
    <n v="30"/>
    <s v="Female"/>
    <s v="Basic"/>
    <n v="8.52"/>
    <x v="40"/>
    <x v="2"/>
    <x v="2"/>
    <n v="8.99"/>
    <n v="0"/>
    <n v="0"/>
    <x v="0"/>
    <n v="4"/>
    <n v="0.71"/>
    <s v="Action"/>
  </r>
  <r>
    <s v="1a0e524e-c388-4abf-af21-46baf2798e0a"/>
    <n v="65"/>
    <s v="Other"/>
    <s v="Basic"/>
    <n v="9.9499999999999993"/>
    <x v="60"/>
    <x v="5"/>
    <x v="2"/>
    <n v="8.99"/>
    <n v="0"/>
    <n v="0"/>
    <x v="1"/>
    <n v="5"/>
    <n v="1.1100000000000001"/>
    <s v="Comedy"/>
  </r>
  <r>
    <s v="2e4826ea-64a8-4eae-84f2-4e5e2c104656"/>
    <n v="70"/>
    <s v="Female"/>
    <s v="Premium"/>
    <n v="9.25"/>
    <x v="60"/>
    <x v="4"/>
    <x v="4"/>
    <n v="17.989999999999998"/>
    <n v="0"/>
    <n v="0"/>
    <x v="3"/>
    <n v="5"/>
    <n v="1.03"/>
    <s v="Documentary"/>
  </r>
  <r>
    <s v="f4c54bfe-7854-4c8c-ad84-b9710932a4af"/>
    <n v="49"/>
    <s v="Female"/>
    <s v="Basic"/>
    <n v="9.65"/>
    <x v="60"/>
    <x v="2"/>
    <x v="2"/>
    <n v="8.99"/>
    <n v="0"/>
    <n v="0"/>
    <x v="1"/>
    <n v="3"/>
    <n v="1.07"/>
    <s v="Romance"/>
  </r>
  <r>
    <s v="7108b055-a04f-4eb1-b937-acf3b9eacbfc"/>
    <n v="37"/>
    <s v="Male"/>
    <s v="Premium"/>
    <n v="0.64"/>
    <x v="2"/>
    <x v="1"/>
    <x v="3"/>
    <n v="17.989999999999998"/>
    <n v="1"/>
    <n v="17.989999999999998"/>
    <x v="0"/>
    <n v="5"/>
    <n v="0.06"/>
    <s v="Comedy"/>
  </r>
  <r>
    <s v="72836765-0277-45c6-8517-86670c85cc1c"/>
    <n v="70"/>
    <s v="Other"/>
    <s v="Standard"/>
    <n v="1.34"/>
    <x v="25"/>
    <x v="2"/>
    <x v="0"/>
    <n v="13.99"/>
    <n v="0"/>
    <n v="0"/>
    <x v="2"/>
    <n v="1"/>
    <n v="1.34"/>
    <s v="Documentary"/>
  </r>
  <r>
    <s v="fa628a8c-2284-4cd4-b893-92f7667cd544"/>
    <n v="26"/>
    <s v="Male"/>
    <s v="Premium"/>
    <n v="10.65"/>
    <x v="42"/>
    <x v="4"/>
    <x v="0"/>
    <n v="17.989999999999998"/>
    <n v="1"/>
    <n v="17.989999999999998"/>
    <x v="4"/>
    <n v="3"/>
    <n v="0.28000000000000003"/>
    <s v="Horror"/>
  </r>
  <r>
    <s v="bfc31455-3690-4b1c-8b1d-7c920788dacd"/>
    <n v="64"/>
    <s v="Male"/>
    <s v="Premium"/>
    <n v="3.74"/>
    <x v="14"/>
    <x v="5"/>
    <x v="4"/>
    <n v="17.989999999999998"/>
    <n v="1"/>
    <n v="17.989999999999998"/>
    <x v="3"/>
    <n v="3"/>
    <n v="0.11"/>
    <s v="Drama"/>
  </r>
  <r>
    <s v="838a0849-d3c0-459d-be8a-3062f5c3c0f4"/>
    <n v="43"/>
    <s v="Female"/>
    <s v="Premium"/>
    <n v="12.51"/>
    <x v="58"/>
    <x v="3"/>
    <x v="0"/>
    <n v="17.989999999999998"/>
    <n v="1"/>
    <n v="17.989999999999998"/>
    <x v="4"/>
    <n v="1"/>
    <n v="0.26"/>
    <s v="Action"/>
  </r>
  <r>
    <s v="9adb0b11-3199-438c-9b3c-59dee22c6b27"/>
    <n v="59"/>
    <s v="Other"/>
    <s v="Premium"/>
    <n v="32.81"/>
    <x v="25"/>
    <x v="5"/>
    <x v="2"/>
    <n v="17.989999999999998"/>
    <n v="0"/>
    <n v="0"/>
    <x v="2"/>
    <n v="3"/>
    <n v="32.81"/>
    <s v="Sci-Fi"/>
  </r>
  <r>
    <s v="817458bd-a260-4430-b45e-f81d607fb449"/>
    <n v="60"/>
    <s v="Male"/>
    <s v="Premium"/>
    <n v="6.91"/>
    <x v="44"/>
    <x v="5"/>
    <x v="4"/>
    <n v="17.989999999999998"/>
    <n v="1"/>
    <n v="17.989999999999998"/>
    <x v="2"/>
    <n v="1"/>
    <n v="0.15"/>
    <s v="Action"/>
  </r>
  <r>
    <s v="219a55d5-2799-4e22-9e75-ef4fe26ed9cd"/>
    <n v="60"/>
    <s v="Female"/>
    <s v="Basic"/>
    <n v="4.46"/>
    <x v="2"/>
    <x v="1"/>
    <x v="2"/>
    <n v="8.99"/>
    <n v="1"/>
    <n v="8.99"/>
    <x v="0"/>
    <n v="5"/>
    <n v="0.41"/>
    <s v="Action"/>
  </r>
  <r>
    <s v="6d10f486-9b5f-4cd3-b85b-fc27a5a5595d"/>
    <n v="69"/>
    <s v="Other"/>
    <s v="Basic"/>
    <n v="2.16"/>
    <x v="18"/>
    <x v="1"/>
    <x v="4"/>
    <n v="8.99"/>
    <n v="1"/>
    <n v="8.99"/>
    <x v="1"/>
    <n v="2"/>
    <n v="0.04"/>
    <s v="Action"/>
  </r>
  <r>
    <s v="082fd087-4859-4b03-9ec1-f51050cd285b"/>
    <n v="42"/>
    <s v="Other"/>
    <s v="Premium"/>
    <n v="6.34"/>
    <x v="54"/>
    <x v="2"/>
    <x v="0"/>
    <n v="17.989999999999998"/>
    <n v="0"/>
    <n v="0"/>
    <x v="0"/>
    <n v="1"/>
    <n v="0.22"/>
    <s v="Documentary"/>
  </r>
  <r>
    <s v="c31a20bb-1b05-4448-801c-a8193f1b4f74"/>
    <n v="47"/>
    <s v="Other"/>
    <s v="Premium"/>
    <n v="12.5"/>
    <x v="20"/>
    <x v="0"/>
    <x v="1"/>
    <n v="17.989999999999998"/>
    <n v="0"/>
    <n v="0"/>
    <x v="4"/>
    <n v="1"/>
    <n v="0.66"/>
    <s v="Drama"/>
  </r>
  <r>
    <s v="cbdd092b-08f0-4234-8418-feceb1f990d9"/>
    <n v="54"/>
    <s v="Other"/>
    <s v="Premium"/>
    <n v="5.37"/>
    <x v="28"/>
    <x v="3"/>
    <x v="3"/>
    <n v="17.989999999999998"/>
    <n v="1"/>
    <n v="17.989999999999998"/>
    <x v="1"/>
    <n v="4"/>
    <n v="0.15"/>
    <s v="Romance"/>
  </r>
  <r>
    <s v="74bab484-aac9-4a5c-8e3d-d2a4504a1eff"/>
    <n v="35"/>
    <s v="Male"/>
    <s v="Standard"/>
    <n v="32.86"/>
    <x v="33"/>
    <x v="3"/>
    <x v="0"/>
    <n v="13.99"/>
    <n v="0"/>
    <n v="0"/>
    <x v="0"/>
    <n v="4"/>
    <n v="1.26"/>
    <s v="Romance"/>
  </r>
  <r>
    <s v="c3614ddf-ee73-496a-b1ea-3e27f6a5288a"/>
    <n v="50"/>
    <s v="Other"/>
    <s v="Premium"/>
    <n v="12.5"/>
    <x v="7"/>
    <x v="2"/>
    <x v="4"/>
    <n v="17.989999999999998"/>
    <n v="0"/>
    <n v="0"/>
    <x v="4"/>
    <n v="5"/>
    <n v="0.22"/>
    <s v="Action"/>
  </r>
  <r>
    <s v="26024fd4-7715-4460-ae23-4e78f477a652"/>
    <n v="69"/>
    <s v="Female"/>
    <s v="Premium"/>
    <n v="1.75"/>
    <x v="21"/>
    <x v="3"/>
    <x v="1"/>
    <n v="17.989999999999998"/>
    <n v="0"/>
    <n v="0"/>
    <x v="3"/>
    <n v="5"/>
    <n v="0.25"/>
    <s v="Romance"/>
  </r>
  <r>
    <s v="c7cf1b97-cdd3-47cf-a147-a8ab731a5f19"/>
    <n v="25"/>
    <s v="Other"/>
    <s v="Basic"/>
    <n v="19.309999999999999"/>
    <x v="59"/>
    <x v="0"/>
    <x v="1"/>
    <n v="8.99"/>
    <n v="0"/>
    <n v="0"/>
    <x v="3"/>
    <n v="2"/>
    <n v="3.22"/>
    <s v="Documentary"/>
  </r>
  <r>
    <s v="6004fb8d-885f-4bdc-bcef-d671742ba6f6"/>
    <n v="51"/>
    <s v="Female"/>
    <s v="Basic"/>
    <n v="17.62"/>
    <x v="22"/>
    <x v="2"/>
    <x v="2"/>
    <n v="8.99"/>
    <n v="1"/>
    <n v="8.99"/>
    <x v="2"/>
    <n v="4"/>
    <n v="0.31"/>
    <s v="Comedy"/>
  </r>
  <r>
    <s v="19fc98f0-ad10-4ad2-9526-28254dca93e5"/>
    <n v="23"/>
    <s v="Female"/>
    <s v="Standard"/>
    <n v="3.7"/>
    <x v="21"/>
    <x v="0"/>
    <x v="1"/>
    <n v="13.99"/>
    <n v="0"/>
    <n v="0"/>
    <x v="3"/>
    <n v="3"/>
    <n v="0.53"/>
    <s v="Drama"/>
  </r>
  <r>
    <s v="80b1fe1e-8ef5-42af-ada7-af43d8993352"/>
    <n v="39"/>
    <s v="Other"/>
    <s v="Premium"/>
    <n v="7.99"/>
    <x v="34"/>
    <x v="2"/>
    <x v="1"/>
    <n v="17.989999999999998"/>
    <n v="1"/>
    <n v="17.989999999999998"/>
    <x v="3"/>
    <n v="3"/>
    <n v="0.16"/>
    <s v="Drama"/>
  </r>
  <r>
    <s v="c65be27e-f93b-4423-a704-e981640e344e"/>
    <n v="22"/>
    <s v="Other"/>
    <s v="Premium"/>
    <n v="8.18"/>
    <x v="0"/>
    <x v="3"/>
    <x v="3"/>
    <n v="17.989999999999998"/>
    <n v="0"/>
    <n v="0"/>
    <x v="0"/>
    <n v="2"/>
    <n v="0.27"/>
    <s v="Horror"/>
  </r>
  <r>
    <s v="e2bcc0cf-556c-4c71-93b4-f4e99a0e9520"/>
    <n v="51"/>
    <s v="Other"/>
    <s v="Premium"/>
    <n v="12.41"/>
    <x v="23"/>
    <x v="2"/>
    <x v="2"/>
    <n v="17.989999999999998"/>
    <n v="1"/>
    <n v="17.989999999999998"/>
    <x v="0"/>
    <n v="3"/>
    <n v="0.23"/>
    <s v="Romance"/>
  </r>
  <r>
    <s v="693dbaee-4cc2-4978-ab24-f5588acfe591"/>
    <n v="52"/>
    <s v="Other"/>
    <s v="Basic"/>
    <n v="28.04"/>
    <x v="40"/>
    <x v="1"/>
    <x v="2"/>
    <n v="8.99"/>
    <n v="0"/>
    <n v="0"/>
    <x v="2"/>
    <n v="2"/>
    <n v="2.34"/>
    <s v="Action"/>
  </r>
  <r>
    <s v="cc439399-1ef2-4143-8924-b9e36668bdea"/>
    <n v="51"/>
    <s v="Male"/>
    <s v="Standard"/>
    <n v="5.05"/>
    <x v="37"/>
    <x v="5"/>
    <x v="4"/>
    <n v="13.99"/>
    <n v="0"/>
    <n v="0"/>
    <x v="0"/>
    <n v="3"/>
    <n v="0.2"/>
    <s v="Action"/>
  </r>
  <r>
    <s v="4b051c08-de8a-4d4e-a445-efb30be01528"/>
    <n v="68"/>
    <s v="Male"/>
    <s v="Premium"/>
    <n v="10"/>
    <x v="57"/>
    <x v="5"/>
    <x v="3"/>
    <n v="17.989999999999998"/>
    <n v="1"/>
    <n v="17.989999999999998"/>
    <x v="1"/>
    <n v="4"/>
    <n v="0.16"/>
    <s v="Horror"/>
  </r>
  <r>
    <s v="d1be299e-4ffd-47bf-9976-93a9c9456ba0"/>
    <n v="46"/>
    <s v="Other"/>
    <s v="Basic"/>
    <n v="2.04"/>
    <x v="5"/>
    <x v="5"/>
    <x v="1"/>
    <n v="8.99"/>
    <n v="1"/>
    <n v="8.99"/>
    <x v="0"/>
    <n v="4"/>
    <n v="0.08"/>
    <s v="Action"/>
  </r>
  <r>
    <s v="2f01c18c-8ac5-4b63-873e-fe10605673e3"/>
    <n v="55"/>
    <s v="Other"/>
    <s v="Premium"/>
    <n v="2.69"/>
    <x v="42"/>
    <x v="0"/>
    <x v="0"/>
    <n v="17.989999999999998"/>
    <n v="1"/>
    <n v="17.989999999999998"/>
    <x v="2"/>
    <n v="2"/>
    <n v="7.0000000000000007E-2"/>
    <s v="Sci-Fi"/>
  </r>
  <r>
    <s v="ab672cb5-ca3c-4c41-8f60-05033fd5a24f"/>
    <n v="70"/>
    <s v="Male"/>
    <s v="Standard"/>
    <n v="17.8"/>
    <x v="26"/>
    <x v="5"/>
    <x v="1"/>
    <n v="13.99"/>
    <n v="1"/>
    <n v="13.99"/>
    <x v="0"/>
    <n v="2"/>
    <n v="0.36"/>
    <s v="Drama"/>
  </r>
  <r>
    <s v="5a322090-313f-4308-ab38-8fdf937cc37e"/>
    <n v="56"/>
    <s v="Other"/>
    <s v="Premium"/>
    <n v="36.200000000000003"/>
    <x v="47"/>
    <x v="1"/>
    <x v="1"/>
    <n v="17.989999999999998"/>
    <n v="0"/>
    <n v="0"/>
    <x v="0"/>
    <n v="5"/>
    <n v="9.0500000000000007"/>
    <s v="Sci-Fi"/>
  </r>
  <r>
    <s v="2b48ac28-5439-47a6-b935-4438f01794ee"/>
    <n v="24"/>
    <s v="Male"/>
    <s v="Standard"/>
    <n v="0.49"/>
    <x v="46"/>
    <x v="3"/>
    <x v="2"/>
    <n v="13.99"/>
    <n v="0"/>
    <n v="0"/>
    <x v="2"/>
    <n v="2"/>
    <n v="0.16"/>
    <s v="Romance"/>
  </r>
  <r>
    <s v="612e9485-7864-4dcb-83be-bc58c403719e"/>
    <n v="68"/>
    <s v="Male"/>
    <s v="Standard"/>
    <n v="0.88"/>
    <x v="14"/>
    <x v="1"/>
    <x v="2"/>
    <n v="13.99"/>
    <n v="1"/>
    <n v="13.99"/>
    <x v="4"/>
    <n v="3"/>
    <n v="0.03"/>
    <s v="Documentary"/>
  </r>
  <r>
    <s v="f140d0f2-16e8-44d1-b48c-2d1cc316939e"/>
    <n v="59"/>
    <s v="Other"/>
    <s v="Basic"/>
    <n v="12.02"/>
    <x v="17"/>
    <x v="5"/>
    <x v="1"/>
    <n v="8.99"/>
    <n v="0"/>
    <n v="0"/>
    <x v="1"/>
    <n v="2"/>
    <n v="2.4"/>
    <s v="Action"/>
  </r>
  <r>
    <s v="1575ab22-bbac-4dc1-be66-e03431a9fc07"/>
    <n v="28"/>
    <s v="Female"/>
    <s v="Standard"/>
    <n v="11.94"/>
    <x v="30"/>
    <x v="3"/>
    <x v="4"/>
    <n v="13.99"/>
    <n v="0"/>
    <n v="0"/>
    <x v="1"/>
    <n v="2"/>
    <n v="5.97"/>
    <s v="Comedy"/>
  </r>
  <r>
    <s v="3a68905f-037f-48eb-97b0-7e8c5a6f9c5a"/>
    <n v="36"/>
    <s v="Male"/>
    <s v="Premium"/>
    <n v="3.28"/>
    <x v="31"/>
    <x v="4"/>
    <x v="4"/>
    <n v="17.989999999999998"/>
    <n v="1"/>
    <n v="17.989999999999998"/>
    <x v="3"/>
    <n v="3"/>
    <n v="0.2"/>
    <s v="Horror"/>
  </r>
  <r>
    <s v="6ed1be2a-984e-4fe7-becc-351b913eb571"/>
    <n v="31"/>
    <s v="Other"/>
    <s v="Basic"/>
    <n v="7.46"/>
    <x v="29"/>
    <x v="3"/>
    <x v="1"/>
    <n v="8.99"/>
    <n v="1"/>
    <n v="8.99"/>
    <x v="4"/>
    <n v="2"/>
    <n v="0.16"/>
    <s v="Action"/>
  </r>
  <r>
    <s v="79a31ced-93d3-4f11-a961-7ce4256ab073"/>
    <n v="18"/>
    <s v="Female"/>
    <s v="Standard"/>
    <n v="25.19"/>
    <x v="40"/>
    <x v="5"/>
    <x v="0"/>
    <n v="13.99"/>
    <n v="0"/>
    <n v="0"/>
    <x v="3"/>
    <n v="1"/>
    <n v="2.1"/>
    <s v="Horror"/>
  </r>
  <r>
    <s v="1e0c89ad-a44c-479e-b2b5-eb8e35cc0f41"/>
    <n v="30"/>
    <s v="Female"/>
    <s v="Basic"/>
    <n v="2.99"/>
    <x v="48"/>
    <x v="1"/>
    <x v="2"/>
    <n v="8.99"/>
    <n v="1"/>
    <n v="8.99"/>
    <x v="4"/>
    <n v="4"/>
    <n v="0.06"/>
    <s v="Horror"/>
  </r>
  <r>
    <s v="f4223a44-e729-4eb9-afca-28680c9cdb21"/>
    <n v="58"/>
    <s v="Male"/>
    <s v="Basic"/>
    <n v="14.69"/>
    <x v="41"/>
    <x v="1"/>
    <x v="0"/>
    <n v="8.99"/>
    <n v="1"/>
    <n v="8.99"/>
    <x v="1"/>
    <n v="2"/>
    <n v="0.47"/>
    <s v="Horror"/>
  </r>
  <r>
    <s v="96ba87e6-324e-4976-96e1-5359f74975f6"/>
    <n v="24"/>
    <s v="Male"/>
    <s v="Basic"/>
    <n v="9.34"/>
    <x v="51"/>
    <x v="2"/>
    <x v="0"/>
    <n v="8.99"/>
    <n v="0"/>
    <n v="0"/>
    <x v="3"/>
    <n v="4"/>
    <n v="0.52"/>
    <s v="Sci-Fi"/>
  </r>
  <r>
    <s v="4a019852-cd31-4f1a-ab65-fce6b1b4fa01"/>
    <n v="62"/>
    <s v="Female"/>
    <s v="Premium"/>
    <n v="6.03"/>
    <x v="52"/>
    <x v="3"/>
    <x v="0"/>
    <n v="17.989999999999998"/>
    <n v="1"/>
    <n v="17.989999999999998"/>
    <x v="2"/>
    <n v="2"/>
    <n v="0.12"/>
    <s v="Horror"/>
  </r>
  <r>
    <s v="31832db0-5f36-4c75-9226-07c279e0f707"/>
    <n v="35"/>
    <s v="Other"/>
    <s v="Premium"/>
    <n v="1.45"/>
    <x v="3"/>
    <x v="0"/>
    <x v="2"/>
    <n v="17.989999999999998"/>
    <n v="1"/>
    <n v="17.989999999999998"/>
    <x v="4"/>
    <n v="2"/>
    <n v="0.11"/>
    <s v="Documentary"/>
  </r>
  <r>
    <s v="9d3b9aa9-6ef6-40c3-990a-0b71d4e1cd32"/>
    <n v="54"/>
    <s v="Other"/>
    <s v="Basic"/>
    <n v="29.19"/>
    <x v="54"/>
    <x v="2"/>
    <x v="4"/>
    <n v="8.99"/>
    <n v="0"/>
    <n v="0"/>
    <x v="0"/>
    <n v="2"/>
    <n v="1.01"/>
    <s v="Romance"/>
  </r>
  <r>
    <s v="d62d3551-4902-442d-8c64-0d6877a35934"/>
    <n v="42"/>
    <s v="Other"/>
    <s v="Basic"/>
    <n v="8.18"/>
    <x v="31"/>
    <x v="4"/>
    <x v="2"/>
    <n v="8.99"/>
    <n v="0"/>
    <n v="0"/>
    <x v="0"/>
    <n v="2"/>
    <n v="0.51"/>
    <s v="Horror"/>
  </r>
  <r>
    <s v="84e03006-c72a-4d1f-bd72-d59d7854660a"/>
    <n v="36"/>
    <s v="Female"/>
    <s v="Standard"/>
    <n v="7.28"/>
    <x v="46"/>
    <x v="5"/>
    <x v="4"/>
    <n v="13.99"/>
    <n v="0"/>
    <n v="0"/>
    <x v="2"/>
    <n v="4"/>
    <n v="2.4300000000000002"/>
    <s v="Sci-Fi"/>
  </r>
  <r>
    <s v="0ea4c14c-52be-4987-a6b8-396c00b47ee1"/>
    <n v="47"/>
    <s v="Other"/>
    <s v="Premium"/>
    <n v="5.41"/>
    <x v="2"/>
    <x v="3"/>
    <x v="4"/>
    <n v="17.989999999999998"/>
    <n v="0"/>
    <n v="0"/>
    <x v="2"/>
    <n v="3"/>
    <n v="0.49"/>
    <s v="Horror"/>
  </r>
  <r>
    <s v="d736a739-cc2b-4884-ae4b-72c68825f391"/>
    <n v="45"/>
    <s v="Other"/>
    <s v="Standard"/>
    <n v="4.13"/>
    <x v="17"/>
    <x v="4"/>
    <x v="4"/>
    <n v="13.99"/>
    <n v="0"/>
    <n v="0"/>
    <x v="2"/>
    <n v="2"/>
    <n v="0.83"/>
    <s v="Comedy"/>
  </r>
  <r>
    <s v="7fde535c-b503-4287-a277-ee12295cf580"/>
    <n v="36"/>
    <s v="Other"/>
    <s v="Premium"/>
    <n v="5.09"/>
    <x v="5"/>
    <x v="1"/>
    <x v="2"/>
    <n v="17.989999999999998"/>
    <n v="0"/>
    <n v="0"/>
    <x v="2"/>
    <n v="4"/>
    <n v="0.19"/>
    <s v="Documentary"/>
  </r>
  <r>
    <s v="4ad47677-3633-4836-a9df-c0f173e50006"/>
    <n v="23"/>
    <s v="Male"/>
    <s v="Standard"/>
    <n v="22.05"/>
    <x v="23"/>
    <x v="4"/>
    <x v="2"/>
    <n v="13.99"/>
    <n v="0"/>
    <n v="0"/>
    <x v="2"/>
    <n v="3"/>
    <n v="0.41"/>
    <s v="Action"/>
  </r>
  <r>
    <s v="8ad33487-24c0-448e-a75a-35ec18a47e30"/>
    <n v="58"/>
    <s v="Other"/>
    <s v="Standard"/>
    <n v="14.37"/>
    <x v="30"/>
    <x v="5"/>
    <x v="0"/>
    <n v="13.99"/>
    <n v="0"/>
    <n v="0"/>
    <x v="2"/>
    <n v="3"/>
    <n v="7.18"/>
    <s v="Action"/>
  </r>
  <r>
    <s v="ac50dc85-d01d-4066-b80f-ef5f2d2af804"/>
    <n v="27"/>
    <s v="Female"/>
    <s v="Standard"/>
    <n v="2.62"/>
    <x v="2"/>
    <x v="4"/>
    <x v="3"/>
    <n v="13.99"/>
    <n v="1"/>
    <n v="13.99"/>
    <x v="1"/>
    <n v="4"/>
    <n v="0.24"/>
    <s v="Action"/>
  </r>
  <r>
    <s v="d25fa337-92ae-40f9-a2ab-8c6bc5cdf6ae"/>
    <n v="40"/>
    <s v="Other"/>
    <s v="Premium"/>
    <n v="2.78"/>
    <x v="3"/>
    <x v="5"/>
    <x v="2"/>
    <n v="17.989999999999998"/>
    <n v="1"/>
    <n v="17.989999999999998"/>
    <x v="3"/>
    <n v="2"/>
    <n v="0.21"/>
    <s v="Drama"/>
  </r>
  <r>
    <s v="ca46ce36-fc9e-44f2-8389-482a3140e392"/>
    <n v="47"/>
    <s v="Other"/>
    <s v="Standard"/>
    <n v="3.3"/>
    <x v="48"/>
    <x v="1"/>
    <x v="4"/>
    <n v="13.99"/>
    <n v="1"/>
    <n v="13.99"/>
    <x v="2"/>
    <n v="5"/>
    <n v="0.06"/>
    <s v="Horror"/>
  </r>
  <r>
    <s v="1646d3ef-e240-4ca8-8594-d79116550b71"/>
    <n v="57"/>
    <s v="Other"/>
    <s v="Premium"/>
    <n v="13.72"/>
    <x v="0"/>
    <x v="4"/>
    <x v="3"/>
    <n v="17.989999999999998"/>
    <n v="0"/>
    <n v="0"/>
    <x v="4"/>
    <n v="1"/>
    <n v="0.46"/>
    <s v="Sci-Fi"/>
  </r>
  <r>
    <s v="0d95ff72-e987-4197-b250-afc7e62d2dee"/>
    <n v="52"/>
    <s v="Other"/>
    <s v="Standard"/>
    <n v="12.96"/>
    <x v="15"/>
    <x v="4"/>
    <x v="1"/>
    <n v="13.99"/>
    <n v="1"/>
    <n v="13.99"/>
    <x v="0"/>
    <n v="4"/>
    <n v="0.32"/>
    <s v="Comedy"/>
  </r>
  <r>
    <s v="62b61c40-b80a-416a-9ccb-fe3c9e6d0a06"/>
    <n v="25"/>
    <s v="Other"/>
    <s v="Standard"/>
    <n v="1.7"/>
    <x v="38"/>
    <x v="3"/>
    <x v="0"/>
    <n v="13.99"/>
    <n v="1"/>
    <n v="13.99"/>
    <x v="3"/>
    <n v="3"/>
    <n v="0.08"/>
    <s v="Drama"/>
  </r>
  <r>
    <s v="4ef6fb81-a622-445f-8f85-597ecf5567be"/>
    <n v="32"/>
    <s v="Male"/>
    <s v="Premium"/>
    <n v="30.07"/>
    <x v="37"/>
    <x v="4"/>
    <x v="1"/>
    <n v="17.989999999999998"/>
    <n v="0"/>
    <n v="0"/>
    <x v="2"/>
    <n v="3"/>
    <n v="1.2"/>
    <s v="Documentary"/>
  </r>
  <r>
    <s v="056fe4f4-e919-4cfe-ba2f-fdec0661500d"/>
    <n v="32"/>
    <s v="Other"/>
    <s v="Basic"/>
    <n v="8.94"/>
    <x v="37"/>
    <x v="3"/>
    <x v="4"/>
    <n v="8.99"/>
    <n v="1"/>
    <n v="8.99"/>
    <x v="1"/>
    <n v="3"/>
    <n v="0.36"/>
    <s v="Drama"/>
  </r>
  <r>
    <s v="ee07ca21-c2c4-44e6-9df9-1c15ec176c3a"/>
    <n v="44"/>
    <s v="Other"/>
    <s v="Standard"/>
    <n v="5.3"/>
    <x v="0"/>
    <x v="0"/>
    <x v="1"/>
    <n v="13.99"/>
    <n v="0"/>
    <n v="0"/>
    <x v="0"/>
    <n v="1"/>
    <n v="0.18"/>
    <s v="Documentary"/>
  </r>
  <r>
    <s v="6531fb78-bb8a-4beb-ab13-c3e8b856e3f6"/>
    <n v="20"/>
    <s v="Female"/>
    <s v="Basic"/>
    <n v="1.98"/>
    <x v="46"/>
    <x v="2"/>
    <x v="4"/>
    <n v="8.99"/>
    <n v="1"/>
    <n v="8.99"/>
    <x v="1"/>
    <n v="1"/>
    <n v="0.66"/>
    <s v="Sci-Fi"/>
  </r>
  <r>
    <s v="266c6b86-79e8-4fa9-a41c-be3d23ef2475"/>
    <n v="51"/>
    <s v="Male"/>
    <s v="Standard"/>
    <n v="20.53"/>
    <x v="30"/>
    <x v="1"/>
    <x v="2"/>
    <n v="13.99"/>
    <n v="0"/>
    <n v="0"/>
    <x v="2"/>
    <n v="4"/>
    <n v="10.27"/>
    <s v="Comedy"/>
  </r>
  <r>
    <s v="4115cbbb-3de8-46ef-a43f-b338d350ad79"/>
    <n v="64"/>
    <s v="Other"/>
    <s v="Basic"/>
    <n v="0.95"/>
    <x v="34"/>
    <x v="0"/>
    <x v="4"/>
    <n v="8.99"/>
    <n v="1"/>
    <n v="8.99"/>
    <x v="4"/>
    <n v="2"/>
    <n v="0.02"/>
    <s v="Action"/>
  </r>
  <r>
    <s v="5381612f-764a-40ee-9b78-d63104e51f5f"/>
    <n v="47"/>
    <s v="Other"/>
    <s v="Premium"/>
    <n v="3.3"/>
    <x v="37"/>
    <x v="5"/>
    <x v="3"/>
    <n v="17.989999999999998"/>
    <n v="1"/>
    <n v="17.989999999999998"/>
    <x v="1"/>
    <n v="4"/>
    <n v="0.13"/>
    <s v="Action"/>
  </r>
  <r>
    <s v="3988c64c-4754-489c-bf86-146be943c7b8"/>
    <n v="25"/>
    <s v="Other"/>
    <s v="Basic"/>
    <n v="2.2000000000000002"/>
    <x v="22"/>
    <x v="5"/>
    <x v="4"/>
    <n v="8.99"/>
    <n v="1"/>
    <n v="8.99"/>
    <x v="0"/>
    <n v="4"/>
    <n v="0.04"/>
    <s v="Romance"/>
  </r>
  <r>
    <s v="83d9f3d1-27b2-46d3-b2c5-6803bb220f4d"/>
    <n v="56"/>
    <s v="Other"/>
    <s v="Standard"/>
    <n v="34.799999999999997"/>
    <x v="46"/>
    <x v="3"/>
    <x v="3"/>
    <n v="13.99"/>
    <n v="0"/>
    <n v="0"/>
    <x v="2"/>
    <n v="4"/>
    <n v="11.6"/>
    <s v="Drama"/>
  </r>
  <r>
    <s v="31fa49f8-825a-4ea0-8ac6-ea7101ad0bda"/>
    <n v="59"/>
    <s v="Other"/>
    <s v="Premium"/>
    <n v="10.17"/>
    <x v="32"/>
    <x v="4"/>
    <x v="2"/>
    <n v="17.989999999999998"/>
    <n v="0"/>
    <n v="0"/>
    <x v="2"/>
    <n v="3"/>
    <n v="0.68"/>
    <s v="Action"/>
  </r>
  <r>
    <s v="b0494b53-2f3c-46cc-b907-265ed1f3d345"/>
    <n v="45"/>
    <s v="Male"/>
    <s v="Standard"/>
    <n v="43.5"/>
    <x v="13"/>
    <x v="5"/>
    <x v="3"/>
    <n v="13.99"/>
    <n v="0"/>
    <n v="0"/>
    <x v="0"/>
    <n v="5"/>
    <n v="5.44"/>
    <s v="Drama"/>
  </r>
  <r>
    <s v="a9815df5-69e5-4cb7-9cdd-e7e47b879875"/>
    <n v="68"/>
    <s v="Other"/>
    <s v="Premium"/>
    <n v="13.82"/>
    <x v="35"/>
    <x v="3"/>
    <x v="0"/>
    <n v="17.989999999999998"/>
    <n v="1"/>
    <n v="17.989999999999998"/>
    <x v="0"/>
    <n v="4"/>
    <n v="0.31"/>
    <s v="Comedy"/>
  </r>
  <r>
    <s v="8d1288c4-b29c-4cba-8c59-4bbf0db22487"/>
    <n v="50"/>
    <s v="Other"/>
    <s v="Premium"/>
    <n v="13.02"/>
    <x v="48"/>
    <x v="4"/>
    <x v="3"/>
    <n v="17.989999999999998"/>
    <n v="1"/>
    <n v="17.989999999999998"/>
    <x v="1"/>
    <n v="2"/>
    <n v="0.25"/>
    <s v="Romance"/>
  </r>
  <r>
    <s v="3a1bf4c6-39ee-430e-bdf0-74fd5f9615c2"/>
    <n v="20"/>
    <s v="Other"/>
    <s v="Standard"/>
    <n v="2"/>
    <x v="37"/>
    <x v="1"/>
    <x v="4"/>
    <n v="13.99"/>
    <n v="1"/>
    <n v="13.99"/>
    <x v="4"/>
    <n v="2"/>
    <n v="0.08"/>
    <s v="Action"/>
  </r>
  <r>
    <s v="ee78b050-dae3-4b93-ba7c-cc046f2e7003"/>
    <n v="23"/>
    <s v="Female"/>
    <s v="Basic"/>
    <n v="3.03"/>
    <x v="29"/>
    <x v="0"/>
    <x v="2"/>
    <n v="8.99"/>
    <n v="1"/>
    <n v="8.99"/>
    <x v="2"/>
    <n v="3"/>
    <n v="7.0000000000000007E-2"/>
    <s v="Drama"/>
  </r>
  <r>
    <s v="1d8fdb2f-7a27-4d1f-9dcf-fc324a029558"/>
    <n v="45"/>
    <s v="Other"/>
    <s v="Basic"/>
    <n v="11.67"/>
    <x v="27"/>
    <x v="5"/>
    <x v="4"/>
    <n v="8.99"/>
    <n v="0"/>
    <n v="0"/>
    <x v="3"/>
    <n v="1"/>
    <n v="0.69"/>
    <s v="Sci-Fi"/>
  </r>
  <r>
    <s v="a58a4b83-c549-420b-acf2-e746ed63477a"/>
    <n v="19"/>
    <s v="Other"/>
    <s v="Premium"/>
    <n v="3.81"/>
    <x v="29"/>
    <x v="3"/>
    <x v="0"/>
    <n v="17.989999999999998"/>
    <n v="1"/>
    <n v="17.989999999999998"/>
    <x v="2"/>
    <n v="3"/>
    <n v="0.08"/>
    <s v="Documentary"/>
  </r>
  <r>
    <s v="7769cf6c-0c7c-4f5b-8807-03a2ccb516a7"/>
    <n v="34"/>
    <s v="Other"/>
    <s v="Standard"/>
    <n v="12.44"/>
    <x v="55"/>
    <x v="2"/>
    <x v="0"/>
    <n v="13.99"/>
    <n v="0"/>
    <n v="0"/>
    <x v="4"/>
    <n v="4"/>
    <n v="0.21"/>
    <s v="Drama"/>
  </r>
  <r>
    <s v="32fb3202-3001-457c-b218-60b3e3bfe26b"/>
    <n v="54"/>
    <s v="Male"/>
    <s v="Basic"/>
    <n v="14.95"/>
    <x v="35"/>
    <x v="1"/>
    <x v="3"/>
    <n v="8.99"/>
    <n v="1"/>
    <n v="8.99"/>
    <x v="2"/>
    <n v="1"/>
    <n v="0.33"/>
    <s v="Horror"/>
  </r>
  <r>
    <s v="622065af-078b-407b-ac57-754272d9b7df"/>
    <n v="47"/>
    <s v="Female"/>
    <s v="Standard"/>
    <n v="1.23"/>
    <x v="50"/>
    <x v="2"/>
    <x v="0"/>
    <n v="13.99"/>
    <n v="1"/>
    <n v="13.99"/>
    <x v="1"/>
    <n v="1"/>
    <n v="0.02"/>
    <s v="Documentary"/>
  </r>
  <r>
    <s v="0c18ab75-e044-4805-ac68-9828f50f3193"/>
    <n v="32"/>
    <s v="Male"/>
    <s v="Basic"/>
    <n v="24.51"/>
    <x v="34"/>
    <x v="0"/>
    <x v="2"/>
    <n v="8.99"/>
    <n v="1"/>
    <n v="8.99"/>
    <x v="3"/>
    <n v="3"/>
    <n v="0.48"/>
    <s v="Romance"/>
  </r>
  <r>
    <s v="6c602423-7b4c-4b86-8505-32b042557344"/>
    <n v="30"/>
    <s v="Male"/>
    <s v="Premium"/>
    <n v="5.12"/>
    <x v="55"/>
    <x v="1"/>
    <x v="1"/>
    <n v="17.989999999999998"/>
    <n v="1"/>
    <n v="17.989999999999998"/>
    <x v="3"/>
    <n v="1"/>
    <n v="0.09"/>
    <s v="Action"/>
  </r>
  <r>
    <s v="351a509c-28ab-4e97-8ac2-d8addfe48e93"/>
    <n v="59"/>
    <s v="Other"/>
    <s v="Standard"/>
    <n v="19.18"/>
    <x v="6"/>
    <x v="3"/>
    <x v="3"/>
    <n v="13.99"/>
    <n v="0"/>
    <n v="0"/>
    <x v="1"/>
    <n v="2"/>
    <n v="0.91"/>
    <s v="Horror"/>
  </r>
  <r>
    <s v="d9ac3ade-6c21-4bae-89bd-c2ad880d31f0"/>
    <n v="54"/>
    <s v="Other"/>
    <s v="Standard"/>
    <n v="25.32"/>
    <x v="18"/>
    <x v="2"/>
    <x v="1"/>
    <n v="13.99"/>
    <n v="0"/>
    <n v="0"/>
    <x v="4"/>
    <n v="3"/>
    <n v="0.44"/>
    <s v="Drama"/>
  </r>
  <r>
    <s v="5c3ffb03-1eb8-4441-853f-e6aca2fdbc2b"/>
    <n v="44"/>
    <s v="Male"/>
    <s v="Basic"/>
    <n v="4.99"/>
    <x v="18"/>
    <x v="1"/>
    <x v="2"/>
    <n v="8.99"/>
    <n v="1"/>
    <n v="8.99"/>
    <x v="4"/>
    <n v="3"/>
    <n v="0.09"/>
    <s v="Drama"/>
  </r>
  <r>
    <s v="c836e596-7e8e-4be9-8413-4d75f8151709"/>
    <n v="35"/>
    <s v="Male"/>
    <s v="Standard"/>
    <n v="1.75"/>
    <x v="45"/>
    <x v="1"/>
    <x v="0"/>
    <n v="13.99"/>
    <n v="1"/>
    <n v="13.99"/>
    <x v="3"/>
    <n v="1"/>
    <n v="0.04"/>
    <s v="Romance"/>
  </r>
  <r>
    <s v="79aa6450-52e2-4c0e-9efe-969afaa8c252"/>
    <n v="56"/>
    <s v="Male"/>
    <s v="Premium"/>
    <n v="42.86"/>
    <x v="45"/>
    <x v="1"/>
    <x v="0"/>
    <n v="17.989999999999998"/>
    <n v="0"/>
    <n v="0"/>
    <x v="3"/>
    <n v="3"/>
    <n v="1.02"/>
    <s v="Action"/>
  </r>
  <r>
    <s v="5913a03e-ba87-408c-b4fd-b0713609ab9f"/>
    <n v="18"/>
    <s v="Other"/>
    <s v="Premium"/>
    <n v="4.12"/>
    <x v="58"/>
    <x v="1"/>
    <x v="1"/>
    <n v="17.989999999999998"/>
    <n v="1"/>
    <n v="17.989999999999998"/>
    <x v="2"/>
    <n v="3"/>
    <n v="0.09"/>
    <s v="Romance"/>
  </r>
  <r>
    <s v="c004d46a-3676-4c1f-bd2a-b3ca2c55389d"/>
    <n v="63"/>
    <s v="Other"/>
    <s v="Standard"/>
    <n v="1.38"/>
    <x v="25"/>
    <x v="3"/>
    <x v="3"/>
    <n v="13.99"/>
    <n v="0"/>
    <n v="0"/>
    <x v="0"/>
    <n v="4"/>
    <n v="1.38"/>
    <s v="Sci-Fi"/>
  </r>
  <r>
    <s v="4a3d750d-4fc6-43ce-9354-c086e2372d3e"/>
    <n v="38"/>
    <s v="Other"/>
    <s v="Premium"/>
    <n v="7.13"/>
    <x v="57"/>
    <x v="1"/>
    <x v="3"/>
    <n v="17.989999999999998"/>
    <n v="1"/>
    <n v="17.989999999999998"/>
    <x v="3"/>
    <n v="1"/>
    <n v="0.12"/>
    <s v="Drama"/>
  </r>
  <r>
    <s v="81703340-2d76-4363-953e-56bed0c5b93c"/>
    <n v="39"/>
    <s v="Other"/>
    <s v="Standard"/>
    <n v="7.27"/>
    <x v="43"/>
    <x v="2"/>
    <x v="1"/>
    <n v="13.99"/>
    <n v="1"/>
    <n v="13.99"/>
    <x v="1"/>
    <n v="1"/>
    <n v="0.23"/>
    <s v="Drama"/>
  </r>
  <r>
    <s v="feff7dcc-8b4d-4121-9638-e39edad5c67f"/>
    <n v="52"/>
    <s v="Other"/>
    <s v="Premium"/>
    <n v="34.96"/>
    <x v="34"/>
    <x v="5"/>
    <x v="3"/>
    <n v="17.989999999999998"/>
    <n v="0"/>
    <n v="0"/>
    <x v="4"/>
    <n v="3"/>
    <n v="0.69"/>
    <s v="Horror"/>
  </r>
  <r>
    <s v="56ba0529-b5aa-48e2-ba5b-154e594ce824"/>
    <n v="57"/>
    <s v="Other"/>
    <s v="Premium"/>
    <n v="7.31"/>
    <x v="23"/>
    <x v="3"/>
    <x v="4"/>
    <n v="17.989999999999998"/>
    <n v="1"/>
    <n v="17.989999999999998"/>
    <x v="3"/>
    <n v="3"/>
    <n v="0.14000000000000001"/>
    <s v="Romance"/>
  </r>
  <r>
    <s v="7f9e1a97-c9be-4712-a61b-aed1bbbf858e"/>
    <n v="37"/>
    <s v="Male"/>
    <s v="Standard"/>
    <n v="3.66"/>
    <x v="59"/>
    <x v="0"/>
    <x v="4"/>
    <n v="13.99"/>
    <n v="0"/>
    <n v="0"/>
    <x v="3"/>
    <n v="1"/>
    <n v="0.61"/>
    <s v="Sci-Fi"/>
  </r>
  <r>
    <s v="dc9be9a8-e518-4f3c-a023-bdbaeeb17b3c"/>
    <n v="53"/>
    <s v="Other"/>
    <s v="Standard"/>
    <n v="0.51"/>
    <x v="41"/>
    <x v="4"/>
    <x v="1"/>
    <n v="13.99"/>
    <n v="0"/>
    <n v="0"/>
    <x v="2"/>
    <n v="5"/>
    <n v="0.02"/>
    <s v="Horror"/>
  </r>
  <r>
    <s v="633ce2e6-3297-4e35-83ac-1eb8ebb10331"/>
    <n v="58"/>
    <s v="Female"/>
    <s v="Basic"/>
    <n v="31.06"/>
    <x v="10"/>
    <x v="5"/>
    <x v="1"/>
    <n v="8.99"/>
    <n v="0"/>
    <n v="0"/>
    <x v="3"/>
    <n v="2"/>
    <n v="0.8"/>
    <s v="Sci-Fi"/>
  </r>
  <r>
    <s v="03d585d7-1c33-4d36-a7b1-f75db2ebff42"/>
    <n v="31"/>
    <s v="Other"/>
    <s v="Standard"/>
    <n v="0.68"/>
    <x v="56"/>
    <x v="4"/>
    <x v="0"/>
    <n v="13.99"/>
    <n v="1"/>
    <n v="13.99"/>
    <x v="0"/>
    <n v="5"/>
    <n v="0.01"/>
    <s v="Drama"/>
  </r>
  <r>
    <s v="181b6713-b90e-4211-a3c5-0f763e890d58"/>
    <n v="38"/>
    <s v="Other"/>
    <s v="Premium"/>
    <n v="8.93"/>
    <x v="18"/>
    <x v="4"/>
    <x v="1"/>
    <n v="17.989999999999998"/>
    <n v="0"/>
    <n v="0"/>
    <x v="2"/>
    <n v="4"/>
    <n v="0.15"/>
    <s v="Drama"/>
  </r>
  <r>
    <s v="fff878e7-afef-4b0f-9934-6f5b2819e20d"/>
    <n v="58"/>
    <s v="Female"/>
    <s v="Basic"/>
    <n v="3.41"/>
    <x v="8"/>
    <x v="3"/>
    <x v="4"/>
    <n v="8.99"/>
    <n v="1"/>
    <n v="8.99"/>
    <x v="0"/>
    <n v="2"/>
    <n v="0.1"/>
    <s v="Sci-Fi"/>
  </r>
  <r>
    <s v="e1a73fc5-3f78-481b-bc83-3e2938ba4129"/>
    <n v="20"/>
    <s v="Male"/>
    <s v="Basic"/>
    <n v="24.77"/>
    <x v="22"/>
    <x v="5"/>
    <x v="1"/>
    <n v="8.99"/>
    <n v="0"/>
    <n v="0"/>
    <x v="2"/>
    <n v="4"/>
    <n v="0.44"/>
    <s v="Documentary"/>
  </r>
  <r>
    <s v="3d98a1f8-5893-42da-b18d-59e48283ec63"/>
    <n v="69"/>
    <s v="Female"/>
    <s v="Basic"/>
    <n v="16.43"/>
    <x v="2"/>
    <x v="3"/>
    <x v="4"/>
    <n v="8.99"/>
    <n v="0"/>
    <n v="0"/>
    <x v="2"/>
    <n v="1"/>
    <n v="1.49"/>
    <s v="Action"/>
  </r>
  <r>
    <s v="6d950e48-0e13-4e8f-a6d7-2c30b2ec6529"/>
    <n v="55"/>
    <s v="Other"/>
    <s v="Basic"/>
    <n v="11.13"/>
    <x v="37"/>
    <x v="2"/>
    <x v="2"/>
    <n v="8.99"/>
    <n v="0"/>
    <n v="0"/>
    <x v="1"/>
    <n v="4"/>
    <n v="0.45"/>
    <s v="Romance"/>
  </r>
  <r>
    <s v="887801e2-9db1-4956-a541-c39601fb5c06"/>
    <n v="21"/>
    <s v="Other"/>
    <s v="Basic"/>
    <n v="0.54"/>
    <x v="9"/>
    <x v="2"/>
    <x v="0"/>
    <n v="8.99"/>
    <n v="1"/>
    <n v="8.99"/>
    <x v="4"/>
    <n v="2"/>
    <n v="0.01"/>
    <s v="Sci-Fi"/>
  </r>
  <r>
    <s v="f967ac11-3d04-4c44-a518-5e6f432cd0c0"/>
    <n v="60"/>
    <s v="Female"/>
    <s v="Standard"/>
    <n v="5.0199999999999996"/>
    <x v="5"/>
    <x v="3"/>
    <x v="4"/>
    <n v="13.99"/>
    <n v="0"/>
    <n v="0"/>
    <x v="1"/>
    <n v="3"/>
    <n v="0.19"/>
    <s v="Horror"/>
  </r>
  <r>
    <s v="88ff87a0-d3a1-4609-9960-d505e81d2507"/>
    <n v="34"/>
    <s v="Other"/>
    <s v="Standard"/>
    <n v="1.34"/>
    <x v="54"/>
    <x v="0"/>
    <x v="3"/>
    <n v="13.99"/>
    <n v="1"/>
    <n v="13.99"/>
    <x v="1"/>
    <n v="3"/>
    <n v="0.05"/>
    <s v="Documentary"/>
  </r>
  <r>
    <s v="4ab6dc88-5117-45e9-8a50-d7ce2f48cc66"/>
    <n v="27"/>
    <s v="Other"/>
    <s v="Premium"/>
    <n v="5.07"/>
    <x v="12"/>
    <x v="2"/>
    <x v="3"/>
    <n v="17.989999999999998"/>
    <n v="1"/>
    <n v="17.989999999999998"/>
    <x v="0"/>
    <n v="3"/>
    <n v="0.15"/>
    <s v="Action"/>
  </r>
  <r>
    <s v="b084d328-0b3a-49bd-a03f-06d53bf89686"/>
    <n v="44"/>
    <s v="Female"/>
    <s v="Basic"/>
    <n v="5.7"/>
    <x v="20"/>
    <x v="5"/>
    <x v="4"/>
    <n v="8.99"/>
    <n v="0"/>
    <n v="0"/>
    <x v="3"/>
    <n v="2"/>
    <n v="0.3"/>
    <s v="Drama"/>
  </r>
  <r>
    <s v="cbe73b6f-edfd-43a2-95aa-8821c564389e"/>
    <n v="36"/>
    <s v="Female"/>
    <s v="Premium"/>
    <n v="12.97"/>
    <x v="20"/>
    <x v="1"/>
    <x v="4"/>
    <n v="17.989999999999998"/>
    <n v="0"/>
    <n v="0"/>
    <x v="4"/>
    <n v="2"/>
    <n v="0.68"/>
    <s v="Documentary"/>
  </r>
  <r>
    <s v="be92bfd0-a5a6-431a-b376-dd8207dd32d2"/>
    <n v="63"/>
    <s v="Male"/>
    <s v="Standard"/>
    <n v="15.51"/>
    <x v="49"/>
    <x v="4"/>
    <x v="2"/>
    <n v="13.99"/>
    <n v="0"/>
    <n v="0"/>
    <x v="3"/>
    <n v="1"/>
    <n v="1.55"/>
    <s v="Action"/>
  </r>
  <r>
    <s v="1b5358fa-03c3-4163-8dd5-c30b2460ca97"/>
    <n v="36"/>
    <s v="Female"/>
    <s v="Standard"/>
    <n v="48.9"/>
    <x v="11"/>
    <x v="5"/>
    <x v="2"/>
    <n v="13.99"/>
    <n v="0"/>
    <n v="0"/>
    <x v="3"/>
    <n v="1"/>
    <n v="2.04"/>
    <s v="Drama"/>
  </r>
  <r>
    <s v="83662cbb-68d7-4d0a-bed6-73c0b4fb0206"/>
    <n v="34"/>
    <s v="Male"/>
    <s v="Standard"/>
    <n v="6.79"/>
    <x v="46"/>
    <x v="3"/>
    <x v="1"/>
    <n v="13.99"/>
    <n v="0"/>
    <n v="0"/>
    <x v="3"/>
    <n v="2"/>
    <n v="2.2599999999999998"/>
    <s v="Romance"/>
  </r>
  <r>
    <s v="5a10ba14-49e9-4305-84c4-39690a5750e2"/>
    <n v="43"/>
    <s v="Other"/>
    <s v="Standard"/>
    <n v="2.08"/>
    <x v="29"/>
    <x v="2"/>
    <x v="0"/>
    <n v="13.99"/>
    <n v="1"/>
    <n v="13.99"/>
    <x v="2"/>
    <n v="3"/>
    <n v="0.05"/>
    <s v="Action"/>
  </r>
  <r>
    <s v="6d3f8263-b314-4d76-b2bf-0329597d963e"/>
    <n v="42"/>
    <s v="Female"/>
    <s v="Basic"/>
    <n v="5.67"/>
    <x v="46"/>
    <x v="2"/>
    <x v="1"/>
    <n v="8.99"/>
    <n v="0"/>
    <n v="0"/>
    <x v="2"/>
    <n v="3"/>
    <n v="1.89"/>
    <s v="Horror"/>
  </r>
  <r>
    <s v="a34e8ef9-faa1-42a4-8db2-d0402e6f09ee"/>
    <n v="46"/>
    <s v="Male"/>
    <s v="Premium"/>
    <n v="36.229999999999997"/>
    <x v="27"/>
    <x v="4"/>
    <x v="3"/>
    <n v="17.989999999999998"/>
    <n v="0"/>
    <n v="0"/>
    <x v="4"/>
    <n v="4"/>
    <n v="2.13"/>
    <s v="Sci-Fi"/>
  </r>
  <r>
    <s v="b33d87e2-8e21-405e-95e0-b357f02a0af5"/>
    <n v="37"/>
    <s v="Female"/>
    <s v="Basic"/>
    <n v="5.35"/>
    <x v="46"/>
    <x v="5"/>
    <x v="4"/>
    <n v="8.99"/>
    <n v="0"/>
    <n v="0"/>
    <x v="0"/>
    <n v="2"/>
    <n v="1.78"/>
    <s v="Drama"/>
  </r>
  <r>
    <s v="651e01c7-45b6-44ef-a851-16dd82b0d92f"/>
    <n v="58"/>
    <s v="Female"/>
    <s v="Basic"/>
    <n v="11.9"/>
    <x v="9"/>
    <x v="2"/>
    <x v="4"/>
    <n v="8.99"/>
    <n v="1"/>
    <n v="8.99"/>
    <x v="3"/>
    <n v="3"/>
    <n v="0.32"/>
    <s v="Documentary"/>
  </r>
  <r>
    <s v="eb9340bf-76e0-4abc-a037-897ab16a9321"/>
    <n v="19"/>
    <s v="Other"/>
    <s v="Basic"/>
    <n v="8.23"/>
    <x v="8"/>
    <x v="2"/>
    <x v="0"/>
    <n v="8.99"/>
    <n v="1"/>
    <n v="8.99"/>
    <x v="1"/>
    <n v="3"/>
    <n v="0.24"/>
    <s v="Comedy"/>
  </r>
  <r>
    <s v="13d9a2c4-6246-4b31-9c92-2dd0a8ab193b"/>
    <n v="53"/>
    <s v="Female"/>
    <s v="Standard"/>
    <n v="21.38"/>
    <x v="23"/>
    <x v="3"/>
    <x v="4"/>
    <n v="13.99"/>
    <n v="0"/>
    <n v="0"/>
    <x v="4"/>
    <n v="5"/>
    <n v="0.4"/>
    <s v="Documentary"/>
  </r>
  <r>
    <s v="ea772153-fc26-4ae7-9a01-f0c441d77bac"/>
    <n v="61"/>
    <s v="Female"/>
    <s v="Standard"/>
    <n v="4.1900000000000004"/>
    <x v="41"/>
    <x v="4"/>
    <x v="0"/>
    <n v="13.99"/>
    <n v="1"/>
    <n v="13.99"/>
    <x v="1"/>
    <n v="2"/>
    <n v="0.14000000000000001"/>
    <s v="Comedy"/>
  </r>
  <r>
    <s v="a856148d-f351-4167-97b3-f542c4b0055b"/>
    <n v="37"/>
    <s v="Male"/>
    <s v="Premium"/>
    <n v="10.86"/>
    <x v="58"/>
    <x v="0"/>
    <x v="3"/>
    <n v="17.989999999999998"/>
    <n v="1"/>
    <n v="17.989999999999998"/>
    <x v="1"/>
    <n v="3"/>
    <n v="0.23"/>
    <s v="Romance"/>
  </r>
  <r>
    <s v="41c3b640-f804-4274-8b9b-10c9ad380348"/>
    <n v="56"/>
    <s v="Female"/>
    <s v="Standard"/>
    <n v="3.8"/>
    <x v="5"/>
    <x v="0"/>
    <x v="3"/>
    <n v="13.99"/>
    <n v="1"/>
    <n v="13.99"/>
    <x v="4"/>
    <n v="2"/>
    <n v="0.14000000000000001"/>
    <s v="Romance"/>
  </r>
  <r>
    <s v="470957a2-9765-4376-bd45-7b0c8ae3fdac"/>
    <n v="65"/>
    <s v="Female"/>
    <s v="Standard"/>
    <n v="50.15"/>
    <x v="4"/>
    <x v="4"/>
    <x v="2"/>
    <n v="13.99"/>
    <n v="0"/>
    <n v="0"/>
    <x v="4"/>
    <n v="3"/>
    <n v="3.58"/>
    <s v="Sci-Fi"/>
  </r>
  <r>
    <s v="01bf79df-d2f3-4bf8-b63c-1e8031b22ac3"/>
    <n v="33"/>
    <s v="Other"/>
    <s v="Premium"/>
    <n v="7.79"/>
    <x v="51"/>
    <x v="2"/>
    <x v="3"/>
    <n v="17.989999999999998"/>
    <n v="0"/>
    <n v="0"/>
    <x v="0"/>
    <n v="3"/>
    <n v="0.43"/>
    <s v="Action"/>
  </r>
  <r>
    <s v="c2a427a1-f7a0-4e27-aa4b-00a947a019fb"/>
    <n v="36"/>
    <s v="Female"/>
    <s v="Standard"/>
    <n v="15.28"/>
    <x v="50"/>
    <x v="5"/>
    <x v="4"/>
    <n v="13.99"/>
    <n v="1"/>
    <n v="13.99"/>
    <x v="1"/>
    <n v="4"/>
    <n v="0.28000000000000003"/>
    <s v="Drama"/>
  </r>
  <r>
    <s v="dc9c76a8-0447-4ba5-ae03-cf1babba783b"/>
    <n v="65"/>
    <s v="Other"/>
    <s v="Standard"/>
    <n v="9.15"/>
    <x v="41"/>
    <x v="1"/>
    <x v="2"/>
    <n v="13.99"/>
    <n v="0"/>
    <n v="0"/>
    <x v="0"/>
    <n v="4"/>
    <n v="0.3"/>
    <s v="Horror"/>
  </r>
  <r>
    <s v="e75da4f2-0792-4146-9a51-f4a49af1275b"/>
    <n v="44"/>
    <s v="Other"/>
    <s v="Standard"/>
    <n v="14.25"/>
    <x v="33"/>
    <x v="4"/>
    <x v="2"/>
    <n v="13.99"/>
    <n v="0"/>
    <n v="0"/>
    <x v="1"/>
    <n v="1"/>
    <n v="0.55000000000000004"/>
    <s v="Comedy"/>
  </r>
  <r>
    <s v="611b8c45-f9dd-4635-a726-f2fab2ab0c7e"/>
    <n v="36"/>
    <s v="Male"/>
    <s v="Standard"/>
    <n v="9.1"/>
    <x v="46"/>
    <x v="5"/>
    <x v="4"/>
    <n v="13.99"/>
    <n v="0"/>
    <n v="0"/>
    <x v="2"/>
    <n v="2"/>
    <n v="3.03"/>
    <s v="Drama"/>
  </r>
  <r>
    <s v="6f8f6066-8b9d-4d86-9706-fd94c6d87f8c"/>
    <n v="38"/>
    <s v="Female"/>
    <s v="Basic"/>
    <n v="0.32"/>
    <x v="27"/>
    <x v="4"/>
    <x v="4"/>
    <n v="8.99"/>
    <n v="1"/>
    <n v="8.99"/>
    <x v="2"/>
    <n v="3"/>
    <n v="0.02"/>
    <s v="Comedy"/>
  </r>
  <r>
    <s v="0ef46415-fdcc-428b-8f0d-068a9412db6a"/>
    <n v="44"/>
    <s v="Female"/>
    <s v="Basic"/>
    <n v="1.03"/>
    <x v="31"/>
    <x v="2"/>
    <x v="4"/>
    <n v="8.99"/>
    <n v="1"/>
    <n v="8.99"/>
    <x v="0"/>
    <n v="3"/>
    <n v="0.06"/>
    <s v="Drama"/>
  </r>
  <r>
    <s v="79ffa97f-3b33-4795-9d8b-98cb819d9a5c"/>
    <n v="20"/>
    <s v="Female"/>
    <s v="Premium"/>
    <n v="60.37"/>
    <x v="60"/>
    <x v="2"/>
    <x v="2"/>
    <n v="17.989999999999998"/>
    <n v="0"/>
    <n v="0"/>
    <x v="2"/>
    <n v="3"/>
    <n v="6.71"/>
    <s v="Sci-Fi"/>
  </r>
  <r>
    <s v="e3c31b2e-94eb-419b-8212-3536e2385d2c"/>
    <n v="31"/>
    <s v="Other"/>
    <s v="Basic"/>
    <n v="7.32"/>
    <x v="11"/>
    <x v="2"/>
    <x v="1"/>
    <n v="8.99"/>
    <n v="0"/>
    <n v="0"/>
    <x v="0"/>
    <n v="5"/>
    <n v="0.3"/>
    <s v="Documentary"/>
  </r>
  <r>
    <s v="d8a1b0e1-30c5-404c-aaef-ee2f91090379"/>
    <n v="33"/>
    <s v="Other"/>
    <s v="Premium"/>
    <n v="3.8"/>
    <x v="10"/>
    <x v="3"/>
    <x v="1"/>
    <n v="17.989999999999998"/>
    <n v="1"/>
    <n v="17.989999999999998"/>
    <x v="1"/>
    <n v="2"/>
    <n v="0.1"/>
    <s v="Sci-Fi"/>
  </r>
  <r>
    <s v="3305c5ff-0c1d-4454-a4d1-dea0e3978975"/>
    <n v="50"/>
    <s v="Female"/>
    <s v="Premium"/>
    <n v="18.62"/>
    <x v="33"/>
    <x v="0"/>
    <x v="4"/>
    <n v="17.989999999999998"/>
    <n v="0"/>
    <n v="0"/>
    <x v="0"/>
    <n v="5"/>
    <n v="0.72"/>
    <s v="Documentary"/>
  </r>
  <r>
    <s v="13869085-2e02-4a17-add2-47d51472d671"/>
    <n v="64"/>
    <s v="Male"/>
    <s v="Premium"/>
    <n v="16.62"/>
    <x v="56"/>
    <x v="2"/>
    <x v="4"/>
    <n v="17.989999999999998"/>
    <n v="0"/>
    <n v="0"/>
    <x v="4"/>
    <n v="5"/>
    <n v="0.28000000000000003"/>
    <s v="Documentary"/>
  </r>
  <r>
    <s v="e4103b71-a2ba-4c11-82f8-9bff9aba5a4b"/>
    <n v="40"/>
    <s v="Female"/>
    <s v="Premium"/>
    <n v="25.5"/>
    <x v="37"/>
    <x v="2"/>
    <x v="0"/>
    <n v="17.989999999999998"/>
    <n v="0"/>
    <n v="0"/>
    <x v="1"/>
    <n v="5"/>
    <n v="1.02"/>
    <s v="Action"/>
  </r>
  <r>
    <s v="e160466a-f14f-4ad4-b190-ab9ffd5c2a27"/>
    <n v="67"/>
    <s v="Other"/>
    <s v="Basic"/>
    <n v="4.62"/>
    <x v="12"/>
    <x v="5"/>
    <x v="1"/>
    <n v="8.99"/>
    <n v="1"/>
    <n v="8.99"/>
    <x v="1"/>
    <n v="5"/>
    <n v="0.14000000000000001"/>
    <s v="Horror"/>
  </r>
  <r>
    <s v="f6c82890-a67e-4c6c-bc25-c0942e667b1a"/>
    <n v="61"/>
    <s v="Other"/>
    <s v="Standard"/>
    <n v="4.12"/>
    <x v="25"/>
    <x v="0"/>
    <x v="3"/>
    <n v="13.99"/>
    <n v="0"/>
    <n v="0"/>
    <x v="1"/>
    <n v="1"/>
    <n v="4.12"/>
    <s v="Romance"/>
  </r>
  <r>
    <s v="c8c6df6c-920d-4f3c-80b1-8607d13c62dd"/>
    <n v="67"/>
    <s v="Male"/>
    <s v="Standard"/>
    <n v="0.08"/>
    <x v="6"/>
    <x v="5"/>
    <x v="1"/>
    <n v="13.99"/>
    <n v="1"/>
    <n v="13.99"/>
    <x v="0"/>
    <n v="2"/>
    <n v="0"/>
    <s v="Drama"/>
  </r>
  <r>
    <s v="45b3fb12-d487-41cf-a511-6bb224c2848d"/>
    <n v="53"/>
    <s v="Other"/>
    <s v="Basic"/>
    <n v="5.96"/>
    <x v="44"/>
    <x v="4"/>
    <x v="4"/>
    <n v="8.99"/>
    <n v="1"/>
    <n v="8.99"/>
    <x v="4"/>
    <n v="1"/>
    <n v="0.13"/>
    <s v="Drama"/>
  </r>
  <r>
    <s v="284b8e48-b6ef-4947-a69b-4934f8509b51"/>
    <n v="32"/>
    <s v="Male"/>
    <s v="Premium"/>
    <n v="3.32"/>
    <x v="3"/>
    <x v="2"/>
    <x v="2"/>
    <n v="17.989999999999998"/>
    <n v="0"/>
    <n v="0"/>
    <x v="3"/>
    <n v="4"/>
    <n v="0.26"/>
    <s v="Horror"/>
  </r>
  <r>
    <s v="02cc8f8c-5d42-4c4b-bacb-177a896e51b7"/>
    <n v="31"/>
    <s v="Female"/>
    <s v="Standard"/>
    <n v="6.08"/>
    <x v="33"/>
    <x v="1"/>
    <x v="0"/>
    <n v="13.99"/>
    <n v="0"/>
    <n v="0"/>
    <x v="0"/>
    <n v="2"/>
    <n v="0.23"/>
    <s v="Romance"/>
  </r>
  <r>
    <s v="84057a35-72ad-4922-8c79-4bdd241b83c3"/>
    <n v="69"/>
    <s v="Female"/>
    <s v="Premium"/>
    <n v="5.48"/>
    <x v="50"/>
    <x v="5"/>
    <x v="2"/>
    <n v="17.989999999999998"/>
    <n v="1"/>
    <n v="17.989999999999998"/>
    <x v="0"/>
    <n v="5"/>
    <n v="0.1"/>
    <s v="Action"/>
  </r>
  <r>
    <s v="36562aee-2f47-41c0-8455-e0ad53858c3c"/>
    <n v="55"/>
    <s v="Other"/>
    <s v="Basic"/>
    <n v="28.25"/>
    <x v="11"/>
    <x v="0"/>
    <x v="0"/>
    <n v="8.99"/>
    <n v="0"/>
    <n v="0"/>
    <x v="4"/>
    <n v="1"/>
    <n v="1.18"/>
    <s v="Action"/>
  </r>
  <r>
    <s v="ad57c204-f497-4f4b-88fb-03a6ed249a42"/>
    <n v="70"/>
    <s v="Male"/>
    <s v="Premium"/>
    <n v="5.62"/>
    <x v="33"/>
    <x v="1"/>
    <x v="3"/>
    <n v="17.989999999999998"/>
    <n v="0"/>
    <n v="0"/>
    <x v="4"/>
    <n v="3"/>
    <n v="0.22"/>
    <s v="Comedy"/>
  </r>
  <r>
    <s v="37e9a389-655c-4b71-a5f8-ceb53a4b0728"/>
    <n v="70"/>
    <s v="Male"/>
    <s v="Standard"/>
    <n v="15.52"/>
    <x v="3"/>
    <x v="0"/>
    <x v="1"/>
    <n v="13.99"/>
    <n v="0"/>
    <n v="0"/>
    <x v="0"/>
    <n v="5"/>
    <n v="1.19"/>
    <s v="Drama"/>
  </r>
  <r>
    <s v="f812b295-fffc-4248-9068-a94a1f30bba7"/>
    <n v="70"/>
    <s v="Female"/>
    <s v="Standard"/>
    <n v="3.06"/>
    <x v="18"/>
    <x v="5"/>
    <x v="0"/>
    <n v="13.99"/>
    <n v="1"/>
    <n v="13.99"/>
    <x v="4"/>
    <n v="4"/>
    <n v="0.05"/>
    <s v="Comedy"/>
  </r>
  <r>
    <s v="ed9483f7-d1bb-43ea-b042-737f411148e0"/>
    <n v="27"/>
    <s v="Female"/>
    <s v="Basic"/>
    <n v="17.34"/>
    <x v="27"/>
    <x v="4"/>
    <x v="2"/>
    <n v="8.99"/>
    <n v="0"/>
    <n v="0"/>
    <x v="4"/>
    <n v="4"/>
    <n v="1.02"/>
    <s v="Sci-Fi"/>
  </r>
  <r>
    <s v="a6a03d8a-8c9b-4f3b-910d-4ee276cd1b8b"/>
    <n v="19"/>
    <s v="Male"/>
    <s v="Basic"/>
    <n v="9.09"/>
    <x v="7"/>
    <x v="4"/>
    <x v="2"/>
    <n v="8.99"/>
    <n v="1"/>
    <n v="8.99"/>
    <x v="4"/>
    <n v="3"/>
    <n v="0.16"/>
    <s v="Romance"/>
  </r>
  <r>
    <s v="ac2992f2-0f0b-410e-acc3-cd2df1cc164d"/>
    <n v="63"/>
    <s v="Other"/>
    <s v="Basic"/>
    <n v="36.14"/>
    <x v="23"/>
    <x v="1"/>
    <x v="1"/>
    <n v="8.99"/>
    <n v="0"/>
    <n v="0"/>
    <x v="4"/>
    <n v="4"/>
    <n v="0.67"/>
    <s v="Drama"/>
  </r>
  <r>
    <s v="a885f06b-975d-4dc1-b097-fbeeb8a5ae05"/>
    <n v="47"/>
    <s v="Male"/>
    <s v="Basic"/>
    <n v="3.92"/>
    <x v="15"/>
    <x v="3"/>
    <x v="4"/>
    <n v="8.99"/>
    <n v="1"/>
    <n v="8.99"/>
    <x v="3"/>
    <n v="5"/>
    <n v="0.1"/>
    <s v="Drama"/>
  </r>
  <r>
    <s v="7fba5ae9-1913-4021-9975-c3b8982a0c16"/>
    <n v="27"/>
    <s v="Male"/>
    <s v="Premium"/>
    <n v="17.29"/>
    <x v="40"/>
    <x v="1"/>
    <x v="2"/>
    <n v="17.989999999999998"/>
    <n v="0"/>
    <n v="0"/>
    <x v="1"/>
    <n v="2"/>
    <n v="1.44"/>
    <s v="Comedy"/>
  </r>
  <r>
    <s v="6631dbbb-dba7-4e36-98e1-ecd5867db158"/>
    <n v="33"/>
    <s v="Female"/>
    <s v="Basic"/>
    <n v="11.53"/>
    <x v="47"/>
    <x v="1"/>
    <x v="0"/>
    <n v="8.99"/>
    <n v="0"/>
    <n v="0"/>
    <x v="2"/>
    <n v="5"/>
    <n v="2.88"/>
    <s v="Documentary"/>
  </r>
  <r>
    <s v="2cc8e207-22d5-4fb0-a161-45d411d07da6"/>
    <n v="58"/>
    <s v="Female"/>
    <s v="Premium"/>
    <n v="8.5299999999999994"/>
    <x v="26"/>
    <x v="3"/>
    <x v="2"/>
    <n v="17.989999999999998"/>
    <n v="0"/>
    <n v="0"/>
    <x v="3"/>
    <n v="4"/>
    <n v="0.17"/>
    <s v="Horror"/>
  </r>
  <r>
    <s v="7d760c06-d947-48e0-8db5-f5329387d1ef"/>
    <n v="66"/>
    <s v="Other"/>
    <s v="Premium"/>
    <n v="1.02"/>
    <x v="31"/>
    <x v="1"/>
    <x v="1"/>
    <n v="17.989999999999998"/>
    <n v="1"/>
    <n v="17.989999999999998"/>
    <x v="0"/>
    <n v="5"/>
    <n v="0.06"/>
    <s v="Comedy"/>
  </r>
  <r>
    <s v="ecdc67bf-2219-48d4-ad54-61842802c67c"/>
    <n v="55"/>
    <s v="Female"/>
    <s v="Standard"/>
    <n v="3.81"/>
    <x v="46"/>
    <x v="3"/>
    <x v="0"/>
    <n v="13.99"/>
    <n v="0"/>
    <n v="0"/>
    <x v="0"/>
    <n v="1"/>
    <n v="1.27"/>
    <s v="Sci-Fi"/>
  </r>
  <r>
    <s v="7b1a55cd-297f-4b7e-b881-1b5fd6f5ec61"/>
    <n v="30"/>
    <s v="Male"/>
    <s v="Standard"/>
    <n v="9.58"/>
    <x v="28"/>
    <x v="4"/>
    <x v="4"/>
    <n v="13.99"/>
    <n v="1"/>
    <n v="13.99"/>
    <x v="2"/>
    <n v="3"/>
    <n v="0.27"/>
    <s v="Horror"/>
  </r>
  <r>
    <s v="bd92a3f0-63ff-4e60-8ebd-7789d7318af9"/>
    <n v="70"/>
    <s v="Other"/>
    <s v="Standard"/>
    <n v="4.66"/>
    <x v="19"/>
    <x v="5"/>
    <x v="0"/>
    <n v="13.99"/>
    <n v="1"/>
    <n v="13.99"/>
    <x v="2"/>
    <n v="2"/>
    <n v="0.11"/>
    <s v="Horror"/>
  </r>
  <r>
    <s v="7cdf9e69-0b07-42dc-8aa9-225c8cdf6904"/>
    <n v="70"/>
    <s v="Male"/>
    <s v="Premium"/>
    <n v="18.46"/>
    <x v="60"/>
    <x v="5"/>
    <x v="0"/>
    <n v="17.989999999999998"/>
    <n v="0"/>
    <n v="0"/>
    <x v="4"/>
    <n v="4"/>
    <n v="2.0499999999999998"/>
    <s v="Documentary"/>
  </r>
  <r>
    <s v="36d2ad86-3674-4aa9-86e0-b523c81990b6"/>
    <n v="33"/>
    <s v="Female"/>
    <s v="Premium"/>
    <n v="11.79"/>
    <x v="31"/>
    <x v="3"/>
    <x v="4"/>
    <n v="17.989999999999998"/>
    <n v="0"/>
    <n v="0"/>
    <x v="2"/>
    <n v="4"/>
    <n v="0.74"/>
    <s v="Sci-Fi"/>
  </r>
  <r>
    <s v="10e56352-8dce-4ba9-a452-87405310c972"/>
    <n v="57"/>
    <s v="Other"/>
    <s v="Standard"/>
    <n v="9.9"/>
    <x v="29"/>
    <x v="5"/>
    <x v="1"/>
    <n v="13.99"/>
    <n v="0"/>
    <n v="0"/>
    <x v="2"/>
    <n v="4"/>
    <n v="0.22"/>
    <s v="Documentary"/>
  </r>
  <r>
    <s v="fe446b20-d84d-4ee7-9de6-6bf726b339b4"/>
    <n v="54"/>
    <s v="Other"/>
    <s v="Premium"/>
    <n v="9.8000000000000007"/>
    <x v="7"/>
    <x v="5"/>
    <x v="4"/>
    <n v="17.989999999999998"/>
    <n v="1"/>
    <n v="17.989999999999998"/>
    <x v="1"/>
    <n v="4"/>
    <n v="0.17"/>
    <s v="Romance"/>
  </r>
  <r>
    <s v="8974f6aa-5a7b-4cef-9f38-b56ac2869ef4"/>
    <n v="30"/>
    <s v="Female"/>
    <s v="Standard"/>
    <n v="4.72"/>
    <x v="32"/>
    <x v="0"/>
    <x v="0"/>
    <n v="13.99"/>
    <n v="1"/>
    <n v="13.99"/>
    <x v="4"/>
    <n v="3"/>
    <n v="0.31"/>
    <s v="Horror"/>
  </r>
  <r>
    <s v="4c950183-7b4d-433d-94f0-7f415e89c36e"/>
    <n v="31"/>
    <s v="Male"/>
    <s v="Standard"/>
    <n v="9.41"/>
    <x v="36"/>
    <x v="1"/>
    <x v="4"/>
    <n v="13.99"/>
    <n v="0"/>
    <n v="0"/>
    <x v="3"/>
    <n v="4"/>
    <n v="0.24"/>
    <s v="Documentary"/>
  </r>
  <r>
    <s v="ef0c40a9-94e9-43d8-b0f5-0123e35c851c"/>
    <n v="18"/>
    <s v="Female"/>
    <s v="Premium"/>
    <n v="0.24"/>
    <x v="49"/>
    <x v="4"/>
    <x v="0"/>
    <n v="17.989999999999998"/>
    <n v="1"/>
    <n v="17.989999999999998"/>
    <x v="4"/>
    <n v="1"/>
    <n v="0.02"/>
    <s v="Drama"/>
  </r>
  <r>
    <s v="727a2bec-50ec-47ee-9905-3caf8cb2a987"/>
    <n v="52"/>
    <s v="Male"/>
    <s v="Premium"/>
    <n v="3.12"/>
    <x v="49"/>
    <x v="4"/>
    <x v="0"/>
    <n v="17.989999999999998"/>
    <n v="1"/>
    <n v="17.989999999999998"/>
    <x v="3"/>
    <n v="1"/>
    <n v="0.31"/>
    <s v="Comedy"/>
  </r>
  <r>
    <s v="1f958ee1-08d0-46d2-8375-88bb42ff738a"/>
    <n v="36"/>
    <s v="Female"/>
    <s v="Premium"/>
    <n v="19.03"/>
    <x v="30"/>
    <x v="2"/>
    <x v="3"/>
    <n v="17.989999999999998"/>
    <n v="0"/>
    <n v="0"/>
    <x v="1"/>
    <n v="2"/>
    <n v="9.52"/>
    <s v="Sci-Fi"/>
  </r>
  <r>
    <s v="1d5bbdf1-b8eb-49c8-8502-6925c92285d6"/>
    <n v="49"/>
    <s v="Female"/>
    <s v="Standard"/>
    <n v="8.43"/>
    <x v="46"/>
    <x v="3"/>
    <x v="0"/>
    <n v="13.99"/>
    <n v="0"/>
    <n v="0"/>
    <x v="0"/>
    <n v="1"/>
    <n v="2.81"/>
    <s v="Comedy"/>
  </r>
  <r>
    <s v="ee8faa7f-a7e8-4a8b-8441-695a894635ec"/>
    <n v="49"/>
    <s v="Female"/>
    <s v="Basic"/>
    <n v="7.02"/>
    <x v="22"/>
    <x v="4"/>
    <x v="1"/>
    <n v="8.99"/>
    <n v="1"/>
    <n v="8.99"/>
    <x v="0"/>
    <n v="3"/>
    <n v="0.13"/>
    <s v="Drama"/>
  </r>
  <r>
    <s v="33287cc9-f41f-40ae-ac5c-71754484e635"/>
    <n v="40"/>
    <s v="Other"/>
    <s v="Basic"/>
    <n v="6.58"/>
    <x v="47"/>
    <x v="2"/>
    <x v="3"/>
    <n v="8.99"/>
    <n v="0"/>
    <n v="0"/>
    <x v="3"/>
    <n v="1"/>
    <n v="1.65"/>
    <s v="Drama"/>
  </r>
  <r>
    <s v="e3a08f87-a693-47d8-a47e-cf071d5c1d71"/>
    <n v="58"/>
    <s v="Female"/>
    <s v="Premium"/>
    <n v="14.52"/>
    <x v="53"/>
    <x v="2"/>
    <x v="3"/>
    <n v="17.989999999999998"/>
    <n v="1"/>
    <n v="17.989999999999998"/>
    <x v="3"/>
    <n v="1"/>
    <n v="0.34"/>
    <s v="Horror"/>
  </r>
  <r>
    <s v="0b4eb218-348c-4c68-a3a5-08e7993b303a"/>
    <n v="56"/>
    <s v="Female"/>
    <s v="Standard"/>
    <n v="35.01"/>
    <x v="46"/>
    <x v="2"/>
    <x v="3"/>
    <n v="13.99"/>
    <n v="0"/>
    <n v="0"/>
    <x v="1"/>
    <n v="4"/>
    <n v="11.67"/>
    <s v="Sci-Fi"/>
  </r>
  <r>
    <s v="2146a842-093c-446d-a78d-86b66080475f"/>
    <n v="20"/>
    <s v="Other"/>
    <s v="Standard"/>
    <n v="5.85"/>
    <x v="31"/>
    <x v="1"/>
    <x v="2"/>
    <n v="13.99"/>
    <n v="0"/>
    <n v="0"/>
    <x v="1"/>
    <n v="2"/>
    <n v="0.37"/>
    <s v="Documentary"/>
  </r>
  <r>
    <s v="e6dd515f-7399-4451-8a24-6e0ffda79f66"/>
    <n v="67"/>
    <s v="Other"/>
    <s v="Standard"/>
    <n v="9.09"/>
    <x v="42"/>
    <x v="4"/>
    <x v="2"/>
    <n v="13.99"/>
    <n v="1"/>
    <n v="13.99"/>
    <x v="1"/>
    <n v="4"/>
    <n v="0.24"/>
    <s v="Horror"/>
  </r>
  <r>
    <s v="cc2d1c2c-57dd-420b-8937-6004c639af1d"/>
    <n v="18"/>
    <s v="Female"/>
    <s v="Basic"/>
    <n v="7.7"/>
    <x v="12"/>
    <x v="5"/>
    <x v="2"/>
    <n v="8.99"/>
    <n v="1"/>
    <n v="8.99"/>
    <x v="1"/>
    <n v="2"/>
    <n v="0.23"/>
    <s v="Action"/>
  </r>
  <r>
    <s v="a54a7593-d55e-4f30-b27b-56c9b17b6bb6"/>
    <n v="68"/>
    <s v="Male"/>
    <s v="Standard"/>
    <n v="7.02"/>
    <x v="56"/>
    <x v="3"/>
    <x v="3"/>
    <n v="13.99"/>
    <n v="0"/>
    <n v="0"/>
    <x v="2"/>
    <n v="4"/>
    <n v="0.12"/>
    <s v="Romance"/>
  </r>
  <r>
    <s v="7fe742a0-9a13-4740-93f2-7de97369def0"/>
    <n v="57"/>
    <s v="Female"/>
    <s v="Premium"/>
    <n v="4.83"/>
    <x v="47"/>
    <x v="3"/>
    <x v="3"/>
    <n v="17.989999999999998"/>
    <n v="0"/>
    <n v="0"/>
    <x v="4"/>
    <n v="4"/>
    <n v="1.21"/>
    <s v="Comedy"/>
  </r>
  <r>
    <s v="7948427b-e1c2-40c2-8447-04791699eeb9"/>
    <n v="23"/>
    <s v="Female"/>
    <s v="Basic"/>
    <n v="17.3"/>
    <x v="39"/>
    <x v="0"/>
    <x v="4"/>
    <n v="8.99"/>
    <n v="0"/>
    <n v="0"/>
    <x v="3"/>
    <n v="2"/>
    <n v="0.75"/>
    <s v="Documentary"/>
  </r>
  <r>
    <s v="c4694ef0-b6af-47a9-b7ae-f24ad7ecdb29"/>
    <n v="29"/>
    <s v="Male"/>
    <s v="Premium"/>
    <n v="6.93"/>
    <x v="4"/>
    <x v="0"/>
    <x v="2"/>
    <n v="17.989999999999998"/>
    <n v="0"/>
    <n v="0"/>
    <x v="4"/>
    <n v="1"/>
    <n v="0.49"/>
    <s v="Drama"/>
  </r>
  <r>
    <s v="ed0d8d2e-659d-4a88-ba88-b42846c0e9c8"/>
    <n v="41"/>
    <s v="Female"/>
    <s v="Standard"/>
    <n v="3.35"/>
    <x v="18"/>
    <x v="3"/>
    <x v="4"/>
    <n v="13.99"/>
    <n v="1"/>
    <n v="13.99"/>
    <x v="1"/>
    <n v="3"/>
    <n v="0.06"/>
    <s v="Horror"/>
  </r>
  <r>
    <s v="45e9c6d3-4c02-4437-9a89-b1e425b3809c"/>
    <n v="37"/>
    <s v="Female"/>
    <s v="Standard"/>
    <n v="3.94"/>
    <x v="46"/>
    <x v="3"/>
    <x v="1"/>
    <n v="13.99"/>
    <n v="0"/>
    <n v="0"/>
    <x v="2"/>
    <n v="2"/>
    <n v="1.31"/>
    <s v="Comedy"/>
  </r>
  <r>
    <s v="7e2e2ab8-ef15-4a1d-ab31-70439070dcb2"/>
    <n v="45"/>
    <s v="Female"/>
    <s v="Premium"/>
    <n v="0.12"/>
    <x v="32"/>
    <x v="1"/>
    <x v="0"/>
    <n v="17.989999999999998"/>
    <n v="0"/>
    <n v="0"/>
    <x v="2"/>
    <n v="5"/>
    <n v="0.01"/>
    <s v="Documentary"/>
  </r>
  <r>
    <s v="ac363bfb-8031-4077-a271-465e28b18e97"/>
    <n v="47"/>
    <s v="Male"/>
    <s v="Premium"/>
    <n v="0.64"/>
    <x v="19"/>
    <x v="0"/>
    <x v="3"/>
    <n v="17.989999999999998"/>
    <n v="1"/>
    <n v="17.989999999999998"/>
    <x v="1"/>
    <n v="2"/>
    <n v="0.01"/>
    <s v="Romance"/>
  </r>
  <r>
    <s v="e8a364a4-feae-43f7-805e-eca0a2ba8b9c"/>
    <n v="55"/>
    <s v="Other"/>
    <s v="Premium"/>
    <n v="7.53"/>
    <x v="60"/>
    <x v="3"/>
    <x v="0"/>
    <n v="17.989999999999998"/>
    <n v="0"/>
    <n v="0"/>
    <x v="1"/>
    <n v="2"/>
    <n v="0.84"/>
    <s v="Horror"/>
  </r>
  <r>
    <s v="1d57d21e-088d-4e30-9d26-a22f243d2cfd"/>
    <n v="70"/>
    <s v="Other"/>
    <s v="Basic"/>
    <n v="11.44"/>
    <x v="47"/>
    <x v="2"/>
    <x v="0"/>
    <n v="8.99"/>
    <n v="0"/>
    <n v="0"/>
    <x v="3"/>
    <n v="4"/>
    <n v="2.86"/>
    <s v="Romance"/>
  </r>
  <r>
    <s v="fddebef1-3eb1-4164-b39e-58708ccec633"/>
    <n v="42"/>
    <s v="Other"/>
    <s v="Basic"/>
    <n v="3.47"/>
    <x v="9"/>
    <x v="4"/>
    <x v="4"/>
    <n v="8.99"/>
    <n v="1"/>
    <n v="8.99"/>
    <x v="4"/>
    <n v="5"/>
    <n v="0.09"/>
    <s v="Documentary"/>
  </r>
  <r>
    <s v="9b096c41-88cb-47f7-821a-51088e67fd01"/>
    <n v="33"/>
    <s v="Male"/>
    <s v="Standard"/>
    <n v="17.89"/>
    <x v="14"/>
    <x v="2"/>
    <x v="1"/>
    <n v="13.99"/>
    <n v="0"/>
    <n v="0"/>
    <x v="0"/>
    <n v="4"/>
    <n v="0.54"/>
    <s v="Sci-Fi"/>
  </r>
  <r>
    <s v="586bee8a-9719-4537-ab4a-5ce2b2a584fa"/>
    <n v="57"/>
    <s v="Male"/>
    <s v="Basic"/>
    <n v="28.44"/>
    <x v="45"/>
    <x v="5"/>
    <x v="1"/>
    <n v="8.99"/>
    <n v="0"/>
    <n v="0"/>
    <x v="4"/>
    <n v="1"/>
    <n v="0.68"/>
    <s v="Comedy"/>
  </r>
  <r>
    <s v="1d2a4f65-52e7-4608-8b68-eb5bd4cdffe7"/>
    <n v="64"/>
    <s v="Female"/>
    <s v="Standard"/>
    <n v="12.66"/>
    <x v="9"/>
    <x v="5"/>
    <x v="1"/>
    <n v="13.99"/>
    <n v="1"/>
    <n v="13.99"/>
    <x v="1"/>
    <n v="2"/>
    <n v="0.34"/>
    <s v="Horror"/>
  </r>
  <r>
    <s v="2dae5422-290c-43f5-86a0-1b32d4ac035b"/>
    <n v="69"/>
    <s v="Other"/>
    <s v="Premium"/>
    <n v="3.05"/>
    <x v="18"/>
    <x v="1"/>
    <x v="0"/>
    <n v="17.989999999999998"/>
    <n v="1"/>
    <n v="17.989999999999998"/>
    <x v="3"/>
    <n v="4"/>
    <n v="0.05"/>
    <s v="Comedy"/>
  </r>
  <r>
    <s v="4524dbd8-5791-42d4-b071-f52c41ee1c6e"/>
    <n v="27"/>
    <s v="Female"/>
    <s v="Basic"/>
    <n v="0.03"/>
    <x v="46"/>
    <x v="0"/>
    <x v="1"/>
    <n v="8.99"/>
    <n v="1"/>
    <n v="8.99"/>
    <x v="2"/>
    <n v="3"/>
    <n v="0.01"/>
    <s v="Drama"/>
  </r>
  <r>
    <s v="05c92d11-017e-4bc6-bb81-936a2547ed8a"/>
    <n v="39"/>
    <s v="Male"/>
    <s v="Premium"/>
    <n v="7.64"/>
    <x v="15"/>
    <x v="3"/>
    <x v="3"/>
    <n v="17.989999999999998"/>
    <n v="1"/>
    <n v="17.989999999999998"/>
    <x v="3"/>
    <n v="1"/>
    <n v="0.19"/>
    <s v="Action"/>
  </r>
  <r>
    <s v="44b4f479-0f54-4647-b5fc-eca9657724ce"/>
    <n v="65"/>
    <s v="Male"/>
    <s v="Premium"/>
    <n v="5.0199999999999996"/>
    <x v="48"/>
    <x v="0"/>
    <x v="2"/>
    <n v="17.989999999999998"/>
    <n v="1"/>
    <n v="17.989999999999998"/>
    <x v="1"/>
    <n v="3"/>
    <n v="0.1"/>
    <s v="Comedy"/>
  </r>
  <r>
    <s v="1b04627d-b81d-4bad-8343-ae22bd145828"/>
    <n v="39"/>
    <s v="Other"/>
    <s v="Basic"/>
    <n v="12.17"/>
    <x v="20"/>
    <x v="4"/>
    <x v="0"/>
    <n v="8.99"/>
    <n v="0"/>
    <n v="0"/>
    <x v="4"/>
    <n v="5"/>
    <n v="0.64"/>
    <s v="Sci-Fi"/>
  </r>
  <r>
    <s v="b281af12-1392-4e70-9dc8-b394fe8de6a8"/>
    <n v="52"/>
    <s v="Female"/>
    <s v="Standard"/>
    <n v="8.93"/>
    <x v="10"/>
    <x v="0"/>
    <x v="3"/>
    <n v="13.99"/>
    <n v="1"/>
    <n v="13.99"/>
    <x v="1"/>
    <n v="1"/>
    <n v="0.23"/>
    <s v="Horror"/>
  </r>
  <r>
    <s v="08b88a8c-5cf1-4443-8735-cb68e6ec3769"/>
    <n v="62"/>
    <s v="Other"/>
    <s v="Basic"/>
    <n v="30.35"/>
    <x v="0"/>
    <x v="3"/>
    <x v="4"/>
    <n v="8.99"/>
    <n v="0"/>
    <n v="0"/>
    <x v="2"/>
    <n v="2"/>
    <n v="1.01"/>
    <s v="Drama"/>
  </r>
  <r>
    <s v="aac86e6a-dd8e-4a52-9ab0-b6f14fd2911f"/>
    <n v="52"/>
    <s v="Other"/>
    <s v="Basic"/>
    <n v="0.4"/>
    <x v="50"/>
    <x v="1"/>
    <x v="3"/>
    <n v="8.99"/>
    <n v="1"/>
    <n v="8.99"/>
    <x v="2"/>
    <n v="1"/>
    <n v="0.01"/>
    <s v="Romance"/>
  </r>
  <r>
    <s v="3e53a4a8-4033-4454-8c95-0b6be106de8d"/>
    <n v="43"/>
    <s v="Male"/>
    <s v="Standard"/>
    <n v="0.24"/>
    <x v="47"/>
    <x v="1"/>
    <x v="1"/>
    <n v="13.99"/>
    <n v="1"/>
    <n v="13.99"/>
    <x v="0"/>
    <n v="3"/>
    <n v="0.06"/>
    <s v="Romance"/>
  </r>
  <r>
    <s v="48b92021-3236-486c-8c47-9e0c6e6e6c4b"/>
    <n v="32"/>
    <s v="Other"/>
    <s v="Standard"/>
    <n v="0.38"/>
    <x v="2"/>
    <x v="2"/>
    <x v="3"/>
    <n v="13.99"/>
    <n v="0"/>
    <n v="0"/>
    <x v="4"/>
    <n v="5"/>
    <n v="0.03"/>
    <s v="Comedy"/>
  </r>
  <r>
    <s v="2d323e83-1795-4c77-91fa-cbc75c603296"/>
    <n v="18"/>
    <s v="Female"/>
    <s v="Premium"/>
    <n v="9.8800000000000008"/>
    <x v="40"/>
    <x v="4"/>
    <x v="2"/>
    <n v="17.989999999999998"/>
    <n v="0"/>
    <n v="0"/>
    <x v="2"/>
    <n v="4"/>
    <n v="0.82"/>
    <s v="Sci-Fi"/>
  </r>
  <r>
    <s v="adc7f84c-3aab-48f5-af7e-27358f82ac21"/>
    <n v="45"/>
    <s v="Female"/>
    <s v="Basic"/>
    <n v="25.86"/>
    <x v="9"/>
    <x v="5"/>
    <x v="4"/>
    <n v="8.99"/>
    <n v="0"/>
    <n v="0"/>
    <x v="3"/>
    <n v="3"/>
    <n v="0.7"/>
    <s v="Comedy"/>
  </r>
  <r>
    <s v="5c43c29c-5301-4c78-bde7-d3f55324e38e"/>
    <n v="21"/>
    <s v="Male"/>
    <s v="Basic"/>
    <n v="28.27"/>
    <x v="5"/>
    <x v="2"/>
    <x v="2"/>
    <n v="8.99"/>
    <n v="0"/>
    <n v="0"/>
    <x v="0"/>
    <n v="5"/>
    <n v="1.05"/>
    <s v="Documentary"/>
  </r>
  <r>
    <s v="3b324e22-6303-4712-b779-d62414ac4ecc"/>
    <n v="63"/>
    <s v="Male"/>
    <s v="Basic"/>
    <n v="6.79"/>
    <x v="44"/>
    <x v="2"/>
    <x v="4"/>
    <n v="8.99"/>
    <n v="1"/>
    <n v="8.99"/>
    <x v="4"/>
    <n v="1"/>
    <n v="0.14000000000000001"/>
    <s v="Comedy"/>
  </r>
  <r>
    <s v="8bfa387d-bfd3-411f-ab70-4754993bc947"/>
    <n v="57"/>
    <s v="Male"/>
    <s v="Premium"/>
    <n v="14.69"/>
    <x v="3"/>
    <x v="0"/>
    <x v="3"/>
    <n v="17.989999999999998"/>
    <n v="0"/>
    <n v="0"/>
    <x v="1"/>
    <n v="5"/>
    <n v="1.1299999999999999"/>
    <s v="Sci-Fi"/>
  </r>
  <r>
    <s v="3937c4f3-e061-412e-881c-4abc32f985e0"/>
    <n v="24"/>
    <s v="Male"/>
    <s v="Standard"/>
    <n v="7.75"/>
    <x v="33"/>
    <x v="1"/>
    <x v="2"/>
    <n v="13.99"/>
    <n v="0"/>
    <n v="0"/>
    <x v="1"/>
    <n v="5"/>
    <n v="0.3"/>
    <s v="Action"/>
  </r>
  <r>
    <s v="f2bd18f7-ed02-4f34-980e-1c7dba261108"/>
    <n v="56"/>
    <s v="Female"/>
    <s v="Premium"/>
    <n v="8.83"/>
    <x v="2"/>
    <x v="1"/>
    <x v="4"/>
    <n v="17.989999999999998"/>
    <n v="0"/>
    <n v="0"/>
    <x v="2"/>
    <n v="1"/>
    <n v="0.8"/>
    <s v="Documentary"/>
  </r>
  <r>
    <s v="2224d120-e062-49d2-bd41-26419d703ce9"/>
    <n v="39"/>
    <s v="Other"/>
    <s v="Premium"/>
    <n v="18.98"/>
    <x v="42"/>
    <x v="2"/>
    <x v="2"/>
    <n v="17.989999999999998"/>
    <n v="0"/>
    <n v="0"/>
    <x v="0"/>
    <n v="3"/>
    <n v="0.5"/>
    <s v="Comedy"/>
  </r>
  <r>
    <s v="fedb3f81-a21c-43fe-839b-fcb7c0252e68"/>
    <n v="66"/>
    <s v="Other"/>
    <s v="Basic"/>
    <n v="31.95"/>
    <x v="3"/>
    <x v="0"/>
    <x v="1"/>
    <n v="8.99"/>
    <n v="0"/>
    <n v="0"/>
    <x v="2"/>
    <n v="4"/>
    <n v="2.46"/>
    <s v="Horror"/>
  </r>
  <r>
    <s v="74e01e40-d5a7-4efb-90fe-f1300408cb29"/>
    <n v="38"/>
    <s v="Female"/>
    <s v="Premium"/>
    <n v="15.01"/>
    <x v="43"/>
    <x v="0"/>
    <x v="3"/>
    <n v="17.989999999999998"/>
    <n v="0"/>
    <n v="0"/>
    <x v="2"/>
    <n v="5"/>
    <n v="0.47"/>
    <s v="Sci-Fi"/>
  </r>
  <r>
    <s v="048c60bd-5233-445a-83d5-f33e8e5ad0f1"/>
    <n v="49"/>
    <s v="Other"/>
    <s v="Basic"/>
    <n v="15.49"/>
    <x v="20"/>
    <x v="5"/>
    <x v="4"/>
    <n v="8.99"/>
    <n v="0"/>
    <n v="0"/>
    <x v="4"/>
    <n v="3"/>
    <n v="0.82"/>
    <s v="Documentary"/>
  </r>
  <r>
    <s v="b4ebf013-bb7d-4033-b06d-cd08a2026791"/>
    <n v="25"/>
    <s v="Female"/>
    <s v="Basic"/>
    <n v="2.78"/>
    <x v="25"/>
    <x v="3"/>
    <x v="0"/>
    <n v="8.99"/>
    <n v="1"/>
    <n v="8.99"/>
    <x v="2"/>
    <n v="1"/>
    <n v="2.78"/>
    <s v="Drama"/>
  </r>
  <r>
    <s v="886e8d80-2dd5-42ef-82ce-513b690759b0"/>
    <n v="64"/>
    <s v="Male"/>
    <s v="Standard"/>
    <n v="28.71"/>
    <x v="31"/>
    <x v="4"/>
    <x v="1"/>
    <n v="13.99"/>
    <n v="0"/>
    <n v="0"/>
    <x v="3"/>
    <n v="4"/>
    <n v="1.79"/>
    <s v="Documentary"/>
  </r>
  <r>
    <s v="81882b96-2263-47c0-be9a-895d4c8983d3"/>
    <n v="70"/>
    <s v="Other"/>
    <s v="Premium"/>
    <n v="12.08"/>
    <x v="27"/>
    <x v="3"/>
    <x v="2"/>
    <n v="17.989999999999998"/>
    <n v="0"/>
    <n v="0"/>
    <x v="0"/>
    <n v="5"/>
    <n v="0.71"/>
    <s v="Comedy"/>
  </r>
  <r>
    <s v="acbfff21-46ea-4d22-9320-980af367bdc2"/>
    <n v="46"/>
    <s v="Male"/>
    <s v="Standard"/>
    <n v="12.26"/>
    <x v="29"/>
    <x v="0"/>
    <x v="4"/>
    <n v="13.99"/>
    <n v="1"/>
    <n v="13.99"/>
    <x v="3"/>
    <n v="3"/>
    <n v="0.27"/>
    <s v="Documentary"/>
  </r>
  <r>
    <s v="ce4f1f9b-06d3-4ed6-a75c-bc1d13e5cbec"/>
    <n v="62"/>
    <s v="Other"/>
    <s v="Basic"/>
    <n v="0.98"/>
    <x v="9"/>
    <x v="1"/>
    <x v="3"/>
    <n v="8.99"/>
    <n v="1"/>
    <n v="8.99"/>
    <x v="0"/>
    <n v="4"/>
    <n v="0.03"/>
    <s v="Comedy"/>
  </r>
  <r>
    <s v="6e006abe-2672-4309-9303-6ca60ffd2e60"/>
    <n v="56"/>
    <s v="Female"/>
    <s v="Basic"/>
    <n v="2.98"/>
    <x v="42"/>
    <x v="4"/>
    <x v="3"/>
    <n v="8.99"/>
    <n v="1"/>
    <n v="8.99"/>
    <x v="0"/>
    <n v="4"/>
    <n v="0.08"/>
    <s v="Sci-Fi"/>
  </r>
  <r>
    <s v="3cf2407f-5d20-4c4c-aa54-7f5ca07e0183"/>
    <n v="66"/>
    <s v="Male"/>
    <s v="Basic"/>
    <n v="16.190000000000001"/>
    <x v="33"/>
    <x v="0"/>
    <x v="0"/>
    <n v="8.99"/>
    <n v="0"/>
    <n v="0"/>
    <x v="0"/>
    <n v="4"/>
    <n v="0.62"/>
    <s v="Drama"/>
  </r>
  <r>
    <s v="ab212213-fe29-41ff-9baf-98537678d60c"/>
    <n v="25"/>
    <s v="Male"/>
    <s v="Basic"/>
    <n v="4.0199999999999996"/>
    <x v="1"/>
    <x v="1"/>
    <x v="2"/>
    <n v="8.99"/>
    <n v="1"/>
    <n v="8.99"/>
    <x v="0"/>
    <n v="3"/>
    <n v="0.2"/>
    <s v="Horror"/>
  </r>
  <r>
    <s v="f8d78376-febd-4540-8d6a-81bbab8f3b57"/>
    <n v="45"/>
    <s v="Other"/>
    <s v="Basic"/>
    <n v="39.96"/>
    <x v="45"/>
    <x v="3"/>
    <x v="2"/>
    <n v="8.99"/>
    <n v="0"/>
    <n v="0"/>
    <x v="3"/>
    <n v="5"/>
    <n v="0.95"/>
    <s v="Romance"/>
  </r>
  <r>
    <s v="3878e4e3-2960-4b36-b25c-f90ddd01b5d8"/>
    <n v="29"/>
    <s v="Female"/>
    <s v="Standard"/>
    <n v="54.53"/>
    <x v="30"/>
    <x v="4"/>
    <x v="1"/>
    <n v="13.99"/>
    <n v="0"/>
    <n v="0"/>
    <x v="2"/>
    <n v="2"/>
    <n v="27.27"/>
    <s v="Sci-Fi"/>
  </r>
  <r>
    <s v="47c7ceb4-e638-4732-abbf-708c055d13f5"/>
    <n v="68"/>
    <s v="Other"/>
    <s v="Premium"/>
    <n v="3.15"/>
    <x v="30"/>
    <x v="0"/>
    <x v="4"/>
    <n v="17.989999999999998"/>
    <n v="0"/>
    <n v="0"/>
    <x v="4"/>
    <n v="3"/>
    <n v="1.57"/>
    <s v="Horror"/>
  </r>
  <r>
    <s v="8511ae79-b03f-432b-bac6-1933649f2b24"/>
    <n v="56"/>
    <s v="Male"/>
    <s v="Premium"/>
    <n v="24.37"/>
    <x v="5"/>
    <x v="1"/>
    <x v="2"/>
    <n v="17.989999999999998"/>
    <n v="0"/>
    <n v="0"/>
    <x v="3"/>
    <n v="3"/>
    <n v="0.9"/>
    <s v="Romance"/>
  </r>
  <r>
    <s v="18c6f3b7-bdb7-4860-b12f-d614adedd94e"/>
    <n v="35"/>
    <s v="Female"/>
    <s v="Premium"/>
    <n v="9.9700000000000006"/>
    <x v="4"/>
    <x v="0"/>
    <x v="0"/>
    <n v="17.989999999999998"/>
    <n v="0"/>
    <n v="0"/>
    <x v="2"/>
    <n v="5"/>
    <n v="0.71"/>
    <s v="Drama"/>
  </r>
  <r>
    <s v="3396e8c6-d124-466a-976a-2282eb070659"/>
    <n v="51"/>
    <s v="Female"/>
    <s v="Premium"/>
    <n v="8.68"/>
    <x v="60"/>
    <x v="0"/>
    <x v="0"/>
    <n v="17.989999999999998"/>
    <n v="0"/>
    <n v="0"/>
    <x v="3"/>
    <n v="4"/>
    <n v="0.96"/>
    <s v="Documentary"/>
  </r>
  <r>
    <s v="2c7e4d20-2f73-49a5-82d4-3eea433b1dee"/>
    <n v="24"/>
    <s v="Male"/>
    <s v="Premium"/>
    <n v="77.900000000000006"/>
    <x v="3"/>
    <x v="5"/>
    <x v="0"/>
    <n v="17.989999999999998"/>
    <n v="0"/>
    <n v="0"/>
    <x v="3"/>
    <n v="1"/>
    <n v="5.99"/>
    <s v="Comedy"/>
  </r>
  <r>
    <s v="8ce3c8fd-8d0a-42cd-9ace-c79d8847f482"/>
    <n v="32"/>
    <s v="Male"/>
    <s v="Premium"/>
    <n v="28.61"/>
    <x v="39"/>
    <x v="5"/>
    <x v="4"/>
    <n v="17.989999999999998"/>
    <n v="0"/>
    <n v="0"/>
    <x v="4"/>
    <n v="4"/>
    <n v="1.24"/>
    <s v="Romance"/>
  </r>
  <r>
    <s v="180983f8-9d3c-440f-b4cd-32012522ca03"/>
    <n v="38"/>
    <s v="Male"/>
    <s v="Basic"/>
    <n v="6.95"/>
    <x v="51"/>
    <x v="4"/>
    <x v="4"/>
    <n v="8.99"/>
    <n v="0"/>
    <n v="0"/>
    <x v="4"/>
    <n v="5"/>
    <n v="0.39"/>
    <s v="Documentary"/>
  </r>
  <r>
    <s v="49fa3709-598c-42ec-9f7f-3fe2952a7a9d"/>
    <n v="27"/>
    <s v="Female"/>
    <s v="Standard"/>
    <n v="1.04"/>
    <x v="50"/>
    <x v="4"/>
    <x v="4"/>
    <n v="13.99"/>
    <n v="1"/>
    <n v="13.99"/>
    <x v="1"/>
    <n v="3"/>
    <n v="0.02"/>
    <s v="Romance"/>
  </r>
  <r>
    <s v="11b11026-73bb-42af-8a0f-092fac0012ee"/>
    <n v="49"/>
    <s v="Male"/>
    <s v="Standard"/>
    <n v="10.66"/>
    <x v="10"/>
    <x v="2"/>
    <x v="0"/>
    <n v="13.99"/>
    <n v="1"/>
    <n v="13.99"/>
    <x v="3"/>
    <n v="3"/>
    <n v="0.27"/>
    <s v="Drama"/>
  </r>
  <r>
    <s v="ab2a775f-9e55-4246-a6f8-6f9b9b933da5"/>
    <n v="47"/>
    <s v="Male"/>
    <s v="Premium"/>
    <n v="20.61"/>
    <x v="7"/>
    <x v="3"/>
    <x v="3"/>
    <n v="17.989999999999998"/>
    <n v="0"/>
    <n v="0"/>
    <x v="4"/>
    <n v="1"/>
    <n v="0.36"/>
    <s v="Romance"/>
  </r>
  <r>
    <s v="9204fff6-14fd-45be-ab46-1cd5efe61aff"/>
    <n v="59"/>
    <s v="Male"/>
    <s v="Premium"/>
    <n v="12.39"/>
    <x v="0"/>
    <x v="3"/>
    <x v="4"/>
    <n v="17.989999999999998"/>
    <n v="0"/>
    <n v="0"/>
    <x v="4"/>
    <n v="2"/>
    <n v="0.41"/>
    <s v="Action"/>
  </r>
  <r>
    <s v="95718011-6fd5-45fc-a8f1-4edcd8cadcbf"/>
    <n v="64"/>
    <s v="Female"/>
    <s v="Basic"/>
    <n v="2.11"/>
    <x v="43"/>
    <x v="0"/>
    <x v="4"/>
    <n v="8.99"/>
    <n v="1"/>
    <n v="8.99"/>
    <x v="2"/>
    <n v="4"/>
    <n v="7.0000000000000007E-2"/>
    <s v="Documentary"/>
  </r>
  <r>
    <s v="080276bb-8ca9-4584-bd17-e42062a10a56"/>
    <n v="56"/>
    <s v="Male"/>
    <s v="Premium"/>
    <n v="3.93"/>
    <x v="16"/>
    <x v="2"/>
    <x v="0"/>
    <n v="17.989999999999998"/>
    <n v="0"/>
    <n v="0"/>
    <x v="3"/>
    <n v="4"/>
    <n v="0.14000000000000001"/>
    <s v="Drama"/>
  </r>
  <r>
    <s v="362cc198-e99a-4e0f-91b3-f0442b7d0177"/>
    <n v="41"/>
    <s v="Male"/>
    <s v="Premium"/>
    <n v="1.34"/>
    <x v="17"/>
    <x v="1"/>
    <x v="2"/>
    <n v="17.989999999999998"/>
    <n v="0"/>
    <n v="0"/>
    <x v="3"/>
    <n v="2"/>
    <n v="0.27"/>
    <s v="Action"/>
  </r>
  <r>
    <s v="26b02b3c-52b1-4c5e-b5d7-62e599a4e310"/>
    <n v="65"/>
    <s v="Male"/>
    <s v="Basic"/>
    <n v="4.8499999999999996"/>
    <x v="29"/>
    <x v="0"/>
    <x v="2"/>
    <n v="8.99"/>
    <n v="1"/>
    <n v="8.99"/>
    <x v="1"/>
    <n v="4"/>
    <n v="0.11"/>
    <s v="Romance"/>
  </r>
  <r>
    <s v="75019d85-6f3c-4332-a407-7ff4f9a5da92"/>
    <n v="59"/>
    <s v="Other"/>
    <s v="Premium"/>
    <n v="7.26"/>
    <x v="41"/>
    <x v="2"/>
    <x v="1"/>
    <n v="17.989999999999998"/>
    <n v="0"/>
    <n v="0"/>
    <x v="0"/>
    <n v="4"/>
    <n v="0.23"/>
    <s v="Drama"/>
  </r>
  <r>
    <s v="038a3b7a-2156-496b-95dc-1a141efbf296"/>
    <n v="64"/>
    <s v="Male"/>
    <s v="Premium"/>
    <n v="31.16"/>
    <x v="58"/>
    <x v="3"/>
    <x v="1"/>
    <n v="17.989999999999998"/>
    <n v="0"/>
    <n v="0"/>
    <x v="4"/>
    <n v="5"/>
    <n v="0.65"/>
    <s v="Romance"/>
  </r>
  <r>
    <s v="bcf1e773-449b-4e76-878a-9e9620465707"/>
    <n v="55"/>
    <s v="Female"/>
    <s v="Premium"/>
    <n v="9.76"/>
    <x v="42"/>
    <x v="1"/>
    <x v="3"/>
    <n v="17.989999999999998"/>
    <n v="1"/>
    <n v="17.989999999999998"/>
    <x v="0"/>
    <n v="2"/>
    <n v="0.26"/>
    <s v="Drama"/>
  </r>
  <r>
    <s v="f621bd06-0cdf-4010-b39e-3ad5d697ba92"/>
    <n v="51"/>
    <s v="Male"/>
    <s v="Standard"/>
    <n v="24.3"/>
    <x v="10"/>
    <x v="4"/>
    <x v="3"/>
    <n v="13.99"/>
    <n v="0"/>
    <n v="0"/>
    <x v="2"/>
    <n v="2"/>
    <n v="0.62"/>
    <s v="Horror"/>
  </r>
  <r>
    <s v="dfd041ff-d855-4c8e-81c1-57155d28c48f"/>
    <n v="54"/>
    <s v="Male"/>
    <s v="Premium"/>
    <n v="2.1"/>
    <x v="34"/>
    <x v="3"/>
    <x v="4"/>
    <n v="17.989999999999998"/>
    <n v="1"/>
    <n v="17.989999999999998"/>
    <x v="0"/>
    <n v="1"/>
    <n v="0.04"/>
    <s v="Horror"/>
  </r>
  <r>
    <s v="b656e72d-28cd-4aec-bc48-4fd49b5fc7c8"/>
    <n v="21"/>
    <s v="Female"/>
    <s v="Standard"/>
    <n v="6.2"/>
    <x v="17"/>
    <x v="3"/>
    <x v="1"/>
    <n v="13.99"/>
    <n v="0"/>
    <n v="0"/>
    <x v="2"/>
    <n v="5"/>
    <n v="1.24"/>
    <s v="Action"/>
  </r>
  <r>
    <s v="e758dc19-126c-439f-bc98-4302726912cd"/>
    <n v="22"/>
    <s v="Female"/>
    <s v="Basic"/>
    <n v="5.12"/>
    <x v="16"/>
    <x v="5"/>
    <x v="2"/>
    <n v="8.99"/>
    <n v="0"/>
    <n v="0"/>
    <x v="3"/>
    <n v="4"/>
    <n v="0.18"/>
    <s v="Romance"/>
  </r>
  <r>
    <s v="f73da12b-b911-40cf-910e-202e6419d7e9"/>
    <n v="21"/>
    <s v="Female"/>
    <s v="Premium"/>
    <n v="27.5"/>
    <x v="5"/>
    <x v="4"/>
    <x v="4"/>
    <n v="17.989999999999998"/>
    <n v="0"/>
    <n v="0"/>
    <x v="1"/>
    <n v="2"/>
    <n v="1.02"/>
    <s v="Horror"/>
  </r>
  <r>
    <s v="de0bbcd6-c19d-4e30-9cf2-b66bf2dc5ceb"/>
    <n v="49"/>
    <s v="Female"/>
    <s v="Standard"/>
    <n v="10.34"/>
    <x v="6"/>
    <x v="1"/>
    <x v="1"/>
    <n v="13.99"/>
    <n v="0"/>
    <n v="0"/>
    <x v="0"/>
    <n v="3"/>
    <n v="0.49"/>
    <s v="Sci-Fi"/>
  </r>
  <r>
    <s v="a8df1927-7706-42ec-9dd9-99d18857cb02"/>
    <n v="53"/>
    <s v="Female"/>
    <s v="Premium"/>
    <n v="4.37"/>
    <x v="26"/>
    <x v="1"/>
    <x v="4"/>
    <n v="17.989999999999998"/>
    <n v="1"/>
    <n v="17.989999999999998"/>
    <x v="3"/>
    <n v="3"/>
    <n v="0.09"/>
    <s v="Comedy"/>
  </r>
  <r>
    <s v="5253e4fd-15d7-42e6-b83c-4cffe2678758"/>
    <n v="33"/>
    <s v="Other"/>
    <s v="Standard"/>
    <n v="10.71"/>
    <x v="33"/>
    <x v="5"/>
    <x v="2"/>
    <n v="13.99"/>
    <n v="0"/>
    <n v="0"/>
    <x v="4"/>
    <n v="1"/>
    <n v="0.41"/>
    <s v="Horror"/>
  </r>
  <r>
    <s v="e2204612-d947-4f10-8e02-a7e9aa6e4ee8"/>
    <n v="58"/>
    <s v="Other"/>
    <s v="Basic"/>
    <n v="1.03"/>
    <x v="34"/>
    <x v="0"/>
    <x v="1"/>
    <n v="8.99"/>
    <n v="1"/>
    <n v="8.99"/>
    <x v="4"/>
    <n v="4"/>
    <n v="0.02"/>
    <s v="Drama"/>
  </r>
  <r>
    <s v="da651aa7-4e06-40d7-88dd-bc98395aaade"/>
    <n v="43"/>
    <s v="Other"/>
    <s v="Premium"/>
    <n v="5.78"/>
    <x v="40"/>
    <x v="0"/>
    <x v="3"/>
    <n v="17.989999999999998"/>
    <n v="0"/>
    <n v="0"/>
    <x v="3"/>
    <n v="5"/>
    <n v="0.48"/>
    <s v="Sci-Fi"/>
  </r>
  <r>
    <s v="b72187e9-7572-4cc6-b79c-5b07cea9e128"/>
    <n v="52"/>
    <s v="Female"/>
    <s v="Basic"/>
    <n v="5.2"/>
    <x v="6"/>
    <x v="4"/>
    <x v="0"/>
    <n v="8.99"/>
    <n v="0"/>
    <n v="0"/>
    <x v="3"/>
    <n v="3"/>
    <n v="0.25"/>
    <s v="Horror"/>
  </r>
  <r>
    <s v="c079ea83-bb00-4217-86b6-cbb230f0e14f"/>
    <n v="33"/>
    <s v="Other"/>
    <s v="Standard"/>
    <n v="3.76"/>
    <x v="27"/>
    <x v="5"/>
    <x v="0"/>
    <n v="13.99"/>
    <n v="0"/>
    <n v="0"/>
    <x v="2"/>
    <n v="5"/>
    <n v="0.22"/>
    <s v="Comedy"/>
  </r>
  <r>
    <s v="f566b553-8b4f-48d7-90f0-0b21c62cfc5b"/>
    <n v="70"/>
    <s v="Other"/>
    <s v="Premium"/>
    <n v="7.61"/>
    <x v="30"/>
    <x v="4"/>
    <x v="2"/>
    <n v="17.989999999999998"/>
    <n v="0"/>
    <n v="0"/>
    <x v="4"/>
    <n v="5"/>
    <n v="3.81"/>
    <s v="Drama"/>
  </r>
  <r>
    <s v="19841454-1c0f-4a76-bc4a-223be392e712"/>
    <n v="33"/>
    <s v="Male"/>
    <s v="Standard"/>
    <n v="2.5299999999999998"/>
    <x v="41"/>
    <x v="2"/>
    <x v="0"/>
    <n v="13.99"/>
    <n v="1"/>
    <n v="13.99"/>
    <x v="2"/>
    <n v="3"/>
    <n v="0.08"/>
    <s v="Comedy"/>
  </r>
  <r>
    <s v="2b231ddf-e204-4577-ae91-f0da4cb5f261"/>
    <n v="52"/>
    <s v="Female"/>
    <s v="Basic"/>
    <n v="4.47"/>
    <x v="13"/>
    <x v="5"/>
    <x v="4"/>
    <n v="8.99"/>
    <n v="1"/>
    <n v="8.99"/>
    <x v="2"/>
    <n v="3"/>
    <n v="0.56000000000000005"/>
    <s v="Action"/>
  </r>
  <r>
    <s v="dfa1b990-66dd-4237-afee-721ed2e9aab6"/>
    <n v="49"/>
    <s v="Other"/>
    <s v="Standard"/>
    <n v="9.01"/>
    <x v="43"/>
    <x v="1"/>
    <x v="2"/>
    <n v="13.99"/>
    <n v="1"/>
    <n v="13.99"/>
    <x v="3"/>
    <n v="3"/>
    <n v="0.28000000000000003"/>
    <s v="Action"/>
  </r>
  <r>
    <s v="6008bb17-f444-46ae-a8c5-b1890e810ca4"/>
    <n v="55"/>
    <s v="Male"/>
    <s v="Basic"/>
    <n v="12.56"/>
    <x v="44"/>
    <x v="2"/>
    <x v="2"/>
    <n v="8.99"/>
    <n v="1"/>
    <n v="8.99"/>
    <x v="3"/>
    <n v="1"/>
    <n v="0.27"/>
    <s v="Horror"/>
  </r>
  <r>
    <s v="b3fe4f32-1641-4053-b26c-b5000c1d2a58"/>
    <n v="54"/>
    <s v="Male"/>
    <s v="Basic"/>
    <n v="8.4600000000000009"/>
    <x v="45"/>
    <x v="3"/>
    <x v="2"/>
    <n v="8.99"/>
    <n v="1"/>
    <n v="8.99"/>
    <x v="3"/>
    <n v="2"/>
    <n v="0.2"/>
    <s v="Romance"/>
  </r>
  <r>
    <s v="bd8e834a-51cf-4e23-8487-bf5892bce69b"/>
    <n v="60"/>
    <s v="Female"/>
    <s v="Basic"/>
    <n v="49.16"/>
    <x v="40"/>
    <x v="1"/>
    <x v="0"/>
    <n v="8.99"/>
    <n v="0"/>
    <n v="0"/>
    <x v="2"/>
    <n v="3"/>
    <n v="4.0999999999999996"/>
    <s v="Documentary"/>
  </r>
  <r>
    <s v="44a3736f-eb54-4b27-afb8-6f07d6c9c25b"/>
    <n v="47"/>
    <s v="Other"/>
    <s v="Basic"/>
    <n v="0.28999999999999998"/>
    <x v="2"/>
    <x v="0"/>
    <x v="1"/>
    <n v="8.99"/>
    <n v="1"/>
    <n v="8.99"/>
    <x v="2"/>
    <n v="4"/>
    <n v="0.03"/>
    <s v="Horror"/>
  </r>
  <r>
    <s v="18c7ffea-f407-4e12-a8ca-f4cf9bb2e4ab"/>
    <n v="26"/>
    <s v="Male"/>
    <s v="Standard"/>
    <n v="2.87"/>
    <x v="34"/>
    <x v="0"/>
    <x v="3"/>
    <n v="13.99"/>
    <n v="1"/>
    <n v="13.99"/>
    <x v="3"/>
    <n v="3"/>
    <n v="0.06"/>
    <s v="Drama"/>
  </r>
  <r>
    <s v="945a5f93-9c3b-4b1e-893a-bb486805d851"/>
    <n v="50"/>
    <s v="Female"/>
    <s v="Basic"/>
    <n v="18.3"/>
    <x v="33"/>
    <x v="5"/>
    <x v="1"/>
    <n v="8.99"/>
    <n v="0"/>
    <n v="0"/>
    <x v="0"/>
    <n v="1"/>
    <n v="0.7"/>
    <s v="Sci-Fi"/>
  </r>
  <r>
    <s v="5862858f-d37e-4231-aaef-31db7463d60d"/>
    <n v="44"/>
    <s v="Other"/>
    <s v="Basic"/>
    <n v="5.85"/>
    <x v="59"/>
    <x v="2"/>
    <x v="4"/>
    <n v="8.99"/>
    <n v="0"/>
    <n v="0"/>
    <x v="3"/>
    <n v="1"/>
    <n v="0.97"/>
    <s v="Action"/>
  </r>
  <r>
    <s v="1f8f36b8-2b12-423c-8d89-7b6421897c37"/>
    <n v="60"/>
    <s v="Male"/>
    <s v="Standard"/>
    <n v="15.15"/>
    <x v="42"/>
    <x v="1"/>
    <x v="0"/>
    <n v="13.99"/>
    <n v="1"/>
    <n v="13.99"/>
    <x v="1"/>
    <n v="2"/>
    <n v="0.4"/>
    <s v="Romance"/>
  </r>
  <r>
    <s v="5caa5ca3-c54d-4b59-838f-e008e0cdc129"/>
    <n v="41"/>
    <s v="Other"/>
    <s v="Premium"/>
    <n v="2.4900000000000002"/>
    <x v="5"/>
    <x v="1"/>
    <x v="0"/>
    <n v="17.989999999999998"/>
    <n v="1"/>
    <n v="17.989999999999998"/>
    <x v="1"/>
    <n v="2"/>
    <n v="0.09"/>
    <s v="Action"/>
  </r>
  <r>
    <s v="4efc58fd-c544-473c-8e01-cb331aa88456"/>
    <n v="40"/>
    <s v="Male"/>
    <s v="Basic"/>
    <n v="14.79"/>
    <x v="31"/>
    <x v="1"/>
    <x v="0"/>
    <n v="8.99"/>
    <n v="0"/>
    <n v="0"/>
    <x v="4"/>
    <n v="1"/>
    <n v="0.92"/>
    <s v="Sci-Fi"/>
  </r>
  <r>
    <s v="3cf735c4-c340-44e5-9fe5-b5aee7b4d3d9"/>
    <n v="42"/>
    <s v="Other"/>
    <s v="Basic"/>
    <n v="0.33"/>
    <x v="19"/>
    <x v="3"/>
    <x v="0"/>
    <n v="8.99"/>
    <n v="1"/>
    <n v="8.99"/>
    <x v="0"/>
    <n v="2"/>
    <n v="0.01"/>
    <s v="Documentary"/>
  </r>
  <r>
    <s v="97a423c0-e104-4e03-8ba2-4083cba8d28a"/>
    <n v="34"/>
    <s v="Female"/>
    <s v="Premium"/>
    <n v="1.56"/>
    <x v="60"/>
    <x v="5"/>
    <x v="4"/>
    <n v="17.989999999999998"/>
    <n v="1"/>
    <n v="17.989999999999998"/>
    <x v="3"/>
    <n v="3"/>
    <n v="0.17"/>
    <s v="Horror"/>
  </r>
  <r>
    <s v="82f9b433-0df6-4474-97b9-c478f3d5d7c8"/>
    <n v="24"/>
    <s v="Other"/>
    <s v="Basic"/>
    <n v="2.42"/>
    <x v="37"/>
    <x v="0"/>
    <x v="4"/>
    <n v="8.99"/>
    <n v="1"/>
    <n v="8.99"/>
    <x v="3"/>
    <n v="3"/>
    <n v="0.1"/>
    <s v="Horror"/>
  </r>
  <r>
    <s v="e7e1eef2-2f92-487c-a5f3-d1cf791e3167"/>
    <n v="24"/>
    <s v="Male"/>
    <s v="Premium"/>
    <n v="6.65"/>
    <x v="13"/>
    <x v="1"/>
    <x v="1"/>
    <n v="17.989999999999998"/>
    <n v="0"/>
    <n v="0"/>
    <x v="1"/>
    <n v="4"/>
    <n v="0.83"/>
    <s v="Horror"/>
  </r>
  <r>
    <s v="3d0767c0-fa70-434f-ac4c-57f6ffa24e4c"/>
    <n v="70"/>
    <s v="Other"/>
    <s v="Standard"/>
    <n v="18.5"/>
    <x v="50"/>
    <x v="3"/>
    <x v="1"/>
    <n v="13.99"/>
    <n v="0"/>
    <n v="0"/>
    <x v="2"/>
    <n v="4"/>
    <n v="0.34"/>
    <s v="Action"/>
  </r>
  <r>
    <s v="3bc53390-2e23-40a3-9ebd-f4eeb7367575"/>
    <n v="52"/>
    <s v="Male"/>
    <s v="Basic"/>
    <n v="2.61"/>
    <x v="48"/>
    <x v="5"/>
    <x v="3"/>
    <n v="8.99"/>
    <n v="1"/>
    <n v="8.99"/>
    <x v="1"/>
    <n v="5"/>
    <n v="0.05"/>
    <s v="Horror"/>
  </r>
  <r>
    <s v="be1de62d-9b6f-4c09-9316-1212c248b4c6"/>
    <n v="36"/>
    <s v="Female"/>
    <s v="Premium"/>
    <n v="17.329999999999998"/>
    <x v="38"/>
    <x v="4"/>
    <x v="1"/>
    <n v="17.989999999999998"/>
    <n v="0"/>
    <n v="0"/>
    <x v="1"/>
    <n v="4"/>
    <n v="0.79"/>
    <s v="Drama"/>
  </r>
  <r>
    <s v="1b68c20d-bee2-4f66-8701-67809addd9aa"/>
    <n v="25"/>
    <s v="Female"/>
    <s v="Basic"/>
    <n v="0.05"/>
    <x v="24"/>
    <x v="0"/>
    <x v="4"/>
    <n v="8.99"/>
    <n v="1"/>
    <n v="8.99"/>
    <x v="2"/>
    <n v="1"/>
    <n v="0"/>
    <s v="Action"/>
  </r>
  <r>
    <s v="72a2c300-cc3d-4e71-81e6-85e4e309c680"/>
    <n v="38"/>
    <s v="Female"/>
    <s v="Basic"/>
    <n v="76.2"/>
    <x v="3"/>
    <x v="0"/>
    <x v="2"/>
    <n v="8.99"/>
    <n v="0"/>
    <n v="0"/>
    <x v="1"/>
    <n v="5"/>
    <n v="5.86"/>
    <s v="Romance"/>
  </r>
  <r>
    <s v="322eef98-5dfd-41d1-b4f6-41f20f253632"/>
    <n v="58"/>
    <s v="Female"/>
    <s v="Premium"/>
    <n v="17.93"/>
    <x v="13"/>
    <x v="1"/>
    <x v="2"/>
    <n v="17.989999999999998"/>
    <n v="0"/>
    <n v="0"/>
    <x v="4"/>
    <n v="1"/>
    <n v="2.2400000000000002"/>
    <s v="Documentary"/>
  </r>
  <r>
    <s v="3cd2ff2c-063e-4384-a092-1f812a51a456"/>
    <n v="19"/>
    <s v="Female"/>
    <s v="Premium"/>
    <n v="17.12"/>
    <x v="40"/>
    <x v="1"/>
    <x v="0"/>
    <n v="17.989999999999998"/>
    <n v="0"/>
    <n v="0"/>
    <x v="4"/>
    <n v="1"/>
    <n v="1.43"/>
    <s v="Sci-Fi"/>
  </r>
  <r>
    <s v="439b60cc-9888-424f-98f0-d2ed345b5dd5"/>
    <n v="54"/>
    <s v="Other"/>
    <s v="Basic"/>
    <n v="11.19"/>
    <x v="16"/>
    <x v="4"/>
    <x v="0"/>
    <n v="8.99"/>
    <n v="1"/>
    <n v="8.99"/>
    <x v="0"/>
    <n v="1"/>
    <n v="0.4"/>
    <s v="Comedy"/>
  </r>
  <r>
    <s v="261ddbef-9b7a-4226-a1b6-631ae8dbf332"/>
    <n v="26"/>
    <s v="Other"/>
    <s v="Standard"/>
    <n v="9.6"/>
    <x v="20"/>
    <x v="3"/>
    <x v="3"/>
    <n v="13.99"/>
    <n v="0"/>
    <n v="0"/>
    <x v="1"/>
    <n v="4"/>
    <n v="0.51"/>
    <s v="Horror"/>
  </r>
  <r>
    <s v="0451999d-c51d-4453-8015-9dc317341a30"/>
    <n v="23"/>
    <s v="Other"/>
    <s v="Premium"/>
    <n v="30.22"/>
    <x v="16"/>
    <x v="4"/>
    <x v="3"/>
    <n v="17.989999999999998"/>
    <n v="0"/>
    <n v="0"/>
    <x v="0"/>
    <n v="1"/>
    <n v="1.08"/>
    <s v="Sci-Fi"/>
  </r>
  <r>
    <s v="6ed5f317-ba85-4aac-8f7b-0324686982f6"/>
    <n v="25"/>
    <s v="Male"/>
    <s v="Basic"/>
    <n v="12.69"/>
    <x v="36"/>
    <x v="1"/>
    <x v="1"/>
    <n v="8.99"/>
    <n v="1"/>
    <n v="8.99"/>
    <x v="4"/>
    <n v="3"/>
    <n v="0.32"/>
    <s v="Sci-Fi"/>
  </r>
  <r>
    <s v="0b811eb1-b4b7-4873-ab45-437e74f75a6c"/>
    <n v="18"/>
    <s v="Male"/>
    <s v="Basic"/>
    <n v="29.27"/>
    <x v="29"/>
    <x v="2"/>
    <x v="2"/>
    <n v="8.99"/>
    <n v="1"/>
    <n v="8.99"/>
    <x v="1"/>
    <n v="1"/>
    <n v="0.64"/>
    <s v="Sci-Fi"/>
  </r>
  <r>
    <s v="d85b071c-30c4-4396-9b9d-14e3e60e724f"/>
    <n v="44"/>
    <s v="Female"/>
    <s v="Basic"/>
    <n v="40.75"/>
    <x v="49"/>
    <x v="4"/>
    <x v="3"/>
    <n v="8.99"/>
    <n v="0"/>
    <n v="0"/>
    <x v="0"/>
    <n v="1"/>
    <n v="4.08"/>
    <s v="Documentary"/>
  </r>
  <r>
    <s v="11c1de99-a041-4f28-9158-033c5e09ef50"/>
    <n v="56"/>
    <s v="Male"/>
    <s v="Basic"/>
    <n v="15.94"/>
    <x v="3"/>
    <x v="5"/>
    <x v="0"/>
    <n v="8.99"/>
    <n v="0"/>
    <n v="0"/>
    <x v="0"/>
    <n v="2"/>
    <n v="1.23"/>
    <s v="Documentary"/>
  </r>
  <r>
    <s v="125db7ff-b7e9-44a4-b29c-80b0cd45ea2e"/>
    <n v="63"/>
    <s v="Male"/>
    <s v="Basic"/>
    <n v="27.89"/>
    <x v="41"/>
    <x v="2"/>
    <x v="3"/>
    <n v="8.99"/>
    <n v="0"/>
    <n v="0"/>
    <x v="2"/>
    <n v="4"/>
    <n v="0.9"/>
    <s v="Romance"/>
  </r>
  <r>
    <s v="f418494c-d6e3-4fca-bdb8-d08fb3b83a85"/>
    <n v="70"/>
    <s v="Male"/>
    <s v="Standard"/>
    <n v="24.78"/>
    <x v="1"/>
    <x v="5"/>
    <x v="2"/>
    <n v="13.99"/>
    <n v="0"/>
    <n v="0"/>
    <x v="0"/>
    <n v="1"/>
    <n v="1.24"/>
    <s v="Sci-Fi"/>
  </r>
  <r>
    <s v="886da80b-6c19-47ba-b070-c7630c5b4241"/>
    <n v="53"/>
    <s v="Male"/>
    <s v="Premium"/>
    <n v="27.97"/>
    <x v="28"/>
    <x v="0"/>
    <x v="3"/>
    <n v="17.989999999999998"/>
    <n v="0"/>
    <n v="0"/>
    <x v="1"/>
    <n v="1"/>
    <n v="0.78"/>
    <s v="Documentary"/>
  </r>
  <r>
    <s v="922bce16-2ceb-44a4-96f4-fc49fb0e0ac2"/>
    <n v="61"/>
    <s v="Female"/>
    <s v="Premium"/>
    <n v="16.07"/>
    <x v="14"/>
    <x v="2"/>
    <x v="3"/>
    <n v="17.989999999999998"/>
    <n v="1"/>
    <n v="17.989999999999998"/>
    <x v="0"/>
    <n v="5"/>
    <n v="0.49"/>
    <s v="Action"/>
  </r>
  <r>
    <s v="080dac1d-54e2-4664-af52-56eb42281c72"/>
    <n v="59"/>
    <s v="Female"/>
    <s v="Standard"/>
    <n v="0.32"/>
    <x v="0"/>
    <x v="0"/>
    <x v="1"/>
    <n v="13.99"/>
    <n v="0"/>
    <n v="0"/>
    <x v="2"/>
    <n v="4"/>
    <n v="0.01"/>
    <s v="Horror"/>
  </r>
  <r>
    <s v="c185f0f8-0410-4e1c-bc87-40f90824bf1d"/>
    <n v="31"/>
    <s v="Male"/>
    <s v="Basic"/>
    <n v="2.85"/>
    <x v="59"/>
    <x v="3"/>
    <x v="1"/>
    <n v="8.99"/>
    <n v="1"/>
    <n v="8.99"/>
    <x v="2"/>
    <n v="5"/>
    <n v="0.48"/>
    <s v="Horror"/>
  </r>
  <r>
    <s v="90695f65-6429-4f63-903f-843160038baa"/>
    <n v="44"/>
    <s v="Other"/>
    <s v="Premium"/>
    <n v="6.78"/>
    <x v="21"/>
    <x v="0"/>
    <x v="2"/>
    <n v="17.989999999999998"/>
    <n v="0"/>
    <n v="0"/>
    <x v="3"/>
    <n v="5"/>
    <n v="0.97"/>
    <s v="Action"/>
  </r>
  <r>
    <s v="4ce50867-9e68-4f77-857c-45d1b57260f3"/>
    <n v="18"/>
    <s v="Female"/>
    <s v="Premium"/>
    <n v="12.95"/>
    <x v="36"/>
    <x v="5"/>
    <x v="0"/>
    <n v="17.989999999999998"/>
    <n v="1"/>
    <n v="17.989999999999998"/>
    <x v="0"/>
    <n v="4"/>
    <n v="0.32"/>
    <s v="Romance"/>
  </r>
  <r>
    <s v="2dd53c77-3646-42b0-825e-69f598e0dc00"/>
    <n v="64"/>
    <s v="Female"/>
    <s v="Basic"/>
    <n v="1.74"/>
    <x v="6"/>
    <x v="1"/>
    <x v="2"/>
    <n v="8.99"/>
    <n v="1"/>
    <n v="8.99"/>
    <x v="2"/>
    <n v="5"/>
    <n v="0.08"/>
    <s v="Action"/>
  </r>
  <r>
    <s v="c090572e-263a-422d-9829-d167bf0e98fa"/>
    <n v="59"/>
    <s v="Other"/>
    <s v="Basic"/>
    <n v="1.36"/>
    <x v="18"/>
    <x v="5"/>
    <x v="4"/>
    <n v="8.99"/>
    <n v="1"/>
    <n v="8.99"/>
    <x v="0"/>
    <n v="1"/>
    <n v="0.02"/>
    <s v="Sci-Fi"/>
  </r>
  <r>
    <s v="aca733c9-cee7-40e5-acc5-0c0627834828"/>
    <n v="27"/>
    <s v="Female"/>
    <s v="Standard"/>
    <n v="3.46"/>
    <x v="53"/>
    <x v="1"/>
    <x v="2"/>
    <n v="13.99"/>
    <n v="1"/>
    <n v="13.99"/>
    <x v="0"/>
    <n v="5"/>
    <n v="0.08"/>
    <s v="Comedy"/>
  </r>
  <r>
    <s v="352b88dc-f431-41cc-ab32-20829a4e4e37"/>
    <n v="36"/>
    <s v="Female"/>
    <s v="Standard"/>
    <n v="16.29"/>
    <x v="26"/>
    <x v="5"/>
    <x v="1"/>
    <n v="13.99"/>
    <n v="1"/>
    <n v="13.99"/>
    <x v="1"/>
    <n v="4"/>
    <n v="0.33"/>
    <s v="Documentary"/>
  </r>
  <r>
    <s v="24798db7-c1a2-4e80-9275-ae9b143dace7"/>
    <n v="28"/>
    <s v="Other"/>
    <s v="Basic"/>
    <n v="12.94"/>
    <x v="15"/>
    <x v="1"/>
    <x v="1"/>
    <n v="8.99"/>
    <n v="1"/>
    <n v="8.99"/>
    <x v="3"/>
    <n v="3"/>
    <n v="0.32"/>
    <s v="Comedy"/>
  </r>
  <r>
    <s v="1531f56b-7a98-43de-9ee2-ca215bec697b"/>
    <n v="66"/>
    <s v="Female"/>
    <s v="Basic"/>
    <n v="5.27"/>
    <x v="21"/>
    <x v="4"/>
    <x v="1"/>
    <n v="8.99"/>
    <n v="0"/>
    <n v="0"/>
    <x v="4"/>
    <n v="5"/>
    <n v="0.75"/>
    <s v="Documentary"/>
  </r>
  <r>
    <s v="ad498abb-6c86-4ece-81b7-9588a0ff3eda"/>
    <n v="24"/>
    <s v="Female"/>
    <s v="Premium"/>
    <n v="16.170000000000002"/>
    <x v="12"/>
    <x v="4"/>
    <x v="4"/>
    <n v="17.989999999999998"/>
    <n v="1"/>
    <n v="17.989999999999998"/>
    <x v="0"/>
    <n v="2"/>
    <n v="0.48"/>
    <s v="Romance"/>
  </r>
  <r>
    <s v="c5703e60-bad8-4b18-880d-7ed85d00462b"/>
    <n v="66"/>
    <s v="Male"/>
    <s v="Premium"/>
    <n v="10.41"/>
    <x v="30"/>
    <x v="5"/>
    <x v="2"/>
    <n v="17.989999999999998"/>
    <n v="0"/>
    <n v="0"/>
    <x v="4"/>
    <n v="5"/>
    <n v="5.21"/>
    <s v="Comedy"/>
  </r>
  <r>
    <s v="ee43f918-a9d2-4a68-8b2a-5f4a25dee1f2"/>
    <n v="60"/>
    <s v="Female"/>
    <s v="Basic"/>
    <n v="20.76"/>
    <x v="60"/>
    <x v="2"/>
    <x v="2"/>
    <n v="8.99"/>
    <n v="0"/>
    <n v="0"/>
    <x v="4"/>
    <n v="4"/>
    <n v="2.31"/>
    <s v="Action"/>
  </r>
  <r>
    <s v="12a181f8-58ca-45ab-968b-af28ef28b37b"/>
    <n v="45"/>
    <s v="Male"/>
    <s v="Premium"/>
    <n v="0.45"/>
    <x v="35"/>
    <x v="2"/>
    <x v="1"/>
    <n v="17.989999999999998"/>
    <n v="1"/>
    <n v="17.989999999999998"/>
    <x v="2"/>
    <n v="3"/>
    <n v="0.01"/>
    <s v="Comedy"/>
  </r>
  <r>
    <s v="0d13d747-9091-4ad1-af2f-752b753b78d5"/>
    <n v="54"/>
    <s v="Female"/>
    <s v="Basic"/>
    <n v="11.9"/>
    <x v="52"/>
    <x v="4"/>
    <x v="3"/>
    <n v="8.99"/>
    <n v="1"/>
    <n v="8.99"/>
    <x v="3"/>
    <n v="5"/>
    <n v="0.24"/>
    <s v="Horror"/>
  </r>
  <r>
    <s v="a985f355-5ac2-4b10-a656-ab62e4e279f3"/>
    <n v="33"/>
    <s v="Male"/>
    <s v="Basic"/>
    <n v="43.55"/>
    <x v="17"/>
    <x v="4"/>
    <x v="0"/>
    <n v="8.99"/>
    <n v="0"/>
    <n v="0"/>
    <x v="0"/>
    <n v="1"/>
    <n v="8.7100000000000009"/>
    <s v="Documentary"/>
  </r>
  <r>
    <s v="4bcdf3d2-c743-46f8-9656-911dc92e6213"/>
    <n v="69"/>
    <s v="Male"/>
    <s v="Premium"/>
    <n v="5.4"/>
    <x v="32"/>
    <x v="0"/>
    <x v="0"/>
    <n v="17.989999999999998"/>
    <n v="0"/>
    <n v="0"/>
    <x v="1"/>
    <n v="3"/>
    <n v="0.36"/>
    <s v="Sci-Fi"/>
  </r>
  <r>
    <s v="aaafd476-ccb4-457e-a984-24abae7f34c8"/>
    <n v="44"/>
    <s v="Other"/>
    <s v="Standard"/>
    <n v="12.56"/>
    <x v="23"/>
    <x v="5"/>
    <x v="2"/>
    <n v="13.99"/>
    <n v="1"/>
    <n v="13.99"/>
    <x v="1"/>
    <n v="3"/>
    <n v="0.23"/>
    <s v="Action"/>
  </r>
  <r>
    <s v="2d08c15f-c97d-4cf0-84fc-9127dcf6e9cb"/>
    <n v="39"/>
    <s v="Male"/>
    <s v="Basic"/>
    <n v="34.56"/>
    <x v="36"/>
    <x v="1"/>
    <x v="1"/>
    <n v="8.99"/>
    <n v="0"/>
    <n v="0"/>
    <x v="2"/>
    <n v="1"/>
    <n v="0.86"/>
    <s v="Comedy"/>
  </r>
  <r>
    <s v="ee8b1fc7-9123-4e95-9df9-8bcb4c58bbb8"/>
    <n v="53"/>
    <s v="Female"/>
    <s v="Premium"/>
    <n v="3.41"/>
    <x v="34"/>
    <x v="3"/>
    <x v="2"/>
    <n v="17.989999999999998"/>
    <n v="1"/>
    <n v="17.989999999999998"/>
    <x v="2"/>
    <n v="1"/>
    <n v="7.0000000000000007E-2"/>
    <s v="Romance"/>
  </r>
  <r>
    <s v="7829169d-75d6-4f04-bef9-7ae2fc256e33"/>
    <n v="33"/>
    <s v="Male"/>
    <s v="Standard"/>
    <n v="5.76"/>
    <x v="15"/>
    <x v="1"/>
    <x v="3"/>
    <n v="13.99"/>
    <n v="1"/>
    <n v="13.99"/>
    <x v="0"/>
    <n v="5"/>
    <n v="0.14000000000000001"/>
    <s v="Comedy"/>
  </r>
  <r>
    <s v="177ad6c2-46ed-4fbb-a3f8-1dc137c45417"/>
    <n v="36"/>
    <s v="Other"/>
    <s v="Basic"/>
    <n v="1.1100000000000001"/>
    <x v="36"/>
    <x v="3"/>
    <x v="0"/>
    <n v="8.99"/>
    <n v="1"/>
    <n v="8.99"/>
    <x v="4"/>
    <n v="1"/>
    <n v="0.03"/>
    <s v="Documentary"/>
  </r>
  <r>
    <s v="cba44e85-c06e-4bbc-8c94-6ab64421e817"/>
    <n v="65"/>
    <s v="Other"/>
    <s v="Basic"/>
    <n v="3.84"/>
    <x v="47"/>
    <x v="3"/>
    <x v="3"/>
    <n v="8.99"/>
    <n v="0"/>
    <n v="0"/>
    <x v="4"/>
    <n v="3"/>
    <n v="0.96"/>
    <s v="Comedy"/>
  </r>
  <r>
    <s v="e1d31d7f-2cff-40bb-8a77-3da93095d5d4"/>
    <n v="23"/>
    <s v="Other"/>
    <s v="Premium"/>
    <n v="15.27"/>
    <x v="16"/>
    <x v="2"/>
    <x v="4"/>
    <n v="17.989999999999998"/>
    <n v="0"/>
    <n v="0"/>
    <x v="3"/>
    <n v="1"/>
    <n v="0.55000000000000004"/>
    <s v="Drama"/>
  </r>
  <r>
    <s v="3ca8ae59-19ce-4566-8ad0-922c03c652b2"/>
    <n v="22"/>
    <s v="Female"/>
    <s v="Premium"/>
    <n v="7.28"/>
    <x v="19"/>
    <x v="5"/>
    <x v="3"/>
    <n v="17.989999999999998"/>
    <n v="0"/>
    <n v="0"/>
    <x v="2"/>
    <n v="5"/>
    <n v="0.17"/>
    <s v="Sci-Fi"/>
  </r>
  <r>
    <s v="e0f75dc5-79d3-466c-af2c-6cddc2518204"/>
    <n v="51"/>
    <s v="Other"/>
    <s v="Standard"/>
    <n v="0.73"/>
    <x v="44"/>
    <x v="5"/>
    <x v="2"/>
    <n v="13.99"/>
    <n v="1"/>
    <n v="13.99"/>
    <x v="1"/>
    <n v="5"/>
    <n v="0.02"/>
    <s v="Documentary"/>
  </r>
  <r>
    <s v="161b7568-fcb1-49a4-ab7e-97cc7be6a554"/>
    <n v="69"/>
    <s v="Male"/>
    <s v="Premium"/>
    <n v="21.64"/>
    <x v="16"/>
    <x v="1"/>
    <x v="1"/>
    <n v="17.989999999999998"/>
    <n v="0"/>
    <n v="0"/>
    <x v="0"/>
    <n v="5"/>
    <n v="0.77"/>
    <s v="Comedy"/>
  </r>
  <r>
    <s v="e8f79144-74d8-4255-845a-4080948838c8"/>
    <n v="57"/>
    <s v="Female"/>
    <s v="Basic"/>
    <n v="4.12"/>
    <x v="2"/>
    <x v="4"/>
    <x v="0"/>
    <n v="8.99"/>
    <n v="1"/>
    <n v="8.99"/>
    <x v="2"/>
    <n v="1"/>
    <n v="0.37"/>
    <s v="Sci-Fi"/>
  </r>
  <r>
    <s v="5f35fd9b-f8b6-4c0c-8ee5-824cec062f5a"/>
    <n v="28"/>
    <s v="Other"/>
    <s v="Premium"/>
    <n v="0.77"/>
    <x v="38"/>
    <x v="5"/>
    <x v="1"/>
    <n v="17.989999999999998"/>
    <n v="1"/>
    <n v="17.989999999999998"/>
    <x v="1"/>
    <n v="2"/>
    <n v="0.04"/>
    <s v="Action"/>
  </r>
  <r>
    <s v="a2c2e9bb-e5dd-497c-aa8f-1a6354694023"/>
    <n v="65"/>
    <s v="Female"/>
    <s v="Basic"/>
    <n v="13.42"/>
    <x v="24"/>
    <x v="2"/>
    <x v="4"/>
    <n v="8.99"/>
    <n v="1"/>
    <n v="8.99"/>
    <x v="3"/>
    <n v="3"/>
    <n v="0.25"/>
    <s v="Horror"/>
  </r>
  <r>
    <s v="2eb65cb4-3e68-4e6a-abb5-fb5988bcd903"/>
    <n v="31"/>
    <s v="Female"/>
    <s v="Premium"/>
    <n v="4.03"/>
    <x v="37"/>
    <x v="3"/>
    <x v="1"/>
    <n v="17.989999999999998"/>
    <n v="1"/>
    <n v="17.989999999999998"/>
    <x v="0"/>
    <n v="5"/>
    <n v="0.16"/>
    <s v="Drama"/>
  </r>
  <r>
    <s v="467d07a0-cee3-437e-99c0-24ad8b68fb34"/>
    <n v="54"/>
    <s v="Female"/>
    <s v="Standard"/>
    <n v="4.41"/>
    <x v="49"/>
    <x v="5"/>
    <x v="2"/>
    <n v="13.99"/>
    <n v="1"/>
    <n v="13.99"/>
    <x v="0"/>
    <n v="2"/>
    <n v="0.44"/>
    <s v="Sci-Fi"/>
  </r>
  <r>
    <s v="bc17d830-baf7-4d14-b51e-b18ee693e4b9"/>
    <n v="46"/>
    <s v="Male"/>
    <s v="Basic"/>
    <n v="14.86"/>
    <x v="58"/>
    <x v="4"/>
    <x v="0"/>
    <n v="8.99"/>
    <n v="1"/>
    <n v="8.99"/>
    <x v="3"/>
    <n v="4"/>
    <n v="0.31"/>
    <s v="Romance"/>
  </r>
  <r>
    <s v="4e449f48-1106-4a52-a52f-217f716f2987"/>
    <n v="39"/>
    <s v="Other"/>
    <s v="Premium"/>
    <n v="11.04"/>
    <x v="57"/>
    <x v="1"/>
    <x v="4"/>
    <n v="17.989999999999998"/>
    <n v="1"/>
    <n v="17.989999999999998"/>
    <x v="1"/>
    <n v="4"/>
    <n v="0.18"/>
    <s v="Horror"/>
  </r>
  <r>
    <s v="c9b84086-70b7-4713-9370-09408b3c0173"/>
    <n v="29"/>
    <s v="Male"/>
    <s v="Premium"/>
    <n v="15.36"/>
    <x v="43"/>
    <x v="4"/>
    <x v="1"/>
    <n v="17.989999999999998"/>
    <n v="1"/>
    <n v="17.989999999999998"/>
    <x v="1"/>
    <n v="1"/>
    <n v="0.48"/>
    <s v="Sci-Fi"/>
  </r>
  <r>
    <s v="055a3dec-4f91-4b6d-b8ac-cbfdce142525"/>
    <n v="50"/>
    <s v="Other"/>
    <s v="Basic"/>
    <n v="9.5399999999999991"/>
    <x v="10"/>
    <x v="1"/>
    <x v="2"/>
    <n v="8.99"/>
    <n v="1"/>
    <n v="8.99"/>
    <x v="3"/>
    <n v="3"/>
    <n v="0.24"/>
    <s v="Action"/>
  </r>
  <r>
    <s v="d00e3438-46da-4754-bb0d-637232738b44"/>
    <n v="54"/>
    <s v="Male"/>
    <s v="Basic"/>
    <n v="14.18"/>
    <x v="29"/>
    <x v="0"/>
    <x v="1"/>
    <n v="8.99"/>
    <n v="1"/>
    <n v="8.99"/>
    <x v="3"/>
    <n v="5"/>
    <n v="0.31"/>
    <s v="Documentary"/>
  </r>
  <r>
    <s v="658fa594-c797-41fb-b95f-7e27e0b3dcc8"/>
    <n v="32"/>
    <s v="Male"/>
    <s v="Standard"/>
    <n v="1.52"/>
    <x v="2"/>
    <x v="2"/>
    <x v="3"/>
    <n v="13.99"/>
    <n v="1"/>
    <n v="13.99"/>
    <x v="3"/>
    <n v="3"/>
    <n v="0.14000000000000001"/>
    <s v="Action"/>
  </r>
  <r>
    <s v="e4dd7619-90ac-4b86-944a-f37209896674"/>
    <n v="25"/>
    <s v="Female"/>
    <s v="Premium"/>
    <n v="0.82"/>
    <x v="39"/>
    <x v="3"/>
    <x v="4"/>
    <n v="17.989999999999998"/>
    <n v="1"/>
    <n v="17.989999999999998"/>
    <x v="1"/>
    <n v="1"/>
    <n v="0.04"/>
    <s v="Romance"/>
  </r>
  <r>
    <s v="6fdb47dd-024c-459a-955a-eb58b4306458"/>
    <n v="64"/>
    <s v="Other"/>
    <s v="Premium"/>
    <n v="0.34"/>
    <x v="30"/>
    <x v="1"/>
    <x v="3"/>
    <n v="17.989999999999998"/>
    <n v="1"/>
    <n v="17.989999999999998"/>
    <x v="0"/>
    <n v="3"/>
    <n v="0.17"/>
    <s v="Comedy"/>
  </r>
  <r>
    <s v="025012fa-15f3-4f23-8772-35803aa97fae"/>
    <n v="44"/>
    <s v="Male"/>
    <s v="Standard"/>
    <n v="1.01"/>
    <x v="4"/>
    <x v="1"/>
    <x v="2"/>
    <n v="13.99"/>
    <n v="0"/>
    <n v="0"/>
    <x v="3"/>
    <n v="4"/>
    <n v="7.0000000000000007E-2"/>
    <s v="Action"/>
  </r>
  <r>
    <s v="94da8854-45e5-453f-99ce-a98d248d8673"/>
    <n v="44"/>
    <s v="Female"/>
    <s v="Premium"/>
    <n v="7.47"/>
    <x v="1"/>
    <x v="1"/>
    <x v="3"/>
    <n v="17.989999999999998"/>
    <n v="0"/>
    <n v="0"/>
    <x v="2"/>
    <n v="1"/>
    <n v="0.37"/>
    <s v="Action"/>
  </r>
  <r>
    <s v="6fbcc123-9037-4413-b11c-df0870f0f896"/>
    <n v="18"/>
    <s v="Male"/>
    <s v="Basic"/>
    <n v="6.57"/>
    <x v="34"/>
    <x v="0"/>
    <x v="2"/>
    <n v="8.99"/>
    <n v="1"/>
    <n v="8.99"/>
    <x v="3"/>
    <n v="3"/>
    <n v="0.13"/>
    <s v="Documentary"/>
  </r>
  <r>
    <s v="85e00a43-2e79-4d0b-8231-6920229fb2f9"/>
    <n v="38"/>
    <s v="Female"/>
    <s v="Basic"/>
    <n v="39.29"/>
    <x v="50"/>
    <x v="5"/>
    <x v="0"/>
    <n v="8.99"/>
    <n v="0"/>
    <n v="0"/>
    <x v="4"/>
    <n v="5"/>
    <n v="0.71"/>
    <s v="Romance"/>
  </r>
  <r>
    <s v="4b4467e7-7863-4358-8c3e-2b5f347a1dfc"/>
    <n v="36"/>
    <s v="Female"/>
    <s v="Standard"/>
    <n v="3.16"/>
    <x v="11"/>
    <x v="3"/>
    <x v="4"/>
    <n v="13.99"/>
    <n v="1"/>
    <n v="13.99"/>
    <x v="1"/>
    <n v="5"/>
    <n v="0.13"/>
    <s v="Comedy"/>
  </r>
  <r>
    <s v="7608719d-77c5-43c9-88fd-918eaaf748ba"/>
    <n v="18"/>
    <s v="Female"/>
    <s v="Basic"/>
    <n v="0.75"/>
    <x v="40"/>
    <x v="0"/>
    <x v="2"/>
    <n v="8.99"/>
    <n v="1"/>
    <n v="8.99"/>
    <x v="1"/>
    <n v="5"/>
    <n v="0.06"/>
    <s v="Romance"/>
  </r>
  <r>
    <s v="dbf86fb5-6f71-4453-95af-8dadc61159d6"/>
    <n v="21"/>
    <s v="Other"/>
    <s v="Basic"/>
    <n v="5.57"/>
    <x v="38"/>
    <x v="3"/>
    <x v="0"/>
    <n v="8.99"/>
    <n v="0"/>
    <n v="0"/>
    <x v="3"/>
    <n v="3"/>
    <n v="0.25"/>
    <s v="Romance"/>
  </r>
  <r>
    <s v="921baddb-222c-49fe-94f2-cc54858a5de8"/>
    <n v="37"/>
    <s v="Male"/>
    <s v="Standard"/>
    <n v="3.72"/>
    <x v="43"/>
    <x v="0"/>
    <x v="1"/>
    <n v="13.99"/>
    <n v="1"/>
    <n v="13.99"/>
    <x v="2"/>
    <n v="2"/>
    <n v="0.12"/>
    <s v="Romance"/>
  </r>
  <r>
    <s v="893fda9f-2a90-4011-ae1f-9e5ba9cf7d6c"/>
    <n v="34"/>
    <s v="Other"/>
    <s v="Premium"/>
    <n v="1.94"/>
    <x v="36"/>
    <x v="4"/>
    <x v="0"/>
    <n v="17.989999999999998"/>
    <n v="1"/>
    <n v="17.989999999999998"/>
    <x v="0"/>
    <n v="5"/>
    <n v="0.05"/>
    <s v="Drama"/>
  </r>
  <r>
    <s v="dbb8c947-e4f5-46a0-b002-a03a0e6d5ea4"/>
    <n v="36"/>
    <s v="Female"/>
    <s v="Premium"/>
    <n v="1.46"/>
    <x v="57"/>
    <x v="1"/>
    <x v="3"/>
    <n v="17.989999999999998"/>
    <n v="1"/>
    <n v="17.989999999999998"/>
    <x v="0"/>
    <n v="5"/>
    <n v="0.02"/>
    <s v="Sci-Fi"/>
  </r>
  <r>
    <s v="c8e2f96a-60f2-42b0-86f4-b7f16868f196"/>
    <n v="51"/>
    <s v="Other"/>
    <s v="Basic"/>
    <n v="2.29"/>
    <x v="48"/>
    <x v="5"/>
    <x v="2"/>
    <n v="8.99"/>
    <n v="1"/>
    <n v="8.99"/>
    <x v="4"/>
    <n v="3"/>
    <n v="0.04"/>
    <s v="Sci-Fi"/>
  </r>
  <r>
    <s v="df15018a-f407-4f1b-8be5-8cfb76e94670"/>
    <n v="54"/>
    <s v="Female"/>
    <s v="Basic"/>
    <n v="6.72"/>
    <x v="58"/>
    <x v="1"/>
    <x v="2"/>
    <n v="8.99"/>
    <n v="1"/>
    <n v="8.99"/>
    <x v="2"/>
    <n v="4"/>
    <n v="0.14000000000000001"/>
    <s v="Drama"/>
  </r>
  <r>
    <s v="b2f4e8db-e2b0-42f7-81aa-26e6239d7d25"/>
    <n v="37"/>
    <s v="Male"/>
    <s v="Premium"/>
    <n v="2.44"/>
    <x v="60"/>
    <x v="1"/>
    <x v="1"/>
    <n v="17.989999999999998"/>
    <n v="1"/>
    <n v="17.989999999999998"/>
    <x v="1"/>
    <n v="2"/>
    <n v="0.27"/>
    <s v="Comedy"/>
  </r>
  <r>
    <s v="e84d1748-a4af-4405-b3ae-53d2ca64cd15"/>
    <n v="20"/>
    <s v="Other"/>
    <s v="Standard"/>
    <n v="5.46"/>
    <x v="55"/>
    <x v="4"/>
    <x v="1"/>
    <n v="13.99"/>
    <n v="1"/>
    <n v="13.99"/>
    <x v="0"/>
    <n v="2"/>
    <n v="0.09"/>
    <s v="Romance"/>
  </r>
  <r>
    <s v="9b1b8058-d053-4a3b-82e3-280336c2e162"/>
    <n v="20"/>
    <s v="Other"/>
    <s v="Basic"/>
    <n v="5.64"/>
    <x v="37"/>
    <x v="0"/>
    <x v="4"/>
    <n v="8.99"/>
    <n v="0"/>
    <n v="0"/>
    <x v="2"/>
    <n v="2"/>
    <n v="0.23"/>
    <s v="Action"/>
  </r>
  <r>
    <s v="d32c1ecf-9553-4e07-b563-9e800c42efe4"/>
    <n v="51"/>
    <s v="Other"/>
    <s v="Standard"/>
    <n v="3.38"/>
    <x v="15"/>
    <x v="2"/>
    <x v="3"/>
    <n v="13.99"/>
    <n v="1"/>
    <n v="13.99"/>
    <x v="0"/>
    <n v="3"/>
    <n v="0.08"/>
    <s v="Sci-Fi"/>
  </r>
  <r>
    <s v="9904ca50-a24a-42c6-b4b0-5459488f77d9"/>
    <n v="39"/>
    <s v="Female"/>
    <s v="Premium"/>
    <n v="1.86"/>
    <x v="22"/>
    <x v="3"/>
    <x v="2"/>
    <n v="17.989999999999998"/>
    <n v="1"/>
    <n v="17.989999999999998"/>
    <x v="2"/>
    <n v="3"/>
    <n v="0.03"/>
    <s v="Documentary"/>
  </r>
  <r>
    <s v="04d2b903-4529-4255-8f4a-b4b688fcad51"/>
    <n v="52"/>
    <s v="Female"/>
    <s v="Premium"/>
    <n v="4.12"/>
    <x v="30"/>
    <x v="4"/>
    <x v="2"/>
    <n v="17.989999999999998"/>
    <n v="0"/>
    <n v="0"/>
    <x v="1"/>
    <n v="4"/>
    <n v="2.06"/>
    <s v="Sci-Fi"/>
  </r>
  <r>
    <s v="8b51b646-9bd3-4bba-9258-43df68214950"/>
    <n v="34"/>
    <s v="Other"/>
    <s v="Standard"/>
    <n v="7.32"/>
    <x v="18"/>
    <x v="1"/>
    <x v="4"/>
    <n v="13.99"/>
    <n v="1"/>
    <n v="13.99"/>
    <x v="1"/>
    <n v="1"/>
    <n v="0.13"/>
    <s v="Sci-Fi"/>
  </r>
  <r>
    <s v="bb85954d-bb34-4a56-96e8-4a8829119bb7"/>
    <n v="35"/>
    <s v="Female"/>
    <s v="Standard"/>
    <n v="34.299999999999997"/>
    <x v="20"/>
    <x v="3"/>
    <x v="1"/>
    <n v="13.99"/>
    <n v="0"/>
    <n v="0"/>
    <x v="4"/>
    <n v="1"/>
    <n v="1.81"/>
    <s v="Drama"/>
  </r>
  <r>
    <s v="2200c15c-d6fe-4aa0-879c-9e929c7aeb08"/>
    <n v="47"/>
    <s v="Male"/>
    <s v="Premium"/>
    <n v="3.78"/>
    <x v="7"/>
    <x v="3"/>
    <x v="2"/>
    <n v="17.989999999999998"/>
    <n v="1"/>
    <n v="17.989999999999998"/>
    <x v="2"/>
    <n v="3"/>
    <n v="7.0000000000000007E-2"/>
    <s v="Documentary"/>
  </r>
  <r>
    <s v="e1535564-40f4-4c87-8d67-95f407c4ded6"/>
    <n v="42"/>
    <s v="Male"/>
    <s v="Standard"/>
    <n v="10.89"/>
    <x v="31"/>
    <x v="0"/>
    <x v="4"/>
    <n v="13.99"/>
    <n v="0"/>
    <n v="0"/>
    <x v="0"/>
    <n v="5"/>
    <n v="0.68"/>
    <s v="Romance"/>
  </r>
  <r>
    <s v="b79ffb90-91f7-44dd-98fc-83d59992fc62"/>
    <n v="34"/>
    <s v="Female"/>
    <s v="Premium"/>
    <n v="5.24"/>
    <x v="6"/>
    <x v="1"/>
    <x v="3"/>
    <n v="17.989999999999998"/>
    <n v="0"/>
    <n v="0"/>
    <x v="2"/>
    <n v="3"/>
    <n v="0.25"/>
    <s v="Romance"/>
  </r>
  <r>
    <s v="546af1fb-d39f-4610-8236-c4cd162d3c0c"/>
    <n v="44"/>
    <s v="Other"/>
    <s v="Premium"/>
    <n v="46.8"/>
    <x v="44"/>
    <x v="3"/>
    <x v="1"/>
    <n v="17.989999999999998"/>
    <n v="0"/>
    <n v="0"/>
    <x v="1"/>
    <n v="4"/>
    <n v="1"/>
    <s v="Romance"/>
  </r>
  <r>
    <s v="95a26a20-22a0-452e-a647-851b418f41de"/>
    <n v="34"/>
    <s v="Other"/>
    <s v="Premium"/>
    <n v="22.76"/>
    <x v="55"/>
    <x v="5"/>
    <x v="2"/>
    <n v="17.989999999999998"/>
    <n v="0"/>
    <n v="0"/>
    <x v="4"/>
    <n v="3"/>
    <n v="0.38"/>
    <s v="Action"/>
  </r>
  <r>
    <s v="895ad12a-717f-4427-9caf-bdbc0b6bb987"/>
    <n v="68"/>
    <s v="Other"/>
    <s v="Premium"/>
    <n v="5.61"/>
    <x v="45"/>
    <x v="0"/>
    <x v="0"/>
    <n v="17.989999999999998"/>
    <n v="1"/>
    <n v="17.989999999999998"/>
    <x v="3"/>
    <n v="1"/>
    <n v="0.13"/>
    <s v="Action"/>
  </r>
  <r>
    <s v="ae62aa52-5971-4017-a0d9-f7968e105e3a"/>
    <n v="20"/>
    <s v="Male"/>
    <s v="Basic"/>
    <n v="2.16"/>
    <x v="54"/>
    <x v="1"/>
    <x v="3"/>
    <n v="8.99"/>
    <n v="1"/>
    <n v="8.99"/>
    <x v="4"/>
    <n v="1"/>
    <n v="7.0000000000000007E-2"/>
    <s v="Documentary"/>
  </r>
  <r>
    <s v="d99b28e5-4ecf-4ac4-871b-e205b421c803"/>
    <n v="55"/>
    <s v="Male"/>
    <s v="Standard"/>
    <n v="13.16"/>
    <x v="18"/>
    <x v="0"/>
    <x v="1"/>
    <n v="13.99"/>
    <n v="1"/>
    <n v="13.99"/>
    <x v="1"/>
    <n v="5"/>
    <n v="0.23"/>
    <s v="Sci-Fi"/>
  </r>
  <r>
    <s v="62978367-96e2-470a-be63-38060506031d"/>
    <n v="68"/>
    <s v="Female"/>
    <s v="Premium"/>
    <n v="10.16"/>
    <x v="33"/>
    <x v="0"/>
    <x v="4"/>
    <n v="17.989999999999998"/>
    <n v="0"/>
    <n v="0"/>
    <x v="2"/>
    <n v="3"/>
    <n v="0.39"/>
    <s v="Horror"/>
  </r>
  <r>
    <s v="ebf470a5-4f3b-4a61-906e-244e5b4178cc"/>
    <n v="24"/>
    <s v="Female"/>
    <s v="Standard"/>
    <n v="35.74"/>
    <x v="26"/>
    <x v="4"/>
    <x v="3"/>
    <n v="13.99"/>
    <n v="0"/>
    <n v="0"/>
    <x v="4"/>
    <n v="1"/>
    <n v="0.73"/>
    <s v="Comedy"/>
  </r>
  <r>
    <s v="155fbfe6-62e7-4937-aecd-8b8c14595c20"/>
    <n v="48"/>
    <s v="Male"/>
    <s v="Basic"/>
    <n v="0.91"/>
    <x v="10"/>
    <x v="4"/>
    <x v="4"/>
    <n v="8.99"/>
    <n v="1"/>
    <n v="8.99"/>
    <x v="2"/>
    <n v="4"/>
    <n v="0.02"/>
    <s v="Romance"/>
  </r>
  <r>
    <s v="f858d7a7-d4bb-4aeb-af27-6560bac0725f"/>
    <n v="46"/>
    <s v="Female"/>
    <s v="Standard"/>
    <n v="7.78"/>
    <x v="42"/>
    <x v="0"/>
    <x v="0"/>
    <n v="13.99"/>
    <n v="1"/>
    <n v="13.99"/>
    <x v="0"/>
    <n v="4"/>
    <n v="0.2"/>
    <s v="Documentary"/>
  </r>
  <r>
    <s v="ff19f85a-c162-45d2-969d-836e7b33e80f"/>
    <n v="70"/>
    <s v="Other"/>
    <s v="Premium"/>
    <n v="4.55"/>
    <x v="39"/>
    <x v="3"/>
    <x v="1"/>
    <n v="17.989999999999998"/>
    <n v="1"/>
    <n v="17.989999999999998"/>
    <x v="2"/>
    <n v="1"/>
    <n v="0.2"/>
    <s v="Sci-Fi"/>
  </r>
  <r>
    <s v="cf64bda1-0bda-4e56-8478-81836f5b24d3"/>
    <n v="25"/>
    <s v="Male"/>
    <s v="Basic"/>
    <n v="22.21"/>
    <x v="18"/>
    <x v="4"/>
    <x v="0"/>
    <n v="8.99"/>
    <n v="1"/>
    <n v="8.99"/>
    <x v="2"/>
    <n v="3"/>
    <n v="0.38"/>
    <s v="Horror"/>
  </r>
  <r>
    <s v="c5d86549-b3f3-4afe-9bf3-b1b47a6bf584"/>
    <n v="41"/>
    <s v="Other"/>
    <s v="Standard"/>
    <n v="1.2"/>
    <x v="52"/>
    <x v="0"/>
    <x v="2"/>
    <n v="13.99"/>
    <n v="1"/>
    <n v="13.99"/>
    <x v="4"/>
    <n v="4"/>
    <n v="0.02"/>
    <s v="Romance"/>
  </r>
  <r>
    <s v="e5c7d145-545a-4927-b751-7c4159ab7b84"/>
    <n v="22"/>
    <s v="Male"/>
    <s v="Basic"/>
    <n v="3.76"/>
    <x v="55"/>
    <x v="1"/>
    <x v="0"/>
    <n v="8.99"/>
    <n v="1"/>
    <n v="8.99"/>
    <x v="3"/>
    <n v="3"/>
    <n v="0.06"/>
    <s v="Documentary"/>
  </r>
  <r>
    <s v="142de341-a41c-4cbf-98d2-1c8c86d08880"/>
    <n v="24"/>
    <s v="Other"/>
    <s v="Basic"/>
    <n v="10.15"/>
    <x v="49"/>
    <x v="2"/>
    <x v="0"/>
    <n v="8.99"/>
    <n v="0"/>
    <n v="0"/>
    <x v="2"/>
    <n v="2"/>
    <n v="1.02"/>
    <s v="Action"/>
  </r>
  <r>
    <s v="25aa1d59-9191-4128-91d6-87f8209a8712"/>
    <n v="24"/>
    <s v="Other"/>
    <s v="Basic"/>
    <n v="2.2799999999999998"/>
    <x v="19"/>
    <x v="5"/>
    <x v="1"/>
    <n v="8.99"/>
    <n v="1"/>
    <n v="8.99"/>
    <x v="0"/>
    <n v="5"/>
    <n v="0.05"/>
    <s v="Drama"/>
  </r>
  <r>
    <s v="a1edd117-ae99-404f-82d8-efff65663f21"/>
    <n v="25"/>
    <s v="Other"/>
    <s v="Premium"/>
    <n v="6.08"/>
    <x v="1"/>
    <x v="0"/>
    <x v="4"/>
    <n v="17.989999999999998"/>
    <n v="0"/>
    <n v="0"/>
    <x v="4"/>
    <n v="3"/>
    <n v="0.3"/>
    <s v="Documentary"/>
  </r>
  <r>
    <s v="d212aebd-df18-4bac-992d-3d4e6bb90711"/>
    <n v="29"/>
    <s v="Female"/>
    <s v="Basic"/>
    <n v="25.31"/>
    <x v="31"/>
    <x v="4"/>
    <x v="1"/>
    <n v="8.99"/>
    <n v="0"/>
    <n v="0"/>
    <x v="0"/>
    <n v="4"/>
    <n v="1.58"/>
    <s v="Documentary"/>
  </r>
  <r>
    <s v="9ef98845-2393-4e72-96fd-95047f25a4b4"/>
    <n v="62"/>
    <s v="Female"/>
    <s v="Basic"/>
    <n v="19.11"/>
    <x v="38"/>
    <x v="1"/>
    <x v="2"/>
    <n v="8.99"/>
    <n v="0"/>
    <n v="0"/>
    <x v="0"/>
    <n v="5"/>
    <n v="0.87"/>
    <s v="Action"/>
  </r>
  <r>
    <s v="f81158ac-1559-4728-88fd-9c2e111fc41b"/>
    <n v="35"/>
    <s v="Female"/>
    <s v="Basic"/>
    <n v="21.25"/>
    <x v="44"/>
    <x v="3"/>
    <x v="3"/>
    <n v="8.99"/>
    <n v="1"/>
    <n v="8.99"/>
    <x v="4"/>
    <n v="3"/>
    <n v="0.45"/>
    <s v="Drama"/>
  </r>
  <r>
    <s v="30a113c8-1b0c-4bc1-885c-e1a385ad11c0"/>
    <n v="41"/>
    <s v="Male"/>
    <s v="Basic"/>
    <n v="6"/>
    <x v="5"/>
    <x v="0"/>
    <x v="2"/>
    <n v="8.99"/>
    <n v="0"/>
    <n v="0"/>
    <x v="2"/>
    <n v="4"/>
    <n v="0.22"/>
    <s v="Action"/>
  </r>
  <r>
    <s v="81ca6a1b-94bd-4e46-afe5-e274d3b4ff1f"/>
    <n v="66"/>
    <s v="Male"/>
    <s v="Premium"/>
    <n v="7.68"/>
    <x v="24"/>
    <x v="1"/>
    <x v="1"/>
    <n v="17.989999999999998"/>
    <n v="1"/>
    <n v="17.989999999999998"/>
    <x v="2"/>
    <n v="2"/>
    <n v="0.14000000000000001"/>
    <s v="Sci-Fi"/>
  </r>
  <r>
    <s v="4297d7f1-545a-486b-8473-214ebfa4741a"/>
    <n v="38"/>
    <s v="Other"/>
    <s v="Basic"/>
    <n v="10.9"/>
    <x v="29"/>
    <x v="4"/>
    <x v="4"/>
    <n v="8.99"/>
    <n v="1"/>
    <n v="8.99"/>
    <x v="4"/>
    <n v="4"/>
    <n v="0.24"/>
    <s v="Sci-Fi"/>
  </r>
  <r>
    <s v="d37ec561-1768-4a93-be30-15a7c820e307"/>
    <n v="48"/>
    <s v="Male"/>
    <s v="Premium"/>
    <n v="23.03"/>
    <x v="50"/>
    <x v="5"/>
    <x v="3"/>
    <n v="17.989999999999998"/>
    <n v="0"/>
    <n v="0"/>
    <x v="4"/>
    <n v="4"/>
    <n v="0.42"/>
    <s v="Documentary"/>
  </r>
  <r>
    <s v="f859113a-2fe6-48da-9ef1-8e7c7b0291ed"/>
    <n v="50"/>
    <s v="Other"/>
    <s v="Basic"/>
    <n v="6.59"/>
    <x v="21"/>
    <x v="2"/>
    <x v="4"/>
    <n v="8.99"/>
    <n v="0"/>
    <n v="0"/>
    <x v="4"/>
    <n v="2"/>
    <n v="0.94"/>
    <s v="Horror"/>
  </r>
  <r>
    <s v="d58ddc1e-1bdf-440a-8c6b-309077fc3f17"/>
    <n v="51"/>
    <s v="Male"/>
    <s v="Basic"/>
    <n v="1.56"/>
    <x v="22"/>
    <x v="5"/>
    <x v="1"/>
    <n v="8.99"/>
    <n v="1"/>
    <n v="8.99"/>
    <x v="1"/>
    <n v="3"/>
    <n v="0.03"/>
    <s v="Action"/>
  </r>
  <r>
    <s v="2198e57e-f273-418b-9841-2728c362b67c"/>
    <n v="24"/>
    <s v="Male"/>
    <s v="Basic"/>
    <n v="1.59"/>
    <x v="53"/>
    <x v="2"/>
    <x v="1"/>
    <n v="8.99"/>
    <n v="1"/>
    <n v="8.99"/>
    <x v="0"/>
    <n v="5"/>
    <n v="0.04"/>
    <s v="Action"/>
  </r>
  <r>
    <s v="30b99823-3634-4286-a9b9-7db9f87cb49b"/>
    <n v="44"/>
    <s v="Male"/>
    <s v="Basic"/>
    <n v="3.91"/>
    <x v="46"/>
    <x v="4"/>
    <x v="2"/>
    <n v="8.99"/>
    <n v="0"/>
    <n v="0"/>
    <x v="4"/>
    <n v="4"/>
    <n v="1.3"/>
    <s v="Drama"/>
  </r>
  <r>
    <s v="ce3c7cbb-b993-4916-a81d-4e4ac032a5c9"/>
    <n v="65"/>
    <s v="Male"/>
    <s v="Basic"/>
    <n v="2.96"/>
    <x v="12"/>
    <x v="0"/>
    <x v="1"/>
    <n v="8.99"/>
    <n v="1"/>
    <n v="8.99"/>
    <x v="3"/>
    <n v="1"/>
    <n v="0.09"/>
    <s v="Sci-Fi"/>
  </r>
  <r>
    <s v="55cfd789-ef07-43f7-aeac-cb4e8beb5c27"/>
    <n v="35"/>
    <s v="Male"/>
    <s v="Premium"/>
    <n v="9.8800000000000008"/>
    <x v="2"/>
    <x v="4"/>
    <x v="1"/>
    <n v="17.989999999999998"/>
    <n v="0"/>
    <n v="0"/>
    <x v="2"/>
    <n v="3"/>
    <n v="0.9"/>
    <s v="Sci-Fi"/>
  </r>
  <r>
    <s v="de4e0a07-b2f0-4b45-8764-dedff7dc00ce"/>
    <n v="62"/>
    <s v="Other"/>
    <s v="Basic"/>
    <n v="7.43"/>
    <x v="52"/>
    <x v="0"/>
    <x v="1"/>
    <n v="8.99"/>
    <n v="1"/>
    <n v="8.99"/>
    <x v="0"/>
    <n v="4"/>
    <n v="0.15"/>
    <s v="Horror"/>
  </r>
  <r>
    <s v="de33c8b1-ecb2-448f-8f97-a99ffbabe1be"/>
    <n v="26"/>
    <s v="Other"/>
    <s v="Premium"/>
    <n v="25"/>
    <x v="3"/>
    <x v="3"/>
    <x v="1"/>
    <n v="17.989999999999998"/>
    <n v="0"/>
    <n v="0"/>
    <x v="0"/>
    <n v="2"/>
    <n v="1.92"/>
    <s v="Horror"/>
  </r>
  <r>
    <s v="e6e1676e-f17d-4e77-89b2-cf0e3df598ab"/>
    <n v="22"/>
    <s v="Other"/>
    <s v="Premium"/>
    <n v="42.86"/>
    <x v="50"/>
    <x v="4"/>
    <x v="1"/>
    <n v="17.989999999999998"/>
    <n v="0"/>
    <n v="0"/>
    <x v="0"/>
    <n v="4"/>
    <n v="0.78"/>
    <s v="Action"/>
  </r>
  <r>
    <s v="a1d6a50d-973f-4e43-a3c0-ce5acf4b09ec"/>
    <n v="33"/>
    <s v="Female"/>
    <s v="Basic"/>
    <n v="3.05"/>
    <x v="54"/>
    <x v="0"/>
    <x v="2"/>
    <n v="8.99"/>
    <n v="1"/>
    <n v="8.99"/>
    <x v="3"/>
    <n v="5"/>
    <n v="0.11"/>
    <s v="Romance"/>
  </r>
  <r>
    <s v="255cd731-221c-4f98-adda-f7dffb7a03c9"/>
    <n v="25"/>
    <s v="Male"/>
    <s v="Basic"/>
    <n v="9.6999999999999993"/>
    <x v="17"/>
    <x v="5"/>
    <x v="3"/>
    <n v="8.99"/>
    <n v="0"/>
    <n v="0"/>
    <x v="3"/>
    <n v="2"/>
    <n v="1.94"/>
    <s v="Horror"/>
  </r>
  <r>
    <s v="c2feda98-9478-480b-b544-ec89a3cd58b8"/>
    <n v="61"/>
    <s v="Female"/>
    <s v="Standard"/>
    <n v="2.36"/>
    <x v="21"/>
    <x v="2"/>
    <x v="0"/>
    <n v="13.99"/>
    <n v="1"/>
    <n v="13.99"/>
    <x v="1"/>
    <n v="1"/>
    <n v="0.34"/>
    <s v="Drama"/>
  </r>
  <r>
    <s v="12a31de2-5742-4217-a7ba-eac8cb7a79f6"/>
    <n v="61"/>
    <s v="Female"/>
    <s v="Basic"/>
    <n v="5.83"/>
    <x v="6"/>
    <x v="5"/>
    <x v="4"/>
    <n v="8.99"/>
    <n v="0"/>
    <n v="0"/>
    <x v="4"/>
    <n v="5"/>
    <n v="0.28000000000000003"/>
    <s v="Action"/>
  </r>
  <r>
    <s v="52322a98-a709-4dcd-8cc6-e84f8461e005"/>
    <n v="50"/>
    <s v="Male"/>
    <s v="Standard"/>
    <n v="20.95"/>
    <x v="20"/>
    <x v="2"/>
    <x v="4"/>
    <n v="13.99"/>
    <n v="0"/>
    <n v="0"/>
    <x v="0"/>
    <n v="4"/>
    <n v="1.1000000000000001"/>
    <s v="Drama"/>
  </r>
  <r>
    <s v="468c7547-f285-47e1-8fa8-d836ba848846"/>
    <n v="26"/>
    <s v="Male"/>
    <s v="Basic"/>
    <n v="1.54"/>
    <x v="6"/>
    <x v="5"/>
    <x v="4"/>
    <n v="8.99"/>
    <n v="1"/>
    <n v="8.99"/>
    <x v="3"/>
    <n v="4"/>
    <n v="7.0000000000000007E-2"/>
    <s v="Horror"/>
  </r>
  <r>
    <s v="3e4d0c22-74cd-4be3-b03c-2342026e82bb"/>
    <n v="46"/>
    <s v="Female"/>
    <s v="Standard"/>
    <n v="4.5599999999999996"/>
    <x v="32"/>
    <x v="4"/>
    <x v="2"/>
    <n v="13.99"/>
    <n v="1"/>
    <n v="13.99"/>
    <x v="0"/>
    <n v="2"/>
    <n v="0.3"/>
    <s v="Horror"/>
  </r>
  <r>
    <s v="880a72cd-79fd-44fd-806f-b9bdcedd04f4"/>
    <n v="63"/>
    <s v="Male"/>
    <s v="Standard"/>
    <n v="3.98"/>
    <x v="6"/>
    <x v="1"/>
    <x v="2"/>
    <n v="13.99"/>
    <n v="1"/>
    <n v="13.99"/>
    <x v="1"/>
    <n v="3"/>
    <n v="0.19"/>
    <s v="Horror"/>
  </r>
  <r>
    <s v="cbeb85c5-9480-4ea2-b6ab-8518eece6961"/>
    <n v="54"/>
    <s v="Other"/>
    <s v="Premium"/>
    <n v="0.48"/>
    <x v="55"/>
    <x v="2"/>
    <x v="3"/>
    <n v="17.989999999999998"/>
    <n v="1"/>
    <n v="17.989999999999998"/>
    <x v="1"/>
    <n v="4"/>
    <n v="0.01"/>
    <s v="Romance"/>
  </r>
  <r>
    <s v="1141bdf2-a5e8-4026-9422-d4844620fe61"/>
    <n v="40"/>
    <s v="Male"/>
    <s v="Basic"/>
    <n v="0.28000000000000003"/>
    <x v="42"/>
    <x v="4"/>
    <x v="3"/>
    <n v="8.99"/>
    <n v="1"/>
    <n v="8.99"/>
    <x v="0"/>
    <n v="2"/>
    <n v="0.01"/>
    <s v="Romance"/>
  </r>
  <r>
    <s v="54372fef-6fb6-421f-bab6-606fb3a90f0c"/>
    <n v="18"/>
    <s v="Male"/>
    <s v="Standard"/>
    <n v="20.23"/>
    <x v="9"/>
    <x v="1"/>
    <x v="1"/>
    <n v="13.99"/>
    <n v="0"/>
    <n v="0"/>
    <x v="4"/>
    <n v="4"/>
    <n v="0.55000000000000004"/>
    <s v="Romance"/>
  </r>
  <r>
    <s v="989ca7a0-a0c3-4e55-a23c-3f4458291008"/>
    <n v="63"/>
    <s v="Male"/>
    <s v="Premium"/>
    <n v="0.67"/>
    <x v="49"/>
    <x v="0"/>
    <x v="4"/>
    <n v="17.989999999999998"/>
    <n v="0"/>
    <n v="0"/>
    <x v="4"/>
    <n v="5"/>
    <n v="7.0000000000000007E-2"/>
    <s v="Horror"/>
  </r>
  <r>
    <s v="7955efc4-a06e-43e7-9b8e-028e700955bd"/>
    <n v="62"/>
    <s v="Other"/>
    <s v="Standard"/>
    <n v="18.27"/>
    <x v="45"/>
    <x v="1"/>
    <x v="0"/>
    <n v="13.99"/>
    <n v="1"/>
    <n v="13.99"/>
    <x v="0"/>
    <n v="3"/>
    <n v="0.43"/>
    <s v="Romance"/>
  </r>
  <r>
    <s v="e5187426-4fcb-4133-8191-022dbde6aee2"/>
    <n v="42"/>
    <s v="Male"/>
    <s v="Premium"/>
    <n v="1.87"/>
    <x v="6"/>
    <x v="0"/>
    <x v="1"/>
    <n v="17.989999999999998"/>
    <n v="1"/>
    <n v="17.989999999999998"/>
    <x v="2"/>
    <n v="3"/>
    <n v="0.09"/>
    <s v="Drama"/>
  </r>
  <r>
    <s v="6f26710a-d654-4a36-99e4-bdaf2943fe2e"/>
    <n v="29"/>
    <s v="Male"/>
    <s v="Standard"/>
    <n v="23.05"/>
    <x v="9"/>
    <x v="0"/>
    <x v="1"/>
    <n v="13.99"/>
    <n v="0"/>
    <n v="0"/>
    <x v="0"/>
    <n v="4"/>
    <n v="0.62"/>
    <s v="Documentary"/>
  </r>
  <r>
    <s v="6836917d-1c7f-4651-861b-1c4ebbeb6020"/>
    <n v="66"/>
    <s v="Female"/>
    <s v="Basic"/>
    <n v="2.61"/>
    <x v="35"/>
    <x v="3"/>
    <x v="0"/>
    <n v="8.99"/>
    <n v="1"/>
    <n v="8.99"/>
    <x v="4"/>
    <n v="1"/>
    <n v="0.06"/>
    <s v="Action"/>
  </r>
  <r>
    <s v="cc8af428-e171-48ac-8ac3-3354d52bffaa"/>
    <n v="57"/>
    <s v="Male"/>
    <s v="Premium"/>
    <n v="15.52"/>
    <x v="4"/>
    <x v="3"/>
    <x v="4"/>
    <n v="17.989999999999998"/>
    <n v="0"/>
    <n v="0"/>
    <x v="1"/>
    <n v="5"/>
    <n v="1.1100000000000001"/>
    <s v="Action"/>
  </r>
  <r>
    <s v="8f6bb647-36a1-40de-af06-825e69ea7f9d"/>
    <n v="56"/>
    <s v="Female"/>
    <s v="Basic"/>
    <n v="38.590000000000003"/>
    <x v="2"/>
    <x v="3"/>
    <x v="1"/>
    <n v="8.99"/>
    <n v="0"/>
    <n v="0"/>
    <x v="0"/>
    <n v="2"/>
    <n v="3.51"/>
    <s v="Sci-Fi"/>
  </r>
  <r>
    <s v="5ca7dc45-e131-41be-82fb-580106346593"/>
    <n v="32"/>
    <s v="Male"/>
    <s v="Basic"/>
    <n v="14.22"/>
    <x v="26"/>
    <x v="5"/>
    <x v="0"/>
    <n v="8.99"/>
    <n v="1"/>
    <n v="8.99"/>
    <x v="1"/>
    <n v="3"/>
    <n v="0.28999999999999998"/>
    <s v="Comedy"/>
  </r>
  <r>
    <s v="bb98f21e-15a6-459f-9739-d007cae5734e"/>
    <n v="69"/>
    <s v="Male"/>
    <s v="Standard"/>
    <n v="3.46"/>
    <x v="57"/>
    <x v="5"/>
    <x v="3"/>
    <n v="13.99"/>
    <n v="1"/>
    <n v="13.99"/>
    <x v="1"/>
    <n v="5"/>
    <n v="0.06"/>
    <s v="Action"/>
  </r>
  <r>
    <s v="bbeab1f0-e7d0-4d12-9a73-a1927bfdb187"/>
    <n v="30"/>
    <s v="Female"/>
    <s v="Premium"/>
    <n v="5.97"/>
    <x v="46"/>
    <x v="4"/>
    <x v="4"/>
    <n v="17.989999999999998"/>
    <n v="0"/>
    <n v="0"/>
    <x v="4"/>
    <n v="3"/>
    <n v="1.99"/>
    <s v="Horror"/>
  </r>
  <r>
    <s v="8b4f9c81-82fb-40df-8382-0dd2a0cef83c"/>
    <n v="56"/>
    <s v="Male"/>
    <s v="Basic"/>
    <n v="6.94"/>
    <x v="16"/>
    <x v="4"/>
    <x v="1"/>
    <n v="8.99"/>
    <n v="1"/>
    <n v="8.99"/>
    <x v="0"/>
    <n v="3"/>
    <n v="0.25"/>
    <s v="Comedy"/>
  </r>
  <r>
    <s v="5e47d43e-927d-46dc-8828-d13eaab15b4e"/>
    <n v="35"/>
    <s v="Male"/>
    <s v="Basic"/>
    <n v="22.39"/>
    <x v="29"/>
    <x v="1"/>
    <x v="1"/>
    <n v="8.99"/>
    <n v="1"/>
    <n v="8.99"/>
    <x v="0"/>
    <n v="1"/>
    <n v="0.49"/>
    <s v="Sci-Fi"/>
  </r>
  <r>
    <s v="da1333b2-35f9-4d1e-9799-55116f166b51"/>
    <n v="41"/>
    <s v="Other"/>
    <s v="Standard"/>
    <n v="3.61"/>
    <x v="0"/>
    <x v="2"/>
    <x v="4"/>
    <n v="13.99"/>
    <n v="0"/>
    <n v="0"/>
    <x v="2"/>
    <n v="5"/>
    <n v="0.12"/>
    <s v="Action"/>
  </r>
  <r>
    <s v="19352d22-01bc-4e16-b5b7-cb2fe248f5b7"/>
    <n v="43"/>
    <s v="Other"/>
    <s v="Basic"/>
    <n v="0.37"/>
    <x v="27"/>
    <x v="0"/>
    <x v="0"/>
    <n v="8.99"/>
    <n v="1"/>
    <n v="8.99"/>
    <x v="2"/>
    <n v="5"/>
    <n v="0.02"/>
    <s v="Documentary"/>
  </r>
  <r>
    <s v="1f814426-fb33-4ea8-8abb-5c5b4ec64076"/>
    <n v="60"/>
    <s v="Female"/>
    <s v="Basic"/>
    <n v="6.3"/>
    <x v="47"/>
    <x v="5"/>
    <x v="1"/>
    <n v="8.99"/>
    <n v="0"/>
    <n v="0"/>
    <x v="2"/>
    <n v="2"/>
    <n v="1.57"/>
    <s v="Comedy"/>
  </r>
  <r>
    <s v="99003cbb-a0e2-4663-9628-13f6d46f1a0c"/>
    <n v="22"/>
    <s v="Female"/>
    <s v="Premium"/>
    <n v="15.39"/>
    <x v="56"/>
    <x v="0"/>
    <x v="3"/>
    <n v="17.989999999999998"/>
    <n v="1"/>
    <n v="17.989999999999998"/>
    <x v="4"/>
    <n v="2"/>
    <n v="0.26"/>
    <s v="Sci-Fi"/>
  </r>
  <r>
    <s v="334fbf6b-0681-49de-ae3a-c08da907fda0"/>
    <n v="18"/>
    <s v="Female"/>
    <s v="Basic"/>
    <n v="3.19"/>
    <x v="27"/>
    <x v="5"/>
    <x v="2"/>
    <n v="8.99"/>
    <n v="1"/>
    <n v="8.99"/>
    <x v="0"/>
    <n v="4"/>
    <n v="0.19"/>
    <s v="Action"/>
  </r>
  <r>
    <s v="a8fddcff-3303-437f-b4ba-c3ecab9da8f5"/>
    <n v="41"/>
    <s v="Male"/>
    <s v="Basic"/>
    <n v="19.329999999999998"/>
    <x v="21"/>
    <x v="1"/>
    <x v="2"/>
    <n v="8.99"/>
    <n v="0"/>
    <n v="0"/>
    <x v="0"/>
    <n v="5"/>
    <n v="2.76"/>
    <s v="Horror"/>
  </r>
  <r>
    <s v="e257dba6-fb3d-41cf-99a2-0700e8f8a568"/>
    <n v="53"/>
    <s v="Female"/>
    <s v="Basic"/>
    <n v="40.81"/>
    <x v="51"/>
    <x v="0"/>
    <x v="1"/>
    <n v="8.99"/>
    <n v="0"/>
    <n v="0"/>
    <x v="0"/>
    <n v="1"/>
    <n v="2.27"/>
    <s v="Comedy"/>
  </r>
  <r>
    <s v="052a034c-7746-43fc-912d-4991c01b1f95"/>
    <n v="37"/>
    <s v="Other"/>
    <s v="Basic"/>
    <n v="7.26"/>
    <x v="18"/>
    <x v="3"/>
    <x v="0"/>
    <n v="8.99"/>
    <n v="1"/>
    <n v="8.99"/>
    <x v="0"/>
    <n v="4"/>
    <n v="0.13"/>
    <s v="Horror"/>
  </r>
  <r>
    <s v="f6b21267-fc81-4b2c-bb52-26535593c64d"/>
    <n v="37"/>
    <s v="Male"/>
    <s v="Standard"/>
    <n v="18.920000000000002"/>
    <x v="25"/>
    <x v="5"/>
    <x v="0"/>
    <n v="13.99"/>
    <n v="0"/>
    <n v="0"/>
    <x v="1"/>
    <n v="1"/>
    <n v="18.920000000000002"/>
    <s v="Action"/>
  </r>
  <r>
    <s v="d567ec1c-9950-494f-b619-0071de29b581"/>
    <n v="41"/>
    <s v="Male"/>
    <s v="Premium"/>
    <n v="8.26"/>
    <x v="18"/>
    <x v="5"/>
    <x v="1"/>
    <n v="17.989999999999998"/>
    <n v="1"/>
    <n v="17.989999999999998"/>
    <x v="1"/>
    <n v="4"/>
    <n v="0.14000000000000001"/>
    <s v="Documentary"/>
  </r>
  <r>
    <s v="140506ea-05e5-40e5-abc3-253581dd24e0"/>
    <n v="59"/>
    <s v="Male"/>
    <s v="Basic"/>
    <n v="8.85"/>
    <x v="27"/>
    <x v="2"/>
    <x v="4"/>
    <n v="8.99"/>
    <n v="0"/>
    <n v="0"/>
    <x v="4"/>
    <n v="3"/>
    <n v="0.52"/>
    <s v="Documentary"/>
  </r>
  <r>
    <s v="c85a5890-a887-41bf-b866-5cd201747ede"/>
    <n v="28"/>
    <s v="Female"/>
    <s v="Premium"/>
    <n v="4.1399999999999997"/>
    <x v="42"/>
    <x v="4"/>
    <x v="4"/>
    <n v="17.989999999999998"/>
    <n v="1"/>
    <n v="17.989999999999998"/>
    <x v="0"/>
    <n v="2"/>
    <n v="0.11"/>
    <s v="Documentary"/>
  </r>
  <r>
    <s v="863590b0-7d07-487b-a89c-d4700d8d4e4e"/>
    <n v="70"/>
    <s v="Other"/>
    <s v="Premium"/>
    <n v="20.54"/>
    <x v="1"/>
    <x v="1"/>
    <x v="0"/>
    <n v="17.989999999999998"/>
    <n v="0"/>
    <n v="0"/>
    <x v="1"/>
    <n v="4"/>
    <n v="1.03"/>
    <s v="Horror"/>
  </r>
  <r>
    <s v="46bbc44d-525c-498c-bee4-71c73afbc13c"/>
    <n v="50"/>
    <s v="Other"/>
    <s v="Standard"/>
    <n v="9.9"/>
    <x v="2"/>
    <x v="5"/>
    <x v="3"/>
    <n v="13.99"/>
    <n v="0"/>
    <n v="0"/>
    <x v="2"/>
    <n v="2"/>
    <n v="0.9"/>
    <s v="Drama"/>
  </r>
  <r>
    <s v="6a061a82-97b7-4d14-b9ae-e7df764684b1"/>
    <n v="62"/>
    <s v="Other"/>
    <s v="Premium"/>
    <n v="4.03"/>
    <x v="34"/>
    <x v="1"/>
    <x v="1"/>
    <n v="17.989999999999998"/>
    <n v="1"/>
    <n v="17.989999999999998"/>
    <x v="0"/>
    <n v="4"/>
    <n v="0.08"/>
    <s v="Horror"/>
  </r>
  <r>
    <s v="b5e00f1f-9d09-4429-889f-ade90e1b3cee"/>
    <n v="51"/>
    <s v="Other"/>
    <s v="Premium"/>
    <n v="1.67"/>
    <x v="54"/>
    <x v="0"/>
    <x v="4"/>
    <n v="17.989999999999998"/>
    <n v="1"/>
    <n v="17.989999999999998"/>
    <x v="1"/>
    <n v="4"/>
    <n v="0.06"/>
    <s v="Action"/>
  </r>
  <r>
    <s v="90826a68-bc7f-4a10-aa24-989fad597c30"/>
    <n v="27"/>
    <s v="Other"/>
    <s v="Basic"/>
    <n v="12.8"/>
    <x v="19"/>
    <x v="5"/>
    <x v="0"/>
    <n v="8.99"/>
    <n v="1"/>
    <n v="8.99"/>
    <x v="2"/>
    <n v="2"/>
    <n v="0.28999999999999998"/>
    <s v="Horror"/>
  </r>
  <r>
    <s v="81eb7012-12b8-43df-854b-711a40561be0"/>
    <n v="63"/>
    <s v="Other"/>
    <s v="Standard"/>
    <n v="17.510000000000002"/>
    <x v="3"/>
    <x v="4"/>
    <x v="4"/>
    <n v="13.99"/>
    <n v="0"/>
    <n v="0"/>
    <x v="3"/>
    <n v="1"/>
    <n v="1.35"/>
    <s v="Romance"/>
  </r>
  <r>
    <s v="d1b705c9-acf8-4f48-bd4b-c0fc00234b0f"/>
    <n v="56"/>
    <s v="Other"/>
    <s v="Premium"/>
    <n v="45.06"/>
    <x v="21"/>
    <x v="0"/>
    <x v="1"/>
    <n v="17.989999999999998"/>
    <n v="0"/>
    <n v="0"/>
    <x v="0"/>
    <n v="5"/>
    <n v="6.44"/>
    <s v="Action"/>
  </r>
  <r>
    <s v="7cf05bfb-74e6-4c8e-a949-8c4193d254d6"/>
    <n v="56"/>
    <s v="Other"/>
    <s v="Standard"/>
    <n v="21.77"/>
    <x v="48"/>
    <x v="2"/>
    <x v="0"/>
    <n v="13.99"/>
    <n v="0"/>
    <n v="0"/>
    <x v="4"/>
    <n v="2"/>
    <n v="0.42"/>
    <s v="Drama"/>
  </r>
  <r>
    <s v="d9900693-90bf-43ce-953f-8d1888e0bb1b"/>
    <n v="57"/>
    <s v="Male"/>
    <s v="Premium"/>
    <n v="12.13"/>
    <x v="37"/>
    <x v="0"/>
    <x v="2"/>
    <n v="17.989999999999998"/>
    <n v="0"/>
    <n v="0"/>
    <x v="1"/>
    <n v="1"/>
    <n v="0.49"/>
    <s v="Romance"/>
  </r>
  <r>
    <s v="94226c99-e3c6-44a8-b8df-d66080b5bf30"/>
    <n v="64"/>
    <s v="Other"/>
    <s v="Standard"/>
    <n v="3.68"/>
    <x v="22"/>
    <x v="4"/>
    <x v="1"/>
    <n v="13.99"/>
    <n v="1"/>
    <n v="13.99"/>
    <x v="1"/>
    <n v="5"/>
    <n v="7.0000000000000007E-2"/>
    <s v="Comedy"/>
  </r>
  <r>
    <s v="a7723da8-3f8e-49df-b973-d9959d8bf844"/>
    <n v="50"/>
    <s v="Other"/>
    <s v="Premium"/>
    <n v="0.73"/>
    <x v="37"/>
    <x v="5"/>
    <x v="4"/>
    <n v="17.989999999999998"/>
    <n v="1"/>
    <n v="17.989999999999998"/>
    <x v="1"/>
    <n v="2"/>
    <n v="0.03"/>
    <s v="Action"/>
  </r>
  <r>
    <s v="5649fe75-6de9-4ecc-86f6-712fdfe3848a"/>
    <n v="63"/>
    <s v="Other"/>
    <s v="Basic"/>
    <n v="2.37"/>
    <x v="54"/>
    <x v="4"/>
    <x v="2"/>
    <n v="8.99"/>
    <n v="1"/>
    <n v="8.99"/>
    <x v="2"/>
    <n v="5"/>
    <n v="0.08"/>
    <s v="Comedy"/>
  </r>
  <r>
    <s v="0afc4baf-0aa5-44c3-b6be-949008d9c2da"/>
    <n v="47"/>
    <s v="Other"/>
    <s v="Standard"/>
    <n v="13.83"/>
    <x v="50"/>
    <x v="0"/>
    <x v="1"/>
    <n v="13.99"/>
    <n v="1"/>
    <n v="13.99"/>
    <x v="0"/>
    <n v="3"/>
    <n v="0.25"/>
    <s v="Documentary"/>
  </r>
  <r>
    <s v="dd192706-2635-46a1-9559-9ca27f7999b9"/>
    <n v="27"/>
    <s v="Female"/>
    <s v="Premium"/>
    <n v="15.99"/>
    <x v="42"/>
    <x v="0"/>
    <x v="4"/>
    <n v="17.989999999999998"/>
    <n v="1"/>
    <n v="17.989999999999998"/>
    <x v="0"/>
    <n v="2"/>
    <n v="0.42"/>
    <s v="Drama"/>
  </r>
  <r>
    <s v="bb20c584-b8c7-4e09-a487-df50428b49ba"/>
    <n v="21"/>
    <s v="Male"/>
    <s v="Basic"/>
    <n v="21.57"/>
    <x v="58"/>
    <x v="5"/>
    <x v="1"/>
    <n v="8.99"/>
    <n v="1"/>
    <n v="8.99"/>
    <x v="2"/>
    <n v="3"/>
    <n v="0.45"/>
    <s v="Comedy"/>
  </r>
  <r>
    <s v="ebaa15ec-5b85-4b6c-8b99-d9ce1cba8577"/>
    <n v="52"/>
    <s v="Other"/>
    <s v="Premium"/>
    <n v="6.62"/>
    <x v="7"/>
    <x v="2"/>
    <x v="3"/>
    <n v="17.989999999999998"/>
    <n v="1"/>
    <n v="17.989999999999998"/>
    <x v="0"/>
    <n v="1"/>
    <n v="0.12"/>
    <s v="Comedy"/>
  </r>
  <r>
    <s v="8e1031b6-b98f-4b5a-b035-8d7aafad3c47"/>
    <n v="27"/>
    <s v="Other"/>
    <s v="Standard"/>
    <n v="20.059999999999999"/>
    <x v="29"/>
    <x v="1"/>
    <x v="2"/>
    <n v="13.99"/>
    <n v="0"/>
    <n v="0"/>
    <x v="2"/>
    <n v="4"/>
    <n v="0.44"/>
    <s v="Action"/>
  </r>
  <r>
    <s v="cb536c36-8a1e-41b7-ac20-43f09a4cedbd"/>
    <n v="28"/>
    <s v="Other"/>
    <s v="Basic"/>
    <n v="0.79"/>
    <x v="15"/>
    <x v="2"/>
    <x v="2"/>
    <n v="8.99"/>
    <n v="1"/>
    <n v="8.99"/>
    <x v="0"/>
    <n v="1"/>
    <n v="0.02"/>
    <s v="Action"/>
  </r>
  <r>
    <s v="e623d359-0278-4bfc-82c3-86892eed77a3"/>
    <n v="18"/>
    <s v="Male"/>
    <s v="Standard"/>
    <n v="3.49"/>
    <x v="50"/>
    <x v="3"/>
    <x v="2"/>
    <n v="13.99"/>
    <n v="1"/>
    <n v="13.99"/>
    <x v="1"/>
    <n v="3"/>
    <n v="0.06"/>
    <s v="Sci-Fi"/>
  </r>
  <r>
    <s v="630f9371-9298-435a-8a66-f24f4bb528fc"/>
    <n v="19"/>
    <s v="Other"/>
    <s v="Premium"/>
    <n v="8.1199999999999992"/>
    <x v="46"/>
    <x v="1"/>
    <x v="2"/>
    <n v="17.989999999999998"/>
    <n v="0"/>
    <n v="0"/>
    <x v="3"/>
    <n v="1"/>
    <n v="2.71"/>
    <s v="Action"/>
  </r>
  <r>
    <s v="91bf7b50-f149-4e23-9e93-b614ad58212e"/>
    <n v="34"/>
    <s v="Male"/>
    <s v="Premium"/>
    <n v="28.39"/>
    <x v="45"/>
    <x v="0"/>
    <x v="2"/>
    <n v="17.989999999999998"/>
    <n v="0"/>
    <n v="0"/>
    <x v="1"/>
    <n v="2"/>
    <n v="0.68"/>
    <s v="Horror"/>
  </r>
  <r>
    <s v="bc11510c-f213-4766-a2c6-904ce8c1512e"/>
    <n v="63"/>
    <s v="Male"/>
    <s v="Basic"/>
    <n v="1.3"/>
    <x v="6"/>
    <x v="0"/>
    <x v="2"/>
    <n v="8.99"/>
    <n v="1"/>
    <n v="8.99"/>
    <x v="1"/>
    <n v="5"/>
    <n v="0.06"/>
    <s v="Horror"/>
  </r>
  <r>
    <s v="1769de71-a047-4194-b2a4-5e0a7ef18add"/>
    <n v="60"/>
    <s v="Male"/>
    <s v="Premium"/>
    <n v="7.31"/>
    <x v="38"/>
    <x v="0"/>
    <x v="3"/>
    <n v="17.989999999999998"/>
    <n v="0"/>
    <n v="0"/>
    <x v="0"/>
    <n v="3"/>
    <n v="0.33"/>
    <s v="Horror"/>
  </r>
  <r>
    <s v="8d258669-8a00-4643-9a8b-f004488b0472"/>
    <n v="24"/>
    <s v="Male"/>
    <s v="Standard"/>
    <n v="3.05"/>
    <x v="49"/>
    <x v="5"/>
    <x v="0"/>
    <n v="13.99"/>
    <n v="1"/>
    <n v="13.99"/>
    <x v="1"/>
    <n v="1"/>
    <n v="0.3"/>
    <s v="Action"/>
  </r>
  <r>
    <s v="c1f2945d-92e6-4f96-b443-eb5b7b84220f"/>
    <n v="34"/>
    <s v="Other"/>
    <s v="Premium"/>
    <n v="8.64"/>
    <x v="60"/>
    <x v="3"/>
    <x v="0"/>
    <n v="17.989999999999998"/>
    <n v="0"/>
    <n v="0"/>
    <x v="0"/>
    <n v="4"/>
    <n v="0.96"/>
    <s v="Action"/>
  </r>
  <r>
    <s v="ff4bc4b3-d731-4cc8-8b4f-221224581e83"/>
    <n v="55"/>
    <s v="Female"/>
    <s v="Basic"/>
    <n v="17.61"/>
    <x v="28"/>
    <x v="4"/>
    <x v="3"/>
    <n v="8.99"/>
    <n v="1"/>
    <n v="8.99"/>
    <x v="0"/>
    <n v="1"/>
    <n v="0.49"/>
    <s v="Comedy"/>
  </r>
  <r>
    <s v="282e622f-a1cc-41a1-8e62-fe70a9375f25"/>
    <n v="31"/>
    <s v="Female"/>
    <s v="Premium"/>
    <n v="5.68"/>
    <x v="52"/>
    <x v="2"/>
    <x v="2"/>
    <n v="17.989999999999998"/>
    <n v="1"/>
    <n v="17.989999999999998"/>
    <x v="1"/>
    <n v="2"/>
    <n v="0.11"/>
    <s v="Comedy"/>
  </r>
  <r>
    <s v="7928e876-645a-49fe-a21c-9d02944d1523"/>
    <n v="28"/>
    <s v="Female"/>
    <s v="Premium"/>
    <n v="10.53"/>
    <x v="11"/>
    <x v="2"/>
    <x v="3"/>
    <n v="17.989999999999998"/>
    <n v="0"/>
    <n v="0"/>
    <x v="4"/>
    <n v="2"/>
    <n v="0.44"/>
    <s v="Horror"/>
  </r>
  <r>
    <s v="629740f1-2ca1-4daf-af46-9b3cb2c6fe63"/>
    <n v="58"/>
    <s v="Other"/>
    <s v="Premium"/>
    <n v="22.17"/>
    <x v="15"/>
    <x v="1"/>
    <x v="2"/>
    <n v="17.989999999999998"/>
    <n v="0"/>
    <n v="0"/>
    <x v="3"/>
    <n v="4"/>
    <n v="0.54"/>
    <s v="Comedy"/>
  </r>
  <r>
    <s v="a88809ec-5337-4c2d-bee2-480cdcb0ad4d"/>
    <n v="44"/>
    <s v="Female"/>
    <s v="Basic"/>
    <n v="58.4"/>
    <x v="5"/>
    <x v="3"/>
    <x v="3"/>
    <n v="8.99"/>
    <n v="0"/>
    <n v="0"/>
    <x v="0"/>
    <n v="1"/>
    <n v="2.16"/>
    <s v="Sci-Fi"/>
  </r>
  <r>
    <s v="4f841e9d-dcd6-4e42-818e-c9789756e156"/>
    <n v="69"/>
    <s v="Female"/>
    <s v="Premium"/>
    <n v="5.8"/>
    <x v="5"/>
    <x v="5"/>
    <x v="4"/>
    <n v="17.989999999999998"/>
    <n v="0"/>
    <n v="0"/>
    <x v="3"/>
    <n v="5"/>
    <n v="0.21"/>
    <s v="Romance"/>
  </r>
  <r>
    <s v="33572a9e-8851-48b3-a9b8-9b6a3f88b1d1"/>
    <n v="42"/>
    <s v="Female"/>
    <s v="Premium"/>
    <n v="9.08"/>
    <x v="51"/>
    <x v="0"/>
    <x v="3"/>
    <n v="17.989999999999998"/>
    <n v="0"/>
    <n v="0"/>
    <x v="1"/>
    <n v="1"/>
    <n v="0.5"/>
    <s v="Documentary"/>
  </r>
  <r>
    <s v="7732d3d5-ded6-4927-86ff-71aa998186f9"/>
    <n v="52"/>
    <s v="Female"/>
    <s v="Basic"/>
    <n v="17.09"/>
    <x v="53"/>
    <x v="4"/>
    <x v="0"/>
    <n v="8.99"/>
    <n v="1"/>
    <n v="8.99"/>
    <x v="1"/>
    <n v="2"/>
    <n v="0.4"/>
    <s v="Action"/>
  </r>
  <r>
    <s v="0b05e78a-8c4b-4097-8bc1-72f52ff1e5d9"/>
    <n v="50"/>
    <s v="Male"/>
    <s v="Premium"/>
    <n v="12.33"/>
    <x v="27"/>
    <x v="4"/>
    <x v="1"/>
    <n v="17.989999999999998"/>
    <n v="0"/>
    <n v="0"/>
    <x v="3"/>
    <n v="5"/>
    <n v="0.73"/>
    <s v="Comedy"/>
  </r>
  <r>
    <s v="12a50fbb-54f6-4bf1-9c0d-db8bc6dfc159"/>
    <n v="20"/>
    <s v="Male"/>
    <s v="Standard"/>
    <n v="12.93"/>
    <x v="32"/>
    <x v="4"/>
    <x v="2"/>
    <n v="13.99"/>
    <n v="0"/>
    <n v="0"/>
    <x v="1"/>
    <n v="1"/>
    <n v="0.86"/>
    <s v="Drama"/>
  </r>
  <r>
    <s v="480aa107-c976-4ba7-ac36-ee39787e0eda"/>
    <n v="37"/>
    <s v="Male"/>
    <s v="Premium"/>
    <n v="8.9600000000000009"/>
    <x v="53"/>
    <x v="4"/>
    <x v="2"/>
    <n v="17.989999999999998"/>
    <n v="1"/>
    <n v="17.989999999999998"/>
    <x v="0"/>
    <n v="1"/>
    <n v="0.21"/>
    <s v="Comedy"/>
  </r>
  <r>
    <s v="16bcce49-e615-4ebb-80e6-bcad0eb613c9"/>
    <n v="51"/>
    <s v="Other"/>
    <s v="Standard"/>
    <n v="1.1000000000000001"/>
    <x v="0"/>
    <x v="4"/>
    <x v="4"/>
    <n v="13.99"/>
    <n v="1"/>
    <n v="13.99"/>
    <x v="0"/>
    <n v="3"/>
    <n v="0.04"/>
    <s v="Documentary"/>
  </r>
  <r>
    <s v="d95789b7-7e89-4e4c-aa62-f881fff47dd1"/>
    <n v="49"/>
    <s v="Female"/>
    <s v="Premium"/>
    <n v="3.03"/>
    <x v="36"/>
    <x v="0"/>
    <x v="0"/>
    <n v="17.989999999999998"/>
    <n v="1"/>
    <n v="17.989999999999998"/>
    <x v="2"/>
    <n v="2"/>
    <n v="0.08"/>
    <s v="Horror"/>
  </r>
  <r>
    <s v="37eff54d-aa2b-4cc4-8aba-ea192afc459b"/>
    <n v="40"/>
    <s v="Male"/>
    <s v="Basic"/>
    <n v="9.07"/>
    <x v="40"/>
    <x v="2"/>
    <x v="1"/>
    <n v="8.99"/>
    <n v="0"/>
    <n v="0"/>
    <x v="4"/>
    <n v="1"/>
    <n v="0.76"/>
    <s v="Horror"/>
  </r>
  <r>
    <s v="15559746-e817-4930-9bc7-3342d891627e"/>
    <n v="60"/>
    <s v="Other"/>
    <s v="Premium"/>
    <n v="9.2200000000000006"/>
    <x v="29"/>
    <x v="3"/>
    <x v="3"/>
    <n v="17.989999999999998"/>
    <n v="1"/>
    <n v="17.989999999999998"/>
    <x v="1"/>
    <n v="2"/>
    <n v="0.2"/>
    <s v="Documentary"/>
  </r>
  <r>
    <s v="dbfb92e5-f251-4870-9cf1-89bd39cee9bc"/>
    <n v="44"/>
    <s v="Female"/>
    <s v="Premium"/>
    <n v="5.79"/>
    <x v="60"/>
    <x v="4"/>
    <x v="0"/>
    <n v="17.989999999999998"/>
    <n v="0"/>
    <n v="0"/>
    <x v="0"/>
    <n v="3"/>
    <n v="0.64"/>
    <s v="Documentary"/>
  </r>
  <r>
    <s v="c1f6a329-e3f2-40d7-a1e2-03175940526b"/>
    <n v="29"/>
    <s v="Female"/>
    <s v="Basic"/>
    <n v="8.5500000000000007"/>
    <x v="15"/>
    <x v="5"/>
    <x v="4"/>
    <n v="8.99"/>
    <n v="1"/>
    <n v="8.99"/>
    <x v="3"/>
    <n v="1"/>
    <n v="0.21"/>
    <s v="Romance"/>
  </r>
  <r>
    <s v="37b9f2c3-372c-4a11-9176-4e66bdc8ea38"/>
    <n v="30"/>
    <s v="Male"/>
    <s v="Premium"/>
    <n v="1.87"/>
    <x v="21"/>
    <x v="2"/>
    <x v="3"/>
    <n v="17.989999999999998"/>
    <n v="0"/>
    <n v="0"/>
    <x v="4"/>
    <n v="2"/>
    <n v="0.27"/>
    <s v="Comedy"/>
  </r>
  <r>
    <s v="a092de74-2718-48f3-956a-679b4e32095b"/>
    <n v="20"/>
    <s v="Other"/>
    <s v="Premium"/>
    <n v="12.02"/>
    <x v="11"/>
    <x v="2"/>
    <x v="3"/>
    <n v="17.989999999999998"/>
    <n v="0"/>
    <n v="0"/>
    <x v="3"/>
    <n v="1"/>
    <n v="0.5"/>
    <s v="Romance"/>
  </r>
  <r>
    <s v="7bf6c6f7-98e4-45d8-bba8-e23ec8e56048"/>
    <n v="55"/>
    <s v="Other"/>
    <s v="Basic"/>
    <n v="6.2"/>
    <x v="29"/>
    <x v="2"/>
    <x v="2"/>
    <n v="8.99"/>
    <n v="1"/>
    <n v="8.99"/>
    <x v="1"/>
    <n v="4"/>
    <n v="0.13"/>
    <s v="Romance"/>
  </r>
  <r>
    <s v="aa0e03bb-5758-4edb-9d50-e2539e629c75"/>
    <n v="21"/>
    <s v="Male"/>
    <s v="Basic"/>
    <n v="11.16"/>
    <x v="56"/>
    <x v="4"/>
    <x v="4"/>
    <n v="8.99"/>
    <n v="1"/>
    <n v="8.99"/>
    <x v="1"/>
    <n v="3"/>
    <n v="0.19"/>
    <s v="Romance"/>
  </r>
  <r>
    <s v="97d0f609-4ed9-4c1b-bcfb-443ffb41e275"/>
    <n v="29"/>
    <s v="Other"/>
    <s v="Standard"/>
    <n v="3.2"/>
    <x v="50"/>
    <x v="2"/>
    <x v="2"/>
    <n v="13.99"/>
    <n v="1"/>
    <n v="13.99"/>
    <x v="0"/>
    <n v="2"/>
    <n v="0.06"/>
    <s v="Documentary"/>
  </r>
  <r>
    <s v="0e10b5dc-491e-4846-8c4f-1c77e212012e"/>
    <n v="41"/>
    <s v="Female"/>
    <s v="Premium"/>
    <n v="8.44"/>
    <x v="9"/>
    <x v="4"/>
    <x v="1"/>
    <n v="17.989999999999998"/>
    <n v="1"/>
    <n v="17.989999999999998"/>
    <x v="1"/>
    <n v="4"/>
    <n v="0.23"/>
    <s v="Drama"/>
  </r>
  <r>
    <s v="61ccaa63-d356-4c51-a436-db45268b829e"/>
    <n v="28"/>
    <s v="Other"/>
    <s v="Standard"/>
    <n v="8.8699999999999992"/>
    <x v="36"/>
    <x v="0"/>
    <x v="3"/>
    <n v="13.99"/>
    <n v="1"/>
    <n v="13.99"/>
    <x v="3"/>
    <n v="1"/>
    <n v="0.22"/>
    <s v="Documentary"/>
  </r>
  <r>
    <s v="a5b6b29e-7a7e-4f62-9eea-b64ff3861d78"/>
    <n v="25"/>
    <s v="Other"/>
    <s v="Premium"/>
    <n v="2.9"/>
    <x v="0"/>
    <x v="5"/>
    <x v="4"/>
    <n v="17.989999999999998"/>
    <n v="1"/>
    <n v="17.989999999999998"/>
    <x v="4"/>
    <n v="2"/>
    <n v="0.1"/>
    <s v="Sci-Fi"/>
  </r>
  <r>
    <s v="05c4636f-6e42-4460-9449-9667b4ce9fbd"/>
    <n v="25"/>
    <s v="Female"/>
    <s v="Basic"/>
    <n v="0.17"/>
    <x v="56"/>
    <x v="0"/>
    <x v="4"/>
    <n v="8.99"/>
    <n v="1"/>
    <n v="8.99"/>
    <x v="3"/>
    <n v="4"/>
    <n v="0"/>
    <s v="Documentary"/>
  </r>
  <r>
    <s v="146b3e1f-e680-446f-8f4a-54de55694a39"/>
    <n v="41"/>
    <s v="Female"/>
    <s v="Premium"/>
    <n v="5.24"/>
    <x v="52"/>
    <x v="5"/>
    <x v="0"/>
    <n v="17.989999999999998"/>
    <n v="1"/>
    <n v="17.989999999999998"/>
    <x v="1"/>
    <n v="2"/>
    <n v="0.1"/>
    <s v="Comedy"/>
  </r>
  <r>
    <s v="a1a58d35-7759-4b6e-aeb1-438c26f3b366"/>
    <n v="67"/>
    <s v="Other"/>
    <s v="Standard"/>
    <n v="10.24"/>
    <x v="40"/>
    <x v="4"/>
    <x v="3"/>
    <n v="13.99"/>
    <n v="0"/>
    <n v="0"/>
    <x v="2"/>
    <n v="2"/>
    <n v="0.85"/>
    <s v="Romance"/>
  </r>
  <r>
    <s v="1e696e35-8de8-4004-9518-cb7281926da8"/>
    <n v="49"/>
    <s v="Male"/>
    <s v="Basic"/>
    <n v="9.68"/>
    <x v="2"/>
    <x v="5"/>
    <x v="1"/>
    <n v="8.99"/>
    <n v="0"/>
    <n v="0"/>
    <x v="3"/>
    <n v="2"/>
    <n v="0.88"/>
    <s v="Horror"/>
  </r>
  <r>
    <s v="4ae5d0f2-121d-4820-9404-26032ef97eba"/>
    <n v="58"/>
    <s v="Female"/>
    <s v="Basic"/>
    <n v="15.28"/>
    <x v="53"/>
    <x v="3"/>
    <x v="0"/>
    <n v="8.99"/>
    <n v="1"/>
    <n v="8.99"/>
    <x v="2"/>
    <n v="1"/>
    <n v="0.36"/>
    <s v="Romance"/>
  </r>
  <r>
    <s v="408e8f7f-608c-4b8d-bf43-d68933ab6606"/>
    <n v="66"/>
    <s v="Female"/>
    <s v="Standard"/>
    <n v="4.96"/>
    <x v="17"/>
    <x v="5"/>
    <x v="2"/>
    <n v="13.99"/>
    <n v="0"/>
    <n v="0"/>
    <x v="0"/>
    <n v="1"/>
    <n v="0.99"/>
    <s v="Sci-Fi"/>
  </r>
  <r>
    <s v="cce5be2a-9112-4447-93af-db8dd2263ed1"/>
    <n v="50"/>
    <s v="Male"/>
    <s v="Basic"/>
    <n v="0.3"/>
    <x v="19"/>
    <x v="0"/>
    <x v="2"/>
    <n v="8.99"/>
    <n v="1"/>
    <n v="8.99"/>
    <x v="0"/>
    <n v="3"/>
    <n v="0.01"/>
    <s v="Sci-Fi"/>
  </r>
  <r>
    <s v="3d1d4b0b-7556-4ab7-8a9f-f47e37c61ac1"/>
    <n v="64"/>
    <s v="Female"/>
    <s v="Standard"/>
    <n v="3.38"/>
    <x v="10"/>
    <x v="5"/>
    <x v="2"/>
    <n v="13.99"/>
    <n v="1"/>
    <n v="13.99"/>
    <x v="3"/>
    <n v="2"/>
    <n v="0.09"/>
    <s v="Romance"/>
  </r>
  <r>
    <s v="e8444cdf-5d82-4110-9138-1d882576c44e"/>
    <n v="55"/>
    <s v="Male"/>
    <s v="Premium"/>
    <n v="11.61"/>
    <x v="38"/>
    <x v="4"/>
    <x v="3"/>
    <n v="17.989999999999998"/>
    <n v="0"/>
    <n v="0"/>
    <x v="2"/>
    <n v="4"/>
    <n v="0.53"/>
    <s v="Romance"/>
  </r>
  <r>
    <s v="cb2fa434-022a-42a5-97ea-56caf52190af"/>
    <n v="40"/>
    <s v="Female"/>
    <s v="Premium"/>
    <n v="2.65"/>
    <x v="38"/>
    <x v="0"/>
    <x v="0"/>
    <n v="17.989999999999998"/>
    <n v="0"/>
    <n v="0"/>
    <x v="2"/>
    <n v="5"/>
    <n v="0.12"/>
    <s v="Comedy"/>
  </r>
  <r>
    <s v="25fca800-6c8b-4d78-a43a-ff33ff870ea8"/>
    <n v="33"/>
    <s v="Male"/>
    <s v="Standard"/>
    <n v="16.27"/>
    <x v="46"/>
    <x v="0"/>
    <x v="3"/>
    <n v="13.99"/>
    <n v="0"/>
    <n v="0"/>
    <x v="1"/>
    <n v="2"/>
    <n v="5.42"/>
    <s v="Comedy"/>
  </r>
  <r>
    <s v="b6f391a5-6046-41cd-bd2a-bb08cba87ade"/>
    <n v="35"/>
    <s v="Other"/>
    <s v="Basic"/>
    <n v="2.5499999999999998"/>
    <x v="5"/>
    <x v="3"/>
    <x v="4"/>
    <n v="8.99"/>
    <n v="1"/>
    <n v="8.99"/>
    <x v="0"/>
    <n v="2"/>
    <n v="0.09"/>
    <s v="Action"/>
  </r>
  <r>
    <s v="08645725-d1af-4d97-ab3d-2e4f806c7f82"/>
    <n v="67"/>
    <s v="Male"/>
    <s v="Basic"/>
    <n v="101.06"/>
    <x v="1"/>
    <x v="2"/>
    <x v="0"/>
    <n v="8.99"/>
    <n v="0"/>
    <n v="0"/>
    <x v="4"/>
    <n v="2"/>
    <n v="5.05"/>
    <s v="Documentary"/>
  </r>
  <r>
    <s v="cb43f579-8d20-441e-9de6-2680dee7b966"/>
    <n v="62"/>
    <s v="Male"/>
    <s v="Standard"/>
    <n v="3.95"/>
    <x v="50"/>
    <x v="3"/>
    <x v="0"/>
    <n v="13.99"/>
    <n v="1"/>
    <n v="13.99"/>
    <x v="2"/>
    <n v="4"/>
    <n v="7.0000000000000007E-2"/>
    <s v="Drama"/>
  </r>
  <r>
    <s v="d778081e-6fc5-4121-bd2c-2d23134b04b8"/>
    <n v="61"/>
    <s v="Male"/>
    <s v="Standard"/>
    <n v="13.1"/>
    <x v="29"/>
    <x v="4"/>
    <x v="3"/>
    <n v="13.99"/>
    <n v="0"/>
    <n v="0"/>
    <x v="4"/>
    <n v="4"/>
    <n v="0.28000000000000003"/>
    <s v="Comedy"/>
  </r>
  <r>
    <s v="a1f04ee3-d220-47e3-aba1-1fcdb769db0a"/>
    <n v="68"/>
    <s v="Female"/>
    <s v="Premium"/>
    <n v="8.2799999999999994"/>
    <x v="58"/>
    <x v="1"/>
    <x v="2"/>
    <n v="17.989999999999998"/>
    <n v="1"/>
    <n v="17.989999999999998"/>
    <x v="2"/>
    <n v="1"/>
    <n v="0.17"/>
    <s v="Romance"/>
  </r>
  <r>
    <s v="997cbf98-32d4-40da-9947-3faefe7425ad"/>
    <n v="39"/>
    <s v="Female"/>
    <s v="Standard"/>
    <n v="0.12"/>
    <x v="47"/>
    <x v="4"/>
    <x v="4"/>
    <n v="13.99"/>
    <n v="0"/>
    <n v="0"/>
    <x v="2"/>
    <n v="3"/>
    <n v="0.03"/>
    <s v="Sci-Fi"/>
  </r>
  <r>
    <s v="78d3f793-dcfd-4d7a-acb2-83fa6cdc33c8"/>
    <n v="66"/>
    <s v="Other"/>
    <s v="Premium"/>
    <n v="6.15"/>
    <x v="36"/>
    <x v="2"/>
    <x v="1"/>
    <n v="17.989999999999998"/>
    <n v="0"/>
    <n v="0"/>
    <x v="4"/>
    <n v="4"/>
    <n v="0.15"/>
    <s v="Comedy"/>
  </r>
  <r>
    <s v="60e6c533-6c9c-4ca6-a917-a27cbe86aa1d"/>
    <n v="30"/>
    <s v="Male"/>
    <s v="Standard"/>
    <n v="3.18"/>
    <x v="16"/>
    <x v="3"/>
    <x v="3"/>
    <n v="13.99"/>
    <n v="1"/>
    <n v="13.99"/>
    <x v="4"/>
    <n v="1"/>
    <n v="0.11"/>
    <s v="Comedy"/>
  </r>
  <r>
    <s v="abb49c7b-8ac5-47b5-a703-ece9fb8d520a"/>
    <n v="40"/>
    <s v="Female"/>
    <s v="Premium"/>
    <n v="18.010000000000002"/>
    <x v="32"/>
    <x v="2"/>
    <x v="3"/>
    <n v="17.989999999999998"/>
    <n v="0"/>
    <n v="0"/>
    <x v="2"/>
    <n v="2"/>
    <n v="1.2"/>
    <s v="Romance"/>
  </r>
  <r>
    <s v="9a31ef57-a971-484e-a186-29ed435f5442"/>
    <n v="40"/>
    <s v="Female"/>
    <s v="Basic"/>
    <n v="15.45"/>
    <x v="56"/>
    <x v="5"/>
    <x v="2"/>
    <n v="8.99"/>
    <n v="1"/>
    <n v="8.99"/>
    <x v="3"/>
    <n v="2"/>
    <n v="0.26"/>
    <s v="Comedy"/>
  </r>
  <r>
    <s v="5673e225-586b-4e99-8613-8aa01162aaf8"/>
    <n v="23"/>
    <s v="Other"/>
    <s v="Standard"/>
    <n v="5.52"/>
    <x v="49"/>
    <x v="3"/>
    <x v="1"/>
    <n v="13.99"/>
    <n v="0"/>
    <n v="0"/>
    <x v="0"/>
    <n v="4"/>
    <n v="0.55000000000000004"/>
    <s v="Horror"/>
  </r>
  <r>
    <s v="a18a210b-9083-420a-924e-9719359d2bac"/>
    <n v="70"/>
    <s v="Female"/>
    <s v="Standard"/>
    <n v="19.11"/>
    <x v="54"/>
    <x v="0"/>
    <x v="2"/>
    <n v="13.99"/>
    <n v="0"/>
    <n v="0"/>
    <x v="3"/>
    <n v="4"/>
    <n v="0.66"/>
    <s v="Romance"/>
  </r>
  <r>
    <s v="6c6e1e7a-2ba2-4934-bd13-d2ce7afe9b7c"/>
    <n v="55"/>
    <s v="Male"/>
    <s v="Premium"/>
    <n v="1.08"/>
    <x v="44"/>
    <x v="1"/>
    <x v="4"/>
    <n v="17.989999999999998"/>
    <n v="1"/>
    <n v="17.989999999999998"/>
    <x v="0"/>
    <n v="3"/>
    <n v="0.02"/>
    <s v="Action"/>
  </r>
  <r>
    <s v="320b668c-0d42-45da-b0ce-12503b250c96"/>
    <n v="64"/>
    <s v="Male"/>
    <s v="Standard"/>
    <n v="1.29"/>
    <x v="49"/>
    <x v="0"/>
    <x v="1"/>
    <n v="13.99"/>
    <n v="1"/>
    <n v="13.99"/>
    <x v="1"/>
    <n v="1"/>
    <n v="0.13"/>
    <s v="Sci-Fi"/>
  </r>
  <r>
    <s v="7f15e45b-1f7a-4fd2-851d-60ab2cb332c1"/>
    <n v="29"/>
    <s v="Other"/>
    <s v="Basic"/>
    <n v="27.02"/>
    <x v="49"/>
    <x v="4"/>
    <x v="1"/>
    <n v="8.99"/>
    <n v="0"/>
    <n v="0"/>
    <x v="1"/>
    <n v="3"/>
    <n v="2.7"/>
    <s v="Comedy"/>
  </r>
  <r>
    <s v="d4d13760-ac88-41b9-84dd-47c40ba26551"/>
    <n v="67"/>
    <s v="Male"/>
    <s v="Basic"/>
    <n v="12"/>
    <x v="6"/>
    <x v="4"/>
    <x v="4"/>
    <n v="8.99"/>
    <n v="0"/>
    <n v="0"/>
    <x v="3"/>
    <n v="4"/>
    <n v="0.56999999999999995"/>
    <s v="Comedy"/>
  </r>
  <r>
    <s v="22f87c88-86f3-412d-8fa6-2c15ed0b6573"/>
    <n v="29"/>
    <s v="Female"/>
    <s v="Basic"/>
    <n v="4.84"/>
    <x v="52"/>
    <x v="5"/>
    <x v="3"/>
    <n v="8.99"/>
    <n v="1"/>
    <n v="8.99"/>
    <x v="1"/>
    <n v="3"/>
    <n v="0.1"/>
    <s v="Romance"/>
  </r>
  <r>
    <s v="1a57587b-d48d-45d1-8315-92cac73d6e3d"/>
    <n v="53"/>
    <s v="Female"/>
    <s v="Premium"/>
    <n v="19.37"/>
    <x v="15"/>
    <x v="1"/>
    <x v="4"/>
    <n v="17.989999999999998"/>
    <n v="1"/>
    <n v="17.989999999999998"/>
    <x v="1"/>
    <n v="4"/>
    <n v="0.47"/>
    <s v="Sci-Fi"/>
  </r>
  <r>
    <s v="3abb8f5e-2c86-47ae-a744-e20a7cf52642"/>
    <n v="67"/>
    <s v="Male"/>
    <s v="Standard"/>
    <n v="23.1"/>
    <x v="55"/>
    <x v="0"/>
    <x v="1"/>
    <n v="13.99"/>
    <n v="0"/>
    <n v="0"/>
    <x v="4"/>
    <n v="3"/>
    <n v="0.39"/>
    <s v="Sci-Fi"/>
  </r>
  <r>
    <s v="16bda772-63ea-4e5c-965d-daca311c6a7c"/>
    <n v="30"/>
    <s v="Male"/>
    <s v="Standard"/>
    <n v="4.99"/>
    <x v="51"/>
    <x v="2"/>
    <x v="4"/>
    <n v="13.99"/>
    <n v="0"/>
    <n v="0"/>
    <x v="3"/>
    <n v="5"/>
    <n v="0.28000000000000003"/>
    <s v="Action"/>
  </r>
  <r>
    <s v="98642ab8-58f0-4356-912e-7b4425666afe"/>
    <n v="37"/>
    <s v="Female"/>
    <s v="Basic"/>
    <n v="28.01"/>
    <x v="28"/>
    <x v="1"/>
    <x v="3"/>
    <n v="8.99"/>
    <n v="0"/>
    <n v="0"/>
    <x v="3"/>
    <n v="1"/>
    <n v="0.78"/>
    <s v="Sci-Fi"/>
  </r>
  <r>
    <s v="94224e57-69e7-4350-99bb-9740aa185bbd"/>
    <n v="25"/>
    <s v="Male"/>
    <s v="Standard"/>
    <n v="12.66"/>
    <x v="33"/>
    <x v="4"/>
    <x v="3"/>
    <n v="13.99"/>
    <n v="0"/>
    <n v="0"/>
    <x v="3"/>
    <n v="5"/>
    <n v="0.49"/>
    <s v="Documentary"/>
  </r>
  <r>
    <s v="d949fbce-cb2f-4e7d-90ba-6cfac9f1186f"/>
    <n v="19"/>
    <s v="Male"/>
    <s v="Standard"/>
    <n v="43.11"/>
    <x v="49"/>
    <x v="1"/>
    <x v="3"/>
    <n v="13.99"/>
    <n v="0"/>
    <n v="0"/>
    <x v="2"/>
    <n v="1"/>
    <n v="4.3099999999999996"/>
    <s v="Comedy"/>
  </r>
  <r>
    <s v="9c0261eb-7cd4-47c0-8548-369d8838d46f"/>
    <n v="23"/>
    <s v="Male"/>
    <s v="Premium"/>
    <n v="8.41"/>
    <x v="0"/>
    <x v="2"/>
    <x v="4"/>
    <n v="17.989999999999998"/>
    <n v="0"/>
    <n v="0"/>
    <x v="2"/>
    <n v="4"/>
    <n v="0.28000000000000003"/>
    <s v="Comedy"/>
  </r>
  <r>
    <s v="137afd34-0646-4d13-ab57-0adf696ce9af"/>
    <n v="53"/>
    <s v="Male"/>
    <s v="Standard"/>
    <n v="28.91"/>
    <x v="16"/>
    <x v="0"/>
    <x v="1"/>
    <n v="13.99"/>
    <n v="0"/>
    <n v="0"/>
    <x v="2"/>
    <n v="3"/>
    <n v="1.03"/>
    <s v="Romance"/>
  </r>
  <r>
    <s v="8e403409-9787-47c1-bf20-402eff1b5288"/>
    <n v="58"/>
    <s v="Female"/>
    <s v="Premium"/>
    <n v="0.14000000000000001"/>
    <x v="50"/>
    <x v="2"/>
    <x v="2"/>
    <n v="17.989999999999998"/>
    <n v="1"/>
    <n v="17.989999999999998"/>
    <x v="2"/>
    <n v="3"/>
    <n v="0"/>
    <s v="Horror"/>
  </r>
  <r>
    <s v="da2d3172-12b3-4348-975d-4334d32bd28e"/>
    <n v="27"/>
    <s v="Male"/>
    <s v="Premium"/>
    <n v="9.6"/>
    <x v="57"/>
    <x v="5"/>
    <x v="4"/>
    <n v="17.989999999999998"/>
    <n v="1"/>
    <n v="17.989999999999998"/>
    <x v="4"/>
    <n v="1"/>
    <n v="0.16"/>
    <s v="Romance"/>
  </r>
  <r>
    <s v="146badc9-8bea-4703-970a-5735ef9e9896"/>
    <n v="36"/>
    <s v="Other"/>
    <s v="Standard"/>
    <n v="17.04"/>
    <x v="43"/>
    <x v="4"/>
    <x v="1"/>
    <n v="13.99"/>
    <n v="0"/>
    <n v="0"/>
    <x v="2"/>
    <n v="2"/>
    <n v="0.53"/>
    <s v="Sci-Fi"/>
  </r>
  <r>
    <s v="2f8b0059-b300-4da0-bacc-749ab45c3722"/>
    <n v="44"/>
    <s v="Male"/>
    <s v="Basic"/>
    <n v="2.84"/>
    <x v="3"/>
    <x v="3"/>
    <x v="4"/>
    <n v="8.99"/>
    <n v="1"/>
    <n v="8.99"/>
    <x v="2"/>
    <n v="2"/>
    <n v="0.22"/>
    <s v="Horror"/>
  </r>
  <r>
    <s v="cb4abf9b-83d9-4750-b258-e05045a74ae0"/>
    <n v="55"/>
    <s v="Female"/>
    <s v="Premium"/>
    <n v="0.15"/>
    <x v="25"/>
    <x v="4"/>
    <x v="0"/>
    <n v="17.989999999999998"/>
    <n v="0"/>
    <n v="0"/>
    <x v="3"/>
    <n v="4"/>
    <n v="0.15"/>
    <s v="Documentary"/>
  </r>
  <r>
    <s v="951166de-8d22-49ad-afff-2d0f720aedc8"/>
    <n v="38"/>
    <s v="Male"/>
    <s v="Standard"/>
    <n v="7.44"/>
    <x v="8"/>
    <x v="4"/>
    <x v="1"/>
    <n v="13.99"/>
    <n v="1"/>
    <n v="13.99"/>
    <x v="4"/>
    <n v="2"/>
    <n v="0.21"/>
    <s v="Documentary"/>
  </r>
  <r>
    <s v="135953be-32e3-4fd8-a0ae-8234fdc7a8dc"/>
    <n v="29"/>
    <s v="Male"/>
    <s v="Basic"/>
    <n v="10.93"/>
    <x v="55"/>
    <x v="2"/>
    <x v="3"/>
    <n v="8.99"/>
    <n v="1"/>
    <n v="8.99"/>
    <x v="1"/>
    <n v="3"/>
    <n v="0.18"/>
    <s v="Drama"/>
  </r>
  <r>
    <s v="b3fa7afc-d504-446f-8f32-30c061b305d9"/>
    <n v="32"/>
    <s v="Female"/>
    <s v="Premium"/>
    <n v="18.579999999999998"/>
    <x v="20"/>
    <x v="5"/>
    <x v="4"/>
    <n v="17.989999999999998"/>
    <n v="0"/>
    <n v="0"/>
    <x v="0"/>
    <n v="5"/>
    <n v="0.98"/>
    <s v="Romance"/>
  </r>
  <r>
    <s v="894bdf78-d2ce-4630-ad1c-c770beae1bfd"/>
    <n v="70"/>
    <s v="Male"/>
    <s v="Standard"/>
    <n v="32.590000000000003"/>
    <x v="13"/>
    <x v="2"/>
    <x v="1"/>
    <n v="13.99"/>
    <n v="0"/>
    <n v="0"/>
    <x v="3"/>
    <n v="4"/>
    <n v="4.07"/>
    <s v="Comedy"/>
  </r>
  <r>
    <s v="73e2a9b9-8d0b-4ad8-87e2-7fe83110c999"/>
    <n v="30"/>
    <s v="Male"/>
    <s v="Premium"/>
    <n v="46.55"/>
    <x v="26"/>
    <x v="5"/>
    <x v="3"/>
    <n v="17.989999999999998"/>
    <n v="0"/>
    <n v="0"/>
    <x v="1"/>
    <n v="3"/>
    <n v="0.95"/>
    <s v="Romance"/>
  </r>
  <r>
    <s v="b8ddfe4f-977c-46d4-b995-fc1756d4ddd9"/>
    <n v="65"/>
    <s v="Male"/>
    <s v="Premium"/>
    <n v="15.52"/>
    <x v="25"/>
    <x v="4"/>
    <x v="1"/>
    <n v="17.989999999999998"/>
    <n v="0"/>
    <n v="0"/>
    <x v="0"/>
    <n v="4"/>
    <n v="15.52"/>
    <s v="Drama"/>
  </r>
  <r>
    <s v="e2099718-98c9-4ab1-8b20-cdc7184feacf"/>
    <n v="50"/>
    <s v="Other"/>
    <s v="Basic"/>
    <n v="25.08"/>
    <x v="23"/>
    <x v="4"/>
    <x v="3"/>
    <n v="8.99"/>
    <n v="0"/>
    <n v="0"/>
    <x v="4"/>
    <n v="5"/>
    <n v="0.46"/>
    <s v="Drama"/>
  </r>
  <r>
    <s v="4d69fd9b-a1e8-48a9-a0b3-ea425eacd7e0"/>
    <n v="61"/>
    <s v="Male"/>
    <s v="Standard"/>
    <n v="14.2"/>
    <x v="28"/>
    <x v="5"/>
    <x v="1"/>
    <n v="13.99"/>
    <n v="0"/>
    <n v="0"/>
    <x v="3"/>
    <n v="4"/>
    <n v="0.39"/>
    <s v="Horror"/>
  </r>
  <r>
    <s v="dff09d24-0925-4658-95d4-89b6ced8d1ca"/>
    <n v="39"/>
    <s v="Other"/>
    <s v="Premium"/>
    <n v="15.64"/>
    <x v="37"/>
    <x v="3"/>
    <x v="3"/>
    <n v="17.989999999999998"/>
    <n v="0"/>
    <n v="0"/>
    <x v="4"/>
    <n v="4"/>
    <n v="0.63"/>
    <s v="Romance"/>
  </r>
  <r>
    <s v="44d38c32-c73b-4041-9eb6-c850b7ac39c7"/>
    <n v="25"/>
    <s v="Female"/>
    <s v="Basic"/>
    <n v="22.29"/>
    <x v="50"/>
    <x v="0"/>
    <x v="1"/>
    <n v="8.99"/>
    <n v="0"/>
    <n v="0"/>
    <x v="4"/>
    <n v="5"/>
    <n v="0.41"/>
    <s v="Documentary"/>
  </r>
  <r>
    <s v="e42d9b7c-45aa-407a-8bd8-5e0622a2ecbf"/>
    <n v="29"/>
    <s v="Male"/>
    <s v="Basic"/>
    <n v="8.06"/>
    <x v="4"/>
    <x v="5"/>
    <x v="1"/>
    <n v="8.99"/>
    <n v="0"/>
    <n v="0"/>
    <x v="4"/>
    <n v="2"/>
    <n v="0.57999999999999996"/>
    <s v="Romance"/>
  </r>
  <r>
    <s v="b6342efb-3668-4707-9bcd-ae6ba9180b54"/>
    <n v="57"/>
    <s v="Male"/>
    <s v="Basic"/>
    <n v="4.76"/>
    <x v="56"/>
    <x v="0"/>
    <x v="4"/>
    <n v="8.99"/>
    <n v="1"/>
    <n v="8.99"/>
    <x v="4"/>
    <n v="1"/>
    <n v="0.08"/>
    <s v="Action"/>
  </r>
  <r>
    <s v="3eb2ec73-7f46-4fbc-a330-e4c7400ea6cd"/>
    <n v="29"/>
    <s v="Other"/>
    <s v="Standard"/>
    <n v="7.29"/>
    <x v="35"/>
    <x v="5"/>
    <x v="3"/>
    <n v="13.99"/>
    <n v="1"/>
    <n v="13.99"/>
    <x v="0"/>
    <n v="3"/>
    <n v="0.16"/>
    <s v="Romance"/>
  </r>
  <r>
    <s v="15af8821-bdd5-4c9b-8aff-88435d9efaae"/>
    <n v="44"/>
    <s v="Male"/>
    <s v="Standard"/>
    <n v="4.2"/>
    <x v="36"/>
    <x v="2"/>
    <x v="2"/>
    <n v="13.99"/>
    <n v="1"/>
    <n v="13.99"/>
    <x v="3"/>
    <n v="3"/>
    <n v="0.11"/>
    <s v="Action"/>
  </r>
  <r>
    <s v="ef23baaf-4a7b-41d2-903f-4f772ab31c26"/>
    <n v="22"/>
    <s v="Other"/>
    <s v="Basic"/>
    <n v="0.91"/>
    <x v="36"/>
    <x v="4"/>
    <x v="4"/>
    <n v="8.99"/>
    <n v="1"/>
    <n v="8.99"/>
    <x v="1"/>
    <n v="1"/>
    <n v="0.02"/>
    <s v="Drama"/>
  </r>
  <r>
    <s v="a0fc6f9f-8c84-43ef-9dcd-2d0cab4faaf2"/>
    <n v="33"/>
    <s v="Male"/>
    <s v="Basic"/>
    <n v="3.15"/>
    <x v="53"/>
    <x v="5"/>
    <x v="1"/>
    <n v="8.99"/>
    <n v="1"/>
    <n v="8.99"/>
    <x v="1"/>
    <n v="1"/>
    <n v="7.0000000000000007E-2"/>
    <s v="Drama"/>
  </r>
  <r>
    <s v="49d7dd83-0c7b-4f1d-8b1c-1cc13096b151"/>
    <n v="25"/>
    <s v="Female"/>
    <s v="Basic"/>
    <n v="5.78"/>
    <x v="29"/>
    <x v="1"/>
    <x v="4"/>
    <n v="8.99"/>
    <n v="1"/>
    <n v="8.99"/>
    <x v="4"/>
    <n v="4"/>
    <n v="0.13"/>
    <s v="Sci-Fi"/>
  </r>
  <r>
    <s v="a7678a7a-b501-41b5-b5d3-abf39e61644e"/>
    <n v="54"/>
    <s v="Other"/>
    <s v="Premium"/>
    <n v="19.95"/>
    <x v="55"/>
    <x v="2"/>
    <x v="1"/>
    <n v="17.989999999999998"/>
    <n v="1"/>
    <n v="17.989999999999998"/>
    <x v="3"/>
    <n v="1"/>
    <n v="0.33"/>
    <s v="Horror"/>
  </r>
  <r>
    <s v="caa9db16-975d-48b6-963d-e6c30c58eeb0"/>
    <n v="21"/>
    <s v="Female"/>
    <s v="Basic"/>
    <n v="5.49"/>
    <x v="43"/>
    <x v="2"/>
    <x v="1"/>
    <n v="8.99"/>
    <n v="1"/>
    <n v="8.99"/>
    <x v="3"/>
    <n v="2"/>
    <n v="0.17"/>
    <s v="Comedy"/>
  </r>
  <r>
    <s v="471fb8cd-4497-4e20-a9c5-cfb8b3729308"/>
    <n v="19"/>
    <s v="Other"/>
    <s v="Premium"/>
    <n v="1.87"/>
    <x v="21"/>
    <x v="4"/>
    <x v="2"/>
    <n v="17.989999999999998"/>
    <n v="1"/>
    <n v="17.989999999999998"/>
    <x v="2"/>
    <n v="1"/>
    <n v="0.27"/>
    <s v="Action"/>
  </r>
  <r>
    <s v="28994e1c-df97-40f1-9b04-20cb29462486"/>
    <n v="23"/>
    <s v="Other"/>
    <s v="Basic"/>
    <n v="15.3"/>
    <x v="52"/>
    <x v="2"/>
    <x v="4"/>
    <n v="8.99"/>
    <n v="1"/>
    <n v="8.99"/>
    <x v="0"/>
    <n v="3"/>
    <n v="0.31"/>
    <s v="Romance"/>
  </r>
  <r>
    <s v="6de03854-44a1-40e2-94b7-5fd20db6a39d"/>
    <n v="19"/>
    <s v="Female"/>
    <s v="Standard"/>
    <n v="0.82"/>
    <x v="36"/>
    <x v="4"/>
    <x v="4"/>
    <n v="13.99"/>
    <n v="1"/>
    <n v="13.99"/>
    <x v="2"/>
    <n v="5"/>
    <n v="0.02"/>
    <s v="Drama"/>
  </r>
  <r>
    <s v="14ee7859-5504-41ac-aac7-9bc5d66a0bb9"/>
    <n v="40"/>
    <s v="Male"/>
    <s v="Standard"/>
    <n v="4.87"/>
    <x v="1"/>
    <x v="1"/>
    <x v="1"/>
    <n v="13.99"/>
    <n v="1"/>
    <n v="13.99"/>
    <x v="2"/>
    <n v="1"/>
    <n v="0.24"/>
    <s v="Drama"/>
  </r>
  <r>
    <s v="25cc756b-6f70-4855-9d3f-36af6724cec5"/>
    <n v="31"/>
    <s v="Female"/>
    <s v="Premium"/>
    <n v="2.2000000000000002"/>
    <x v="19"/>
    <x v="1"/>
    <x v="3"/>
    <n v="17.989999999999998"/>
    <n v="1"/>
    <n v="17.989999999999998"/>
    <x v="2"/>
    <n v="5"/>
    <n v="0.05"/>
    <s v="Drama"/>
  </r>
  <r>
    <s v="6bb1aca9-0bb6-4a2c-a5ea-b04faf91ec09"/>
    <n v="38"/>
    <s v="Female"/>
    <s v="Basic"/>
    <n v="2.7"/>
    <x v="52"/>
    <x v="5"/>
    <x v="1"/>
    <n v="8.99"/>
    <n v="1"/>
    <n v="8.99"/>
    <x v="2"/>
    <n v="1"/>
    <n v="0.05"/>
    <s v="Documentary"/>
  </r>
  <r>
    <s v="ecc5a056-e4b1-4000-a217-e5932f7a3ec1"/>
    <n v="25"/>
    <s v="Other"/>
    <s v="Premium"/>
    <n v="5.75"/>
    <x v="13"/>
    <x v="5"/>
    <x v="2"/>
    <n v="17.989999999999998"/>
    <n v="0"/>
    <n v="0"/>
    <x v="4"/>
    <n v="3"/>
    <n v="0.72"/>
    <s v="Documentary"/>
  </r>
  <r>
    <s v="33cfe352-95d7-49f7-b368-ce5218758112"/>
    <n v="39"/>
    <s v="Male"/>
    <s v="Premium"/>
    <n v="9.2799999999999994"/>
    <x v="36"/>
    <x v="1"/>
    <x v="4"/>
    <n v="17.989999999999998"/>
    <n v="1"/>
    <n v="17.989999999999998"/>
    <x v="1"/>
    <n v="3"/>
    <n v="0.23"/>
    <s v="Horror"/>
  </r>
  <r>
    <s v="7c912f5e-49f4-40e7-a68d-0a8a3ae3bcf9"/>
    <n v="64"/>
    <s v="Male"/>
    <s v="Basic"/>
    <n v="5.01"/>
    <x v="52"/>
    <x v="5"/>
    <x v="0"/>
    <n v="8.99"/>
    <n v="1"/>
    <n v="8.99"/>
    <x v="2"/>
    <n v="5"/>
    <n v="0.1"/>
    <s v="Action"/>
  </r>
  <r>
    <s v="ed400be4-19d2-4196-aea3-680c798f0e17"/>
    <n v="21"/>
    <s v="Other"/>
    <s v="Standard"/>
    <n v="8.27"/>
    <x v="23"/>
    <x v="3"/>
    <x v="1"/>
    <n v="13.99"/>
    <n v="1"/>
    <n v="13.99"/>
    <x v="4"/>
    <n v="3"/>
    <n v="0.15"/>
    <s v="Documentary"/>
  </r>
  <r>
    <s v="e821aafd-dfc3-4ffb-9129-3741f65aef17"/>
    <n v="32"/>
    <s v="Other"/>
    <s v="Standard"/>
    <n v="3.37"/>
    <x v="1"/>
    <x v="1"/>
    <x v="3"/>
    <n v="13.99"/>
    <n v="1"/>
    <n v="13.99"/>
    <x v="1"/>
    <n v="1"/>
    <n v="0.17"/>
    <s v="Action"/>
  </r>
  <r>
    <s v="0b945a37-fe3d-48f3-8bd9-0ce0d58c74de"/>
    <n v="62"/>
    <s v="Male"/>
    <s v="Basic"/>
    <n v="1.71"/>
    <x v="4"/>
    <x v="3"/>
    <x v="2"/>
    <n v="8.99"/>
    <n v="1"/>
    <n v="8.99"/>
    <x v="3"/>
    <n v="4"/>
    <n v="0.12"/>
    <s v="Drama"/>
  </r>
  <r>
    <s v="6fda8923-b925-4e65-97e4-ed9481d66b44"/>
    <n v="69"/>
    <s v="Female"/>
    <s v="Standard"/>
    <n v="2.48"/>
    <x v="22"/>
    <x v="4"/>
    <x v="2"/>
    <n v="13.99"/>
    <n v="1"/>
    <n v="13.99"/>
    <x v="0"/>
    <n v="1"/>
    <n v="0.04"/>
    <s v="Romance"/>
  </r>
  <r>
    <s v="6df35e17-ca7f-42c2-a978-28b213e921e9"/>
    <n v="63"/>
    <s v="Female"/>
    <s v="Premium"/>
    <n v="7.58"/>
    <x v="33"/>
    <x v="4"/>
    <x v="1"/>
    <n v="17.989999999999998"/>
    <n v="0"/>
    <n v="0"/>
    <x v="3"/>
    <n v="1"/>
    <n v="0.28999999999999998"/>
    <s v="Horror"/>
  </r>
  <r>
    <s v="5b9b1694-e5d7-49be-af2a-9ee50f968320"/>
    <n v="23"/>
    <s v="Female"/>
    <s v="Premium"/>
    <n v="18.149999999999999"/>
    <x v="27"/>
    <x v="3"/>
    <x v="2"/>
    <n v="17.989999999999998"/>
    <n v="0"/>
    <n v="0"/>
    <x v="2"/>
    <n v="2"/>
    <n v="1.07"/>
    <s v="Action"/>
  </r>
  <r>
    <s v="31862a3b-baef-4cf2-9ece-f6bc288b9224"/>
    <n v="68"/>
    <s v="Female"/>
    <s v="Premium"/>
    <n v="15.56"/>
    <x v="23"/>
    <x v="0"/>
    <x v="2"/>
    <n v="17.989999999999998"/>
    <n v="1"/>
    <n v="17.989999999999998"/>
    <x v="1"/>
    <n v="3"/>
    <n v="0.28999999999999998"/>
    <s v="Documentary"/>
  </r>
  <r>
    <s v="ed57e399-b34c-447e-ab12-d72946d0fc73"/>
    <n v="60"/>
    <s v="Other"/>
    <s v="Premium"/>
    <n v="2"/>
    <x v="14"/>
    <x v="5"/>
    <x v="1"/>
    <n v="17.989999999999998"/>
    <n v="1"/>
    <n v="17.989999999999998"/>
    <x v="4"/>
    <n v="5"/>
    <n v="0.06"/>
    <s v="Documentary"/>
  </r>
  <r>
    <s v="435c5516-9ca4-4623-8c1b-6e7c568352ca"/>
    <n v="38"/>
    <s v="Male"/>
    <s v="Standard"/>
    <n v="8.7899999999999991"/>
    <x v="51"/>
    <x v="5"/>
    <x v="0"/>
    <n v="13.99"/>
    <n v="0"/>
    <n v="0"/>
    <x v="3"/>
    <n v="5"/>
    <n v="0.49"/>
    <s v="Drama"/>
  </r>
  <r>
    <s v="591e2d65-1b87-48ff-8e68-93917868cd24"/>
    <n v="61"/>
    <s v="Male"/>
    <s v="Premium"/>
    <n v="13.17"/>
    <x v="15"/>
    <x v="3"/>
    <x v="0"/>
    <n v="17.989999999999998"/>
    <n v="1"/>
    <n v="17.989999999999998"/>
    <x v="1"/>
    <n v="3"/>
    <n v="0.32"/>
    <s v="Horror"/>
  </r>
  <r>
    <s v="856b5e64-f982-4156-adb9-f005d6c56ee2"/>
    <n v="56"/>
    <s v="Male"/>
    <s v="Basic"/>
    <n v="9.9"/>
    <x v="45"/>
    <x v="5"/>
    <x v="2"/>
    <n v="8.99"/>
    <n v="1"/>
    <n v="8.99"/>
    <x v="3"/>
    <n v="5"/>
    <n v="0.24"/>
    <s v="Drama"/>
  </r>
  <r>
    <s v="ac171460-b30b-48bb-9949-f420e21c3982"/>
    <n v="33"/>
    <s v="Other"/>
    <s v="Basic"/>
    <n v="8.92"/>
    <x v="26"/>
    <x v="5"/>
    <x v="3"/>
    <n v="8.99"/>
    <n v="1"/>
    <n v="8.99"/>
    <x v="1"/>
    <n v="5"/>
    <n v="0.18"/>
    <s v="Comedy"/>
  </r>
  <r>
    <s v="86ef9bd7-c8e2-4dc7-8a6f-ec68e57730df"/>
    <n v="58"/>
    <s v="Male"/>
    <s v="Basic"/>
    <n v="6.35"/>
    <x v="11"/>
    <x v="0"/>
    <x v="2"/>
    <n v="8.99"/>
    <n v="0"/>
    <n v="0"/>
    <x v="4"/>
    <n v="2"/>
    <n v="0.26"/>
    <s v="Comedy"/>
  </r>
  <r>
    <s v="2b46513e-8412-4b99-91aa-d614206322d1"/>
    <n v="41"/>
    <s v="Female"/>
    <s v="Premium"/>
    <n v="0.56999999999999995"/>
    <x v="24"/>
    <x v="5"/>
    <x v="1"/>
    <n v="17.989999999999998"/>
    <n v="1"/>
    <n v="17.989999999999998"/>
    <x v="3"/>
    <n v="4"/>
    <n v="0.01"/>
    <s v="Documentary"/>
  </r>
  <r>
    <s v="aba3a59d-6ff0-4069-bdaf-6847d1148489"/>
    <n v="45"/>
    <s v="Female"/>
    <s v="Premium"/>
    <n v="15.41"/>
    <x v="21"/>
    <x v="0"/>
    <x v="2"/>
    <n v="17.989999999999998"/>
    <n v="0"/>
    <n v="0"/>
    <x v="4"/>
    <n v="3"/>
    <n v="2.2000000000000002"/>
    <s v="Sci-Fi"/>
  </r>
  <r>
    <s v="eaf657b9-53f1-4b33-9521-61b096e9666b"/>
    <n v="59"/>
    <s v="Female"/>
    <s v="Standard"/>
    <n v="4.17"/>
    <x v="18"/>
    <x v="2"/>
    <x v="4"/>
    <n v="13.99"/>
    <n v="1"/>
    <n v="13.99"/>
    <x v="3"/>
    <n v="4"/>
    <n v="7.0000000000000007E-2"/>
    <s v="Horror"/>
  </r>
  <r>
    <s v="07717e07-d7a1-4bee-8bf5-c51e19276964"/>
    <n v="24"/>
    <s v="Other"/>
    <s v="Basic"/>
    <n v="11.85"/>
    <x v="25"/>
    <x v="2"/>
    <x v="1"/>
    <n v="8.99"/>
    <n v="0"/>
    <n v="0"/>
    <x v="2"/>
    <n v="3"/>
    <n v="11.85"/>
    <s v="Sci-Fi"/>
  </r>
  <r>
    <s v="d2038fcb-1899-4b27-acc7-8bd054f32003"/>
    <n v="38"/>
    <s v="Female"/>
    <s v="Standard"/>
    <n v="32.31"/>
    <x v="40"/>
    <x v="3"/>
    <x v="1"/>
    <n v="13.99"/>
    <n v="0"/>
    <n v="0"/>
    <x v="3"/>
    <n v="3"/>
    <n v="2.69"/>
    <s v="Horror"/>
  </r>
  <r>
    <s v="1bfddb22-4308-411a-897e-1081198500ce"/>
    <n v="59"/>
    <s v="Other"/>
    <s v="Basic"/>
    <n v="12.4"/>
    <x v="19"/>
    <x v="4"/>
    <x v="3"/>
    <n v="8.99"/>
    <n v="1"/>
    <n v="8.99"/>
    <x v="2"/>
    <n v="3"/>
    <n v="0.28000000000000003"/>
    <s v="Horror"/>
  </r>
  <r>
    <s v="735f5a63-06cb-47d4-8240-138887fdbab6"/>
    <n v="40"/>
    <s v="Other"/>
    <s v="Basic"/>
    <n v="6.86"/>
    <x v="30"/>
    <x v="3"/>
    <x v="4"/>
    <n v="8.99"/>
    <n v="0"/>
    <n v="0"/>
    <x v="1"/>
    <n v="4"/>
    <n v="3.43"/>
    <s v="Sci-Fi"/>
  </r>
  <r>
    <s v="6b6918bb-7f5d-4d77-a829-0b5a803100bd"/>
    <n v="53"/>
    <s v="Female"/>
    <s v="Premium"/>
    <n v="17.989999999999998"/>
    <x v="25"/>
    <x v="1"/>
    <x v="1"/>
    <n v="17.989999999999998"/>
    <n v="0"/>
    <n v="0"/>
    <x v="1"/>
    <n v="3"/>
    <n v="17.989999999999998"/>
    <s v="Horror"/>
  </r>
  <r>
    <s v="c6e04c65-8c8b-4cc2-acbe-772bf63edfff"/>
    <n v="31"/>
    <s v="Other"/>
    <s v="Basic"/>
    <n v="7.64"/>
    <x v="44"/>
    <x v="5"/>
    <x v="0"/>
    <n v="8.99"/>
    <n v="1"/>
    <n v="8.99"/>
    <x v="4"/>
    <n v="4"/>
    <n v="0.16"/>
    <s v="Drama"/>
  </r>
  <r>
    <s v="7de2a54b-751d-44a9-9755-3ed3e90742c0"/>
    <n v="59"/>
    <s v="Other"/>
    <s v="Basic"/>
    <n v="35.89"/>
    <x v="40"/>
    <x v="3"/>
    <x v="2"/>
    <n v="8.99"/>
    <n v="0"/>
    <n v="0"/>
    <x v="4"/>
    <n v="4"/>
    <n v="2.99"/>
    <s v="Drama"/>
  </r>
  <r>
    <s v="b4b4555b-8433-434f-9383-001239cf8129"/>
    <n v="58"/>
    <s v="Female"/>
    <s v="Basic"/>
    <n v="8.5299999999999994"/>
    <x v="60"/>
    <x v="5"/>
    <x v="2"/>
    <n v="8.99"/>
    <n v="0"/>
    <n v="0"/>
    <x v="3"/>
    <n v="2"/>
    <n v="0.95"/>
    <s v="Comedy"/>
  </r>
  <r>
    <s v="97920ba3-ed2d-418c-93f1-bf3d0f0148bc"/>
    <n v="18"/>
    <s v="Other"/>
    <s v="Premium"/>
    <n v="27.6"/>
    <x v="40"/>
    <x v="0"/>
    <x v="2"/>
    <n v="17.989999999999998"/>
    <n v="0"/>
    <n v="0"/>
    <x v="2"/>
    <n v="5"/>
    <n v="2.2999999999999998"/>
    <s v="Romance"/>
  </r>
  <r>
    <s v="850e58a9-93e1-4c1a-a8f8-d8a39ce4e461"/>
    <n v="20"/>
    <s v="Male"/>
    <s v="Premium"/>
    <n v="8.8699999999999992"/>
    <x v="37"/>
    <x v="3"/>
    <x v="2"/>
    <n v="17.989999999999998"/>
    <n v="0"/>
    <n v="0"/>
    <x v="1"/>
    <n v="1"/>
    <n v="0.35"/>
    <s v="Action"/>
  </r>
  <r>
    <s v="d25183cb-ffaa-4b4e-8a22-140d3a21a7de"/>
    <n v="59"/>
    <s v="Female"/>
    <s v="Basic"/>
    <n v="12.03"/>
    <x v="12"/>
    <x v="2"/>
    <x v="0"/>
    <n v="8.99"/>
    <n v="1"/>
    <n v="8.99"/>
    <x v="2"/>
    <n v="1"/>
    <n v="0.35"/>
    <s v="Action"/>
  </r>
  <r>
    <s v="6dd067ff-f2b5-423c-8c38-ab5ceab92ff4"/>
    <n v="28"/>
    <s v="Female"/>
    <s v="Premium"/>
    <n v="16.690000000000001"/>
    <x v="58"/>
    <x v="4"/>
    <x v="1"/>
    <n v="17.989999999999998"/>
    <n v="1"/>
    <n v="17.989999999999998"/>
    <x v="2"/>
    <n v="3"/>
    <n v="0.35"/>
    <s v="Romance"/>
  </r>
  <r>
    <s v="4b19503c-673b-4073-bdc1-f672de41d568"/>
    <n v="48"/>
    <s v="Other"/>
    <s v="Premium"/>
    <n v="1.54"/>
    <x v="39"/>
    <x v="2"/>
    <x v="2"/>
    <n v="17.989999999999998"/>
    <n v="1"/>
    <n v="17.989999999999998"/>
    <x v="1"/>
    <n v="5"/>
    <n v="7.0000000000000007E-2"/>
    <s v="Sci-Fi"/>
  </r>
  <r>
    <s v="296d587f-e02a-4e4c-a88a-cc31e10823f3"/>
    <n v="35"/>
    <s v="Female"/>
    <s v="Premium"/>
    <n v="25.2"/>
    <x v="26"/>
    <x v="2"/>
    <x v="4"/>
    <n v="17.989999999999998"/>
    <n v="0"/>
    <n v="0"/>
    <x v="2"/>
    <n v="4"/>
    <n v="0.51"/>
    <s v="Sci-Fi"/>
  </r>
  <r>
    <s v="2ea80c34-962f-4983-a53a-f5781331d132"/>
    <n v="46"/>
    <s v="Other"/>
    <s v="Basic"/>
    <n v="4.1100000000000003"/>
    <x v="27"/>
    <x v="4"/>
    <x v="4"/>
    <n v="8.99"/>
    <n v="1"/>
    <n v="8.99"/>
    <x v="4"/>
    <n v="4"/>
    <n v="0.24"/>
    <s v="Action"/>
  </r>
  <r>
    <s v="19da3460-ef3d-4094-aa3f-f168246b42a2"/>
    <n v="57"/>
    <s v="Other"/>
    <s v="Standard"/>
    <n v="4.8099999999999996"/>
    <x v="38"/>
    <x v="2"/>
    <x v="3"/>
    <n v="13.99"/>
    <n v="1"/>
    <n v="13.99"/>
    <x v="2"/>
    <n v="2"/>
    <n v="0.22"/>
    <s v="Horror"/>
  </r>
  <r>
    <s v="10ee957b-891f-4fee-8861-eb84aeec2de1"/>
    <n v="67"/>
    <s v="Other"/>
    <s v="Standard"/>
    <n v="1.93"/>
    <x v="26"/>
    <x v="2"/>
    <x v="1"/>
    <n v="13.99"/>
    <n v="1"/>
    <n v="13.99"/>
    <x v="2"/>
    <n v="5"/>
    <n v="0.04"/>
    <s v="Horror"/>
  </r>
  <r>
    <s v="0427fde9-46c6-469c-bc4a-6d8e39a85df9"/>
    <n v="67"/>
    <s v="Male"/>
    <s v="Standard"/>
    <n v="0.01"/>
    <x v="30"/>
    <x v="4"/>
    <x v="3"/>
    <n v="13.99"/>
    <n v="0"/>
    <n v="0"/>
    <x v="1"/>
    <n v="4"/>
    <n v="0.01"/>
    <s v="Horror"/>
  </r>
  <r>
    <s v="e35b86c8-465a-4945-8f2d-a6c42b61f6d8"/>
    <n v="49"/>
    <s v="Male"/>
    <s v="Standard"/>
    <n v="19.77"/>
    <x v="50"/>
    <x v="5"/>
    <x v="0"/>
    <n v="13.99"/>
    <n v="0"/>
    <n v="0"/>
    <x v="2"/>
    <n v="4"/>
    <n v="0.36"/>
    <s v="Action"/>
  </r>
  <r>
    <s v="c46cced1-d263-4237-ac16-4248956204f5"/>
    <n v="48"/>
    <s v="Male"/>
    <s v="Premium"/>
    <n v="2.98"/>
    <x v="21"/>
    <x v="4"/>
    <x v="0"/>
    <n v="17.989999999999998"/>
    <n v="0"/>
    <n v="0"/>
    <x v="2"/>
    <n v="2"/>
    <n v="0.43"/>
    <s v="Comedy"/>
  </r>
  <r>
    <s v="b91503ef-c830-4d47-986c-6e87d8e718bb"/>
    <n v="23"/>
    <s v="Female"/>
    <s v="Basic"/>
    <n v="27.77"/>
    <x v="38"/>
    <x v="2"/>
    <x v="2"/>
    <n v="8.99"/>
    <n v="0"/>
    <n v="0"/>
    <x v="3"/>
    <n v="2"/>
    <n v="1.26"/>
    <s v="Comedy"/>
  </r>
  <r>
    <s v="e7847fc5-4848-485d-8172-53505ff5c1d5"/>
    <n v="43"/>
    <s v="Other"/>
    <s v="Basic"/>
    <n v="6.86"/>
    <x v="45"/>
    <x v="4"/>
    <x v="3"/>
    <n v="8.99"/>
    <n v="1"/>
    <n v="8.99"/>
    <x v="3"/>
    <n v="4"/>
    <n v="0.16"/>
    <s v="Documentary"/>
  </r>
  <r>
    <s v="292beacd-895e-4d60-bdc4-69faec93ce66"/>
    <n v="49"/>
    <s v="Male"/>
    <s v="Basic"/>
    <n v="10.85"/>
    <x v="16"/>
    <x v="2"/>
    <x v="2"/>
    <n v="8.99"/>
    <n v="0"/>
    <n v="0"/>
    <x v="3"/>
    <n v="4"/>
    <n v="0.39"/>
    <s v="Romance"/>
  </r>
  <r>
    <s v="f6080e6d-2a61-4d67-bb58-6ab35b805bca"/>
    <n v="65"/>
    <s v="Male"/>
    <s v="Standard"/>
    <n v="10.44"/>
    <x v="56"/>
    <x v="3"/>
    <x v="2"/>
    <n v="13.99"/>
    <n v="1"/>
    <n v="13.99"/>
    <x v="0"/>
    <n v="2"/>
    <n v="0.18"/>
    <s v="Documentary"/>
  </r>
  <r>
    <s v="c26ca12f-3a9d-4522-ad03-95e1a45137eb"/>
    <n v="59"/>
    <s v="Female"/>
    <s v="Basic"/>
    <n v="24.62"/>
    <x v="38"/>
    <x v="5"/>
    <x v="0"/>
    <n v="8.99"/>
    <n v="0"/>
    <n v="0"/>
    <x v="4"/>
    <n v="3"/>
    <n v="1.1200000000000001"/>
    <s v="Drama"/>
  </r>
  <r>
    <s v="1112b137-d4fe-448d-9188-af48334fbc53"/>
    <n v="48"/>
    <s v="Female"/>
    <s v="Basic"/>
    <n v="6.94"/>
    <x v="24"/>
    <x v="2"/>
    <x v="3"/>
    <n v="8.99"/>
    <n v="1"/>
    <n v="8.99"/>
    <x v="2"/>
    <n v="1"/>
    <n v="0.13"/>
    <s v="Action"/>
  </r>
  <r>
    <s v="5b61c411-6055-4022-a40a-b05d1555eac4"/>
    <n v="21"/>
    <s v="Male"/>
    <s v="Standard"/>
    <n v="4.5199999999999996"/>
    <x v="47"/>
    <x v="3"/>
    <x v="1"/>
    <n v="13.99"/>
    <n v="0"/>
    <n v="0"/>
    <x v="1"/>
    <n v="3"/>
    <n v="1.1299999999999999"/>
    <s v="Drama"/>
  </r>
  <r>
    <s v="10e961c3-40de-45cb-bcf5-76836ec603d7"/>
    <n v="61"/>
    <s v="Male"/>
    <s v="Premium"/>
    <n v="1.63"/>
    <x v="9"/>
    <x v="0"/>
    <x v="1"/>
    <n v="17.989999999999998"/>
    <n v="1"/>
    <n v="17.989999999999998"/>
    <x v="1"/>
    <n v="5"/>
    <n v="0.04"/>
    <s v="Drama"/>
  </r>
  <r>
    <s v="bf0363ac-7c6a-4e50-bfb5-ff71151df8f1"/>
    <n v="34"/>
    <s v="Female"/>
    <s v="Basic"/>
    <n v="12.42"/>
    <x v="54"/>
    <x v="5"/>
    <x v="3"/>
    <n v="8.99"/>
    <n v="0"/>
    <n v="0"/>
    <x v="4"/>
    <n v="2"/>
    <n v="0.43"/>
    <s v="Documentary"/>
  </r>
  <r>
    <s v="bb04c7d9-f77a-4793-b984-e9d20d7cecb2"/>
    <n v="51"/>
    <s v="Male"/>
    <s v="Standard"/>
    <n v="38.31"/>
    <x v="17"/>
    <x v="0"/>
    <x v="0"/>
    <n v="13.99"/>
    <n v="0"/>
    <n v="0"/>
    <x v="1"/>
    <n v="5"/>
    <n v="7.66"/>
    <s v="Action"/>
  </r>
  <r>
    <s v="0bf99c02-b45f-4b75-a9eb-11aad9c48c54"/>
    <n v="23"/>
    <s v="Male"/>
    <s v="Standard"/>
    <n v="14.9"/>
    <x v="15"/>
    <x v="2"/>
    <x v="4"/>
    <n v="13.99"/>
    <n v="1"/>
    <n v="13.99"/>
    <x v="3"/>
    <n v="1"/>
    <n v="0.36"/>
    <s v="Sci-Fi"/>
  </r>
  <r>
    <s v="10f0eb98-3902-458f-9e2f-24f48f83ae41"/>
    <n v="30"/>
    <s v="Other"/>
    <s v="Premium"/>
    <n v="7.13"/>
    <x v="52"/>
    <x v="4"/>
    <x v="3"/>
    <n v="17.989999999999998"/>
    <n v="1"/>
    <n v="17.989999999999998"/>
    <x v="2"/>
    <n v="3"/>
    <n v="0.14000000000000001"/>
    <s v="Romance"/>
  </r>
  <r>
    <s v="b423daa9-5960-4361-8806-025fdd52d654"/>
    <n v="20"/>
    <s v="Male"/>
    <s v="Premium"/>
    <n v="7.81"/>
    <x v="23"/>
    <x v="3"/>
    <x v="0"/>
    <n v="17.989999999999998"/>
    <n v="1"/>
    <n v="17.989999999999998"/>
    <x v="0"/>
    <n v="4"/>
    <n v="0.14000000000000001"/>
    <s v="Romance"/>
  </r>
  <r>
    <s v="ee7b619d-8df1-47ce-8ab5-060c29ac3d3e"/>
    <n v="42"/>
    <s v="Female"/>
    <s v="Standard"/>
    <n v="0.48"/>
    <x v="59"/>
    <x v="5"/>
    <x v="3"/>
    <n v="13.99"/>
    <n v="0"/>
    <n v="0"/>
    <x v="4"/>
    <n v="5"/>
    <n v="0.08"/>
    <s v="Action"/>
  </r>
  <r>
    <s v="3f260c2f-4b6c-49d7-9617-2f906b933ca8"/>
    <n v="62"/>
    <s v="Female"/>
    <s v="Standard"/>
    <n v="6.55"/>
    <x v="24"/>
    <x v="2"/>
    <x v="3"/>
    <n v="13.99"/>
    <n v="0"/>
    <n v="0"/>
    <x v="2"/>
    <n v="5"/>
    <n v="0.12"/>
    <s v="Sci-Fi"/>
  </r>
  <r>
    <s v="1e5a70bf-83da-4c7b-b76c-606333bfa7aa"/>
    <n v="49"/>
    <s v="Male"/>
    <s v="Premium"/>
    <n v="29.41"/>
    <x v="32"/>
    <x v="3"/>
    <x v="3"/>
    <n v="17.989999999999998"/>
    <n v="0"/>
    <n v="0"/>
    <x v="0"/>
    <n v="1"/>
    <n v="1.96"/>
    <s v="Comedy"/>
  </r>
  <r>
    <s v="f0e1cc4a-8545-4e03-9f16-9e83b65e44aa"/>
    <n v="41"/>
    <s v="Female"/>
    <s v="Basic"/>
    <n v="32.799999999999997"/>
    <x v="14"/>
    <x v="1"/>
    <x v="1"/>
    <n v="8.99"/>
    <n v="0"/>
    <n v="0"/>
    <x v="4"/>
    <n v="2"/>
    <n v="0.99"/>
    <s v="Drama"/>
  </r>
  <r>
    <s v="032719c1-eafd-4963-9362-778c661ad881"/>
    <n v="65"/>
    <s v="Female"/>
    <s v="Basic"/>
    <n v="0.24"/>
    <x v="54"/>
    <x v="2"/>
    <x v="4"/>
    <n v="8.99"/>
    <n v="1"/>
    <n v="8.99"/>
    <x v="3"/>
    <n v="5"/>
    <n v="0.01"/>
    <s v="Sci-Fi"/>
  </r>
  <r>
    <s v="041d3c04-aa19-4359-861a-05327029f960"/>
    <n v="34"/>
    <s v="Other"/>
    <s v="Standard"/>
    <n v="33.380000000000003"/>
    <x v="23"/>
    <x v="0"/>
    <x v="0"/>
    <n v="13.99"/>
    <n v="0"/>
    <n v="0"/>
    <x v="2"/>
    <n v="5"/>
    <n v="0.62"/>
    <s v="Romance"/>
  </r>
  <r>
    <s v="d32f3fc2-f9df-45b7-bd91-4ed789bd17bb"/>
    <n v="32"/>
    <s v="Other"/>
    <s v="Standard"/>
    <n v="14.18"/>
    <x v="55"/>
    <x v="4"/>
    <x v="2"/>
    <n v="13.99"/>
    <n v="1"/>
    <n v="13.99"/>
    <x v="2"/>
    <n v="1"/>
    <n v="0.24"/>
    <s v="Comedy"/>
  </r>
  <r>
    <s v="752d1403-7fc8-46d1-8532-f861147b73dc"/>
    <n v="33"/>
    <s v="Other"/>
    <s v="Standard"/>
    <n v="6.97"/>
    <x v="35"/>
    <x v="2"/>
    <x v="4"/>
    <n v="13.99"/>
    <n v="1"/>
    <n v="13.99"/>
    <x v="3"/>
    <n v="3"/>
    <n v="0.15"/>
    <s v="Romance"/>
  </r>
  <r>
    <s v="28652897-1058-46fd-a152-0acea9e9284f"/>
    <n v="47"/>
    <s v="Female"/>
    <s v="Basic"/>
    <n v="6.39"/>
    <x v="50"/>
    <x v="2"/>
    <x v="0"/>
    <n v="8.99"/>
    <n v="1"/>
    <n v="8.99"/>
    <x v="1"/>
    <n v="4"/>
    <n v="0.12"/>
    <s v="Documentary"/>
  </r>
  <r>
    <s v="d6c4c6fc-d6ac-4f13-9518-103cc3cd52c6"/>
    <n v="33"/>
    <s v="Other"/>
    <s v="Premium"/>
    <n v="6.35"/>
    <x v="41"/>
    <x v="2"/>
    <x v="4"/>
    <n v="17.989999999999998"/>
    <n v="0"/>
    <n v="0"/>
    <x v="4"/>
    <n v="5"/>
    <n v="0.2"/>
    <s v="Sci-Fi"/>
  </r>
  <r>
    <s v="af17ffdc-f27a-4159-9c8d-addd1bfb0979"/>
    <n v="67"/>
    <s v="Other"/>
    <s v="Standard"/>
    <n v="2.79"/>
    <x v="23"/>
    <x v="1"/>
    <x v="2"/>
    <n v="13.99"/>
    <n v="1"/>
    <n v="13.99"/>
    <x v="3"/>
    <n v="4"/>
    <n v="0.05"/>
    <s v="Documentary"/>
  </r>
  <r>
    <s v="ff583d32-c660-49dd-ba75-54106ef7d44a"/>
    <n v="20"/>
    <s v="Female"/>
    <s v="Basic"/>
    <n v="47"/>
    <x v="33"/>
    <x v="4"/>
    <x v="4"/>
    <n v="8.99"/>
    <n v="0"/>
    <n v="0"/>
    <x v="2"/>
    <n v="4"/>
    <n v="1.81"/>
    <s v="Romance"/>
  </r>
  <r>
    <s v="85003a46-57ba-4ad5-8240-99d3d8b9ef27"/>
    <n v="43"/>
    <s v="Other"/>
    <s v="Standard"/>
    <n v="38.840000000000003"/>
    <x v="7"/>
    <x v="1"/>
    <x v="1"/>
    <n v="13.99"/>
    <n v="0"/>
    <n v="0"/>
    <x v="2"/>
    <n v="4"/>
    <n v="0.68"/>
    <s v="Romance"/>
  </r>
  <r>
    <s v="0c807992-f90b-4e89-85e3-9178d3bae4a8"/>
    <n v="36"/>
    <s v="Female"/>
    <s v="Standard"/>
    <n v="2.56"/>
    <x v="21"/>
    <x v="0"/>
    <x v="4"/>
    <n v="13.99"/>
    <n v="0"/>
    <n v="0"/>
    <x v="2"/>
    <n v="5"/>
    <n v="0.37"/>
    <s v="Comedy"/>
  </r>
  <r>
    <s v="ef6d974d-c79d-4fe6-b2e8-a3d375ea37c8"/>
    <n v="54"/>
    <s v="Female"/>
    <s v="Basic"/>
    <n v="13.25"/>
    <x v="52"/>
    <x v="1"/>
    <x v="1"/>
    <n v="8.99"/>
    <n v="1"/>
    <n v="8.99"/>
    <x v="2"/>
    <n v="3"/>
    <n v="0.27"/>
    <s v="Action"/>
  </r>
  <r>
    <s v="16241f0a-8cfe-4ded-88f9-12e70315e6aa"/>
    <n v="26"/>
    <s v="Other"/>
    <s v="Standard"/>
    <n v="12.76"/>
    <x v="50"/>
    <x v="2"/>
    <x v="3"/>
    <n v="13.99"/>
    <n v="0"/>
    <n v="0"/>
    <x v="4"/>
    <n v="4"/>
    <n v="0.23"/>
    <s v="Romance"/>
  </r>
  <r>
    <s v="1f0aa18c-1417-4ca7-9895-7dac0baee3ee"/>
    <n v="25"/>
    <s v="Male"/>
    <s v="Standard"/>
    <n v="26.47"/>
    <x v="57"/>
    <x v="5"/>
    <x v="0"/>
    <n v="13.99"/>
    <n v="0"/>
    <n v="0"/>
    <x v="3"/>
    <n v="1"/>
    <n v="0.43"/>
    <s v="Action"/>
  </r>
  <r>
    <s v="f229d011-40b4-4e21-ac8e-394de1b4d6bc"/>
    <n v="37"/>
    <s v="Male"/>
    <s v="Standard"/>
    <n v="1.33"/>
    <x v="57"/>
    <x v="1"/>
    <x v="3"/>
    <n v="13.99"/>
    <n v="1"/>
    <n v="13.99"/>
    <x v="0"/>
    <n v="5"/>
    <n v="0.02"/>
    <s v="Comedy"/>
  </r>
  <r>
    <s v="f0a64ef5-b531-4c85-9f81-5ce41490de02"/>
    <n v="43"/>
    <s v="Male"/>
    <s v="Basic"/>
    <n v="10.02"/>
    <x v="34"/>
    <x v="1"/>
    <x v="0"/>
    <n v="8.99"/>
    <n v="1"/>
    <n v="8.99"/>
    <x v="4"/>
    <n v="1"/>
    <n v="0.2"/>
    <s v="Drama"/>
  </r>
  <r>
    <s v="b6b3f022-6564-45d9-a070-90f66db4d09d"/>
    <n v="69"/>
    <s v="Male"/>
    <s v="Basic"/>
    <n v="7.66"/>
    <x v="44"/>
    <x v="0"/>
    <x v="0"/>
    <n v="8.99"/>
    <n v="1"/>
    <n v="8.99"/>
    <x v="3"/>
    <n v="3"/>
    <n v="0.16"/>
    <s v="Horror"/>
  </r>
  <r>
    <s v="422f3159-6fd0-42d4-9bc8-4f8dc29d531e"/>
    <n v="32"/>
    <s v="Female"/>
    <s v="Standard"/>
    <n v="22.99"/>
    <x v="43"/>
    <x v="0"/>
    <x v="1"/>
    <n v="13.99"/>
    <n v="0"/>
    <n v="0"/>
    <x v="2"/>
    <n v="1"/>
    <n v="0.72"/>
    <s v="Sci-Fi"/>
  </r>
  <r>
    <s v="24b27817-e433-45cf-8439-8658f84b5d2e"/>
    <n v="35"/>
    <s v="Female"/>
    <s v="Basic"/>
    <n v="9.1999999999999993"/>
    <x v="5"/>
    <x v="4"/>
    <x v="2"/>
    <n v="8.99"/>
    <n v="1"/>
    <n v="8.99"/>
    <x v="0"/>
    <n v="2"/>
    <n v="0.34"/>
    <s v="Comedy"/>
  </r>
  <r>
    <s v="5de098c2-fa28-45bf-ae9f-f31dbaa387c0"/>
    <n v="29"/>
    <s v="Other"/>
    <s v="Premium"/>
    <n v="4.46"/>
    <x v="53"/>
    <x v="2"/>
    <x v="4"/>
    <n v="17.989999999999998"/>
    <n v="1"/>
    <n v="17.989999999999998"/>
    <x v="3"/>
    <n v="4"/>
    <n v="0.1"/>
    <s v="Comedy"/>
  </r>
  <r>
    <s v="d7f54be2-58dd-46b8-b43b-4ff590876743"/>
    <n v="34"/>
    <s v="Other"/>
    <s v="Premium"/>
    <n v="2.94"/>
    <x v="36"/>
    <x v="5"/>
    <x v="3"/>
    <n v="17.989999999999998"/>
    <n v="1"/>
    <n v="17.989999999999998"/>
    <x v="1"/>
    <n v="1"/>
    <n v="7.0000000000000007E-2"/>
    <s v="Documentary"/>
  </r>
  <r>
    <s v="938fec83-206c-4bb3-8ae6-7aa0bd8e7683"/>
    <n v="45"/>
    <s v="Other"/>
    <s v="Premium"/>
    <n v="2.59"/>
    <x v="7"/>
    <x v="1"/>
    <x v="4"/>
    <n v="17.989999999999998"/>
    <n v="1"/>
    <n v="17.989999999999998"/>
    <x v="3"/>
    <n v="3"/>
    <n v="0.05"/>
    <s v="Drama"/>
  </r>
  <r>
    <s v="ece05305-60ed-4148-b003-3d3fde5ac23b"/>
    <n v="46"/>
    <s v="Other"/>
    <s v="Standard"/>
    <n v="1.22"/>
    <x v="55"/>
    <x v="5"/>
    <x v="3"/>
    <n v="13.99"/>
    <n v="1"/>
    <n v="13.99"/>
    <x v="2"/>
    <n v="3"/>
    <n v="0.02"/>
    <s v="Horror"/>
  </r>
  <r>
    <s v="72e1395c-665a-40d9-99d4-150a7d6ba156"/>
    <n v="31"/>
    <s v="Other"/>
    <s v="Basic"/>
    <n v="10.38"/>
    <x v="53"/>
    <x v="5"/>
    <x v="4"/>
    <n v="8.99"/>
    <n v="1"/>
    <n v="8.99"/>
    <x v="2"/>
    <n v="1"/>
    <n v="0.24"/>
    <s v="Action"/>
  </r>
  <r>
    <s v="9490f2fb-6881-415d-a9c2-55855ad016fc"/>
    <n v="68"/>
    <s v="Female"/>
    <s v="Basic"/>
    <n v="15.56"/>
    <x v="23"/>
    <x v="2"/>
    <x v="1"/>
    <n v="8.99"/>
    <n v="1"/>
    <n v="8.99"/>
    <x v="3"/>
    <n v="5"/>
    <n v="0.28999999999999998"/>
    <s v="Horror"/>
  </r>
  <r>
    <s v="5bd2fa59-db60-4274-9e7c-f64de753ff84"/>
    <n v="36"/>
    <s v="Female"/>
    <s v="Standard"/>
    <n v="11.94"/>
    <x v="29"/>
    <x v="1"/>
    <x v="4"/>
    <n v="13.99"/>
    <n v="1"/>
    <n v="13.99"/>
    <x v="3"/>
    <n v="2"/>
    <n v="0.26"/>
    <s v="Comedy"/>
  </r>
  <r>
    <s v="e60ca66e-6129-4c74-9917-2039b803fb3a"/>
    <n v="68"/>
    <s v="Female"/>
    <s v="Basic"/>
    <n v="24.27"/>
    <x v="12"/>
    <x v="2"/>
    <x v="0"/>
    <n v="8.99"/>
    <n v="1"/>
    <n v="8.99"/>
    <x v="0"/>
    <n v="1"/>
    <n v="0.71"/>
    <s v="Romance"/>
  </r>
  <r>
    <s v="7dae5dd3-9815-4ae0-a868-c1d08eb7ec3f"/>
    <n v="50"/>
    <s v="Male"/>
    <s v="Basic"/>
    <n v="4.3"/>
    <x v="50"/>
    <x v="5"/>
    <x v="4"/>
    <n v="8.99"/>
    <n v="1"/>
    <n v="8.99"/>
    <x v="3"/>
    <n v="5"/>
    <n v="0.08"/>
    <s v="Action"/>
  </r>
  <r>
    <s v="2477d719-b049-4b4c-8f1d-d9173919eedd"/>
    <n v="18"/>
    <s v="Female"/>
    <s v="Standard"/>
    <n v="9.77"/>
    <x v="18"/>
    <x v="0"/>
    <x v="3"/>
    <n v="13.99"/>
    <n v="1"/>
    <n v="13.99"/>
    <x v="1"/>
    <n v="2"/>
    <n v="0.17"/>
    <s v="Sci-Fi"/>
  </r>
  <r>
    <s v="375eca39-a99b-48a4-b4c0-bb0e8722d963"/>
    <n v="34"/>
    <s v="Male"/>
    <s v="Premium"/>
    <n v="3.92"/>
    <x v="17"/>
    <x v="4"/>
    <x v="0"/>
    <n v="17.989999999999998"/>
    <n v="0"/>
    <n v="0"/>
    <x v="0"/>
    <n v="1"/>
    <n v="0.78"/>
    <s v="Action"/>
  </r>
  <r>
    <s v="d2927ae0-0518-4579-aed1-4ad9a039d1d0"/>
    <n v="39"/>
    <s v="Other"/>
    <s v="Premium"/>
    <n v="13.51"/>
    <x v="50"/>
    <x v="3"/>
    <x v="4"/>
    <n v="17.989999999999998"/>
    <n v="0"/>
    <n v="0"/>
    <x v="3"/>
    <n v="4"/>
    <n v="0.25"/>
    <s v="Drama"/>
  </r>
  <r>
    <s v="e74a58dd-5c33-41a4-a2f5-ba8f634216dc"/>
    <n v="45"/>
    <s v="Male"/>
    <s v="Premium"/>
    <n v="27.2"/>
    <x v="60"/>
    <x v="1"/>
    <x v="2"/>
    <n v="17.989999999999998"/>
    <n v="0"/>
    <n v="0"/>
    <x v="2"/>
    <n v="5"/>
    <n v="3.02"/>
    <s v="Sci-Fi"/>
  </r>
  <r>
    <s v="913c9b60-2bf4-495a-9e80-74719a9c5047"/>
    <n v="23"/>
    <s v="Male"/>
    <s v="Premium"/>
    <n v="16.510000000000002"/>
    <x v="45"/>
    <x v="3"/>
    <x v="4"/>
    <n v="17.989999999999998"/>
    <n v="1"/>
    <n v="17.989999999999998"/>
    <x v="0"/>
    <n v="5"/>
    <n v="0.39"/>
    <s v="Romance"/>
  </r>
  <r>
    <s v="e66f76a6-9e44-4d2a-ac84-d297b96abe7c"/>
    <n v="56"/>
    <s v="Female"/>
    <s v="Standard"/>
    <n v="4.05"/>
    <x v="17"/>
    <x v="1"/>
    <x v="0"/>
    <n v="13.99"/>
    <n v="0"/>
    <n v="0"/>
    <x v="3"/>
    <n v="4"/>
    <n v="0.81"/>
    <s v="Drama"/>
  </r>
  <r>
    <s v="018fad5a-7be7-48ad-993f-68fe75ed0b9b"/>
    <n v="31"/>
    <s v="Male"/>
    <s v="Standard"/>
    <n v="2.2000000000000002"/>
    <x v="0"/>
    <x v="2"/>
    <x v="0"/>
    <n v="13.99"/>
    <n v="1"/>
    <n v="13.99"/>
    <x v="3"/>
    <n v="1"/>
    <n v="7.0000000000000007E-2"/>
    <s v="Comedy"/>
  </r>
  <r>
    <s v="5f0a5e42-5c88-417a-b627-1f3057237d04"/>
    <n v="31"/>
    <s v="Female"/>
    <s v="Standard"/>
    <n v="2.02"/>
    <x v="36"/>
    <x v="1"/>
    <x v="1"/>
    <n v="13.99"/>
    <n v="1"/>
    <n v="13.99"/>
    <x v="4"/>
    <n v="4"/>
    <n v="0.05"/>
    <s v="Comedy"/>
  </r>
  <r>
    <s v="07d43b0b-94e3-4ea5-9281-7d959494690d"/>
    <n v="31"/>
    <s v="Male"/>
    <s v="Standard"/>
    <n v="54.98"/>
    <x v="18"/>
    <x v="0"/>
    <x v="3"/>
    <n v="13.99"/>
    <n v="0"/>
    <n v="0"/>
    <x v="0"/>
    <n v="4"/>
    <n v="0.95"/>
    <s v="Horror"/>
  </r>
  <r>
    <s v="91c22005-2619-4f68-a797-531076bc8d6a"/>
    <n v="41"/>
    <s v="Female"/>
    <s v="Basic"/>
    <n v="7.78"/>
    <x v="25"/>
    <x v="2"/>
    <x v="4"/>
    <n v="8.99"/>
    <n v="0"/>
    <n v="0"/>
    <x v="3"/>
    <n v="2"/>
    <n v="7.78"/>
    <s v="Romance"/>
  </r>
  <r>
    <s v="2a93d86f-7768-4c2d-93f0-82a7356ef894"/>
    <n v="32"/>
    <s v="Other"/>
    <s v="Standard"/>
    <n v="1.43"/>
    <x v="1"/>
    <x v="3"/>
    <x v="2"/>
    <n v="13.99"/>
    <n v="1"/>
    <n v="13.99"/>
    <x v="0"/>
    <n v="2"/>
    <n v="7.0000000000000007E-2"/>
    <s v="Documentary"/>
  </r>
  <r>
    <s v="4c14bede-0e49-4c69-bd98-ad6fa46fed15"/>
    <n v="67"/>
    <s v="Male"/>
    <s v="Premium"/>
    <n v="18.54"/>
    <x v="56"/>
    <x v="0"/>
    <x v="2"/>
    <n v="17.989999999999998"/>
    <n v="0"/>
    <n v="0"/>
    <x v="3"/>
    <n v="5"/>
    <n v="0.31"/>
    <s v="Comedy"/>
  </r>
  <r>
    <s v="44e5fbde-b513-4d69-accb-f083a5863d89"/>
    <n v="46"/>
    <s v="Female"/>
    <s v="Basic"/>
    <n v="4.84"/>
    <x v="16"/>
    <x v="0"/>
    <x v="3"/>
    <n v="8.99"/>
    <n v="1"/>
    <n v="8.99"/>
    <x v="3"/>
    <n v="2"/>
    <n v="0.17"/>
    <s v="Romance"/>
  </r>
  <r>
    <s v="090d46ba-d78e-4f49-a4c6-9bf211df3f91"/>
    <n v="54"/>
    <s v="Male"/>
    <s v="Premium"/>
    <n v="6.65"/>
    <x v="11"/>
    <x v="2"/>
    <x v="1"/>
    <n v="17.989999999999998"/>
    <n v="0"/>
    <n v="0"/>
    <x v="3"/>
    <n v="4"/>
    <n v="0.28000000000000003"/>
    <s v="Comedy"/>
  </r>
  <r>
    <s v="66513bd6-e31b-4dc4-9b1b-aff8caa18e88"/>
    <n v="59"/>
    <s v="Male"/>
    <s v="Premium"/>
    <n v="47.14"/>
    <x v="28"/>
    <x v="3"/>
    <x v="4"/>
    <n v="17.989999999999998"/>
    <n v="0"/>
    <n v="0"/>
    <x v="1"/>
    <n v="3"/>
    <n v="1.31"/>
    <s v="Comedy"/>
  </r>
  <r>
    <s v="acc43c61-4f60-49b8-a93b-4241c02b2be2"/>
    <n v="44"/>
    <s v="Other"/>
    <s v="Basic"/>
    <n v="20.91"/>
    <x v="59"/>
    <x v="4"/>
    <x v="2"/>
    <n v="8.99"/>
    <n v="0"/>
    <n v="0"/>
    <x v="0"/>
    <n v="5"/>
    <n v="3.48"/>
    <s v="Sci-Fi"/>
  </r>
  <r>
    <s v="079d22b5-cb52-4784-862a-93eb40a6fc9d"/>
    <n v="62"/>
    <s v="Male"/>
    <s v="Basic"/>
    <n v="3.31"/>
    <x v="38"/>
    <x v="0"/>
    <x v="0"/>
    <n v="8.99"/>
    <n v="1"/>
    <n v="8.99"/>
    <x v="0"/>
    <n v="3"/>
    <n v="0.15"/>
    <s v="Action"/>
  </r>
  <r>
    <s v="fb137217-22e7-4472-9f24-c3e1982c0bbd"/>
    <n v="46"/>
    <s v="Male"/>
    <s v="Standard"/>
    <n v="2.98"/>
    <x v="48"/>
    <x v="4"/>
    <x v="2"/>
    <n v="13.99"/>
    <n v="1"/>
    <n v="13.99"/>
    <x v="4"/>
    <n v="1"/>
    <n v="0.06"/>
    <s v="Action"/>
  </r>
  <r>
    <s v="e25dbc8a-284a-4064-bddd-ea62c7fde074"/>
    <n v="68"/>
    <s v="Other"/>
    <s v="Standard"/>
    <n v="37.299999999999997"/>
    <x v="43"/>
    <x v="0"/>
    <x v="3"/>
    <n v="13.99"/>
    <n v="0"/>
    <n v="0"/>
    <x v="1"/>
    <n v="5"/>
    <n v="1.17"/>
    <s v="Action"/>
  </r>
  <r>
    <s v="4a72d855-c7d1-41ea-bf1d-5e0eba3be8d8"/>
    <n v="28"/>
    <s v="Female"/>
    <s v="Premium"/>
    <n v="10.38"/>
    <x v="12"/>
    <x v="3"/>
    <x v="1"/>
    <n v="17.989999999999998"/>
    <n v="1"/>
    <n v="17.989999999999998"/>
    <x v="4"/>
    <n v="3"/>
    <n v="0.31"/>
    <s v="Documentary"/>
  </r>
  <r>
    <s v="ffef8fb1-3847-4535-a403-fad7ac35eb46"/>
    <n v="55"/>
    <s v="Male"/>
    <s v="Premium"/>
    <n v="6.14"/>
    <x v="33"/>
    <x v="3"/>
    <x v="3"/>
    <n v="17.989999999999998"/>
    <n v="0"/>
    <n v="0"/>
    <x v="4"/>
    <n v="4"/>
    <n v="0.24"/>
    <s v="Comedy"/>
  </r>
  <r>
    <s v="44c431b4-0f1a-4403-b701-98ab0f23f260"/>
    <n v="70"/>
    <s v="Other"/>
    <s v="Standard"/>
    <n v="4.75"/>
    <x v="50"/>
    <x v="1"/>
    <x v="1"/>
    <n v="13.99"/>
    <n v="1"/>
    <n v="13.99"/>
    <x v="0"/>
    <n v="3"/>
    <n v="0.09"/>
    <s v="Romance"/>
  </r>
  <r>
    <s v="70f8a703-4e16-495b-97b5-739c7edace9e"/>
    <n v="69"/>
    <s v="Male"/>
    <s v="Standard"/>
    <n v="7.26"/>
    <x v="26"/>
    <x v="0"/>
    <x v="3"/>
    <n v="13.99"/>
    <n v="0"/>
    <n v="0"/>
    <x v="4"/>
    <n v="5"/>
    <n v="0.15"/>
    <s v="Romance"/>
  </r>
  <r>
    <s v="7e829bbe-ef04-481e-88d9-8eeae0a7cac6"/>
    <n v="31"/>
    <s v="Other"/>
    <s v="Standard"/>
    <n v="23.56"/>
    <x v="15"/>
    <x v="5"/>
    <x v="4"/>
    <n v="13.99"/>
    <n v="0"/>
    <n v="0"/>
    <x v="1"/>
    <n v="5"/>
    <n v="0.56999999999999995"/>
    <s v="Sci-Fi"/>
  </r>
  <r>
    <s v="48130993-574a-4765-b5f0-5f98dba9547e"/>
    <n v="55"/>
    <s v="Female"/>
    <s v="Basic"/>
    <n v="7.86"/>
    <x v="9"/>
    <x v="5"/>
    <x v="3"/>
    <n v="8.99"/>
    <n v="1"/>
    <n v="8.99"/>
    <x v="4"/>
    <n v="4"/>
    <n v="0.21"/>
    <s v="Horror"/>
  </r>
  <r>
    <s v="efc777d9-e7a2-404c-9626-3b30b333dcce"/>
    <n v="40"/>
    <s v="Other"/>
    <s v="Standard"/>
    <n v="7.48"/>
    <x v="50"/>
    <x v="0"/>
    <x v="4"/>
    <n v="13.99"/>
    <n v="1"/>
    <n v="13.99"/>
    <x v="2"/>
    <n v="1"/>
    <n v="0.14000000000000001"/>
    <s v="Comedy"/>
  </r>
  <r>
    <s v="e51e6d48-d863-4799-9f3d-75b6980b5d3e"/>
    <n v="36"/>
    <s v="Male"/>
    <s v="Premium"/>
    <n v="2.13"/>
    <x v="50"/>
    <x v="3"/>
    <x v="2"/>
    <n v="17.989999999999998"/>
    <n v="1"/>
    <n v="17.989999999999998"/>
    <x v="2"/>
    <n v="3"/>
    <n v="0.04"/>
    <s v="Drama"/>
  </r>
  <r>
    <s v="ce0b32de-26ff-4f3d-bd27-9c85e6f2bf26"/>
    <n v="62"/>
    <s v="Female"/>
    <s v="Basic"/>
    <n v="6.12"/>
    <x v="48"/>
    <x v="0"/>
    <x v="4"/>
    <n v="8.99"/>
    <n v="1"/>
    <n v="8.99"/>
    <x v="0"/>
    <n v="2"/>
    <n v="0.12"/>
    <s v="Sci-Fi"/>
  </r>
  <r>
    <s v="3ef8e526-3060-49e4-b23d-7c8325593d35"/>
    <n v="63"/>
    <s v="Other"/>
    <s v="Basic"/>
    <n v="10.71"/>
    <x v="19"/>
    <x v="2"/>
    <x v="2"/>
    <n v="8.99"/>
    <n v="1"/>
    <n v="8.99"/>
    <x v="2"/>
    <n v="2"/>
    <n v="0.24"/>
    <s v="Comedy"/>
  </r>
  <r>
    <s v="4e3215e3-48be-4ea9-86e4-057e5ce9bf39"/>
    <n v="43"/>
    <s v="Male"/>
    <s v="Standard"/>
    <n v="1.06"/>
    <x v="16"/>
    <x v="2"/>
    <x v="0"/>
    <n v="13.99"/>
    <n v="0"/>
    <n v="0"/>
    <x v="3"/>
    <n v="4"/>
    <n v="0.04"/>
    <s v="Action"/>
  </r>
  <r>
    <s v="9d71a390-0c88-40da-b62e-7ff0cd29f65b"/>
    <n v="18"/>
    <s v="Other"/>
    <s v="Premium"/>
    <n v="12.22"/>
    <x v="26"/>
    <x v="1"/>
    <x v="0"/>
    <n v="17.989999999999998"/>
    <n v="0"/>
    <n v="0"/>
    <x v="2"/>
    <n v="5"/>
    <n v="0.25"/>
    <s v="Sci-Fi"/>
  </r>
  <r>
    <s v="11d0215f-7d5c-439a-ab60-98c27e38d982"/>
    <n v="23"/>
    <s v="Female"/>
    <s v="Standard"/>
    <n v="3.9"/>
    <x v="30"/>
    <x v="3"/>
    <x v="4"/>
    <n v="13.99"/>
    <n v="0"/>
    <n v="0"/>
    <x v="4"/>
    <n v="1"/>
    <n v="1.95"/>
    <s v="Sci-Fi"/>
  </r>
  <r>
    <s v="b81e2759-c1e2-433e-a4e1-d7fe65a14464"/>
    <n v="21"/>
    <s v="Female"/>
    <s v="Premium"/>
    <n v="19.77"/>
    <x v="39"/>
    <x v="1"/>
    <x v="4"/>
    <n v="17.989999999999998"/>
    <n v="0"/>
    <n v="0"/>
    <x v="4"/>
    <n v="4"/>
    <n v="0.86"/>
    <s v="Romance"/>
  </r>
  <r>
    <s v="cee2b2d5-7bd7-46de-8d55-36b262b78b70"/>
    <n v="53"/>
    <s v="Male"/>
    <s v="Basic"/>
    <n v="2.42"/>
    <x v="40"/>
    <x v="0"/>
    <x v="3"/>
    <n v="8.99"/>
    <n v="1"/>
    <n v="8.99"/>
    <x v="0"/>
    <n v="5"/>
    <n v="0.2"/>
    <s v="Action"/>
  </r>
  <r>
    <s v="c83d8343-0bd3-42a8-a312-9b6e75367d29"/>
    <n v="64"/>
    <s v="Other"/>
    <s v="Premium"/>
    <n v="7"/>
    <x v="49"/>
    <x v="3"/>
    <x v="1"/>
    <n v="17.989999999999998"/>
    <n v="0"/>
    <n v="0"/>
    <x v="1"/>
    <n v="4"/>
    <n v="0.7"/>
    <s v="Drama"/>
  </r>
  <r>
    <s v="2c4930a3-789b-4ed5-8f39-e8c64a740269"/>
    <n v="21"/>
    <s v="Other"/>
    <s v="Standard"/>
    <n v="61.8"/>
    <x v="45"/>
    <x v="1"/>
    <x v="2"/>
    <n v="13.99"/>
    <n v="0"/>
    <n v="0"/>
    <x v="3"/>
    <n v="3"/>
    <n v="1.47"/>
    <s v="Drama"/>
  </r>
  <r>
    <s v="16a200cb-3249-413a-977d-6ad61271b74f"/>
    <n v="50"/>
    <s v="Female"/>
    <s v="Basic"/>
    <n v="2.84"/>
    <x v="9"/>
    <x v="2"/>
    <x v="3"/>
    <n v="8.99"/>
    <n v="1"/>
    <n v="8.99"/>
    <x v="0"/>
    <n v="3"/>
    <n v="0.08"/>
    <s v="Comedy"/>
  </r>
  <r>
    <s v="4f6c6788-a003-4eca-b344-5e47ace30e12"/>
    <n v="38"/>
    <s v="Other"/>
    <s v="Standard"/>
    <n v="5.32"/>
    <x v="37"/>
    <x v="1"/>
    <x v="4"/>
    <n v="13.99"/>
    <n v="0"/>
    <n v="0"/>
    <x v="1"/>
    <n v="4"/>
    <n v="0.21"/>
    <s v="Documentary"/>
  </r>
  <r>
    <s v="c56d6009-0b18-47d0-a605-99c63f1cf8c3"/>
    <n v="67"/>
    <s v="Male"/>
    <s v="Standard"/>
    <n v="0.44"/>
    <x v="16"/>
    <x v="4"/>
    <x v="4"/>
    <n v="13.99"/>
    <n v="1"/>
    <n v="13.99"/>
    <x v="4"/>
    <n v="3"/>
    <n v="0.02"/>
    <s v="Action"/>
  </r>
  <r>
    <s v="f4db7304-7056-46c8-88dd-0b612ad71ba2"/>
    <n v="70"/>
    <s v="Female"/>
    <s v="Standard"/>
    <n v="7.16"/>
    <x v="15"/>
    <x v="1"/>
    <x v="4"/>
    <n v="13.99"/>
    <n v="1"/>
    <n v="13.99"/>
    <x v="2"/>
    <n v="1"/>
    <n v="0.17"/>
    <s v="Comedy"/>
  </r>
  <r>
    <s v="6fb66bbb-0951-4845-a4cd-3ce9151ab345"/>
    <n v="58"/>
    <s v="Other"/>
    <s v="Standard"/>
    <n v="0.73"/>
    <x v="32"/>
    <x v="1"/>
    <x v="1"/>
    <n v="13.99"/>
    <n v="1"/>
    <n v="13.99"/>
    <x v="0"/>
    <n v="3"/>
    <n v="0.05"/>
    <s v="Action"/>
  </r>
  <r>
    <s v="ca15d77a-57d5-44c3-bcb3-a0c4d1abbbdd"/>
    <n v="21"/>
    <s v="Other"/>
    <s v="Basic"/>
    <n v="2.73"/>
    <x v="26"/>
    <x v="2"/>
    <x v="0"/>
    <n v="8.99"/>
    <n v="1"/>
    <n v="8.99"/>
    <x v="3"/>
    <n v="5"/>
    <n v="0.06"/>
    <s v="Drama"/>
  </r>
  <r>
    <s v="567dc920-9ae2-41ca-b169-a6706369169f"/>
    <n v="28"/>
    <s v="Other"/>
    <s v="Premium"/>
    <n v="17.100000000000001"/>
    <x v="27"/>
    <x v="0"/>
    <x v="3"/>
    <n v="17.989999999999998"/>
    <n v="0"/>
    <n v="0"/>
    <x v="1"/>
    <n v="4"/>
    <n v="1.01"/>
    <s v="Action"/>
  </r>
  <r>
    <s v="6fbc22eb-6eb2-4df2-82f7-1fa1d07d4802"/>
    <n v="61"/>
    <s v="Male"/>
    <s v="Basic"/>
    <n v="20.11"/>
    <x v="51"/>
    <x v="5"/>
    <x v="3"/>
    <n v="8.99"/>
    <n v="0"/>
    <n v="0"/>
    <x v="2"/>
    <n v="1"/>
    <n v="1.1200000000000001"/>
    <s v="Comedy"/>
  </r>
  <r>
    <s v="c7580297-a79c-4487-a676-afefffc00a0c"/>
    <n v="27"/>
    <s v="Male"/>
    <s v="Basic"/>
    <n v="31"/>
    <x v="18"/>
    <x v="4"/>
    <x v="0"/>
    <n v="8.99"/>
    <n v="0"/>
    <n v="0"/>
    <x v="1"/>
    <n v="5"/>
    <n v="0.53"/>
    <s v="Romance"/>
  </r>
  <r>
    <s v="b63bbb24-3940-4377-bda2-081dc5008511"/>
    <n v="63"/>
    <s v="Other"/>
    <s v="Standard"/>
    <n v="11.42"/>
    <x v="18"/>
    <x v="1"/>
    <x v="3"/>
    <n v="13.99"/>
    <n v="1"/>
    <n v="13.99"/>
    <x v="4"/>
    <n v="1"/>
    <n v="0.2"/>
    <s v="Horror"/>
  </r>
  <r>
    <s v="c7bd6a1e-dd9b-4ae0-8640-b800f73384ae"/>
    <n v="51"/>
    <s v="Male"/>
    <s v="Premium"/>
    <n v="14.64"/>
    <x v="11"/>
    <x v="0"/>
    <x v="4"/>
    <n v="17.989999999999998"/>
    <n v="0"/>
    <n v="0"/>
    <x v="4"/>
    <n v="4"/>
    <n v="0.61"/>
    <s v="Documentary"/>
  </r>
  <r>
    <s v="f25ebdda-0532-43da-91be-d2ff34c108cc"/>
    <n v="40"/>
    <s v="Female"/>
    <s v="Basic"/>
    <n v="5.54"/>
    <x v="40"/>
    <x v="3"/>
    <x v="1"/>
    <n v="8.99"/>
    <n v="1"/>
    <n v="8.99"/>
    <x v="0"/>
    <n v="1"/>
    <n v="0.46"/>
    <s v="Drama"/>
  </r>
  <r>
    <s v="b47239a1-8e93-4c1a-87b5-3ba3b6d46a77"/>
    <n v="47"/>
    <s v="Female"/>
    <s v="Premium"/>
    <n v="34.18"/>
    <x v="34"/>
    <x v="1"/>
    <x v="3"/>
    <n v="17.989999999999998"/>
    <n v="0"/>
    <n v="0"/>
    <x v="1"/>
    <n v="4"/>
    <n v="0.67"/>
    <s v="Drama"/>
  </r>
  <r>
    <s v="c06f7f28-0fde-4b15-819b-ec1061932a50"/>
    <n v="19"/>
    <s v="Other"/>
    <s v="Basic"/>
    <n v="1.23"/>
    <x v="58"/>
    <x v="2"/>
    <x v="1"/>
    <n v="8.99"/>
    <n v="1"/>
    <n v="8.99"/>
    <x v="2"/>
    <n v="4"/>
    <n v="0.03"/>
    <s v="Sci-Fi"/>
  </r>
  <r>
    <s v="c6c8cbb4-b03d-4aa7-ae8f-591c88f61aa2"/>
    <n v="43"/>
    <s v="Female"/>
    <s v="Basic"/>
    <n v="7.51"/>
    <x v="46"/>
    <x v="1"/>
    <x v="0"/>
    <n v="8.99"/>
    <n v="0"/>
    <n v="0"/>
    <x v="4"/>
    <n v="4"/>
    <n v="2.5"/>
    <s v="Drama"/>
  </r>
  <r>
    <s v="4ef69a1f-c2b7-4e85-b0f5-318696e2675c"/>
    <n v="63"/>
    <s v="Male"/>
    <s v="Standard"/>
    <n v="16.41"/>
    <x v="8"/>
    <x v="5"/>
    <x v="0"/>
    <n v="13.99"/>
    <n v="1"/>
    <n v="13.99"/>
    <x v="3"/>
    <n v="1"/>
    <n v="0.47"/>
    <s v="Sci-Fi"/>
  </r>
  <r>
    <s v="7a8163de-f9a8-416e-8019-79049bb31e9b"/>
    <n v="39"/>
    <s v="Female"/>
    <s v="Standard"/>
    <n v="11.29"/>
    <x v="15"/>
    <x v="1"/>
    <x v="2"/>
    <n v="13.99"/>
    <n v="1"/>
    <n v="13.99"/>
    <x v="1"/>
    <n v="1"/>
    <n v="0.28000000000000003"/>
    <s v="Documentary"/>
  </r>
  <r>
    <s v="c064e06e-7e55-493f-817f-ca67c074b251"/>
    <n v="20"/>
    <s v="Other"/>
    <s v="Basic"/>
    <n v="0.37"/>
    <x v="16"/>
    <x v="0"/>
    <x v="3"/>
    <n v="8.99"/>
    <n v="1"/>
    <n v="8.99"/>
    <x v="3"/>
    <n v="1"/>
    <n v="0.01"/>
    <s v="Drama"/>
  </r>
  <r>
    <s v="b7aa7d7c-1680-4a40-9646-3fbc458fdef6"/>
    <n v="39"/>
    <s v="Female"/>
    <s v="Basic"/>
    <n v="7.24"/>
    <x v="60"/>
    <x v="3"/>
    <x v="1"/>
    <n v="8.99"/>
    <n v="0"/>
    <n v="0"/>
    <x v="4"/>
    <n v="3"/>
    <n v="0.8"/>
    <s v="Horror"/>
  </r>
  <r>
    <s v="107172f9-17aa-4d27-9316-211b12b7ca66"/>
    <n v="30"/>
    <s v="Other"/>
    <s v="Premium"/>
    <n v="21.23"/>
    <x v="34"/>
    <x v="0"/>
    <x v="1"/>
    <n v="17.989999999999998"/>
    <n v="0"/>
    <n v="0"/>
    <x v="4"/>
    <n v="2"/>
    <n v="0.42"/>
    <s v="Drama"/>
  </r>
  <r>
    <s v="e4cedabe-2ad7-4c28-ad24-34ad6ac0a7db"/>
    <n v="46"/>
    <s v="Male"/>
    <s v="Standard"/>
    <n v="0.89"/>
    <x v="28"/>
    <x v="3"/>
    <x v="4"/>
    <n v="13.99"/>
    <n v="1"/>
    <n v="13.99"/>
    <x v="0"/>
    <n v="1"/>
    <n v="0.02"/>
    <s v="Drama"/>
  </r>
  <r>
    <s v="360177a9-b5fd-4c78-ba0d-a0dad34611f6"/>
    <n v="66"/>
    <s v="Other"/>
    <s v="Basic"/>
    <n v="1.21"/>
    <x v="13"/>
    <x v="0"/>
    <x v="0"/>
    <n v="8.99"/>
    <n v="1"/>
    <n v="8.99"/>
    <x v="1"/>
    <n v="5"/>
    <n v="0.15"/>
    <s v="Documentary"/>
  </r>
  <r>
    <s v="9cf98ae9-3ca2-4174-a7ca-0fb8969544aa"/>
    <n v="19"/>
    <s v="Other"/>
    <s v="Premium"/>
    <n v="13.21"/>
    <x v="14"/>
    <x v="2"/>
    <x v="3"/>
    <n v="17.989999999999998"/>
    <n v="1"/>
    <n v="17.989999999999998"/>
    <x v="1"/>
    <n v="2"/>
    <n v="0.4"/>
    <s v="Action"/>
  </r>
  <r>
    <s v="6d0baae0-e0c5-4a4e-8e3b-97bf14be6147"/>
    <n v="54"/>
    <s v="Male"/>
    <s v="Premium"/>
    <n v="18.07"/>
    <x v="32"/>
    <x v="2"/>
    <x v="0"/>
    <n v="17.989999999999998"/>
    <n v="0"/>
    <n v="0"/>
    <x v="2"/>
    <n v="2"/>
    <n v="1.2"/>
    <s v="Sci-Fi"/>
  </r>
  <r>
    <s v="2d568e58-1bce-43d3-b509-529c4907feb6"/>
    <n v="32"/>
    <s v="Female"/>
    <s v="Standard"/>
    <n v="12.46"/>
    <x v="51"/>
    <x v="0"/>
    <x v="2"/>
    <n v="13.99"/>
    <n v="0"/>
    <n v="0"/>
    <x v="2"/>
    <n v="5"/>
    <n v="0.69"/>
    <s v="Comedy"/>
  </r>
  <r>
    <s v="c154deff-4e9e-4fe4-9d67-f48908ff54d9"/>
    <n v="40"/>
    <s v="Female"/>
    <s v="Basic"/>
    <n v="3.95"/>
    <x v="8"/>
    <x v="3"/>
    <x v="4"/>
    <n v="8.99"/>
    <n v="1"/>
    <n v="8.99"/>
    <x v="2"/>
    <n v="4"/>
    <n v="0.11"/>
    <s v="Comedy"/>
  </r>
  <r>
    <s v="71f2e2cc-c590-4263-a857-9d41079aeca5"/>
    <n v="51"/>
    <s v="Female"/>
    <s v="Basic"/>
    <n v="7.4"/>
    <x v="52"/>
    <x v="3"/>
    <x v="1"/>
    <n v="8.99"/>
    <n v="1"/>
    <n v="8.99"/>
    <x v="3"/>
    <n v="4"/>
    <n v="0.15"/>
    <s v="Documentary"/>
  </r>
  <r>
    <s v="1750bbeb-a4d1-4fdd-9d4b-6da8f2110f83"/>
    <n v="24"/>
    <s v="Other"/>
    <s v="Premium"/>
    <n v="5.54"/>
    <x v="58"/>
    <x v="0"/>
    <x v="4"/>
    <n v="17.989999999999998"/>
    <n v="0"/>
    <n v="0"/>
    <x v="3"/>
    <n v="5"/>
    <n v="0.12"/>
    <s v="Documentary"/>
  </r>
  <r>
    <s v="a5c9b131-7db9-49dc-bbf0-ab2cc975db2e"/>
    <n v="50"/>
    <s v="Male"/>
    <s v="Basic"/>
    <n v="34.909999999999997"/>
    <x v="22"/>
    <x v="4"/>
    <x v="4"/>
    <n v="8.99"/>
    <n v="0"/>
    <n v="0"/>
    <x v="3"/>
    <n v="1"/>
    <n v="0.62"/>
    <s v="Drama"/>
  </r>
  <r>
    <s v="f34c660c-8130-46ea-b9eb-2b94983e70f0"/>
    <n v="52"/>
    <s v="Female"/>
    <s v="Premium"/>
    <n v="19.84"/>
    <x v="48"/>
    <x v="4"/>
    <x v="4"/>
    <n v="17.989999999999998"/>
    <n v="0"/>
    <n v="0"/>
    <x v="3"/>
    <n v="4"/>
    <n v="0.38"/>
    <s v="Drama"/>
  </r>
  <r>
    <s v="b3df269b-9a99-4b0d-b72a-309d9eb0fdff"/>
    <n v="40"/>
    <s v="Male"/>
    <s v="Standard"/>
    <n v="1.53"/>
    <x v="11"/>
    <x v="0"/>
    <x v="2"/>
    <n v="13.99"/>
    <n v="1"/>
    <n v="13.99"/>
    <x v="4"/>
    <n v="1"/>
    <n v="0.06"/>
    <s v="Drama"/>
  </r>
  <r>
    <s v="762bdb2f-9869-459d-a388-b7d7499de3d1"/>
    <n v="24"/>
    <s v="Female"/>
    <s v="Standard"/>
    <n v="30.63"/>
    <x v="56"/>
    <x v="3"/>
    <x v="1"/>
    <n v="13.99"/>
    <n v="0"/>
    <n v="0"/>
    <x v="2"/>
    <n v="4"/>
    <n v="0.52"/>
    <s v="Sci-Fi"/>
  </r>
  <r>
    <s v="8c5e8ece-8b04-4187-943f-c47e7452ac98"/>
    <n v="29"/>
    <s v="Female"/>
    <s v="Premium"/>
    <n v="3.17"/>
    <x v="60"/>
    <x v="4"/>
    <x v="0"/>
    <n v="17.989999999999998"/>
    <n v="1"/>
    <n v="17.989999999999998"/>
    <x v="1"/>
    <n v="2"/>
    <n v="0.35"/>
    <s v="Action"/>
  </r>
  <r>
    <s v="1ba7df97-738b-4bda-84bc-342e75f0bb3b"/>
    <n v="68"/>
    <s v="Other"/>
    <s v="Basic"/>
    <n v="21.58"/>
    <x v="41"/>
    <x v="3"/>
    <x v="4"/>
    <n v="8.99"/>
    <n v="0"/>
    <n v="0"/>
    <x v="4"/>
    <n v="2"/>
    <n v="0.7"/>
    <s v="Horror"/>
  </r>
  <r>
    <s v="0b029466-21a8-4aa2-a32d-7957bc97dd15"/>
    <n v="18"/>
    <s v="Female"/>
    <s v="Basic"/>
    <n v="18.12"/>
    <x v="46"/>
    <x v="5"/>
    <x v="4"/>
    <n v="8.99"/>
    <n v="0"/>
    <n v="0"/>
    <x v="2"/>
    <n v="1"/>
    <n v="6.04"/>
    <s v="Horror"/>
  </r>
  <r>
    <s v="78f2bf62-fba1-46a6-833c-110010ab98ad"/>
    <n v="45"/>
    <s v="Female"/>
    <s v="Standard"/>
    <n v="16.100000000000001"/>
    <x v="4"/>
    <x v="4"/>
    <x v="4"/>
    <n v="13.99"/>
    <n v="0"/>
    <n v="0"/>
    <x v="2"/>
    <n v="3"/>
    <n v="1.1499999999999999"/>
    <s v="Sci-Fi"/>
  </r>
  <r>
    <s v="68ce89c8-a5b2-4117-b896-352c78e682a5"/>
    <n v="20"/>
    <s v="Other"/>
    <s v="Standard"/>
    <n v="2.75"/>
    <x v="46"/>
    <x v="0"/>
    <x v="0"/>
    <n v="13.99"/>
    <n v="0"/>
    <n v="0"/>
    <x v="4"/>
    <n v="2"/>
    <n v="0.92"/>
    <s v="Sci-Fi"/>
  </r>
  <r>
    <s v="e06fb7ea-7713-4fac-a996-c7ea9349c0f1"/>
    <n v="38"/>
    <s v="Male"/>
    <s v="Premium"/>
    <n v="4.88"/>
    <x v="3"/>
    <x v="5"/>
    <x v="2"/>
    <n v="17.989999999999998"/>
    <n v="1"/>
    <n v="17.989999999999998"/>
    <x v="0"/>
    <n v="1"/>
    <n v="0.38"/>
    <s v="Romance"/>
  </r>
  <r>
    <s v="8c3c1be4-1e6e-44d8-8c71-d45fd198b10a"/>
    <n v="70"/>
    <s v="Other"/>
    <s v="Standard"/>
    <n v="1.42"/>
    <x v="51"/>
    <x v="4"/>
    <x v="2"/>
    <n v="13.99"/>
    <n v="1"/>
    <n v="13.99"/>
    <x v="2"/>
    <n v="2"/>
    <n v="0.08"/>
    <s v="Comedy"/>
  </r>
  <r>
    <s v="8f7170b0-9f51-4774-88cc-a5881e14d60d"/>
    <n v="25"/>
    <s v="Male"/>
    <s v="Standard"/>
    <n v="3.84"/>
    <x v="29"/>
    <x v="0"/>
    <x v="1"/>
    <n v="13.99"/>
    <n v="1"/>
    <n v="13.99"/>
    <x v="2"/>
    <n v="5"/>
    <n v="0.08"/>
    <s v="Drama"/>
  </r>
  <r>
    <s v="391f7245-b2ef-4328-b1f0-47135a7252ce"/>
    <n v="42"/>
    <s v="Female"/>
    <s v="Premium"/>
    <n v="6.45"/>
    <x v="24"/>
    <x v="1"/>
    <x v="4"/>
    <n v="17.989999999999998"/>
    <n v="1"/>
    <n v="17.989999999999998"/>
    <x v="0"/>
    <n v="1"/>
    <n v="0.12"/>
    <s v="Documentary"/>
  </r>
  <r>
    <s v="c3d0acc2-11f2-410c-bdcb-15da9958e18d"/>
    <n v="56"/>
    <s v="Female"/>
    <s v="Premium"/>
    <n v="10.31"/>
    <x v="43"/>
    <x v="1"/>
    <x v="2"/>
    <n v="17.989999999999998"/>
    <n v="1"/>
    <n v="17.989999999999998"/>
    <x v="0"/>
    <n v="3"/>
    <n v="0.32"/>
    <s v="Comedy"/>
  </r>
  <r>
    <s v="602855b3-cd60-4b34-9201-1dfb89a22d88"/>
    <n v="49"/>
    <s v="Other"/>
    <s v="Basic"/>
    <n v="3.16"/>
    <x v="43"/>
    <x v="2"/>
    <x v="3"/>
    <n v="8.99"/>
    <n v="1"/>
    <n v="8.99"/>
    <x v="0"/>
    <n v="5"/>
    <n v="0.1"/>
    <s v="Action"/>
  </r>
  <r>
    <s v="910f20e5-3307-4e9f-928d-bf6b69fbc430"/>
    <n v="25"/>
    <s v="Female"/>
    <s v="Premium"/>
    <n v="50.94"/>
    <x v="54"/>
    <x v="0"/>
    <x v="1"/>
    <n v="17.989999999999998"/>
    <n v="0"/>
    <n v="0"/>
    <x v="2"/>
    <n v="4"/>
    <n v="1.76"/>
    <s v="Drama"/>
  </r>
  <r>
    <s v="05e332ce-23b3-4687-90ae-3a9a515490ff"/>
    <n v="39"/>
    <s v="Other"/>
    <s v="Premium"/>
    <n v="0.33"/>
    <x v="0"/>
    <x v="0"/>
    <x v="2"/>
    <n v="17.989999999999998"/>
    <n v="1"/>
    <n v="17.989999999999998"/>
    <x v="4"/>
    <n v="2"/>
    <n v="0.01"/>
    <s v="Documentary"/>
  </r>
  <r>
    <s v="5802fec8-2f12-4cea-8fe6-64a2d9038aba"/>
    <n v="37"/>
    <s v="Female"/>
    <s v="Premium"/>
    <n v="19.29"/>
    <x v="53"/>
    <x v="5"/>
    <x v="4"/>
    <n v="17.989999999999998"/>
    <n v="0"/>
    <n v="0"/>
    <x v="3"/>
    <n v="4"/>
    <n v="0.45"/>
    <s v="Comedy"/>
  </r>
  <r>
    <s v="4a384e91-f1c0-47f5-a245-485175a01a96"/>
    <n v="21"/>
    <s v="Male"/>
    <s v="Standard"/>
    <n v="0.19"/>
    <x v="55"/>
    <x v="5"/>
    <x v="1"/>
    <n v="13.99"/>
    <n v="1"/>
    <n v="13.99"/>
    <x v="2"/>
    <n v="3"/>
    <n v="0"/>
    <s v="Romance"/>
  </r>
  <r>
    <s v="72636137-36a1-4188-98f6-faaa54b0a5aa"/>
    <n v="32"/>
    <s v="Male"/>
    <s v="Standard"/>
    <n v="7.88"/>
    <x v="10"/>
    <x v="1"/>
    <x v="4"/>
    <n v="13.99"/>
    <n v="1"/>
    <n v="13.99"/>
    <x v="2"/>
    <n v="1"/>
    <n v="0.2"/>
    <s v="Drama"/>
  </r>
  <r>
    <s v="0687c494-6a02-4c35-9ed5-4932776b9162"/>
    <n v="49"/>
    <s v="Other"/>
    <s v="Premium"/>
    <n v="0.21"/>
    <x v="5"/>
    <x v="3"/>
    <x v="0"/>
    <n v="17.989999999999998"/>
    <n v="1"/>
    <n v="17.989999999999998"/>
    <x v="2"/>
    <n v="3"/>
    <n v="0.01"/>
    <s v="Documentary"/>
  </r>
  <r>
    <s v="215aac75-022a-4a4a-90c3-160a8a792257"/>
    <n v="29"/>
    <s v="Female"/>
    <s v="Basic"/>
    <n v="15.6"/>
    <x v="40"/>
    <x v="4"/>
    <x v="4"/>
    <n v="8.99"/>
    <n v="0"/>
    <n v="0"/>
    <x v="1"/>
    <n v="2"/>
    <n v="1.3"/>
    <s v="Documentary"/>
  </r>
  <r>
    <s v="21a179f2-e450-4d64-a10f-439788529ba6"/>
    <n v="56"/>
    <s v="Male"/>
    <s v="Basic"/>
    <n v="6.72"/>
    <x v="30"/>
    <x v="3"/>
    <x v="2"/>
    <n v="8.99"/>
    <n v="0"/>
    <n v="0"/>
    <x v="2"/>
    <n v="2"/>
    <n v="3.36"/>
    <s v="Romance"/>
  </r>
  <r>
    <s v="16eef2bf-6be9-48c4-bc16-37c86a697011"/>
    <n v="35"/>
    <s v="Female"/>
    <s v="Premium"/>
    <n v="19.05"/>
    <x v="18"/>
    <x v="3"/>
    <x v="1"/>
    <n v="17.989999999999998"/>
    <n v="0"/>
    <n v="0"/>
    <x v="4"/>
    <n v="5"/>
    <n v="0.33"/>
    <s v="Action"/>
  </r>
  <r>
    <s v="f53ae566-c104-415c-a1f2-4e8e5e814603"/>
    <n v="38"/>
    <s v="Female"/>
    <s v="Premium"/>
    <n v="10.11"/>
    <x v="11"/>
    <x v="2"/>
    <x v="3"/>
    <n v="17.989999999999998"/>
    <n v="0"/>
    <n v="0"/>
    <x v="3"/>
    <n v="4"/>
    <n v="0.42"/>
    <s v="Action"/>
  </r>
  <r>
    <s v="22bb275c-104e-497a-b1eb-227b79c9a40b"/>
    <n v="22"/>
    <s v="Female"/>
    <s v="Basic"/>
    <n v="4.4000000000000004"/>
    <x v="8"/>
    <x v="1"/>
    <x v="0"/>
    <n v="8.99"/>
    <n v="1"/>
    <n v="8.99"/>
    <x v="1"/>
    <n v="5"/>
    <n v="0.13"/>
    <s v="Action"/>
  </r>
  <r>
    <s v="7ce95fbf-f28c-4734-b710-35650d1be437"/>
    <n v="68"/>
    <s v="Other"/>
    <s v="Basic"/>
    <n v="23.54"/>
    <x v="12"/>
    <x v="5"/>
    <x v="4"/>
    <n v="8.99"/>
    <n v="0"/>
    <n v="0"/>
    <x v="0"/>
    <n v="5"/>
    <n v="0.69"/>
    <s v="Action"/>
  </r>
  <r>
    <s v="f96cf079-d1d5-42bb-9878-4865d631dd13"/>
    <n v="46"/>
    <s v="Male"/>
    <s v="Basic"/>
    <n v="13.5"/>
    <x v="35"/>
    <x v="5"/>
    <x v="2"/>
    <n v="8.99"/>
    <n v="1"/>
    <n v="8.99"/>
    <x v="2"/>
    <n v="1"/>
    <n v="0.3"/>
    <s v="Drama"/>
  </r>
  <r>
    <s v="87d56579-1f8f-477f-a0bf-ab16a504a431"/>
    <n v="38"/>
    <s v="Male"/>
    <s v="Basic"/>
    <n v="11.77"/>
    <x v="52"/>
    <x v="0"/>
    <x v="0"/>
    <n v="8.99"/>
    <n v="1"/>
    <n v="8.99"/>
    <x v="4"/>
    <n v="5"/>
    <n v="0.24"/>
    <s v="Comedy"/>
  </r>
  <r>
    <s v="f640922d-1951-4e52-8d07-58299a016cf0"/>
    <n v="31"/>
    <s v="Male"/>
    <s v="Standard"/>
    <n v="8.85"/>
    <x v="59"/>
    <x v="3"/>
    <x v="4"/>
    <n v="13.99"/>
    <n v="0"/>
    <n v="0"/>
    <x v="0"/>
    <n v="1"/>
    <n v="1.47"/>
    <s v="Sci-Fi"/>
  </r>
  <r>
    <s v="7f4f807a-f985-419c-820c-17ecfd0e613a"/>
    <n v="64"/>
    <s v="Female"/>
    <s v="Standard"/>
    <n v="13.89"/>
    <x v="19"/>
    <x v="3"/>
    <x v="4"/>
    <n v="13.99"/>
    <n v="1"/>
    <n v="13.99"/>
    <x v="4"/>
    <n v="1"/>
    <n v="0.32"/>
    <s v="Documentary"/>
  </r>
  <r>
    <s v="32eb81b5-af6f-44d3-bc33-4de00ebe132d"/>
    <n v="42"/>
    <s v="Female"/>
    <s v="Standard"/>
    <n v="4.37"/>
    <x v="20"/>
    <x v="0"/>
    <x v="2"/>
    <n v="13.99"/>
    <n v="1"/>
    <n v="13.99"/>
    <x v="1"/>
    <n v="5"/>
    <n v="0.23"/>
    <s v="Horror"/>
  </r>
  <r>
    <s v="79b9c555-5d7f-401d-8ac8-a13fb0c5c1cf"/>
    <n v="51"/>
    <s v="Female"/>
    <s v="Standard"/>
    <n v="4.3499999999999996"/>
    <x v="35"/>
    <x v="3"/>
    <x v="2"/>
    <n v="13.99"/>
    <n v="1"/>
    <n v="13.99"/>
    <x v="0"/>
    <n v="1"/>
    <n v="0.1"/>
    <s v="Sci-Fi"/>
  </r>
  <r>
    <s v="d105d2bf-fcf9-44c6-b086-51c0d096dbb4"/>
    <n v="23"/>
    <s v="Male"/>
    <s v="Basic"/>
    <n v="1.81"/>
    <x v="25"/>
    <x v="1"/>
    <x v="2"/>
    <n v="8.99"/>
    <n v="0"/>
    <n v="0"/>
    <x v="1"/>
    <n v="5"/>
    <n v="1.81"/>
    <s v="Horror"/>
  </r>
  <r>
    <s v="42608df0-d58d-440c-8038-cc4f2352733f"/>
    <n v="56"/>
    <s v="Female"/>
    <s v="Premium"/>
    <n v="32.380000000000003"/>
    <x v="31"/>
    <x v="4"/>
    <x v="2"/>
    <n v="17.989999999999998"/>
    <n v="0"/>
    <n v="0"/>
    <x v="2"/>
    <n v="5"/>
    <n v="2.02"/>
    <s v="Comedy"/>
  </r>
  <r>
    <s v="557d44b5-24ef-4176-a0bc-33f51ec3c62a"/>
    <n v="59"/>
    <s v="Male"/>
    <s v="Standard"/>
    <n v="4.41"/>
    <x v="28"/>
    <x v="1"/>
    <x v="0"/>
    <n v="13.99"/>
    <n v="1"/>
    <n v="13.99"/>
    <x v="1"/>
    <n v="3"/>
    <n v="0.12"/>
    <s v="Romance"/>
  </r>
  <r>
    <s v="6119cd5f-25ae-468c-a4c8-0e86ce0da93f"/>
    <n v="20"/>
    <s v="Female"/>
    <s v="Premium"/>
    <n v="4.18"/>
    <x v="9"/>
    <x v="5"/>
    <x v="4"/>
    <n v="17.989999999999998"/>
    <n v="1"/>
    <n v="17.989999999999998"/>
    <x v="2"/>
    <n v="3"/>
    <n v="0.11"/>
    <s v="Documentary"/>
  </r>
  <r>
    <s v="01e0e04b-2235-4fb9-8fb9-973653881bd7"/>
    <n v="56"/>
    <s v="Male"/>
    <s v="Basic"/>
    <n v="7.39"/>
    <x v="23"/>
    <x v="4"/>
    <x v="1"/>
    <n v="8.99"/>
    <n v="1"/>
    <n v="8.99"/>
    <x v="2"/>
    <n v="1"/>
    <n v="0.14000000000000001"/>
    <s v="Comedy"/>
  </r>
  <r>
    <s v="a92b4d05-6e6e-435e-b8ab-ed160c1a0671"/>
    <n v="22"/>
    <s v="Male"/>
    <s v="Premium"/>
    <n v="0.77"/>
    <x v="0"/>
    <x v="5"/>
    <x v="3"/>
    <n v="17.989999999999998"/>
    <n v="1"/>
    <n v="17.989999999999998"/>
    <x v="2"/>
    <n v="1"/>
    <n v="0.03"/>
    <s v="Horror"/>
  </r>
  <r>
    <s v="8eedeb3b-2b2f-4fbf-8c78-78d95da51319"/>
    <n v="65"/>
    <s v="Other"/>
    <s v="Standard"/>
    <n v="2.92"/>
    <x v="30"/>
    <x v="0"/>
    <x v="0"/>
    <n v="13.99"/>
    <n v="0"/>
    <n v="0"/>
    <x v="4"/>
    <n v="5"/>
    <n v="1.46"/>
    <s v="Documentary"/>
  </r>
  <r>
    <s v="0de1d06b-e229-4173-ae8f-a5e2602c629a"/>
    <n v="40"/>
    <s v="Male"/>
    <s v="Standard"/>
    <n v="8.17"/>
    <x v="17"/>
    <x v="5"/>
    <x v="2"/>
    <n v="13.99"/>
    <n v="0"/>
    <n v="0"/>
    <x v="2"/>
    <n v="1"/>
    <n v="1.63"/>
    <s v="Documentary"/>
  </r>
  <r>
    <s v="7dd16f76-9942-47b6-ae7f-fe82db8b862c"/>
    <n v="27"/>
    <s v="Other"/>
    <s v="Premium"/>
    <n v="27.3"/>
    <x v="17"/>
    <x v="4"/>
    <x v="2"/>
    <n v="17.989999999999998"/>
    <n v="0"/>
    <n v="0"/>
    <x v="3"/>
    <n v="3"/>
    <n v="5.46"/>
    <s v="Drama"/>
  </r>
  <r>
    <s v="96fa01b4-dcd1-4b01-bff4-4c52bc6e55bf"/>
    <n v="66"/>
    <s v="Male"/>
    <s v="Premium"/>
    <n v="42.58"/>
    <x v="50"/>
    <x v="5"/>
    <x v="3"/>
    <n v="17.989999999999998"/>
    <n v="0"/>
    <n v="0"/>
    <x v="4"/>
    <n v="3"/>
    <n v="0.77"/>
    <s v="Romance"/>
  </r>
  <r>
    <s v="674799d1-2e7f-485b-bec5-b874a7d43a30"/>
    <n v="70"/>
    <s v="Other"/>
    <s v="Basic"/>
    <n v="7.97"/>
    <x v="37"/>
    <x v="1"/>
    <x v="3"/>
    <n v="8.99"/>
    <n v="1"/>
    <n v="8.99"/>
    <x v="0"/>
    <n v="2"/>
    <n v="0.32"/>
    <s v="Drama"/>
  </r>
  <r>
    <s v="e11b6d38-05be-4524-9735-a838b05d752b"/>
    <n v="22"/>
    <s v="Female"/>
    <s v="Premium"/>
    <n v="4.9800000000000004"/>
    <x v="25"/>
    <x v="4"/>
    <x v="0"/>
    <n v="17.989999999999998"/>
    <n v="0"/>
    <n v="0"/>
    <x v="3"/>
    <n v="5"/>
    <n v="4.9800000000000004"/>
    <s v="Drama"/>
  </r>
  <r>
    <s v="9efe5bf3-7810-450a-a05a-4dc4ad997e2a"/>
    <n v="64"/>
    <s v="Male"/>
    <s v="Premium"/>
    <n v="6.42"/>
    <x v="28"/>
    <x v="3"/>
    <x v="4"/>
    <n v="17.989999999999998"/>
    <n v="1"/>
    <n v="17.989999999999998"/>
    <x v="1"/>
    <n v="5"/>
    <n v="0.18"/>
    <s v="Sci-Fi"/>
  </r>
  <r>
    <s v="9e0064ca-ef2e-4133-92b6-baae9a0fbab5"/>
    <n v="58"/>
    <s v="Female"/>
    <s v="Premium"/>
    <n v="30.44"/>
    <x v="18"/>
    <x v="1"/>
    <x v="4"/>
    <n v="17.989999999999998"/>
    <n v="0"/>
    <n v="0"/>
    <x v="1"/>
    <n v="3"/>
    <n v="0.52"/>
    <s v="Documentary"/>
  </r>
  <r>
    <s v="88a98e69-9e49-4d28-98d7-1e0b1bce6138"/>
    <n v="58"/>
    <s v="Male"/>
    <s v="Premium"/>
    <n v="32.880000000000003"/>
    <x v="25"/>
    <x v="4"/>
    <x v="4"/>
    <n v="17.989999999999998"/>
    <n v="0"/>
    <n v="0"/>
    <x v="2"/>
    <n v="5"/>
    <n v="32.880000000000003"/>
    <s v="Romance"/>
  </r>
  <r>
    <s v="bf9da4d1-f789-4552-93e8-3b529290ed7d"/>
    <n v="29"/>
    <s v="Female"/>
    <s v="Basic"/>
    <n v="11.19"/>
    <x v="40"/>
    <x v="0"/>
    <x v="1"/>
    <n v="8.99"/>
    <n v="0"/>
    <n v="0"/>
    <x v="2"/>
    <n v="2"/>
    <n v="0.93"/>
    <s v="Comedy"/>
  </r>
  <r>
    <s v="93ffabf9-401d-4998-ba07-69b25693af8f"/>
    <n v="34"/>
    <s v="Male"/>
    <s v="Basic"/>
    <n v="1.77"/>
    <x v="2"/>
    <x v="0"/>
    <x v="2"/>
    <n v="8.99"/>
    <n v="1"/>
    <n v="8.99"/>
    <x v="4"/>
    <n v="2"/>
    <n v="0.16"/>
    <s v="Romance"/>
  </r>
  <r>
    <s v="7798c7b5-2c45-40bb-b512-c35124084997"/>
    <n v="58"/>
    <s v="Female"/>
    <s v="Premium"/>
    <n v="30.18"/>
    <x v="26"/>
    <x v="2"/>
    <x v="3"/>
    <n v="17.989999999999998"/>
    <n v="0"/>
    <n v="0"/>
    <x v="4"/>
    <n v="4"/>
    <n v="0.62"/>
    <s v="Horror"/>
  </r>
  <r>
    <s v="0cf9f5e9-d094-49c5-a870-c736b66720a1"/>
    <n v="62"/>
    <s v="Other"/>
    <s v="Standard"/>
    <n v="3.61"/>
    <x v="25"/>
    <x v="3"/>
    <x v="3"/>
    <n v="13.99"/>
    <n v="0"/>
    <n v="0"/>
    <x v="3"/>
    <n v="3"/>
    <n v="3.61"/>
    <s v="Romance"/>
  </r>
  <r>
    <s v="1d3013fb-2d20-4f30-b937-1df99dafb903"/>
    <n v="49"/>
    <s v="Other"/>
    <s v="Basic"/>
    <n v="0.59"/>
    <x v="29"/>
    <x v="1"/>
    <x v="0"/>
    <n v="8.99"/>
    <n v="1"/>
    <n v="8.99"/>
    <x v="0"/>
    <n v="2"/>
    <n v="0.01"/>
    <s v="Sci-Fi"/>
  </r>
  <r>
    <s v="fc43da7e-fdb4-4950-924d-1dea2738ae4c"/>
    <n v="47"/>
    <s v="Female"/>
    <s v="Standard"/>
    <n v="7.04"/>
    <x v="8"/>
    <x v="3"/>
    <x v="2"/>
    <n v="13.99"/>
    <n v="1"/>
    <n v="13.99"/>
    <x v="3"/>
    <n v="2"/>
    <n v="0.2"/>
    <s v="Action"/>
  </r>
  <r>
    <s v="e832c2fc-cd6b-419d-8c4c-e3c2a995c0da"/>
    <n v="38"/>
    <s v="Male"/>
    <s v="Premium"/>
    <n v="0.47"/>
    <x v="26"/>
    <x v="4"/>
    <x v="3"/>
    <n v="17.989999999999998"/>
    <n v="1"/>
    <n v="17.989999999999998"/>
    <x v="3"/>
    <n v="3"/>
    <n v="0.01"/>
    <s v="Horror"/>
  </r>
  <r>
    <s v="d4d09568-7425-484c-876a-0d23fbd58db7"/>
    <n v="23"/>
    <s v="Other"/>
    <s v="Premium"/>
    <n v="0.24"/>
    <x v="11"/>
    <x v="2"/>
    <x v="1"/>
    <n v="17.989999999999998"/>
    <n v="1"/>
    <n v="17.989999999999998"/>
    <x v="3"/>
    <n v="2"/>
    <n v="0.01"/>
    <s v="Horror"/>
  </r>
  <r>
    <s v="bad0e971-e8d5-4e75-979b-1663960b5f7f"/>
    <n v="46"/>
    <s v="Female"/>
    <s v="Premium"/>
    <n v="34.32"/>
    <x v="8"/>
    <x v="4"/>
    <x v="3"/>
    <n v="17.989999999999998"/>
    <n v="0"/>
    <n v="0"/>
    <x v="4"/>
    <n v="5"/>
    <n v="0.98"/>
    <s v="Action"/>
  </r>
  <r>
    <s v="d670c278-b9ea-43fc-b638-8a136c66a9d0"/>
    <n v="47"/>
    <s v="Other"/>
    <s v="Standard"/>
    <n v="42.79"/>
    <x v="46"/>
    <x v="1"/>
    <x v="0"/>
    <n v="13.99"/>
    <n v="0"/>
    <n v="0"/>
    <x v="2"/>
    <n v="1"/>
    <n v="14.26"/>
    <s v="Drama"/>
  </r>
  <r>
    <s v="9064a593-c430-4ce4-be40-2fce743f1440"/>
    <n v="64"/>
    <s v="Male"/>
    <s v="Standard"/>
    <n v="7.6"/>
    <x v="35"/>
    <x v="0"/>
    <x v="2"/>
    <n v="13.99"/>
    <n v="1"/>
    <n v="13.99"/>
    <x v="2"/>
    <n v="1"/>
    <n v="0.17"/>
    <s v="Drama"/>
  </r>
  <r>
    <s v="3513193b-7a3b-4f79-8c6c-0fdeec771f7c"/>
    <n v="60"/>
    <s v="Other"/>
    <s v="Premium"/>
    <n v="8.4"/>
    <x v="23"/>
    <x v="1"/>
    <x v="0"/>
    <n v="17.989999999999998"/>
    <n v="1"/>
    <n v="17.989999999999998"/>
    <x v="4"/>
    <n v="2"/>
    <n v="0.16"/>
    <s v="Documentary"/>
  </r>
  <r>
    <s v="b906246e-44aa-441f-85c5-fc2aa946b0cb"/>
    <n v="59"/>
    <s v="Female"/>
    <s v="Standard"/>
    <n v="29.55"/>
    <x v="25"/>
    <x v="4"/>
    <x v="2"/>
    <n v="13.99"/>
    <n v="0"/>
    <n v="0"/>
    <x v="1"/>
    <n v="5"/>
    <n v="29.55"/>
    <s v="Romance"/>
  </r>
  <r>
    <s v="05b8250f-403e-455e-8588-acfd28455970"/>
    <n v="18"/>
    <s v="Female"/>
    <s v="Standard"/>
    <n v="6.99"/>
    <x v="44"/>
    <x v="0"/>
    <x v="3"/>
    <n v="13.99"/>
    <n v="1"/>
    <n v="13.99"/>
    <x v="1"/>
    <n v="5"/>
    <n v="0.15"/>
    <s v="Comedy"/>
  </r>
  <r>
    <s v="43fb462c-015a-4412-ab1e-61798120a503"/>
    <n v="61"/>
    <s v="Female"/>
    <s v="Premium"/>
    <n v="0.78"/>
    <x v="12"/>
    <x v="5"/>
    <x v="0"/>
    <n v="17.989999999999998"/>
    <n v="1"/>
    <n v="17.989999999999998"/>
    <x v="3"/>
    <n v="5"/>
    <n v="0.02"/>
    <s v="Sci-Fi"/>
  </r>
  <r>
    <s v="5e9407b5-aba7-4f9b-a6ce-7c7d5b22d0c1"/>
    <n v="65"/>
    <s v="Male"/>
    <s v="Premium"/>
    <n v="31.99"/>
    <x v="18"/>
    <x v="2"/>
    <x v="1"/>
    <n v="17.989999999999998"/>
    <n v="0"/>
    <n v="0"/>
    <x v="3"/>
    <n v="2"/>
    <n v="0.55000000000000004"/>
    <s v="Action"/>
  </r>
  <r>
    <s v="079d4971-f869-4eb4-9d75-a43a98c3df95"/>
    <n v="48"/>
    <s v="Male"/>
    <s v="Standard"/>
    <n v="6.71"/>
    <x v="44"/>
    <x v="5"/>
    <x v="4"/>
    <n v="13.99"/>
    <n v="1"/>
    <n v="13.99"/>
    <x v="3"/>
    <n v="2"/>
    <n v="0.14000000000000001"/>
    <s v="Drama"/>
  </r>
  <r>
    <s v="1e25499f-f040-4626-b6d9-a923812d8aa1"/>
    <n v="22"/>
    <s v="Female"/>
    <s v="Premium"/>
    <n v="14.35"/>
    <x v="30"/>
    <x v="1"/>
    <x v="2"/>
    <n v="17.989999999999998"/>
    <n v="0"/>
    <n v="0"/>
    <x v="4"/>
    <n v="5"/>
    <n v="7.17"/>
    <s v="Sci-Fi"/>
  </r>
  <r>
    <s v="1ce4b8f6-4a3b-433e-b6df-03b90ab10530"/>
    <n v="39"/>
    <s v="Male"/>
    <s v="Basic"/>
    <n v="6.04"/>
    <x v="42"/>
    <x v="1"/>
    <x v="3"/>
    <n v="8.99"/>
    <n v="1"/>
    <n v="8.99"/>
    <x v="0"/>
    <n v="2"/>
    <n v="0.16"/>
    <s v="Documentary"/>
  </r>
  <r>
    <s v="04c15b59-8639-4ca1-a09c-b3cdf6cd26e9"/>
    <n v="29"/>
    <s v="Female"/>
    <s v="Premium"/>
    <n v="8.8699999999999992"/>
    <x v="45"/>
    <x v="1"/>
    <x v="1"/>
    <n v="17.989999999999998"/>
    <n v="1"/>
    <n v="17.989999999999998"/>
    <x v="2"/>
    <n v="3"/>
    <n v="0.21"/>
    <s v="Horror"/>
  </r>
  <r>
    <s v="9c9bcf2e-647a-4b9f-a950-dbec36feafd2"/>
    <n v="50"/>
    <s v="Male"/>
    <s v="Basic"/>
    <n v="20.96"/>
    <x v="15"/>
    <x v="4"/>
    <x v="0"/>
    <n v="8.99"/>
    <n v="0"/>
    <n v="0"/>
    <x v="1"/>
    <n v="2"/>
    <n v="0.51"/>
    <s v="Sci-Fi"/>
  </r>
  <r>
    <s v="b7b3766d-a554-4590-930c-4fac22ad5609"/>
    <n v="65"/>
    <s v="Female"/>
    <s v="Basic"/>
    <n v="1.64"/>
    <x v="19"/>
    <x v="0"/>
    <x v="4"/>
    <n v="8.99"/>
    <n v="1"/>
    <n v="8.99"/>
    <x v="0"/>
    <n v="1"/>
    <n v="0.04"/>
    <s v="Comedy"/>
  </r>
  <r>
    <s v="a7bce00c-ce93-4774-b7aa-19c634036995"/>
    <n v="63"/>
    <s v="Other"/>
    <s v="Premium"/>
    <n v="51.75"/>
    <x v="41"/>
    <x v="2"/>
    <x v="0"/>
    <n v="17.989999999999998"/>
    <n v="0"/>
    <n v="0"/>
    <x v="1"/>
    <n v="1"/>
    <n v="1.67"/>
    <s v="Horror"/>
  </r>
  <r>
    <s v="22576ce0-1d98-41da-818e-272c0718c042"/>
    <n v="43"/>
    <s v="Other"/>
    <s v="Standard"/>
    <n v="5.12"/>
    <x v="5"/>
    <x v="4"/>
    <x v="1"/>
    <n v="13.99"/>
    <n v="0"/>
    <n v="0"/>
    <x v="2"/>
    <n v="5"/>
    <n v="0.19"/>
    <s v="Documentary"/>
  </r>
  <r>
    <s v="0d2a0b24-a292-4470-b7b3-ef99948c12ed"/>
    <n v="46"/>
    <s v="Other"/>
    <s v="Premium"/>
    <n v="10.37"/>
    <x v="8"/>
    <x v="1"/>
    <x v="0"/>
    <n v="17.989999999999998"/>
    <n v="1"/>
    <n v="17.989999999999998"/>
    <x v="2"/>
    <n v="1"/>
    <n v="0.3"/>
    <s v="Drama"/>
  </r>
  <r>
    <s v="682fdf52-1ebf-4d53-a4b0-141a586bd183"/>
    <n v="39"/>
    <s v="Female"/>
    <s v="Basic"/>
    <n v="2.44"/>
    <x v="19"/>
    <x v="0"/>
    <x v="4"/>
    <n v="8.99"/>
    <n v="1"/>
    <n v="8.99"/>
    <x v="4"/>
    <n v="5"/>
    <n v="0.06"/>
    <s v="Documentary"/>
  </r>
  <r>
    <s v="7e3cf4e1-5524-4c58-9e6f-181025287358"/>
    <n v="33"/>
    <s v="Other"/>
    <s v="Premium"/>
    <n v="1.97"/>
    <x v="57"/>
    <x v="1"/>
    <x v="2"/>
    <n v="17.989999999999998"/>
    <n v="1"/>
    <n v="17.989999999999998"/>
    <x v="2"/>
    <n v="2"/>
    <n v="0.03"/>
    <s v="Sci-Fi"/>
  </r>
  <r>
    <s v="7dc4b049-4b46-484c-8424-bdcc319c961a"/>
    <n v="54"/>
    <s v="Male"/>
    <s v="Basic"/>
    <n v="2.41"/>
    <x v="20"/>
    <x v="2"/>
    <x v="3"/>
    <n v="8.99"/>
    <n v="1"/>
    <n v="8.99"/>
    <x v="4"/>
    <n v="2"/>
    <n v="0.13"/>
    <s v="Action"/>
  </r>
  <r>
    <s v="778255d3-5584-4006-8e97-c9256d319ebe"/>
    <n v="50"/>
    <s v="Other"/>
    <s v="Standard"/>
    <n v="4.03"/>
    <x v="30"/>
    <x v="4"/>
    <x v="2"/>
    <n v="13.99"/>
    <n v="0"/>
    <n v="0"/>
    <x v="0"/>
    <n v="1"/>
    <n v="2.02"/>
    <s v="Horror"/>
  </r>
  <r>
    <s v="c2228620-0aeb-4528-9afb-6c5acf3a4584"/>
    <n v="50"/>
    <s v="Female"/>
    <s v="Premium"/>
    <n v="19.010000000000002"/>
    <x v="21"/>
    <x v="2"/>
    <x v="0"/>
    <n v="17.989999999999998"/>
    <n v="0"/>
    <n v="0"/>
    <x v="3"/>
    <n v="1"/>
    <n v="2.72"/>
    <s v="Action"/>
  </r>
  <r>
    <s v="c9fe7a97-ae87-4846-99cc-dffc804d029e"/>
    <n v="49"/>
    <s v="Other"/>
    <s v="Standard"/>
    <n v="2.33"/>
    <x v="45"/>
    <x v="3"/>
    <x v="3"/>
    <n v="13.99"/>
    <n v="1"/>
    <n v="13.99"/>
    <x v="1"/>
    <n v="4"/>
    <n v="0.06"/>
    <s v="Action"/>
  </r>
  <r>
    <s v="70b56f5e-a3c0-404d-99d8-7aa2814b5a4d"/>
    <n v="35"/>
    <s v="Female"/>
    <s v="Basic"/>
    <n v="30.91"/>
    <x v="11"/>
    <x v="1"/>
    <x v="0"/>
    <n v="8.99"/>
    <n v="0"/>
    <n v="0"/>
    <x v="3"/>
    <n v="5"/>
    <n v="1.29"/>
    <s v="Comedy"/>
  </r>
  <r>
    <s v="95fb8941-2b7c-429c-a1d6-d142fcebae4b"/>
    <n v="18"/>
    <s v="Female"/>
    <s v="Standard"/>
    <n v="1.59"/>
    <x v="2"/>
    <x v="4"/>
    <x v="3"/>
    <n v="13.99"/>
    <n v="1"/>
    <n v="13.99"/>
    <x v="0"/>
    <n v="3"/>
    <n v="0.14000000000000001"/>
    <s v="Documentary"/>
  </r>
  <r>
    <s v="d0eea795-1f4e-4edb-9bd6-d37816cef777"/>
    <n v="18"/>
    <s v="Female"/>
    <s v="Standard"/>
    <n v="1.48"/>
    <x v="16"/>
    <x v="1"/>
    <x v="3"/>
    <n v="13.99"/>
    <n v="0"/>
    <n v="0"/>
    <x v="2"/>
    <n v="4"/>
    <n v="0.05"/>
    <s v="Sci-Fi"/>
  </r>
  <r>
    <s v="c8778c91-31b9-4288-8522-0fc97992be4e"/>
    <n v="28"/>
    <s v="Female"/>
    <s v="Basic"/>
    <n v="9.1999999999999993"/>
    <x v="13"/>
    <x v="2"/>
    <x v="0"/>
    <n v="8.99"/>
    <n v="0"/>
    <n v="0"/>
    <x v="3"/>
    <n v="2"/>
    <n v="1.1499999999999999"/>
    <s v="Comedy"/>
  </r>
  <r>
    <s v="21a219c6-4cd0-4da5-aea7-20e42999e21a"/>
    <n v="18"/>
    <s v="Other"/>
    <s v="Basic"/>
    <n v="12.33"/>
    <x v="39"/>
    <x v="5"/>
    <x v="4"/>
    <n v="8.99"/>
    <n v="0"/>
    <n v="0"/>
    <x v="3"/>
    <n v="5"/>
    <n v="0.54"/>
    <s v="Comedy"/>
  </r>
  <r>
    <s v="5561ccd8-e146-49f5-8565-f3592b99c120"/>
    <n v="57"/>
    <s v="Male"/>
    <s v="Standard"/>
    <n v="1.24"/>
    <x v="42"/>
    <x v="1"/>
    <x v="3"/>
    <n v="13.99"/>
    <n v="1"/>
    <n v="13.99"/>
    <x v="0"/>
    <n v="2"/>
    <n v="0.03"/>
    <s v="Drama"/>
  </r>
  <r>
    <s v="702ab0a5-683f-47fa-b391-95acd2d54a89"/>
    <n v="51"/>
    <s v="Other"/>
    <s v="Basic"/>
    <n v="0.3"/>
    <x v="56"/>
    <x v="2"/>
    <x v="0"/>
    <n v="8.99"/>
    <n v="1"/>
    <n v="8.99"/>
    <x v="1"/>
    <n v="2"/>
    <n v="0.01"/>
    <s v="Horror"/>
  </r>
  <r>
    <s v="1f1887b9-f6a0-4e02-bdde-ca416a4c59ed"/>
    <n v="65"/>
    <s v="Male"/>
    <s v="Basic"/>
    <n v="24.31"/>
    <x v="33"/>
    <x v="1"/>
    <x v="3"/>
    <n v="8.99"/>
    <n v="0"/>
    <n v="0"/>
    <x v="1"/>
    <n v="4"/>
    <n v="0.93"/>
    <s v="Horror"/>
  </r>
  <r>
    <s v="4441c4ff-a006-4c5a-98d4-31e630b35f3c"/>
    <n v="22"/>
    <s v="Male"/>
    <s v="Standard"/>
    <n v="13.64"/>
    <x v="20"/>
    <x v="5"/>
    <x v="1"/>
    <n v="13.99"/>
    <n v="0"/>
    <n v="0"/>
    <x v="2"/>
    <n v="4"/>
    <n v="0.72"/>
    <s v="Documentary"/>
  </r>
  <r>
    <s v="f74ff24c-51f6-475d-bf10-78327965060f"/>
    <n v="59"/>
    <s v="Other"/>
    <s v="Premium"/>
    <n v="4.17"/>
    <x v="30"/>
    <x v="4"/>
    <x v="3"/>
    <n v="17.989999999999998"/>
    <n v="0"/>
    <n v="0"/>
    <x v="2"/>
    <n v="4"/>
    <n v="2.08"/>
    <s v="Comedy"/>
  </r>
  <r>
    <s v="fb637754-0acb-469f-adc6-8f653eb28048"/>
    <n v="29"/>
    <s v="Female"/>
    <s v="Premium"/>
    <n v="9.33"/>
    <x v="49"/>
    <x v="1"/>
    <x v="1"/>
    <n v="17.989999999999998"/>
    <n v="0"/>
    <n v="0"/>
    <x v="3"/>
    <n v="5"/>
    <n v="0.93"/>
    <s v="Horror"/>
  </r>
  <r>
    <s v="82c7d813-e397-4de4-8100-fc27da80fd7f"/>
    <n v="59"/>
    <s v="Male"/>
    <s v="Premium"/>
    <n v="31.05"/>
    <x v="47"/>
    <x v="5"/>
    <x v="1"/>
    <n v="17.989999999999998"/>
    <n v="0"/>
    <n v="0"/>
    <x v="4"/>
    <n v="5"/>
    <n v="7.76"/>
    <s v="Action"/>
  </r>
  <r>
    <s v="0f1b36d1-4484-445c-b533-065818d12a59"/>
    <n v="19"/>
    <s v="Male"/>
    <s v="Premium"/>
    <n v="3.28"/>
    <x v="41"/>
    <x v="4"/>
    <x v="4"/>
    <n v="17.989999999999998"/>
    <n v="1"/>
    <n v="17.989999999999998"/>
    <x v="1"/>
    <n v="5"/>
    <n v="0.11"/>
    <s v="Drama"/>
  </r>
  <r>
    <s v="3bd93596-85f5-4e95-bd11-1c6f0b3cd87d"/>
    <n v="61"/>
    <s v="Female"/>
    <s v="Standard"/>
    <n v="30"/>
    <x v="34"/>
    <x v="5"/>
    <x v="1"/>
    <n v="13.99"/>
    <n v="0"/>
    <n v="0"/>
    <x v="4"/>
    <n v="2"/>
    <n v="0.59"/>
    <s v="Comedy"/>
  </r>
  <r>
    <s v="a5d3af2e-027f-4ff1-811c-5b08b95aa234"/>
    <n v="34"/>
    <s v="Male"/>
    <s v="Basic"/>
    <n v="11.2"/>
    <x v="26"/>
    <x v="0"/>
    <x v="3"/>
    <n v="8.99"/>
    <n v="1"/>
    <n v="8.99"/>
    <x v="1"/>
    <n v="4"/>
    <n v="0.23"/>
    <s v="Comedy"/>
  </r>
  <r>
    <s v="2d38083f-cfad-40b3-8343-c572f3d841d8"/>
    <n v="23"/>
    <s v="Male"/>
    <s v="Standard"/>
    <n v="23.96"/>
    <x v="14"/>
    <x v="3"/>
    <x v="2"/>
    <n v="13.99"/>
    <n v="0"/>
    <n v="0"/>
    <x v="4"/>
    <n v="5"/>
    <n v="0.73"/>
    <s v="Documentary"/>
  </r>
  <r>
    <s v="a954f81c-754f-4b5b-bf48-510a882ae1e6"/>
    <n v="66"/>
    <s v="Female"/>
    <s v="Basic"/>
    <n v="0.74"/>
    <x v="16"/>
    <x v="3"/>
    <x v="1"/>
    <n v="8.99"/>
    <n v="1"/>
    <n v="8.99"/>
    <x v="1"/>
    <n v="3"/>
    <n v="0.03"/>
    <s v="Action"/>
  </r>
  <r>
    <s v="94efcb70-ed00-4597-ad2b-cb64e70c3fac"/>
    <n v="59"/>
    <s v="Male"/>
    <s v="Standard"/>
    <n v="9.77"/>
    <x v="41"/>
    <x v="1"/>
    <x v="0"/>
    <n v="13.99"/>
    <n v="0"/>
    <n v="0"/>
    <x v="4"/>
    <n v="5"/>
    <n v="0.32"/>
    <s v="Comedy"/>
  </r>
  <r>
    <s v="6e4d182d-a3ce-4477-bc55-af71b882893a"/>
    <n v="22"/>
    <s v="Female"/>
    <s v="Premium"/>
    <n v="5.64"/>
    <x v="0"/>
    <x v="3"/>
    <x v="3"/>
    <n v="17.989999999999998"/>
    <n v="0"/>
    <n v="0"/>
    <x v="2"/>
    <n v="1"/>
    <n v="0.19"/>
    <s v="Comedy"/>
  </r>
  <r>
    <s v="135cfb15-52a8-4e74-8383-7a65f8c1bd7c"/>
    <n v="62"/>
    <s v="Female"/>
    <s v="Basic"/>
    <n v="6.69"/>
    <x v="41"/>
    <x v="0"/>
    <x v="1"/>
    <n v="8.99"/>
    <n v="1"/>
    <n v="8.99"/>
    <x v="0"/>
    <n v="1"/>
    <n v="0.22"/>
    <s v="Comedy"/>
  </r>
  <r>
    <s v="c013d89c-ded5-477f-a7a1-82f17a4bc821"/>
    <n v="44"/>
    <s v="Female"/>
    <s v="Premium"/>
    <n v="18.89"/>
    <x v="40"/>
    <x v="0"/>
    <x v="2"/>
    <n v="17.989999999999998"/>
    <n v="0"/>
    <n v="0"/>
    <x v="3"/>
    <n v="1"/>
    <n v="1.57"/>
    <s v="Documentary"/>
  </r>
  <r>
    <s v="d202349e-dd45-42e7-84a9-fa604082763f"/>
    <n v="65"/>
    <s v="Female"/>
    <s v="Basic"/>
    <n v="26.98"/>
    <x v="25"/>
    <x v="4"/>
    <x v="0"/>
    <n v="8.99"/>
    <n v="0"/>
    <n v="0"/>
    <x v="2"/>
    <n v="2"/>
    <n v="26.98"/>
    <s v="Romance"/>
  </r>
  <r>
    <s v="fd689478-3167-465d-b35c-2f2238dec6b1"/>
    <n v="31"/>
    <s v="Other"/>
    <s v="Premium"/>
    <n v="16.79"/>
    <x v="53"/>
    <x v="1"/>
    <x v="4"/>
    <n v="17.989999999999998"/>
    <n v="1"/>
    <n v="17.989999999999998"/>
    <x v="0"/>
    <n v="1"/>
    <n v="0.39"/>
    <s v="Drama"/>
  </r>
  <r>
    <s v="f05696ed-c46f-44f2-9356-17a9b6de2f88"/>
    <n v="53"/>
    <s v="Other"/>
    <s v="Premium"/>
    <n v="7.79"/>
    <x v="30"/>
    <x v="0"/>
    <x v="0"/>
    <n v="17.989999999999998"/>
    <n v="0"/>
    <n v="0"/>
    <x v="0"/>
    <n v="1"/>
    <n v="3.9"/>
    <s v="Sci-Fi"/>
  </r>
  <r>
    <s v="ef22bb3e-f5d3-495a-9e74-c6589bd524fb"/>
    <n v="28"/>
    <s v="Female"/>
    <s v="Standard"/>
    <n v="25.72"/>
    <x v="57"/>
    <x v="1"/>
    <x v="4"/>
    <n v="13.99"/>
    <n v="0"/>
    <n v="0"/>
    <x v="1"/>
    <n v="3"/>
    <n v="0.42"/>
    <s v="Comedy"/>
  </r>
  <r>
    <s v="4213e867-3c80-4fd0-b3c6-e2541d2c96ed"/>
    <n v="58"/>
    <s v="Female"/>
    <s v="Premium"/>
    <n v="2.91"/>
    <x v="51"/>
    <x v="2"/>
    <x v="4"/>
    <n v="17.989999999999998"/>
    <n v="1"/>
    <n v="17.989999999999998"/>
    <x v="1"/>
    <n v="1"/>
    <n v="0.16"/>
    <s v="Comedy"/>
  </r>
  <r>
    <s v="c07e896d-752f-4841-9fa4-aa8c9ed4acf5"/>
    <n v="36"/>
    <s v="Female"/>
    <s v="Premium"/>
    <n v="13.32"/>
    <x v="29"/>
    <x v="4"/>
    <x v="1"/>
    <n v="17.989999999999998"/>
    <n v="1"/>
    <n v="17.989999999999998"/>
    <x v="4"/>
    <n v="2"/>
    <n v="0.28999999999999998"/>
    <s v="Documentary"/>
  </r>
  <r>
    <s v="faaf8bca-8e08-486c-8968-51c445f22219"/>
    <n v="66"/>
    <s v="Other"/>
    <s v="Premium"/>
    <n v="0.15"/>
    <x v="35"/>
    <x v="4"/>
    <x v="4"/>
    <n v="17.989999999999998"/>
    <n v="1"/>
    <n v="17.989999999999998"/>
    <x v="4"/>
    <n v="1"/>
    <n v="0"/>
    <s v="Comedy"/>
  </r>
  <r>
    <s v="1abb50cc-2669-4928-88c7-d4ab9d4c4481"/>
    <n v="57"/>
    <s v="Other"/>
    <s v="Basic"/>
    <n v="4.59"/>
    <x v="50"/>
    <x v="0"/>
    <x v="0"/>
    <n v="8.99"/>
    <n v="1"/>
    <n v="8.99"/>
    <x v="3"/>
    <n v="4"/>
    <n v="0.08"/>
    <s v="Documentary"/>
  </r>
  <r>
    <s v="ebcedfc0-ae7b-4860-ad1e-3546b9425f43"/>
    <n v="47"/>
    <s v="Other"/>
    <s v="Basic"/>
    <n v="39.78"/>
    <x v="27"/>
    <x v="4"/>
    <x v="1"/>
    <n v="8.99"/>
    <n v="0"/>
    <n v="0"/>
    <x v="3"/>
    <n v="2"/>
    <n v="2.34"/>
    <s v="Comedy"/>
  </r>
  <r>
    <s v="0e09d94c-15d8-4621-bb91-7439249d7087"/>
    <n v="67"/>
    <s v="Male"/>
    <s v="Standard"/>
    <n v="10.29"/>
    <x v="35"/>
    <x v="3"/>
    <x v="4"/>
    <n v="13.99"/>
    <n v="1"/>
    <n v="13.99"/>
    <x v="3"/>
    <n v="2"/>
    <n v="0.23"/>
    <s v="Comedy"/>
  </r>
  <r>
    <s v="ac7d370b-5d58-4576-b476-0b9bc78e8750"/>
    <n v="33"/>
    <s v="Male"/>
    <s v="Standard"/>
    <n v="14.5"/>
    <x v="57"/>
    <x v="5"/>
    <x v="3"/>
    <n v="13.99"/>
    <n v="0"/>
    <n v="0"/>
    <x v="3"/>
    <n v="4"/>
    <n v="0.24"/>
    <s v="Action"/>
  </r>
  <r>
    <s v="4b38a420-d599-48b2-9b49-b4d3ddfa370b"/>
    <n v="22"/>
    <s v="Male"/>
    <s v="Premium"/>
    <n v="33.82"/>
    <x v="33"/>
    <x v="0"/>
    <x v="2"/>
    <n v="17.989999999999998"/>
    <n v="0"/>
    <n v="0"/>
    <x v="3"/>
    <n v="5"/>
    <n v="1.3"/>
    <s v="Drama"/>
  </r>
  <r>
    <s v="068d3ec3-4558-4ce6-9c85-06f657b6bd3f"/>
    <n v="19"/>
    <s v="Other"/>
    <s v="Standard"/>
    <n v="13.27"/>
    <x v="28"/>
    <x v="5"/>
    <x v="1"/>
    <n v="13.99"/>
    <n v="0"/>
    <n v="0"/>
    <x v="2"/>
    <n v="4"/>
    <n v="0.37"/>
    <s v="Sci-Fi"/>
  </r>
  <r>
    <s v="ca2c759f-eb04-494f-8fc1-cd125bf44244"/>
    <n v="42"/>
    <s v="Female"/>
    <s v="Premium"/>
    <n v="2.2200000000000002"/>
    <x v="15"/>
    <x v="1"/>
    <x v="2"/>
    <n v="17.989999999999998"/>
    <n v="1"/>
    <n v="17.989999999999998"/>
    <x v="4"/>
    <n v="1"/>
    <n v="0.05"/>
    <s v="Comedy"/>
  </r>
  <r>
    <s v="04bde8d7-e8ac-4858-811e-4d2ed879f3b2"/>
    <n v="23"/>
    <s v="Male"/>
    <s v="Basic"/>
    <n v="17.27"/>
    <x v="2"/>
    <x v="1"/>
    <x v="0"/>
    <n v="8.99"/>
    <n v="0"/>
    <n v="0"/>
    <x v="3"/>
    <n v="4"/>
    <n v="1.57"/>
    <s v="Romance"/>
  </r>
  <r>
    <s v="731179a6-acc0-4d35-8dff-4ab8a6a427d0"/>
    <n v="23"/>
    <s v="Male"/>
    <s v="Premium"/>
    <n v="4.93"/>
    <x v="10"/>
    <x v="0"/>
    <x v="3"/>
    <n v="17.989999999999998"/>
    <n v="1"/>
    <n v="17.989999999999998"/>
    <x v="2"/>
    <n v="4"/>
    <n v="0.13"/>
    <s v="Action"/>
  </r>
  <r>
    <s v="ea275892-9e6a-4ea7-bff4-2fd8e8b52e9a"/>
    <n v="61"/>
    <s v="Other"/>
    <s v="Basic"/>
    <n v="4.71"/>
    <x v="60"/>
    <x v="3"/>
    <x v="1"/>
    <n v="8.99"/>
    <n v="1"/>
    <n v="8.99"/>
    <x v="1"/>
    <n v="2"/>
    <n v="0.52"/>
    <s v="Action"/>
  </r>
  <r>
    <s v="a2405e26-4977-4666-96f0-555b63ef33f5"/>
    <n v="20"/>
    <s v="Female"/>
    <s v="Standard"/>
    <n v="2.4300000000000002"/>
    <x v="26"/>
    <x v="4"/>
    <x v="1"/>
    <n v="13.99"/>
    <n v="1"/>
    <n v="13.99"/>
    <x v="2"/>
    <n v="4"/>
    <n v="0.05"/>
    <s v="Sci-Fi"/>
  </r>
  <r>
    <s v="3585efe7-1d69-4db5-ac08-839a0e8df609"/>
    <n v="56"/>
    <s v="Female"/>
    <s v="Basic"/>
    <n v="2.86"/>
    <x v="56"/>
    <x v="2"/>
    <x v="0"/>
    <n v="8.99"/>
    <n v="1"/>
    <n v="8.99"/>
    <x v="1"/>
    <n v="3"/>
    <n v="0.05"/>
    <s v="Romance"/>
  </r>
  <r>
    <s v="9fd6430d-c973-4120-8dc5-d4f4bd8b2973"/>
    <n v="61"/>
    <s v="Male"/>
    <s v="Standard"/>
    <n v="2.19"/>
    <x v="26"/>
    <x v="0"/>
    <x v="2"/>
    <n v="13.99"/>
    <n v="1"/>
    <n v="13.99"/>
    <x v="3"/>
    <n v="3"/>
    <n v="0.04"/>
    <s v="Documentary"/>
  </r>
  <r>
    <s v="535accfb-6771-4dc9-98aa-94a627c9d53a"/>
    <n v="50"/>
    <s v="Male"/>
    <s v="Basic"/>
    <n v="4.46"/>
    <x v="43"/>
    <x v="4"/>
    <x v="2"/>
    <n v="8.99"/>
    <n v="1"/>
    <n v="8.99"/>
    <x v="1"/>
    <n v="5"/>
    <n v="0.14000000000000001"/>
    <s v="Documentary"/>
  </r>
  <r>
    <s v="e90ac329-d5ca-425a-8ee5-e4d465f17cf1"/>
    <n v="31"/>
    <s v="Male"/>
    <s v="Standard"/>
    <n v="10.69"/>
    <x v="6"/>
    <x v="0"/>
    <x v="4"/>
    <n v="13.99"/>
    <n v="0"/>
    <n v="0"/>
    <x v="0"/>
    <n v="4"/>
    <n v="0.51"/>
    <s v="Comedy"/>
  </r>
  <r>
    <s v="a69c4c3d-1d84-4a11-afbf-096c2d9d4746"/>
    <n v="59"/>
    <s v="Other"/>
    <s v="Basic"/>
    <n v="8.26"/>
    <x v="36"/>
    <x v="0"/>
    <x v="0"/>
    <n v="8.99"/>
    <n v="1"/>
    <n v="8.99"/>
    <x v="3"/>
    <n v="1"/>
    <n v="0.21"/>
    <s v="Comedy"/>
  </r>
  <r>
    <s v="089923b3-af5c-4e4d-a9ae-44fdc09c96ed"/>
    <n v="23"/>
    <s v="Other"/>
    <s v="Premium"/>
    <n v="4.05"/>
    <x v="2"/>
    <x v="2"/>
    <x v="1"/>
    <n v="17.989999999999998"/>
    <n v="1"/>
    <n v="17.989999999999998"/>
    <x v="3"/>
    <n v="1"/>
    <n v="0.37"/>
    <s v="Sci-Fi"/>
  </r>
  <r>
    <s v="bb281009-8f9e-4de8-a2be-18ead738858e"/>
    <n v="40"/>
    <s v="Male"/>
    <s v="Standard"/>
    <n v="1.1100000000000001"/>
    <x v="6"/>
    <x v="1"/>
    <x v="4"/>
    <n v="13.99"/>
    <n v="1"/>
    <n v="13.99"/>
    <x v="3"/>
    <n v="1"/>
    <n v="0.05"/>
    <s v="Horror"/>
  </r>
  <r>
    <s v="4faf647b-445b-40e8-a4cc-322e3c0cf8c1"/>
    <n v="41"/>
    <s v="Other"/>
    <s v="Standard"/>
    <n v="6.01"/>
    <x v="32"/>
    <x v="4"/>
    <x v="2"/>
    <n v="13.99"/>
    <n v="0"/>
    <n v="0"/>
    <x v="0"/>
    <n v="2"/>
    <n v="0.4"/>
    <s v="Horror"/>
  </r>
  <r>
    <s v="5e0c466c-778c-4fc4-959f-c9c585c28e03"/>
    <n v="62"/>
    <s v="Female"/>
    <s v="Standard"/>
    <n v="1.1200000000000001"/>
    <x v="53"/>
    <x v="2"/>
    <x v="0"/>
    <n v="13.99"/>
    <n v="1"/>
    <n v="13.99"/>
    <x v="4"/>
    <n v="1"/>
    <n v="0.03"/>
    <s v="Sci-Fi"/>
  </r>
  <r>
    <s v="10fb9dda-dcb6-4f56-a21a-48efd69b6947"/>
    <n v="52"/>
    <s v="Female"/>
    <s v="Standard"/>
    <n v="13.19"/>
    <x v="20"/>
    <x v="2"/>
    <x v="3"/>
    <n v="13.99"/>
    <n v="0"/>
    <n v="0"/>
    <x v="4"/>
    <n v="5"/>
    <n v="0.69"/>
    <s v="Comedy"/>
  </r>
  <r>
    <s v="43a2287a-3941-451d-9039-112f75a510ab"/>
    <n v="70"/>
    <s v="Male"/>
    <s v="Premium"/>
    <n v="15.29"/>
    <x v="19"/>
    <x v="0"/>
    <x v="1"/>
    <n v="17.989999999999998"/>
    <n v="1"/>
    <n v="17.989999999999998"/>
    <x v="1"/>
    <n v="4"/>
    <n v="0.35"/>
    <s v="Sci-Fi"/>
  </r>
  <r>
    <s v="bedcd2ac-2dd8-4df1-85c4-3b099174e2e3"/>
    <n v="20"/>
    <s v="Male"/>
    <s v="Standard"/>
    <n v="22.07"/>
    <x v="36"/>
    <x v="0"/>
    <x v="0"/>
    <n v="13.99"/>
    <n v="0"/>
    <n v="0"/>
    <x v="3"/>
    <n v="4"/>
    <n v="0.55000000000000004"/>
    <s v="Horror"/>
  </r>
  <r>
    <s v="8196b73c-db52-4aed-b976-cbaa245c008b"/>
    <n v="51"/>
    <s v="Other"/>
    <s v="Basic"/>
    <n v="10.44"/>
    <x v="15"/>
    <x v="2"/>
    <x v="0"/>
    <n v="8.99"/>
    <n v="1"/>
    <n v="8.99"/>
    <x v="4"/>
    <n v="2"/>
    <n v="0.25"/>
    <s v="Drama"/>
  </r>
  <r>
    <s v="c97606a8-478f-4114-aca0-fa17084ef4b3"/>
    <n v="51"/>
    <s v="Female"/>
    <s v="Premium"/>
    <n v="2.62"/>
    <x v="42"/>
    <x v="5"/>
    <x v="0"/>
    <n v="17.989999999999998"/>
    <n v="1"/>
    <n v="17.989999999999998"/>
    <x v="1"/>
    <n v="2"/>
    <n v="7.0000000000000007E-2"/>
    <s v="Horror"/>
  </r>
  <r>
    <s v="08bcd88f-9bc2-4463-bc5f-498b5a3e6c27"/>
    <n v="20"/>
    <s v="Other"/>
    <s v="Standard"/>
    <n v="5.41"/>
    <x v="10"/>
    <x v="5"/>
    <x v="0"/>
    <n v="13.99"/>
    <n v="1"/>
    <n v="13.99"/>
    <x v="3"/>
    <n v="1"/>
    <n v="0.14000000000000001"/>
    <s v="Sci-Fi"/>
  </r>
  <r>
    <s v="9f0232a1-f6d5-4ab9-bdb4-8258c05c7d63"/>
    <n v="62"/>
    <s v="Other"/>
    <s v="Basic"/>
    <n v="17.149999999999999"/>
    <x v="37"/>
    <x v="1"/>
    <x v="0"/>
    <n v="8.99"/>
    <n v="0"/>
    <n v="0"/>
    <x v="3"/>
    <n v="5"/>
    <n v="0.69"/>
    <s v="Comedy"/>
  </r>
  <r>
    <s v="19e36af2-7843-4b27-9fd1-32169a2da1fa"/>
    <n v="48"/>
    <s v="Male"/>
    <s v="Standard"/>
    <n v="1.1399999999999999"/>
    <x v="40"/>
    <x v="1"/>
    <x v="4"/>
    <n v="13.99"/>
    <n v="0"/>
    <n v="0"/>
    <x v="3"/>
    <n v="4"/>
    <n v="0.09"/>
    <s v="Romance"/>
  </r>
  <r>
    <s v="1d9e1a86-6cb4-4b0e-8c0b-8e4aad38184f"/>
    <n v="50"/>
    <s v="Male"/>
    <s v="Premium"/>
    <n v="20.04"/>
    <x v="42"/>
    <x v="5"/>
    <x v="3"/>
    <n v="17.989999999999998"/>
    <n v="0"/>
    <n v="0"/>
    <x v="4"/>
    <n v="2"/>
    <n v="0.53"/>
    <s v="Documentary"/>
  </r>
  <r>
    <s v="e4c81362-e709-4351-aab3-69e8a590ef40"/>
    <n v="48"/>
    <s v="Male"/>
    <s v="Basic"/>
    <n v="34.770000000000003"/>
    <x v="11"/>
    <x v="4"/>
    <x v="2"/>
    <n v="8.99"/>
    <n v="0"/>
    <n v="0"/>
    <x v="0"/>
    <n v="5"/>
    <n v="1.45"/>
    <s v="Sci-Fi"/>
  </r>
  <r>
    <s v="b62a8e36-a7a1-434b-bc18-f55f6d0569c5"/>
    <n v="45"/>
    <s v="Other"/>
    <s v="Basic"/>
    <n v="8.8699999999999992"/>
    <x v="59"/>
    <x v="0"/>
    <x v="2"/>
    <n v="8.99"/>
    <n v="0"/>
    <n v="0"/>
    <x v="3"/>
    <n v="1"/>
    <n v="1.48"/>
    <s v="Comedy"/>
  </r>
  <r>
    <s v="0ec75c65-a599-4e39-8878-3455437f38d3"/>
    <n v="49"/>
    <s v="Female"/>
    <s v="Standard"/>
    <n v="18.79"/>
    <x v="40"/>
    <x v="3"/>
    <x v="0"/>
    <n v="13.99"/>
    <n v="0"/>
    <n v="0"/>
    <x v="0"/>
    <n v="1"/>
    <n v="1.57"/>
    <s v="Horror"/>
  </r>
  <r>
    <s v="4f9ba8fb-4fe1-4c92-996a-313e16e6a939"/>
    <n v="54"/>
    <s v="Other"/>
    <s v="Standard"/>
    <n v="0.72"/>
    <x v="25"/>
    <x v="1"/>
    <x v="2"/>
    <n v="13.99"/>
    <n v="0"/>
    <n v="0"/>
    <x v="0"/>
    <n v="5"/>
    <n v="0.72"/>
    <s v="Horror"/>
  </r>
  <r>
    <s v="15dd5aab-02a9-4353-b946-129f72a1560b"/>
    <n v="63"/>
    <s v="Other"/>
    <s v="Standard"/>
    <n v="1.97"/>
    <x v="38"/>
    <x v="2"/>
    <x v="1"/>
    <n v="13.99"/>
    <n v="1"/>
    <n v="13.99"/>
    <x v="1"/>
    <n v="2"/>
    <n v="0.09"/>
    <s v="Documentary"/>
  </r>
  <r>
    <s v="db495161-ed07-4cd1-82d4-50a9e4c8c5c0"/>
    <n v="25"/>
    <s v="Female"/>
    <s v="Standard"/>
    <n v="7.36"/>
    <x v="30"/>
    <x v="5"/>
    <x v="1"/>
    <n v="13.99"/>
    <n v="0"/>
    <n v="0"/>
    <x v="3"/>
    <n v="4"/>
    <n v="3.68"/>
    <s v="Comedy"/>
  </r>
  <r>
    <s v="bb9475e9-1a35-46a1-908e-0fcbca2b075d"/>
    <n v="29"/>
    <s v="Other"/>
    <s v="Standard"/>
    <n v="14.85"/>
    <x v="36"/>
    <x v="0"/>
    <x v="1"/>
    <n v="13.99"/>
    <n v="0"/>
    <n v="0"/>
    <x v="4"/>
    <n v="5"/>
    <n v="0.37"/>
    <s v="Drama"/>
  </r>
  <r>
    <s v="bab5dc46-e42e-406c-bcde-6ec042c2379b"/>
    <n v="68"/>
    <s v="Other"/>
    <s v="Premium"/>
    <n v="11.27"/>
    <x v="24"/>
    <x v="4"/>
    <x v="0"/>
    <n v="17.989999999999998"/>
    <n v="1"/>
    <n v="17.989999999999998"/>
    <x v="1"/>
    <n v="4"/>
    <n v="0.21"/>
    <s v="Documentary"/>
  </r>
  <r>
    <s v="3be193c1-71c9-4feb-8146-f7c113153a5e"/>
    <n v="41"/>
    <s v="Female"/>
    <s v="Basic"/>
    <n v="11.55"/>
    <x v="18"/>
    <x v="2"/>
    <x v="4"/>
    <n v="8.99"/>
    <n v="1"/>
    <n v="8.99"/>
    <x v="1"/>
    <n v="1"/>
    <n v="0.2"/>
    <s v="Sci-Fi"/>
  </r>
  <r>
    <s v="067df9b8-5818-4c62-b69c-7d52b011a2ee"/>
    <n v="35"/>
    <s v="Other"/>
    <s v="Premium"/>
    <n v="2.41"/>
    <x v="52"/>
    <x v="4"/>
    <x v="1"/>
    <n v="17.989999999999998"/>
    <n v="1"/>
    <n v="17.989999999999998"/>
    <x v="4"/>
    <n v="2"/>
    <n v="0.05"/>
    <s v="Horror"/>
  </r>
  <r>
    <s v="e096d116-d8cc-473d-aca9-e8f785e96471"/>
    <n v="59"/>
    <s v="Other"/>
    <s v="Basic"/>
    <n v="2.58"/>
    <x v="50"/>
    <x v="3"/>
    <x v="2"/>
    <n v="8.99"/>
    <n v="1"/>
    <n v="8.99"/>
    <x v="4"/>
    <n v="4"/>
    <n v="0.05"/>
    <s v="Romance"/>
  </r>
  <r>
    <s v="a354f784-6051-47cd-9266-f9f76ae17cf9"/>
    <n v="29"/>
    <s v="Male"/>
    <s v="Basic"/>
    <n v="5.94"/>
    <x v="10"/>
    <x v="4"/>
    <x v="4"/>
    <n v="8.99"/>
    <n v="1"/>
    <n v="8.99"/>
    <x v="3"/>
    <n v="3"/>
    <n v="0.15"/>
    <s v="Horror"/>
  </r>
  <r>
    <s v="1d46a6b0-f972-4e84-b7e5-53c37d927a82"/>
    <n v="55"/>
    <s v="Other"/>
    <s v="Standard"/>
    <n v="47.33"/>
    <x v="16"/>
    <x v="0"/>
    <x v="4"/>
    <n v="13.99"/>
    <n v="0"/>
    <n v="0"/>
    <x v="2"/>
    <n v="5"/>
    <n v="1.69"/>
    <s v="Documentary"/>
  </r>
  <r>
    <s v="30c6845d-fcd3-4100-be4a-6939a129e80d"/>
    <n v="28"/>
    <s v="Other"/>
    <s v="Basic"/>
    <n v="1.58"/>
    <x v="16"/>
    <x v="5"/>
    <x v="2"/>
    <n v="8.99"/>
    <n v="1"/>
    <n v="8.99"/>
    <x v="4"/>
    <n v="5"/>
    <n v="0.06"/>
    <s v="Romance"/>
  </r>
  <r>
    <s v="ad1f7c5d-8ae0-47c9-b206-7c8815ae90c8"/>
    <n v="48"/>
    <s v="Female"/>
    <s v="Standard"/>
    <n v="5.49"/>
    <x v="12"/>
    <x v="4"/>
    <x v="4"/>
    <n v="13.99"/>
    <n v="1"/>
    <n v="13.99"/>
    <x v="4"/>
    <n v="1"/>
    <n v="0.16"/>
    <s v="Action"/>
  </r>
  <r>
    <s v="d2e9c9a4-1ffa-4197-a19a-bfc1ba75e82e"/>
    <n v="45"/>
    <s v="Female"/>
    <s v="Standard"/>
    <n v="0.26"/>
    <x v="59"/>
    <x v="3"/>
    <x v="3"/>
    <n v="13.99"/>
    <n v="1"/>
    <n v="13.99"/>
    <x v="1"/>
    <n v="1"/>
    <n v="0.04"/>
    <s v="Comedy"/>
  </r>
  <r>
    <s v="789a8aba-0b46-435e-a7a7-903883ab845d"/>
    <n v="21"/>
    <s v="Other"/>
    <s v="Premium"/>
    <n v="8.16"/>
    <x v="52"/>
    <x v="3"/>
    <x v="3"/>
    <n v="17.989999999999998"/>
    <n v="1"/>
    <n v="17.989999999999998"/>
    <x v="3"/>
    <n v="3"/>
    <n v="0.16"/>
    <s v="Drama"/>
  </r>
  <r>
    <s v="4cadb250-9598-41b1-9aa5-b69f7c146ac3"/>
    <n v="54"/>
    <s v="Male"/>
    <s v="Premium"/>
    <n v="5.47"/>
    <x v="1"/>
    <x v="0"/>
    <x v="4"/>
    <n v="17.989999999999998"/>
    <n v="0"/>
    <n v="0"/>
    <x v="1"/>
    <n v="3"/>
    <n v="0.27"/>
    <s v="Action"/>
  </r>
  <r>
    <s v="110faa05-b3a5-4946-93c0-4d7e014cf3d4"/>
    <n v="23"/>
    <s v="Other"/>
    <s v="Premium"/>
    <n v="4.59"/>
    <x v="28"/>
    <x v="5"/>
    <x v="2"/>
    <n v="17.989999999999998"/>
    <n v="1"/>
    <n v="17.989999999999998"/>
    <x v="1"/>
    <n v="5"/>
    <n v="0.13"/>
    <s v="Horror"/>
  </r>
  <r>
    <s v="8408aa81-381c-4653-ad47-eff2475f2fe6"/>
    <n v="24"/>
    <s v="Male"/>
    <s v="Basic"/>
    <n v="14.73"/>
    <x v="43"/>
    <x v="0"/>
    <x v="4"/>
    <n v="8.99"/>
    <n v="1"/>
    <n v="8.99"/>
    <x v="3"/>
    <n v="2"/>
    <n v="0.46"/>
    <s v="Drama"/>
  </r>
  <r>
    <s v="846071b8-3512-4c74-8ce2-29621445a8e0"/>
    <n v="69"/>
    <s v="Female"/>
    <s v="Premium"/>
    <n v="50.94"/>
    <x v="55"/>
    <x v="5"/>
    <x v="3"/>
    <n v="17.989999999999998"/>
    <n v="0"/>
    <n v="0"/>
    <x v="2"/>
    <n v="4"/>
    <n v="0.85"/>
    <s v="Drama"/>
  </r>
  <r>
    <s v="aee0bad7-f0d3-4485-af23-b9e4dfa52fd4"/>
    <n v="19"/>
    <s v="Female"/>
    <s v="Standard"/>
    <n v="12.01"/>
    <x v="25"/>
    <x v="0"/>
    <x v="0"/>
    <n v="13.99"/>
    <n v="0"/>
    <n v="0"/>
    <x v="1"/>
    <n v="3"/>
    <n v="12.01"/>
    <s v="Documentary"/>
  </r>
  <r>
    <s v="85c2635d-3904-4955-b4fe-1467211e58d9"/>
    <n v="48"/>
    <s v="Female"/>
    <s v="Premium"/>
    <n v="55.75"/>
    <x v="39"/>
    <x v="3"/>
    <x v="3"/>
    <n v="17.989999999999998"/>
    <n v="0"/>
    <n v="0"/>
    <x v="2"/>
    <n v="1"/>
    <n v="2.42"/>
    <s v="Comedy"/>
  </r>
  <r>
    <s v="8a651951-8fd2-431e-968d-ed0041ad09cd"/>
    <n v="37"/>
    <s v="Other"/>
    <s v="Premium"/>
    <n v="3.58"/>
    <x v="12"/>
    <x v="4"/>
    <x v="0"/>
    <n v="17.989999999999998"/>
    <n v="1"/>
    <n v="17.989999999999998"/>
    <x v="1"/>
    <n v="5"/>
    <n v="0.11"/>
    <s v="Sci-Fi"/>
  </r>
  <r>
    <s v="33a5ffac-c883-407a-9910-f24995588d22"/>
    <n v="30"/>
    <s v="Other"/>
    <s v="Premium"/>
    <n v="14.88"/>
    <x v="27"/>
    <x v="3"/>
    <x v="2"/>
    <n v="17.989999999999998"/>
    <n v="0"/>
    <n v="0"/>
    <x v="4"/>
    <n v="5"/>
    <n v="0.88"/>
    <s v="Romance"/>
  </r>
  <r>
    <s v="5f236990-4ea0-4f3d-bad9-81da221f49ab"/>
    <n v="50"/>
    <s v="Other"/>
    <s v="Premium"/>
    <n v="10.01"/>
    <x v="26"/>
    <x v="2"/>
    <x v="3"/>
    <n v="17.989999999999998"/>
    <n v="1"/>
    <n v="17.989999999999998"/>
    <x v="2"/>
    <n v="1"/>
    <n v="0.2"/>
    <s v="Horror"/>
  </r>
  <r>
    <s v="66fb3011-2fb9-4506-8854-e332308091c2"/>
    <n v="23"/>
    <s v="Other"/>
    <s v="Standard"/>
    <n v="36.880000000000003"/>
    <x v="24"/>
    <x v="4"/>
    <x v="1"/>
    <n v="13.99"/>
    <n v="0"/>
    <n v="0"/>
    <x v="0"/>
    <n v="3"/>
    <n v="0.7"/>
    <s v="Romance"/>
  </r>
  <r>
    <s v="de3fea5a-0bac-47ec-8304-83c1f89f049e"/>
    <n v="18"/>
    <s v="Female"/>
    <s v="Standard"/>
    <n v="13.02"/>
    <x v="21"/>
    <x v="0"/>
    <x v="3"/>
    <n v="13.99"/>
    <n v="0"/>
    <n v="0"/>
    <x v="1"/>
    <n v="5"/>
    <n v="1.86"/>
    <s v="Documentary"/>
  </r>
  <r>
    <s v="f88695e3-3887-4837-b06e-44545116971b"/>
    <n v="69"/>
    <s v="Other"/>
    <s v="Premium"/>
    <n v="5.07"/>
    <x v="33"/>
    <x v="4"/>
    <x v="2"/>
    <n v="17.989999999999998"/>
    <n v="0"/>
    <n v="0"/>
    <x v="1"/>
    <n v="4"/>
    <n v="0.2"/>
    <s v="Action"/>
  </r>
  <r>
    <s v="25786b48-b57f-43d4-8a62-b852aa91d6eb"/>
    <n v="40"/>
    <s v="Male"/>
    <s v="Standard"/>
    <n v="3.58"/>
    <x v="38"/>
    <x v="0"/>
    <x v="0"/>
    <n v="13.99"/>
    <n v="1"/>
    <n v="13.99"/>
    <x v="4"/>
    <n v="3"/>
    <n v="0.16"/>
    <s v="Drama"/>
  </r>
  <r>
    <s v="d01b5f38-e5e2-424a-bf0f-65f51fc1d64c"/>
    <n v="33"/>
    <s v="Other"/>
    <s v="Basic"/>
    <n v="10.34"/>
    <x v="6"/>
    <x v="1"/>
    <x v="2"/>
    <n v="8.99"/>
    <n v="0"/>
    <n v="0"/>
    <x v="3"/>
    <n v="3"/>
    <n v="0.49"/>
    <s v="Sci-Fi"/>
  </r>
  <r>
    <s v="c480d2b5-7843-47fb-94c0-9f40c6c3d562"/>
    <n v="32"/>
    <s v="Male"/>
    <s v="Standard"/>
    <n v="40.69"/>
    <x v="11"/>
    <x v="4"/>
    <x v="4"/>
    <n v="13.99"/>
    <n v="0"/>
    <n v="0"/>
    <x v="3"/>
    <n v="3"/>
    <n v="1.7"/>
    <s v="Comedy"/>
  </r>
  <r>
    <s v="5cd95d80-f5f2-405a-b630-3b517d652c66"/>
    <n v="36"/>
    <s v="Other"/>
    <s v="Basic"/>
    <n v="8.32"/>
    <x v="6"/>
    <x v="3"/>
    <x v="2"/>
    <n v="8.99"/>
    <n v="0"/>
    <n v="0"/>
    <x v="3"/>
    <n v="2"/>
    <n v="0.4"/>
    <s v="Action"/>
  </r>
  <r>
    <s v="249f226e-b40a-41f9-93a2-32a9504d7dd9"/>
    <n v="33"/>
    <s v="Other"/>
    <s v="Premium"/>
    <n v="13.25"/>
    <x v="2"/>
    <x v="1"/>
    <x v="0"/>
    <n v="17.989999999999998"/>
    <n v="0"/>
    <n v="0"/>
    <x v="0"/>
    <n v="1"/>
    <n v="1.2"/>
    <s v="Comedy"/>
  </r>
  <r>
    <s v="207f3314-e691-4165-9db7-11d5209f16b8"/>
    <n v="39"/>
    <s v="Other"/>
    <s v="Basic"/>
    <n v="11.55"/>
    <x v="2"/>
    <x v="1"/>
    <x v="1"/>
    <n v="8.99"/>
    <n v="0"/>
    <n v="0"/>
    <x v="0"/>
    <n v="1"/>
    <n v="1.05"/>
    <s v="Horror"/>
  </r>
  <r>
    <s v="485e76bb-675c-4eb5-b1e2-82a4934adc5f"/>
    <n v="28"/>
    <s v="Female"/>
    <s v="Basic"/>
    <n v="2.4700000000000002"/>
    <x v="42"/>
    <x v="5"/>
    <x v="3"/>
    <n v="8.99"/>
    <n v="1"/>
    <n v="8.99"/>
    <x v="3"/>
    <n v="1"/>
    <n v="7.0000000000000007E-2"/>
    <s v="Drama"/>
  </r>
  <r>
    <s v="d6e2c3f2-1b15-47fc-a1db-49862399a770"/>
    <n v="44"/>
    <s v="Male"/>
    <s v="Premium"/>
    <n v="41.31"/>
    <x v="57"/>
    <x v="5"/>
    <x v="2"/>
    <n v="17.989999999999998"/>
    <n v="0"/>
    <n v="0"/>
    <x v="0"/>
    <n v="4"/>
    <n v="0.68"/>
    <s v="Drama"/>
  </r>
  <r>
    <s v="daddb68f-42a4-46d6-aa0a-39a8dec340f8"/>
    <n v="34"/>
    <s v="Female"/>
    <s v="Basic"/>
    <n v="7.71"/>
    <x v="14"/>
    <x v="1"/>
    <x v="4"/>
    <n v="8.99"/>
    <n v="1"/>
    <n v="8.99"/>
    <x v="4"/>
    <n v="5"/>
    <n v="0.23"/>
    <s v="Action"/>
  </r>
  <r>
    <s v="001b5926-1113-493d-80a4-f09012f2f43b"/>
    <n v="24"/>
    <s v="Female"/>
    <s v="Basic"/>
    <n v="2.2999999999999998"/>
    <x v="42"/>
    <x v="3"/>
    <x v="1"/>
    <n v="8.99"/>
    <n v="1"/>
    <n v="8.99"/>
    <x v="0"/>
    <n v="4"/>
    <n v="0.06"/>
    <s v="Romance"/>
  </r>
  <r>
    <s v="fe3f068b-304f-4982-adbc-b2d992a4dfba"/>
    <n v="59"/>
    <s v="Other"/>
    <s v="Standard"/>
    <n v="8.76"/>
    <x v="40"/>
    <x v="3"/>
    <x v="2"/>
    <n v="13.99"/>
    <n v="0"/>
    <n v="0"/>
    <x v="2"/>
    <n v="3"/>
    <n v="0.73"/>
    <s v="Sci-Fi"/>
  </r>
  <r>
    <s v="534a8d77-57a7-4b82-a0ff-f55952dc55b1"/>
    <n v="32"/>
    <s v="Male"/>
    <s v="Standard"/>
    <n v="2.81"/>
    <x v="1"/>
    <x v="3"/>
    <x v="1"/>
    <n v="13.99"/>
    <n v="0"/>
    <n v="0"/>
    <x v="3"/>
    <n v="4"/>
    <n v="0.14000000000000001"/>
    <s v="Drama"/>
  </r>
  <r>
    <s v="30918cb9-5f0f-453f-a5ce-88069390debc"/>
    <n v="52"/>
    <s v="Other"/>
    <s v="Basic"/>
    <n v="19.21"/>
    <x v="41"/>
    <x v="3"/>
    <x v="3"/>
    <n v="8.99"/>
    <n v="0"/>
    <n v="0"/>
    <x v="0"/>
    <n v="5"/>
    <n v="0.62"/>
    <s v="Sci-Fi"/>
  </r>
  <r>
    <s v="c2d3c910-2a29-4ae5-9f49-238b32cd2b34"/>
    <n v="46"/>
    <s v="Male"/>
    <s v="Premium"/>
    <n v="27.63"/>
    <x v="54"/>
    <x v="4"/>
    <x v="4"/>
    <n v="17.989999999999998"/>
    <n v="0"/>
    <n v="0"/>
    <x v="1"/>
    <n v="5"/>
    <n v="0.95"/>
    <s v="Horror"/>
  </r>
  <r>
    <s v="4bac5430-7ecd-45e2-99ba-f2c89c88edce"/>
    <n v="19"/>
    <s v="Male"/>
    <s v="Standard"/>
    <n v="4.71"/>
    <x v="51"/>
    <x v="3"/>
    <x v="3"/>
    <n v="13.99"/>
    <n v="1"/>
    <n v="13.99"/>
    <x v="2"/>
    <n v="2"/>
    <n v="0.26"/>
    <s v="Documentary"/>
  </r>
  <r>
    <s v="01758428-1a21-4640-8f6c-36c669b35b03"/>
    <n v="23"/>
    <s v="Male"/>
    <s v="Basic"/>
    <n v="7.33"/>
    <x v="6"/>
    <x v="0"/>
    <x v="0"/>
    <n v="8.99"/>
    <n v="1"/>
    <n v="8.99"/>
    <x v="3"/>
    <n v="1"/>
    <n v="0.35"/>
    <s v="Documentary"/>
  </r>
  <r>
    <s v="f6b290df-1d8b-42d8-9aac-5b19f94e441f"/>
    <n v="69"/>
    <s v="Female"/>
    <s v="Standard"/>
    <n v="2.78"/>
    <x v="54"/>
    <x v="0"/>
    <x v="4"/>
    <n v="13.99"/>
    <n v="1"/>
    <n v="13.99"/>
    <x v="1"/>
    <n v="5"/>
    <n v="0.1"/>
    <s v="Sci-Fi"/>
  </r>
  <r>
    <s v="1e1a8c33-1975-4586-b9e5-62c598f1ec78"/>
    <n v="24"/>
    <s v="Male"/>
    <s v="Standard"/>
    <n v="9.02"/>
    <x v="4"/>
    <x v="3"/>
    <x v="4"/>
    <n v="13.99"/>
    <n v="0"/>
    <n v="0"/>
    <x v="2"/>
    <n v="1"/>
    <n v="0.64"/>
    <s v="Drama"/>
  </r>
  <r>
    <s v="d2a0a7b8-a6c8-47cc-832f-000b87721bca"/>
    <n v="65"/>
    <s v="Female"/>
    <s v="Basic"/>
    <n v="20"/>
    <x v="5"/>
    <x v="5"/>
    <x v="0"/>
    <n v="8.99"/>
    <n v="0"/>
    <n v="0"/>
    <x v="3"/>
    <n v="4"/>
    <n v="0.74"/>
    <s v="Action"/>
  </r>
  <r>
    <s v="5f2c7678-c330-4a6e-ab6b-2aa6446621e5"/>
    <n v="59"/>
    <s v="Female"/>
    <s v="Premium"/>
    <n v="6"/>
    <x v="60"/>
    <x v="4"/>
    <x v="3"/>
    <n v="17.989999999999998"/>
    <n v="0"/>
    <n v="0"/>
    <x v="1"/>
    <n v="2"/>
    <n v="0.67"/>
    <s v="Documentary"/>
  </r>
  <r>
    <s v="f67de85d-948d-472f-ac82-35eeddb732b1"/>
    <n v="46"/>
    <s v="Female"/>
    <s v="Premium"/>
    <n v="4.6500000000000004"/>
    <x v="40"/>
    <x v="0"/>
    <x v="2"/>
    <n v="17.989999999999998"/>
    <n v="1"/>
    <n v="17.989999999999998"/>
    <x v="2"/>
    <n v="2"/>
    <n v="0.39"/>
    <s v="Horror"/>
  </r>
  <r>
    <s v="c86cc60f-22f1-4233-829a-59d67a049bc7"/>
    <n v="70"/>
    <s v="Male"/>
    <s v="Basic"/>
    <n v="6.86"/>
    <x v="56"/>
    <x v="1"/>
    <x v="4"/>
    <n v="8.99"/>
    <n v="1"/>
    <n v="8.99"/>
    <x v="3"/>
    <n v="1"/>
    <n v="0.12"/>
    <s v="Action"/>
  </r>
  <r>
    <s v="dbf49e6b-5487-4076-ad57-58e87c51afdc"/>
    <n v="64"/>
    <s v="Female"/>
    <s v="Basic"/>
    <n v="5.78"/>
    <x v="39"/>
    <x v="4"/>
    <x v="2"/>
    <n v="8.99"/>
    <n v="0"/>
    <n v="0"/>
    <x v="0"/>
    <n v="5"/>
    <n v="0.25"/>
    <s v="Action"/>
  </r>
  <r>
    <s v="e67ca5f6-85c4-44d9-b257-120a96520964"/>
    <n v="22"/>
    <s v="Female"/>
    <s v="Premium"/>
    <n v="1.7"/>
    <x v="6"/>
    <x v="3"/>
    <x v="3"/>
    <n v="17.989999999999998"/>
    <n v="0"/>
    <n v="0"/>
    <x v="2"/>
    <n v="5"/>
    <n v="0.08"/>
    <s v="Horror"/>
  </r>
  <r>
    <s v="a50f0102-dae4-47af-b71f-bbe15439c86b"/>
    <n v="21"/>
    <s v="Female"/>
    <s v="Basic"/>
    <n v="23.24"/>
    <x v="2"/>
    <x v="4"/>
    <x v="4"/>
    <n v="8.99"/>
    <n v="0"/>
    <n v="0"/>
    <x v="4"/>
    <n v="3"/>
    <n v="2.11"/>
    <s v="Romance"/>
  </r>
  <r>
    <s v="e6883a9e-8210-4351-9acd-cd814c82f075"/>
    <n v="53"/>
    <s v="Female"/>
    <s v="Basic"/>
    <n v="33.71"/>
    <x v="53"/>
    <x v="0"/>
    <x v="4"/>
    <n v="8.99"/>
    <n v="0"/>
    <n v="0"/>
    <x v="2"/>
    <n v="4"/>
    <n v="0.78"/>
    <s v="Documentary"/>
  </r>
  <r>
    <s v="df29e495-0935-4eb2-8330-15d416f94131"/>
    <n v="30"/>
    <s v="Other"/>
    <s v="Standard"/>
    <n v="3.79"/>
    <x v="6"/>
    <x v="0"/>
    <x v="3"/>
    <n v="13.99"/>
    <n v="1"/>
    <n v="13.99"/>
    <x v="1"/>
    <n v="5"/>
    <n v="0.18"/>
    <s v="Drama"/>
  </r>
  <r>
    <s v="2f4ba72c-20a1-4e4c-be17-4cdcb85aed84"/>
    <n v="54"/>
    <s v="Male"/>
    <s v="Basic"/>
    <n v="8.09"/>
    <x v="1"/>
    <x v="1"/>
    <x v="1"/>
    <n v="8.99"/>
    <n v="0"/>
    <n v="0"/>
    <x v="4"/>
    <n v="2"/>
    <n v="0.4"/>
    <s v="Action"/>
  </r>
  <r>
    <s v="7f42c766-a854-4c9c-890e-fe4aa2e468d8"/>
    <n v="54"/>
    <s v="Other"/>
    <s v="Premium"/>
    <n v="7.4"/>
    <x v="24"/>
    <x v="4"/>
    <x v="4"/>
    <n v="17.989999999999998"/>
    <n v="1"/>
    <n v="17.989999999999998"/>
    <x v="2"/>
    <n v="1"/>
    <n v="0.14000000000000001"/>
    <s v="Documentary"/>
  </r>
  <r>
    <s v="a0a99e1e-afe1-4f6a-9435-828c93f0423b"/>
    <n v="33"/>
    <s v="Other"/>
    <s v="Standard"/>
    <n v="7.87"/>
    <x v="53"/>
    <x v="1"/>
    <x v="4"/>
    <n v="13.99"/>
    <n v="0"/>
    <n v="0"/>
    <x v="3"/>
    <n v="5"/>
    <n v="0.18"/>
    <s v="Sci-Fi"/>
  </r>
  <r>
    <s v="d6517555-2524-4794-8793-69011d3f7527"/>
    <n v="70"/>
    <s v="Male"/>
    <s v="Basic"/>
    <n v="6.01"/>
    <x v="4"/>
    <x v="2"/>
    <x v="0"/>
    <n v="8.99"/>
    <n v="1"/>
    <n v="8.99"/>
    <x v="1"/>
    <n v="1"/>
    <n v="0.43"/>
    <s v="Action"/>
  </r>
  <r>
    <s v="302a7a07-2d07-4d15-aa7c-e8000c97f321"/>
    <n v="49"/>
    <s v="Other"/>
    <s v="Basic"/>
    <n v="53.75"/>
    <x v="22"/>
    <x v="5"/>
    <x v="1"/>
    <n v="8.99"/>
    <n v="0"/>
    <n v="0"/>
    <x v="4"/>
    <n v="3"/>
    <n v="0.96"/>
    <s v="Sci-Fi"/>
  </r>
  <r>
    <s v="1ac33b59-9ffa-45ea-bce9-95b004d48235"/>
    <n v="53"/>
    <s v="Male"/>
    <s v="Premium"/>
    <n v="4.6900000000000004"/>
    <x v="60"/>
    <x v="2"/>
    <x v="1"/>
    <n v="17.989999999999998"/>
    <n v="0"/>
    <n v="0"/>
    <x v="1"/>
    <n v="5"/>
    <n v="0.52"/>
    <s v="Horror"/>
  </r>
  <r>
    <s v="0c77bb21-f163-4c27-b2d7-cd3691c0d932"/>
    <n v="60"/>
    <s v="Female"/>
    <s v="Basic"/>
    <n v="3.49"/>
    <x v="39"/>
    <x v="2"/>
    <x v="1"/>
    <n v="8.99"/>
    <n v="1"/>
    <n v="8.99"/>
    <x v="1"/>
    <n v="2"/>
    <n v="0.15"/>
    <s v="Horror"/>
  </r>
  <r>
    <s v="fffbf94b-2308-4687-a8bb-12e0347a511d"/>
    <n v="37"/>
    <s v="Male"/>
    <s v="Premium"/>
    <n v="7.16"/>
    <x v="3"/>
    <x v="3"/>
    <x v="0"/>
    <n v="17.989999999999998"/>
    <n v="0"/>
    <n v="0"/>
    <x v="4"/>
    <n v="2"/>
    <n v="0.55000000000000004"/>
    <s v="Sci-Fi"/>
  </r>
  <r>
    <s v="38c0cb0d-73e5-492d-86ae-af609fdc20f3"/>
    <n v="55"/>
    <s v="Other"/>
    <s v="Premium"/>
    <n v="18.87"/>
    <x v="56"/>
    <x v="2"/>
    <x v="2"/>
    <n v="17.989999999999998"/>
    <n v="1"/>
    <n v="17.989999999999998"/>
    <x v="0"/>
    <n v="2"/>
    <n v="0.32"/>
    <s v="Comedy"/>
  </r>
  <r>
    <s v="436e88e3-310d-4e5c-993d-2c984387b918"/>
    <n v="65"/>
    <s v="Other"/>
    <s v="Basic"/>
    <n v="1.68"/>
    <x v="47"/>
    <x v="2"/>
    <x v="0"/>
    <n v="8.99"/>
    <n v="1"/>
    <n v="8.99"/>
    <x v="3"/>
    <n v="1"/>
    <n v="0.42"/>
    <s v="Sci-Fi"/>
  </r>
  <r>
    <s v="c069c37d-b02d-4509-b039-bf16d73d22fb"/>
    <n v="18"/>
    <s v="Male"/>
    <s v="Standard"/>
    <n v="0.64"/>
    <x v="20"/>
    <x v="2"/>
    <x v="0"/>
    <n v="13.99"/>
    <n v="1"/>
    <n v="13.99"/>
    <x v="1"/>
    <n v="2"/>
    <n v="0.03"/>
    <s v="Horror"/>
  </r>
  <r>
    <s v="33208f6c-63b0-473e-ab21-97527b057c83"/>
    <n v="38"/>
    <s v="Other"/>
    <s v="Standard"/>
    <n v="17.05"/>
    <x v="8"/>
    <x v="2"/>
    <x v="0"/>
    <n v="13.99"/>
    <n v="1"/>
    <n v="13.99"/>
    <x v="4"/>
    <n v="3"/>
    <n v="0.49"/>
    <s v="Romance"/>
  </r>
  <r>
    <s v="5a2186bb-646a-4b19-8c83-54a103376f3e"/>
    <n v="69"/>
    <s v="Male"/>
    <s v="Basic"/>
    <n v="14.35"/>
    <x v="34"/>
    <x v="5"/>
    <x v="1"/>
    <n v="8.99"/>
    <n v="1"/>
    <n v="8.99"/>
    <x v="4"/>
    <n v="5"/>
    <n v="0.28000000000000003"/>
    <s v="Drama"/>
  </r>
  <r>
    <s v="3710e889-665a-4e74-82b4-84338bbd4ec5"/>
    <n v="59"/>
    <s v="Male"/>
    <s v="Standard"/>
    <n v="1.65"/>
    <x v="23"/>
    <x v="0"/>
    <x v="3"/>
    <n v="13.99"/>
    <n v="1"/>
    <n v="13.99"/>
    <x v="2"/>
    <n v="1"/>
    <n v="0.03"/>
    <s v="Action"/>
  </r>
  <r>
    <s v="ff1360fb-906c-459e-b73c-dbe79d6c0bba"/>
    <n v="20"/>
    <s v="Male"/>
    <s v="Standard"/>
    <n v="13.57"/>
    <x v="29"/>
    <x v="3"/>
    <x v="1"/>
    <n v="13.99"/>
    <n v="1"/>
    <n v="13.99"/>
    <x v="3"/>
    <n v="1"/>
    <n v="0.28999999999999998"/>
    <s v="Sci-Fi"/>
  </r>
  <r>
    <s v="4597d5ab-47a9-4d12-80a8-0babe6446f8d"/>
    <n v="30"/>
    <s v="Female"/>
    <s v="Basic"/>
    <n v="10.64"/>
    <x v="46"/>
    <x v="1"/>
    <x v="4"/>
    <n v="8.99"/>
    <n v="0"/>
    <n v="0"/>
    <x v="4"/>
    <n v="2"/>
    <n v="3.55"/>
    <s v="Romance"/>
  </r>
  <r>
    <s v="54f85781-8e1c-4902-864e-01c6f423bb3c"/>
    <n v="49"/>
    <s v="Female"/>
    <s v="Basic"/>
    <n v="1.73"/>
    <x v="54"/>
    <x v="5"/>
    <x v="1"/>
    <n v="8.99"/>
    <n v="1"/>
    <n v="8.99"/>
    <x v="4"/>
    <n v="4"/>
    <n v="0.06"/>
    <s v="Drama"/>
  </r>
  <r>
    <s v="5f1e4fd7-5fd5-4d17-9506-07d94708a5a6"/>
    <n v="70"/>
    <s v="Other"/>
    <s v="Basic"/>
    <n v="1.33"/>
    <x v="50"/>
    <x v="3"/>
    <x v="0"/>
    <n v="8.99"/>
    <n v="1"/>
    <n v="8.99"/>
    <x v="1"/>
    <n v="5"/>
    <n v="0.02"/>
    <s v="Romance"/>
  </r>
  <r>
    <s v="3159a3b9-ff3a-4ecd-976b-44e795002c17"/>
    <n v="25"/>
    <s v="Other"/>
    <s v="Standard"/>
    <n v="16.760000000000002"/>
    <x v="23"/>
    <x v="0"/>
    <x v="3"/>
    <n v="13.99"/>
    <n v="0"/>
    <n v="0"/>
    <x v="4"/>
    <n v="4"/>
    <n v="0.31"/>
    <s v="Romance"/>
  </r>
  <r>
    <s v="727a57d8-56dd-4b96-8e01-c0841ed37406"/>
    <n v="28"/>
    <s v="Other"/>
    <s v="Basic"/>
    <n v="14.14"/>
    <x v="27"/>
    <x v="4"/>
    <x v="1"/>
    <n v="8.99"/>
    <n v="0"/>
    <n v="0"/>
    <x v="0"/>
    <n v="3"/>
    <n v="0.83"/>
    <s v="Drama"/>
  </r>
  <r>
    <s v="1a613704-dbee-4a93-b9d1-7949da2b1aab"/>
    <n v="59"/>
    <s v="Male"/>
    <s v="Standard"/>
    <n v="0.98"/>
    <x v="1"/>
    <x v="1"/>
    <x v="1"/>
    <n v="13.99"/>
    <n v="1"/>
    <n v="13.99"/>
    <x v="0"/>
    <n v="4"/>
    <n v="0.05"/>
    <s v="Horror"/>
  </r>
  <r>
    <s v="ce69dec0-1f59-4584-ae9b-509c66fb056a"/>
    <n v="61"/>
    <s v="Other"/>
    <s v="Standard"/>
    <n v="0.94"/>
    <x v="1"/>
    <x v="4"/>
    <x v="0"/>
    <n v="13.99"/>
    <n v="0"/>
    <n v="0"/>
    <x v="2"/>
    <n v="4"/>
    <n v="0.05"/>
    <s v="Romance"/>
  </r>
  <r>
    <s v="00bdfac1-c682-408a-b6e1-73fdbfd9453c"/>
    <n v="39"/>
    <s v="Female"/>
    <s v="Premium"/>
    <n v="11.83"/>
    <x v="22"/>
    <x v="4"/>
    <x v="2"/>
    <n v="17.989999999999998"/>
    <n v="1"/>
    <n v="17.989999999999998"/>
    <x v="0"/>
    <n v="3"/>
    <n v="0.21"/>
    <s v="Action"/>
  </r>
  <r>
    <s v="2a4fafb1-ea01-4a1b-aacc-a09cf8eb1040"/>
    <n v="37"/>
    <s v="Other"/>
    <s v="Basic"/>
    <n v="55.15"/>
    <x v="55"/>
    <x v="5"/>
    <x v="1"/>
    <n v="8.99"/>
    <n v="0"/>
    <n v="0"/>
    <x v="0"/>
    <n v="4"/>
    <n v="0.92"/>
    <s v="Horror"/>
  </r>
  <r>
    <s v="a8725398-953d-4250-af9d-f99ecb96b562"/>
    <n v="18"/>
    <s v="Other"/>
    <s v="Premium"/>
    <n v="46.06"/>
    <x v="18"/>
    <x v="2"/>
    <x v="4"/>
    <n v="17.989999999999998"/>
    <n v="0"/>
    <n v="0"/>
    <x v="1"/>
    <n v="4"/>
    <n v="0.79"/>
    <s v="Comedy"/>
  </r>
  <r>
    <s v="3160aa58-0bf6-4e81-a1af-51903f0c0588"/>
    <n v="65"/>
    <s v="Female"/>
    <s v="Standard"/>
    <n v="70.989999999999995"/>
    <x v="9"/>
    <x v="3"/>
    <x v="1"/>
    <n v="13.99"/>
    <n v="0"/>
    <n v="0"/>
    <x v="1"/>
    <n v="2"/>
    <n v="1.92"/>
    <s v="Horror"/>
  </r>
  <r>
    <s v="762e1664-e032-49bd-b40b-6ffc62b9f79d"/>
    <n v="65"/>
    <s v="Other"/>
    <s v="Standard"/>
    <n v="20.56"/>
    <x v="2"/>
    <x v="1"/>
    <x v="2"/>
    <n v="13.99"/>
    <n v="0"/>
    <n v="0"/>
    <x v="2"/>
    <n v="5"/>
    <n v="1.87"/>
    <s v="Sci-Fi"/>
  </r>
  <r>
    <s v="8965ad72-c8b5-478a-879e-8136cdd2b134"/>
    <n v="46"/>
    <s v="Other"/>
    <s v="Premium"/>
    <n v="4.1399999999999997"/>
    <x v="53"/>
    <x v="4"/>
    <x v="3"/>
    <n v="17.989999999999998"/>
    <n v="1"/>
    <n v="17.989999999999998"/>
    <x v="4"/>
    <n v="5"/>
    <n v="0.1"/>
    <s v="Drama"/>
  </r>
  <r>
    <s v="40d27e9f-dd96-4b7b-b4c1-b9e098c71542"/>
    <n v="32"/>
    <s v="Other"/>
    <s v="Standard"/>
    <n v="14.48"/>
    <x v="22"/>
    <x v="1"/>
    <x v="4"/>
    <n v="13.99"/>
    <n v="0"/>
    <n v="0"/>
    <x v="2"/>
    <n v="5"/>
    <n v="0.26"/>
    <s v="Action"/>
  </r>
  <r>
    <s v="e26bf752-9b54-4ad5-95c0-ebfdd1985e6a"/>
    <n v="64"/>
    <s v="Female"/>
    <s v="Basic"/>
    <n v="28.66"/>
    <x v="54"/>
    <x v="3"/>
    <x v="3"/>
    <n v="8.99"/>
    <n v="0"/>
    <n v="0"/>
    <x v="0"/>
    <n v="4"/>
    <n v="0.99"/>
    <s v="Romance"/>
  </r>
  <r>
    <s v="dbe93e6b-0841-4e21-8651-6e8ecac62efc"/>
    <n v="46"/>
    <s v="Male"/>
    <s v="Standard"/>
    <n v="8.7899999999999991"/>
    <x v="50"/>
    <x v="4"/>
    <x v="1"/>
    <n v="13.99"/>
    <n v="1"/>
    <n v="13.99"/>
    <x v="3"/>
    <n v="1"/>
    <n v="0.16"/>
    <s v="Romance"/>
  </r>
  <r>
    <s v="4d0d9fe7-24e6-423a-909d-9842181b5945"/>
    <n v="41"/>
    <s v="Other"/>
    <s v="Basic"/>
    <n v="48.84"/>
    <x v="58"/>
    <x v="2"/>
    <x v="4"/>
    <n v="8.99"/>
    <n v="0"/>
    <n v="0"/>
    <x v="3"/>
    <n v="4"/>
    <n v="1.02"/>
    <s v="Romance"/>
  </r>
  <r>
    <s v="6e59af78-eae8-4862-a459-ccb4bb6c9077"/>
    <n v="43"/>
    <s v="Male"/>
    <s v="Premium"/>
    <n v="6.6"/>
    <x v="40"/>
    <x v="4"/>
    <x v="3"/>
    <n v="17.989999999999998"/>
    <n v="0"/>
    <n v="0"/>
    <x v="0"/>
    <n v="4"/>
    <n v="0.55000000000000004"/>
    <s v="Drama"/>
  </r>
  <r>
    <s v="c0f1eefc-9a25-44f6-bf4b-85d606fd6b15"/>
    <n v="28"/>
    <s v="Female"/>
    <s v="Standard"/>
    <n v="0.34"/>
    <x v="10"/>
    <x v="5"/>
    <x v="4"/>
    <n v="13.99"/>
    <n v="1"/>
    <n v="13.99"/>
    <x v="0"/>
    <n v="4"/>
    <n v="0.01"/>
    <s v="Horror"/>
  </r>
  <r>
    <s v="ff85f5f5-218c-4a52-b148-7b8883f635aa"/>
    <n v="59"/>
    <s v="Other"/>
    <s v="Premium"/>
    <n v="6.25"/>
    <x v="30"/>
    <x v="4"/>
    <x v="2"/>
    <n v="17.989999999999998"/>
    <n v="0"/>
    <n v="0"/>
    <x v="2"/>
    <n v="1"/>
    <n v="3.12"/>
    <s v="Romance"/>
  </r>
  <r>
    <s v="17e2425b-34d9-4947-93ef-3f2d2f3ea259"/>
    <n v="69"/>
    <s v="Female"/>
    <s v="Standard"/>
    <n v="6.08"/>
    <x v="58"/>
    <x v="0"/>
    <x v="4"/>
    <n v="13.99"/>
    <n v="1"/>
    <n v="13.99"/>
    <x v="3"/>
    <n v="3"/>
    <n v="0.13"/>
    <s v="Horror"/>
  </r>
  <r>
    <s v="c0afed78-fc9f-4375-a3a2-a4e02e01946f"/>
    <n v="30"/>
    <s v="Female"/>
    <s v="Basic"/>
    <n v="6.93"/>
    <x v="34"/>
    <x v="2"/>
    <x v="4"/>
    <n v="8.99"/>
    <n v="1"/>
    <n v="8.99"/>
    <x v="0"/>
    <n v="2"/>
    <n v="0.14000000000000001"/>
    <s v="Comedy"/>
  </r>
  <r>
    <s v="299e91ef-64c6-4cde-83d5-49b2c453eeb6"/>
    <n v="36"/>
    <s v="Female"/>
    <s v="Basic"/>
    <n v="17.32"/>
    <x v="8"/>
    <x v="3"/>
    <x v="0"/>
    <n v="8.99"/>
    <n v="1"/>
    <n v="8.99"/>
    <x v="3"/>
    <n v="2"/>
    <n v="0.49"/>
    <s v="Comedy"/>
  </r>
  <r>
    <s v="8303a039-6a27-43cf-9410-2bb30cd7df1a"/>
    <n v="64"/>
    <s v="Female"/>
    <s v="Standard"/>
    <n v="8.11"/>
    <x v="21"/>
    <x v="5"/>
    <x v="4"/>
    <n v="13.99"/>
    <n v="0"/>
    <n v="0"/>
    <x v="0"/>
    <n v="3"/>
    <n v="1.1599999999999999"/>
    <s v="Action"/>
  </r>
  <r>
    <s v="a6ffb99c-83d7-4249-ad0f-6e34402a52d8"/>
    <n v="31"/>
    <s v="Other"/>
    <s v="Standard"/>
    <n v="12.62"/>
    <x v="54"/>
    <x v="2"/>
    <x v="1"/>
    <n v="13.99"/>
    <n v="0"/>
    <n v="0"/>
    <x v="3"/>
    <n v="5"/>
    <n v="0.44"/>
    <s v="Horror"/>
  </r>
  <r>
    <s v="e4995385-d038-45d3-8363-db73a27d7469"/>
    <n v="19"/>
    <s v="Male"/>
    <s v="Standard"/>
    <n v="3.45"/>
    <x v="20"/>
    <x v="0"/>
    <x v="4"/>
    <n v="13.99"/>
    <n v="1"/>
    <n v="13.99"/>
    <x v="4"/>
    <n v="3"/>
    <n v="0.18"/>
    <s v="Romance"/>
  </r>
  <r>
    <s v="e30087d7-5154-4bed-b206-a5a3a8beb672"/>
    <n v="63"/>
    <s v="Male"/>
    <s v="Standard"/>
    <n v="27.07"/>
    <x v="20"/>
    <x v="4"/>
    <x v="3"/>
    <n v="13.99"/>
    <n v="0"/>
    <n v="0"/>
    <x v="2"/>
    <n v="3"/>
    <n v="1.42"/>
    <s v="Sci-Fi"/>
  </r>
  <r>
    <s v="c2385a8f-375b-4476-b78d-072cd47b996c"/>
    <n v="27"/>
    <s v="Other"/>
    <s v="Basic"/>
    <n v="71.38"/>
    <x v="14"/>
    <x v="4"/>
    <x v="1"/>
    <n v="8.99"/>
    <n v="0"/>
    <n v="0"/>
    <x v="3"/>
    <n v="5"/>
    <n v="2.16"/>
    <s v="Comedy"/>
  </r>
  <r>
    <s v="5a416884-375a-4442-b7c6-b480321dd6fd"/>
    <n v="57"/>
    <s v="Male"/>
    <s v="Standard"/>
    <n v="3.64"/>
    <x v="9"/>
    <x v="4"/>
    <x v="2"/>
    <n v="13.99"/>
    <n v="1"/>
    <n v="13.99"/>
    <x v="1"/>
    <n v="5"/>
    <n v="0.1"/>
    <s v="Comedy"/>
  </r>
  <r>
    <s v="b35d25da-2139-4003-95ae-4692112104fc"/>
    <n v="20"/>
    <s v="Other"/>
    <s v="Standard"/>
    <n v="0.75"/>
    <x v="23"/>
    <x v="2"/>
    <x v="4"/>
    <n v="13.99"/>
    <n v="1"/>
    <n v="13.99"/>
    <x v="3"/>
    <n v="3"/>
    <n v="0.01"/>
    <s v="Action"/>
  </r>
  <r>
    <s v="4a6f3042-0fd3-47d6-ba34-bac14e81e872"/>
    <n v="53"/>
    <s v="Male"/>
    <s v="Standard"/>
    <n v="7.31"/>
    <x v="51"/>
    <x v="3"/>
    <x v="2"/>
    <n v="13.99"/>
    <n v="0"/>
    <n v="0"/>
    <x v="2"/>
    <n v="4"/>
    <n v="0.41"/>
    <s v="Action"/>
  </r>
  <r>
    <s v="e495cf16-e38d-4e9f-900c-2f4a9d00a0bb"/>
    <n v="49"/>
    <s v="Other"/>
    <s v="Premium"/>
    <n v="7.69"/>
    <x v="17"/>
    <x v="2"/>
    <x v="4"/>
    <n v="17.989999999999998"/>
    <n v="0"/>
    <n v="0"/>
    <x v="0"/>
    <n v="4"/>
    <n v="1.54"/>
    <s v="Sci-Fi"/>
  </r>
  <r>
    <s v="bdf58108-85ad-4ec0-b613-65576525b913"/>
    <n v="69"/>
    <s v="Other"/>
    <s v="Premium"/>
    <n v="11.3"/>
    <x v="12"/>
    <x v="2"/>
    <x v="3"/>
    <n v="17.989999999999998"/>
    <n v="0"/>
    <n v="0"/>
    <x v="2"/>
    <n v="4"/>
    <n v="0.33"/>
    <s v="Action"/>
  </r>
  <r>
    <s v="a213aa66-7585-47f8-b1fa-3bd2bc3a1387"/>
    <n v="58"/>
    <s v="Female"/>
    <s v="Premium"/>
    <n v="7.58"/>
    <x v="15"/>
    <x v="5"/>
    <x v="0"/>
    <n v="17.989999999999998"/>
    <n v="1"/>
    <n v="17.989999999999998"/>
    <x v="0"/>
    <n v="5"/>
    <n v="0.18"/>
    <s v="Romance"/>
  </r>
  <r>
    <s v="3853a2be-416d-4b36-ab0f-1e9284166094"/>
    <n v="44"/>
    <s v="Male"/>
    <s v="Basic"/>
    <n v="12.76"/>
    <x v="45"/>
    <x v="3"/>
    <x v="4"/>
    <n v="8.99"/>
    <n v="1"/>
    <n v="8.99"/>
    <x v="4"/>
    <n v="3"/>
    <n v="0.3"/>
    <s v="Drama"/>
  </r>
  <r>
    <s v="96c14d7e-0813-4f70-be22-9198e307cc5d"/>
    <n v="20"/>
    <s v="Male"/>
    <s v="Basic"/>
    <n v="8"/>
    <x v="56"/>
    <x v="3"/>
    <x v="4"/>
    <n v="8.99"/>
    <n v="1"/>
    <n v="8.99"/>
    <x v="0"/>
    <n v="4"/>
    <n v="0.14000000000000001"/>
    <s v="Documentary"/>
  </r>
  <r>
    <s v="9cac0e48-698a-4808-9ca9-9601ff0bd4d2"/>
    <n v="67"/>
    <s v="Female"/>
    <s v="Standard"/>
    <n v="16.059999999999999"/>
    <x v="20"/>
    <x v="1"/>
    <x v="2"/>
    <n v="13.99"/>
    <n v="0"/>
    <n v="0"/>
    <x v="3"/>
    <n v="5"/>
    <n v="0.85"/>
    <s v="Horror"/>
  </r>
  <r>
    <s v="b2903ea6-d58c-4ffa-bf43-3e5e6a25ca06"/>
    <n v="69"/>
    <s v="Male"/>
    <s v="Standard"/>
    <n v="42.72"/>
    <x v="24"/>
    <x v="4"/>
    <x v="4"/>
    <n v="13.99"/>
    <n v="0"/>
    <n v="0"/>
    <x v="1"/>
    <n v="3"/>
    <n v="0.81"/>
    <s v="Drama"/>
  </r>
  <r>
    <s v="edb9036d-95f9-4998-9910-78ba85869dbd"/>
    <n v="57"/>
    <s v="Male"/>
    <s v="Standard"/>
    <n v="2.09"/>
    <x v="4"/>
    <x v="2"/>
    <x v="0"/>
    <n v="13.99"/>
    <n v="1"/>
    <n v="13.99"/>
    <x v="1"/>
    <n v="3"/>
    <n v="0.15"/>
    <s v="Romance"/>
  </r>
  <r>
    <s v="ac6eb271-0239-4957-b828-c89508fcfbea"/>
    <n v="62"/>
    <s v="Male"/>
    <s v="Standard"/>
    <n v="7.31"/>
    <x v="5"/>
    <x v="3"/>
    <x v="3"/>
    <n v="13.99"/>
    <n v="0"/>
    <n v="0"/>
    <x v="4"/>
    <n v="2"/>
    <n v="0.27"/>
    <s v="Sci-Fi"/>
  </r>
  <r>
    <s v="9721209e-3147-456f-a2c0-81d23b4cf822"/>
    <n v="34"/>
    <s v="Male"/>
    <s v="Standard"/>
    <n v="10.25"/>
    <x v="45"/>
    <x v="3"/>
    <x v="3"/>
    <n v="13.99"/>
    <n v="1"/>
    <n v="13.99"/>
    <x v="1"/>
    <n v="3"/>
    <n v="0.24"/>
    <s v="Documentary"/>
  </r>
  <r>
    <s v="f915a366-31c7-4a9e-9042-ca526c771219"/>
    <n v="23"/>
    <s v="Other"/>
    <s v="Standard"/>
    <n v="3.1"/>
    <x v="3"/>
    <x v="1"/>
    <x v="2"/>
    <n v="13.99"/>
    <n v="1"/>
    <n v="13.99"/>
    <x v="1"/>
    <n v="5"/>
    <n v="0.24"/>
    <s v="Comedy"/>
  </r>
  <r>
    <s v="75532a22-9cd9-492c-8865-fa4ac7da2ec8"/>
    <n v="58"/>
    <s v="Other"/>
    <s v="Basic"/>
    <n v="10.9"/>
    <x v="39"/>
    <x v="1"/>
    <x v="0"/>
    <n v="8.99"/>
    <n v="0"/>
    <n v="0"/>
    <x v="4"/>
    <n v="3"/>
    <n v="0.47"/>
    <s v="Action"/>
  </r>
  <r>
    <s v="44f3ba44-b95d-4e50-a786-bac4d06f4a43"/>
    <n v="19"/>
    <s v="Female"/>
    <s v="Basic"/>
    <n v="49.17"/>
    <x v="40"/>
    <x v="1"/>
    <x v="3"/>
    <n v="8.99"/>
    <n v="0"/>
    <n v="0"/>
    <x v="4"/>
    <n v="4"/>
    <n v="4.0999999999999996"/>
    <s v="Drama"/>
  </r>
  <r>
    <s v="18779bcb-ba2b-41da-b751-e70b812061ec"/>
    <n v="67"/>
    <s v="Female"/>
    <s v="Basic"/>
    <n v="9.24"/>
    <x v="46"/>
    <x v="5"/>
    <x v="3"/>
    <n v="8.99"/>
    <n v="0"/>
    <n v="0"/>
    <x v="3"/>
    <n v="3"/>
    <n v="3.08"/>
    <s v="Documentary"/>
  </r>
  <r>
    <s v="3f32e8c5-615b-4a3b-a864-db2688f7834f"/>
    <n v="66"/>
    <s v="Male"/>
    <s v="Standard"/>
    <n v="16.55"/>
    <x v="52"/>
    <x v="4"/>
    <x v="3"/>
    <n v="13.99"/>
    <n v="1"/>
    <n v="13.99"/>
    <x v="2"/>
    <n v="2"/>
    <n v="0.33"/>
    <s v="Action"/>
  </r>
  <r>
    <s v="7b0ad82d-6571-430e-90f4-906259e0e89c"/>
    <n v="59"/>
    <s v="Female"/>
    <s v="Basic"/>
    <n v="9.1199999999999992"/>
    <x v="47"/>
    <x v="1"/>
    <x v="2"/>
    <n v="8.99"/>
    <n v="0"/>
    <n v="0"/>
    <x v="4"/>
    <n v="4"/>
    <n v="2.2799999999999998"/>
    <s v="Sci-Fi"/>
  </r>
  <r>
    <s v="82aeef39-ddb0-40ad-bae1-5c436e0cf042"/>
    <n v="57"/>
    <s v="Male"/>
    <s v="Basic"/>
    <n v="1.62"/>
    <x v="51"/>
    <x v="0"/>
    <x v="1"/>
    <n v="8.99"/>
    <n v="1"/>
    <n v="8.99"/>
    <x v="1"/>
    <n v="2"/>
    <n v="0.09"/>
    <s v="Ac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4EB1DD-236B-43BD-A83D-CC296401A5C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vices">
  <location ref="A3:C9" firstHeaderRow="0" firstDataRow="1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3"/>
        <item x="2"/>
        <item x="1"/>
        <item x="4"/>
        <item x="0"/>
        <item t="default"/>
      </items>
    </pivotField>
    <pivotField numFmtId="164" showAll="0"/>
    <pivotField dataField="1" showAll="0"/>
    <pivotField numFmtId="164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ed" fld="9" baseField="0" baseItem="0"/>
    <dataField name="Count of custom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6A82C1-80E3-4B0B-9E00-D336217D18DA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ayment Methods">
  <location ref="A3:C9" firstHeaderRow="0" firstDataRow="1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dataField="1" showAll="0"/>
    <pivotField numFmtId="164" showAll="0"/>
    <pivotField axis="axisRow" showAll="0">
      <items count="6">
        <item x="4"/>
        <item x="1"/>
        <item x="2"/>
        <item x="0"/>
        <item x="3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ed" fld="9" baseField="0" baseItem="0"/>
    <dataField name="Count of custom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CDB21-AD30-442D-AD24-5D915B90EA14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Last login by Weeks">
  <location ref="A3:C13" firstHeaderRow="0" firstDataRow="1" firstDataCol="1"/>
  <pivotFields count="16">
    <pivotField dataField="1" showAll="0"/>
    <pivotField showAll="0"/>
    <pivotField showAll="0"/>
    <pivotField showAll="0"/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numFmtId="164" showAll="0"/>
    <pivotField dataField="1" showAll="0"/>
    <pivotField numFmtId="164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5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hurned" fld="9" baseField="0" baseItem="0"/>
    <dataField name="Count of custom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302B0B-A3D4-46F6-B91D-FE8ACC335B36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2"/>
        <item x="1"/>
        <item x="5"/>
        <item x="3"/>
        <item x="4"/>
        <item t="default"/>
      </items>
    </pivotField>
    <pivotField showAll="0"/>
    <pivotField numFmtId="164" showAll="0"/>
    <pivotField showAll="0"/>
    <pivotField dataField="1" numFmtId="164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monthly_lost_revenue" fld="10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1E61F-C850-4873-9B5C-FD94C37B1EA9}">
  <dimension ref="A3:D9"/>
  <sheetViews>
    <sheetView zoomScaleNormal="100" workbookViewId="0">
      <selection activeCell="I15" sqref="I15"/>
    </sheetView>
  </sheetViews>
  <sheetFormatPr defaultRowHeight="14.6" x14ac:dyDescent="0.4"/>
  <cols>
    <col min="1" max="1" width="10.61328125" bestFit="1" customWidth="1"/>
    <col min="2" max="2" width="14.3828125" bestFit="1" customWidth="1"/>
    <col min="3" max="3" width="19.4609375" bestFit="1" customWidth="1"/>
    <col min="4" max="4" width="9.921875" bestFit="1" customWidth="1"/>
  </cols>
  <sheetData>
    <row r="3" spans="1:4" x14ac:dyDescent="0.4">
      <c r="A3" s="3" t="s">
        <v>5060</v>
      </c>
      <c r="B3" t="s">
        <v>5045</v>
      </c>
      <c r="C3" t="s">
        <v>5046</v>
      </c>
      <c r="D3" s="8" t="s">
        <v>5047</v>
      </c>
    </row>
    <row r="4" spans="1:4" x14ac:dyDescent="0.4">
      <c r="A4" s="4" t="s">
        <v>55</v>
      </c>
      <c r="B4">
        <v>467</v>
      </c>
      <c r="C4">
        <v>949</v>
      </c>
      <c r="D4" s="7">
        <f>GETPIVOTDATA("Sum of churned",$A$3,"device","Desktop")/GETPIVOTDATA("Count of customer_id",$A$3,"device","Desktop")</f>
        <v>0.49209694415173866</v>
      </c>
    </row>
    <row r="5" spans="1:4" x14ac:dyDescent="0.4">
      <c r="A5" s="4" t="s">
        <v>46</v>
      </c>
      <c r="B5">
        <v>521</v>
      </c>
      <c r="C5">
        <v>1006</v>
      </c>
      <c r="D5" s="7">
        <f>GETPIVOTDATA("Sum of churned",$A$3,"device","Laptop")/GETPIVOTDATA("Count of customer_id",$A$3,"device","Laptop")</f>
        <v>0.51789264413518887</v>
      </c>
    </row>
    <row r="6" spans="1:4" x14ac:dyDescent="0.4">
      <c r="A6" s="4" t="s">
        <v>24</v>
      </c>
      <c r="B6">
        <v>507</v>
      </c>
      <c r="C6">
        <v>1004</v>
      </c>
      <c r="D6" s="7">
        <f>GETPIVOTDATA("Sum of churned",$A$3,"device","Mobile")/GETPIVOTDATA("Count of customer_id",$A$3,"device","Mobile")</f>
        <v>0.5049800796812749</v>
      </c>
    </row>
    <row r="7" spans="1:4" x14ac:dyDescent="0.4">
      <c r="A7" s="4" t="s">
        <v>57</v>
      </c>
      <c r="B7">
        <v>524</v>
      </c>
      <c r="C7">
        <v>1048</v>
      </c>
      <c r="D7" s="7">
        <f>GETPIVOTDATA("Sum of churned",$A$3,"device","Tablet")/GETPIVOTDATA("Count of customer_id",$A$3,"device","Tablet")</f>
        <v>0.5</v>
      </c>
    </row>
    <row r="8" spans="1:4" x14ac:dyDescent="0.4">
      <c r="A8" s="4" t="s">
        <v>18</v>
      </c>
      <c r="B8">
        <v>496</v>
      </c>
      <c r="C8">
        <v>993</v>
      </c>
      <c r="D8" s="9">
        <f>GETPIVOTDATA("Sum of churned",$A$3,"device","TV")/GETPIVOTDATA("Count of customer_id",$A$3,"device","TV")</f>
        <v>0.49949647532729102</v>
      </c>
    </row>
    <row r="9" spans="1:4" x14ac:dyDescent="0.4">
      <c r="A9" s="4" t="s">
        <v>5044</v>
      </c>
      <c r="B9">
        <v>2515</v>
      </c>
      <c r="C9">
        <v>5000</v>
      </c>
      <c r="D9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A0813-1014-4391-900B-CB11F1B3D88A}">
  <dimension ref="A3:D9"/>
  <sheetViews>
    <sheetView workbookViewId="0">
      <selection activeCell="F11" sqref="F11"/>
    </sheetView>
  </sheetViews>
  <sheetFormatPr defaultRowHeight="14.6" x14ac:dyDescent="0.4"/>
  <cols>
    <col min="1" max="1" width="18.69140625" bestFit="1" customWidth="1"/>
    <col min="2" max="2" width="14.3828125" bestFit="1" customWidth="1"/>
    <col min="3" max="3" width="19.4609375" bestFit="1" customWidth="1"/>
    <col min="4" max="4" width="9.53515625" bestFit="1" customWidth="1"/>
  </cols>
  <sheetData>
    <row r="3" spans="1:4" x14ac:dyDescent="0.4">
      <c r="A3" s="3" t="s">
        <v>5059</v>
      </c>
      <c r="B3" t="s">
        <v>5045</v>
      </c>
      <c r="C3" t="s">
        <v>5046</v>
      </c>
      <c r="D3" s="6" t="s">
        <v>5048</v>
      </c>
    </row>
    <row r="4" spans="1:4" x14ac:dyDescent="0.4">
      <c r="A4" s="4" t="s">
        <v>61</v>
      </c>
      <c r="B4">
        <v>424</v>
      </c>
      <c r="C4">
        <v>973</v>
      </c>
      <c r="D4" s="10">
        <f>GETPIVOTDATA("Sum of churned",$A$3,"payment_method","Credit Card")/GETPIVOTDATA("Count of customer_id",$A$3,"payment_method","Credit Card")</f>
        <v>0.43576567317574511</v>
      </c>
    </row>
    <row r="5" spans="1:4" x14ac:dyDescent="0.4">
      <c r="A5" s="4" t="s">
        <v>29</v>
      </c>
      <c r="B5">
        <v>594</v>
      </c>
      <c r="C5">
        <v>995</v>
      </c>
      <c r="D5" s="10">
        <f>GETPIVOTDATA("Sum of churned",$A$3,"payment_method","Crypto")/GETPIVOTDATA("Count of customer_id",$A$3,"payment_method","Crypto")</f>
        <v>0.59698492462311559</v>
      </c>
    </row>
    <row r="6" spans="1:4" x14ac:dyDescent="0.4">
      <c r="A6" s="4" t="s">
        <v>37</v>
      </c>
      <c r="B6">
        <v>450</v>
      </c>
      <c r="C6">
        <v>1030</v>
      </c>
      <c r="D6" s="10">
        <f>GETPIVOTDATA("Sum of churned",$A$3,"payment_method","Debit Card")/GETPIVOTDATA("Count of customer_id",$A$3,"payment_method","Debit Card")</f>
        <v>0.43689320388349512</v>
      </c>
    </row>
    <row r="7" spans="1:4" x14ac:dyDescent="0.4">
      <c r="A7" s="4" t="s">
        <v>19</v>
      </c>
      <c r="B7">
        <v>564</v>
      </c>
      <c r="C7">
        <v>976</v>
      </c>
      <c r="D7" s="10">
        <f>GETPIVOTDATA("Sum of churned",$A$3,"payment_method","Gift Card")/GETPIVOTDATA("Count of customer_id",$A$3,"payment_method","Gift Card")</f>
        <v>0.57786885245901642</v>
      </c>
    </row>
    <row r="8" spans="1:4" x14ac:dyDescent="0.4">
      <c r="A8" s="4" t="s">
        <v>43</v>
      </c>
      <c r="B8">
        <v>483</v>
      </c>
      <c r="C8">
        <v>1026</v>
      </c>
      <c r="D8" s="9">
        <f>GETPIVOTDATA("Sum of churned",$A$3,"payment_method","PayPal")/GETPIVOTDATA("Count of customer_id",$A$3,"payment_method","PayPal")</f>
        <v>0.47076023391812866</v>
      </c>
    </row>
    <row r="9" spans="1:4" x14ac:dyDescent="0.4">
      <c r="A9" s="4" t="s">
        <v>5044</v>
      </c>
      <c r="B9">
        <v>2515</v>
      </c>
      <c r="C9">
        <v>5000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821EA-B1A5-48A1-9957-CE7CCEC0E883}">
  <dimension ref="A3:D13"/>
  <sheetViews>
    <sheetView topLeftCell="A3" workbookViewId="0">
      <selection activeCell="G20" sqref="G20"/>
    </sheetView>
  </sheetViews>
  <sheetFormatPr defaultRowHeight="14.6" x14ac:dyDescent="0.4"/>
  <cols>
    <col min="1" max="1" width="20.15234375" bestFit="1" customWidth="1"/>
    <col min="2" max="2" width="14.3828125" bestFit="1" customWidth="1"/>
    <col min="3" max="3" width="19.4609375" bestFit="1" customWidth="1"/>
    <col min="4" max="4" width="9.921875" bestFit="1" customWidth="1"/>
  </cols>
  <sheetData>
    <row r="3" spans="1:4" x14ac:dyDescent="0.4">
      <c r="A3" s="3" t="s">
        <v>5058</v>
      </c>
      <c r="B3" t="s">
        <v>5045</v>
      </c>
      <c r="C3" t="s">
        <v>5046</v>
      </c>
      <c r="D3" s="6" t="s">
        <v>5047</v>
      </c>
    </row>
    <row r="4" spans="1:4" x14ac:dyDescent="0.4">
      <c r="A4" s="4" t="s">
        <v>5049</v>
      </c>
      <c r="B4">
        <v>71</v>
      </c>
      <c r="C4">
        <v>579</v>
      </c>
      <c r="D4" s="10">
        <f>GETPIVOTDATA("Sum of churned",$A$3,"last_login_days",0)/GETPIVOTDATA("Count of customer_id",$A$3,"last_login_days",0)</f>
        <v>0.12262521588946459</v>
      </c>
    </row>
    <row r="5" spans="1:4" x14ac:dyDescent="0.4">
      <c r="A5" s="4" t="s">
        <v>5050</v>
      </c>
      <c r="B5">
        <v>148</v>
      </c>
      <c r="C5">
        <v>570</v>
      </c>
      <c r="D5" s="10">
        <f>GETPIVOTDATA("Sum of churned",$A$3,"last_login_days",7)/GETPIVOTDATA("Count of customer_id",$A$3,"last_login_days",7)</f>
        <v>0.25964912280701752</v>
      </c>
    </row>
    <row r="6" spans="1:4" x14ac:dyDescent="0.4">
      <c r="A6" s="4" t="s">
        <v>5051</v>
      </c>
      <c r="B6">
        <v>142</v>
      </c>
      <c r="C6">
        <v>533</v>
      </c>
      <c r="D6" s="10">
        <f>GETPIVOTDATA("Sum of churned",$A$3,"last_login_days",14)/GETPIVOTDATA("Count of customer_id",$A$3,"last_login_days",14)</f>
        <v>0.26641651031894936</v>
      </c>
    </row>
    <row r="7" spans="1:4" x14ac:dyDescent="0.4">
      <c r="A7" s="4" t="s">
        <v>5052</v>
      </c>
      <c r="B7">
        <v>206</v>
      </c>
      <c r="C7">
        <v>604</v>
      </c>
      <c r="D7" s="10">
        <f>GETPIVOTDATA("Sum of churned",$A$3,"last_login_days",21)/GETPIVOTDATA("Count of customer_id",$A$3,"last_login_days",21)</f>
        <v>0.34105960264900664</v>
      </c>
    </row>
    <row r="8" spans="1:4" x14ac:dyDescent="0.4">
      <c r="A8" s="4" t="s">
        <v>5053</v>
      </c>
      <c r="B8">
        <v>327</v>
      </c>
      <c r="C8">
        <v>563</v>
      </c>
      <c r="D8" s="10">
        <f>GETPIVOTDATA("Sum of churned",$A$3,"last_login_days",28)/GETPIVOTDATA("Count of customer_id",$A$3,"last_login_days",28)</f>
        <v>0.58081705150976914</v>
      </c>
    </row>
    <row r="9" spans="1:4" x14ac:dyDescent="0.4">
      <c r="A9" s="4" t="s">
        <v>5054</v>
      </c>
      <c r="B9">
        <v>429</v>
      </c>
      <c r="C9">
        <v>592</v>
      </c>
      <c r="D9" s="10">
        <f>GETPIVOTDATA("Sum of churned",$A$3,"last_login_days",35)/GETPIVOTDATA("Count of customer_id",$A$3,"last_login_days",35)</f>
        <v>0.72466216216216217</v>
      </c>
    </row>
    <row r="10" spans="1:4" x14ac:dyDescent="0.4">
      <c r="A10" s="4" t="s">
        <v>5055</v>
      </c>
      <c r="B10">
        <v>466</v>
      </c>
      <c r="C10">
        <v>593</v>
      </c>
      <c r="D10" s="10">
        <f>GETPIVOTDATA("Sum of churned",$A$3,"last_login_days",42)/GETPIVOTDATA("Count of customer_id",$A$3,"last_login_days",42)</f>
        <v>0.78583473861720066</v>
      </c>
    </row>
    <row r="11" spans="1:4" x14ac:dyDescent="0.4">
      <c r="A11" s="4" t="s">
        <v>5056</v>
      </c>
      <c r="B11">
        <v>437</v>
      </c>
      <c r="C11">
        <v>579</v>
      </c>
      <c r="D11" s="10">
        <f>GETPIVOTDATA("Sum of churned",$A$3,"last_login_days",49)/GETPIVOTDATA("Count of customer_id",$A$3,"last_login_days",49)</f>
        <v>0.75474956822107087</v>
      </c>
    </row>
    <row r="12" spans="1:4" x14ac:dyDescent="0.4">
      <c r="A12" s="4" t="s">
        <v>5057</v>
      </c>
      <c r="B12">
        <v>289</v>
      </c>
      <c r="C12">
        <v>387</v>
      </c>
      <c r="D12" s="9">
        <f>GETPIVOTDATA("Sum of churned",$A$3,"last_login_days",56)/GETPIVOTDATA("Count of customer_id",$A$3,"last_login_days",56)</f>
        <v>0.74677002583979324</v>
      </c>
    </row>
    <row r="13" spans="1:4" x14ac:dyDescent="0.4">
      <c r="A13" s="4" t="s">
        <v>5044</v>
      </c>
      <c r="B13">
        <v>2515</v>
      </c>
      <c r="C13">
        <v>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47ECF-C66B-4F4D-BB13-3F9D73E71FED}">
  <dimension ref="A3:B10"/>
  <sheetViews>
    <sheetView workbookViewId="0">
      <selection activeCell="E24" sqref="E24"/>
    </sheetView>
  </sheetViews>
  <sheetFormatPr defaultRowHeight="14.6" x14ac:dyDescent="0.4"/>
  <cols>
    <col min="1" max="1" width="13" bestFit="1" customWidth="1"/>
    <col min="2" max="2" width="26.61328125" bestFit="1" customWidth="1"/>
  </cols>
  <sheetData>
    <row r="3" spans="1:2" x14ac:dyDescent="0.4">
      <c r="A3" s="3" t="s">
        <v>5043</v>
      </c>
      <c r="B3" t="s">
        <v>5062</v>
      </c>
    </row>
    <row r="4" spans="1:2" x14ac:dyDescent="0.4">
      <c r="A4" s="4" t="s">
        <v>17</v>
      </c>
      <c r="B4" s="2">
        <v>5032.1199999999499</v>
      </c>
    </row>
    <row r="5" spans="1:2" x14ac:dyDescent="0.4">
      <c r="A5" s="4" t="s">
        <v>28</v>
      </c>
      <c r="B5" s="2">
        <v>5567.7399999999425</v>
      </c>
    </row>
    <row r="6" spans="1:2" x14ac:dyDescent="0.4">
      <c r="A6" s="4" t="s">
        <v>23</v>
      </c>
      <c r="B6" s="2">
        <v>5885.5199999999377</v>
      </c>
    </row>
    <row r="7" spans="1:2" x14ac:dyDescent="0.4">
      <c r="A7" s="4" t="s">
        <v>70</v>
      </c>
      <c r="B7" s="2">
        <v>5523.7899999999427</v>
      </c>
    </row>
    <row r="8" spans="1:2" x14ac:dyDescent="0.4">
      <c r="A8" s="4" t="s">
        <v>33</v>
      </c>
      <c r="B8" s="2">
        <v>5127.169999999951</v>
      </c>
    </row>
    <row r="9" spans="1:2" x14ac:dyDescent="0.4">
      <c r="A9" s="4" t="s">
        <v>49</v>
      </c>
      <c r="B9" s="2">
        <v>5873.5099999999375</v>
      </c>
    </row>
    <row r="10" spans="1:2" x14ac:dyDescent="0.4">
      <c r="A10" s="4" t="s">
        <v>5044</v>
      </c>
      <c r="B10" s="2">
        <v>33009.849999999664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FD54-A592-40C0-A8EC-6D326D5DB202}">
  <dimension ref="A1:P5001"/>
  <sheetViews>
    <sheetView tabSelected="1" workbookViewId="0">
      <selection activeCell="N1" sqref="N1"/>
    </sheetView>
  </sheetViews>
  <sheetFormatPr defaultRowHeight="14.6" x14ac:dyDescent="0.4"/>
  <cols>
    <col min="1" max="1" width="36.69140625" bestFit="1" customWidth="1"/>
    <col min="2" max="2" width="3.84375" bestFit="1" customWidth="1"/>
    <col min="3" max="3" width="6.921875" bestFit="1" customWidth="1"/>
    <col min="4" max="4" width="15.69140625" bestFit="1" customWidth="1"/>
    <col min="5" max="5" width="11.53515625" bestFit="1" customWidth="1"/>
    <col min="6" max="6" width="13.84375" bestFit="1" customWidth="1"/>
    <col min="7" max="7" width="13" bestFit="1" customWidth="1"/>
    <col min="8" max="8" width="7.61328125" bestFit="1" customWidth="1"/>
    <col min="9" max="9" width="12.3046875" style="2" bestFit="1" customWidth="1"/>
    <col min="10" max="10" width="7.765625" customWidth="1"/>
    <col min="11" max="11" width="19.07421875" style="2" bestFit="1" customWidth="1"/>
    <col min="12" max="12" width="15.3046875" bestFit="1" customWidth="1"/>
    <col min="13" max="13" width="17.15234375" bestFit="1" customWidth="1"/>
    <col min="14" max="14" width="21.61328125" bestFit="1" customWidth="1"/>
    <col min="15" max="15" width="16.23046875" bestFit="1" customWidth="1"/>
    <col min="16" max="16" width="12.61328125" bestFit="1" customWidth="1"/>
    <col min="20" max="20" width="9.23046875" customWidth="1"/>
  </cols>
  <sheetData>
    <row r="1" spans="1:16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t="s">
        <v>9</v>
      </c>
      <c r="K1" t="s">
        <v>5061</v>
      </c>
      <c r="L1" t="s">
        <v>10</v>
      </c>
      <c r="M1" t="s">
        <v>11</v>
      </c>
      <c r="N1" t="s">
        <v>12</v>
      </c>
      <c r="O1" t="s">
        <v>5063</v>
      </c>
      <c r="P1" t="s">
        <v>13</v>
      </c>
    </row>
    <row r="2" spans="1:16" x14ac:dyDescent="0.4">
      <c r="A2" t="s">
        <v>14</v>
      </c>
      <c r="B2">
        <v>51</v>
      </c>
      <c r="C2" t="s">
        <v>15</v>
      </c>
      <c r="D2" t="s">
        <v>16</v>
      </c>
      <c r="E2">
        <v>14.73</v>
      </c>
      <c r="F2">
        <v>29</v>
      </c>
      <c r="G2" t="s">
        <v>17</v>
      </c>
      <c r="H2" t="s">
        <v>18</v>
      </c>
      <c r="I2" s="2">
        <v>8.99</v>
      </c>
      <c r="J2">
        <v>1</v>
      </c>
      <c r="K2" s="2">
        <f>SUMIF(J2,1,I2)</f>
        <v>8.99</v>
      </c>
      <c r="L2" t="s">
        <v>19</v>
      </c>
      <c r="M2">
        <v>1</v>
      </c>
      <c r="N2">
        <v>0.49</v>
      </c>
      <c r="O2" t="str">
        <f>IF(N2&gt;1,"1+ hours",IF(N2&lt;=0.2,"0–0.2 hours",IF(N2&lt;=0.4,"0.2–0.4 hours",IF(N2&lt;=0.6,"0.4–0.6 hours",IF(N2&lt;=0.8,"0.6–0.8 hours","0.8–1 hour")))))</f>
        <v>0.4–0.6 hours</v>
      </c>
      <c r="P2" t="s">
        <v>20</v>
      </c>
    </row>
    <row r="3" spans="1:16" x14ac:dyDescent="0.4">
      <c r="A3" t="s">
        <v>21</v>
      </c>
      <c r="B3">
        <v>47</v>
      </c>
      <c r="C3" t="s">
        <v>15</v>
      </c>
      <c r="D3" t="s">
        <v>22</v>
      </c>
      <c r="E3">
        <v>0.7</v>
      </c>
      <c r="F3">
        <v>19</v>
      </c>
      <c r="G3" t="s">
        <v>23</v>
      </c>
      <c r="H3" t="s">
        <v>24</v>
      </c>
      <c r="I3" s="2">
        <v>13.99</v>
      </c>
      <c r="J3">
        <v>1</v>
      </c>
      <c r="K3" s="2">
        <f t="shared" ref="K3:K66" si="0">SUMIF(J3,1,I3)</f>
        <v>13.99</v>
      </c>
      <c r="L3" t="s">
        <v>19</v>
      </c>
      <c r="M3">
        <v>5</v>
      </c>
      <c r="N3">
        <v>0.03</v>
      </c>
      <c r="O3" t="str">
        <f t="shared" ref="O3:O66" si="1">IF(N3&gt;1,"1+ hours",IF(N3&lt;=0.2,"0–0.2 hours",IF(N3&lt;=0.4,"0.2–0.4 hours",IF(N3&lt;=0.6,"0.4–0.6 hours",IF(N3&lt;=0.8,"0.6–0.8 hours","0.8–1 hour")))))</f>
        <v>0–0.2 hours</v>
      </c>
      <c r="P3" t="s">
        <v>25</v>
      </c>
    </row>
    <row r="4" spans="1:16" x14ac:dyDescent="0.4">
      <c r="A4" t="s">
        <v>26</v>
      </c>
      <c r="B4">
        <v>27</v>
      </c>
      <c r="C4" t="s">
        <v>27</v>
      </c>
      <c r="D4" t="s">
        <v>22</v>
      </c>
      <c r="E4">
        <v>16.32</v>
      </c>
      <c r="F4">
        <v>10</v>
      </c>
      <c r="G4" t="s">
        <v>28</v>
      </c>
      <c r="H4" t="s">
        <v>18</v>
      </c>
      <c r="I4" s="2">
        <v>13.99</v>
      </c>
      <c r="J4">
        <v>0</v>
      </c>
      <c r="K4" s="2">
        <f t="shared" si="0"/>
        <v>0</v>
      </c>
      <c r="L4" t="s">
        <v>29</v>
      </c>
      <c r="M4">
        <v>2</v>
      </c>
      <c r="N4">
        <v>1.48</v>
      </c>
      <c r="O4" t="str">
        <f t="shared" si="1"/>
        <v>1+ hours</v>
      </c>
      <c r="P4" t="s">
        <v>30</v>
      </c>
    </row>
    <row r="5" spans="1:16" x14ac:dyDescent="0.4">
      <c r="A5" t="s">
        <v>31</v>
      </c>
      <c r="B5">
        <v>53</v>
      </c>
      <c r="C5" t="s">
        <v>15</v>
      </c>
      <c r="D5" t="s">
        <v>32</v>
      </c>
      <c r="E5">
        <v>4.51</v>
      </c>
      <c r="F5">
        <v>12</v>
      </c>
      <c r="G5" t="s">
        <v>33</v>
      </c>
      <c r="H5" t="s">
        <v>18</v>
      </c>
      <c r="I5" s="2">
        <v>17.989999999999998</v>
      </c>
      <c r="J5">
        <v>1</v>
      </c>
      <c r="K5" s="2">
        <f t="shared" si="0"/>
        <v>17.989999999999998</v>
      </c>
      <c r="L5" t="s">
        <v>29</v>
      </c>
      <c r="M5">
        <v>2</v>
      </c>
      <c r="N5">
        <v>0.35</v>
      </c>
      <c r="O5" t="str">
        <f t="shared" si="1"/>
        <v>0.2–0.4 hours</v>
      </c>
      <c r="P5" t="s">
        <v>34</v>
      </c>
    </row>
    <row r="6" spans="1:16" x14ac:dyDescent="0.4">
      <c r="A6" t="s">
        <v>35</v>
      </c>
      <c r="B6">
        <v>56</v>
      </c>
      <c r="C6" t="s">
        <v>15</v>
      </c>
      <c r="D6" t="s">
        <v>22</v>
      </c>
      <c r="E6">
        <v>1.89</v>
      </c>
      <c r="F6">
        <v>13</v>
      </c>
      <c r="G6" t="s">
        <v>17</v>
      </c>
      <c r="H6" t="s">
        <v>24</v>
      </c>
      <c r="I6" s="2">
        <v>13.99</v>
      </c>
      <c r="J6">
        <v>1</v>
      </c>
      <c r="K6" s="2">
        <f t="shared" si="0"/>
        <v>13.99</v>
      </c>
      <c r="L6" t="s">
        <v>29</v>
      </c>
      <c r="M6">
        <v>2</v>
      </c>
      <c r="N6">
        <v>0.13</v>
      </c>
      <c r="O6" t="str">
        <f t="shared" si="1"/>
        <v>0–0.2 hours</v>
      </c>
      <c r="P6" t="s">
        <v>20</v>
      </c>
    </row>
    <row r="7" spans="1:16" x14ac:dyDescent="0.4">
      <c r="A7" t="s">
        <v>36</v>
      </c>
      <c r="B7">
        <v>58</v>
      </c>
      <c r="C7" t="s">
        <v>27</v>
      </c>
      <c r="D7" t="s">
        <v>22</v>
      </c>
      <c r="E7">
        <v>13.8</v>
      </c>
      <c r="F7">
        <v>26</v>
      </c>
      <c r="G7" t="s">
        <v>33</v>
      </c>
      <c r="H7" t="s">
        <v>24</v>
      </c>
      <c r="I7" s="2">
        <v>13.99</v>
      </c>
      <c r="J7">
        <v>0</v>
      </c>
      <c r="K7" s="2">
        <f t="shared" si="0"/>
        <v>0</v>
      </c>
      <c r="L7" t="s">
        <v>37</v>
      </c>
      <c r="M7">
        <v>3</v>
      </c>
      <c r="N7">
        <v>0.51</v>
      </c>
      <c r="O7" t="str">
        <f t="shared" si="1"/>
        <v>0.4–0.6 hours</v>
      </c>
      <c r="P7" t="s">
        <v>20</v>
      </c>
    </row>
    <row r="8" spans="1:16" x14ac:dyDescent="0.4">
      <c r="A8" s="1" t="s">
        <v>38</v>
      </c>
      <c r="B8">
        <v>48</v>
      </c>
      <c r="C8" t="s">
        <v>15</v>
      </c>
      <c r="D8" t="s">
        <v>16</v>
      </c>
      <c r="E8">
        <v>13.83</v>
      </c>
      <c r="F8">
        <v>20</v>
      </c>
      <c r="G8" t="s">
        <v>28</v>
      </c>
      <c r="H8" t="s">
        <v>18</v>
      </c>
      <c r="I8" s="2">
        <v>8.99</v>
      </c>
      <c r="J8">
        <v>0</v>
      </c>
      <c r="K8" s="2">
        <f t="shared" si="0"/>
        <v>0</v>
      </c>
      <c r="L8" t="s">
        <v>19</v>
      </c>
      <c r="M8">
        <v>5</v>
      </c>
      <c r="N8">
        <v>0.66</v>
      </c>
      <c r="O8" t="str">
        <f t="shared" si="1"/>
        <v>0.6–0.8 hours</v>
      </c>
      <c r="P8" t="s">
        <v>39</v>
      </c>
    </row>
    <row r="9" spans="1:16" x14ac:dyDescent="0.4">
      <c r="A9" t="s">
        <v>40</v>
      </c>
      <c r="B9">
        <v>51</v>
      </c>
      <c r="C9" t="s">
        <v>41</v>
      </c>
      <c r="D9" t="s">
        <v>16</v>
      </c>
      <c r="E9">
        <v>14.3</v>
      </c>
      <c r="F9">
        <v>56</v>
      </c>
      <c r="G9" t="s">
        <v>23</v>
      </c>
      <c r="H9" t="s">
        <v>24</v>
      </c>
      <c r="I9" s="2">
        <v>8.99</v>
      </c>
      <c r="J9">
        <v>1</v>
      </c>
      <c r="K9" s="2">
        <f t="shared" si="0"/>
        <v>8.99</v>
      </c>
      <c r="L9" t="s">
        <v>19</v>
      </c>
      <c r="M9">
        <v>1</v>
      </c>
      <c r="N9">
        <v>0.25</v>
      </c>
      <c r="O9" t="str">
        <f t="shared" si="1"/>
        <v>0.2–0.4 hours</v>
      </c>
      <c r="P9" t="s">
        <v>20</v>
      </c>
    </row>
    <row r="10" spans="1:16" x14ac:dyDescent="0.4">
      <c r="A10" t="s">
        <v>42</v>
      </c>
      <c r="B10">
        <v>45</v>
      </c>
      <c r="C10" t="s">
        <v>15</v>
      </c>
      <c r="D10" t="s">
        <v>16</v>
      </c>
      <c r="E10">
        <v>9.98</v>
      </c>
      <c r="F10">
        <v>10</v>
      </c>
      <c r="G10" t="s">
        <v>28</v>
      </c>
      <c r="H10" t="s">
        <v>24</v>
      </c>
      <c r="I10" s="2">
        <v>8.99</v>
      </c>
      <c r="J10">
        <v>0</v>
      </c>
      <c r="K10" s="2">
        <f t="shared" si="0"/>
        <v>0</v>
      </c>
      <c r="L10" t="s">
        <v>43</v>
      </c>
      <c r="M10">
        <v>3</v>
      </c>
      <c r="N10">
        <v>0.91</v>
      </c>
      <c r="O10" t="str">
        <f t="shared" si="1"/>
        <v>0.8–1 hour</v>
      </c>
      <c r="P10" t="s">
        <v>39</v>
      </c>
    </row>
    <row r="11" spans="1:16" x14ac:dyDescent="0.4">
      <c r="A11" t="s">
        <v>44</v>
      </c>
      <c r="B11">
        <v>32</v>
      </c>
      <c r="C11" t="s">
        <v>15</v>
      </c>
      <c r="D11" t="s">
        <v>32</v>
      </c>
      <c r="E11">
        <v>2.2200000000000002</v>
      </c>
      <c r="F11">
        <v>34</v>
      </c>
      <c r="G11" t="s">
        <v>23</v>
      </c>
      <c r="H11" t="s">
        <v>18</v>
      </c>
      <c r="I11" s="2">
        <v>17.989999999999998</v>
      </c>
      <c r="J11">
        <v>1</v>
      </c>
      <c r="K11" s="2">
        <f t="shared" si="0"/>
        <v>17.989999999999998</v>
      </c>
      <c r="L11" t="s">
        <v>37</v>
      </c>
      <c r="M11">
        <v>1</v>
      </c>
      <c r="N11">
        <v>0.06</v>
      </c>
      <c r="O11" t="str">
        <f t="shared" si="1"/>
        <v>0–0.2 hours</v>
      </c>
      <c r="P11" t="s">
        <v>30</v>
      </c>
    </row>
    <row r="12" spans="1:16" x14ac:dyDescent="0.4">
      <c r="A12" t="s">
        <v>45</v>
      </c>
      <c r="B12">
        <v>26</v>
      </c>
      <c r="C12" t="s">
        <v>41</v>
      </c>
      <c r="D12" t="s">
        <v>32</v>
      </c>
      <c r="E12">
        <v>15.42</v>
      </c>
      <c r="F12">
        <v>36</v>
      </c>
      <c r="G12" t="s">
        <v>28</v>
      </c>
      <c r="H12" t="s">
        <v>46</v>
      </c>
      <c r="I12" s="2">
        <v>17.989999999999998</v>
      </c>
      <c r="J12">
        <v>0</v>
      </c>
      <c r="K12" s="2">
        <f t="shared" si="0"/>
        <v>0</v>
      </c>
      <c r="L12" t="s">
        <v>37</v>
      </c>
      <c r="M12">
        <v>4</v>
      </c>
      <c r="N12">
        <v>0.42</v>
      </c>
      <c r="O12" t="str">
        <f t="shared" si="1"/>
        <v>0.4–0.6 hours</v>
      </c>
      <c r="P12" t="s">
        <v>47</v>
      </c>
    </row>
    <row r="13" spans="1:16" x14ac:dyDescent="0.4">
      <c r="A13" t="s">
        <v>48</v>
      </c>
      <c r="B13">
        <v>28</v>
      </c>
      <c r="C13" t="s">
        <v>15</v>
      </c>
      <c r="D13" t="s">
        <v>22</v>
      </c>
      <c r="E13">
        <v>22.26</v>
      </c>
      <c r="F13">
        <v>38</v>
      </c>
      <c r="G13" t="s">
        <v>49</v>
      </c>
      <c r="H13" t="s">
        <v>24</v>
      </c>
      <c r="I13" s="2">
        <v>13.99</v>
      </c>
      <c r="J13">
        <v>0</v>
      </c>
      <c r="K13" s="2">
        <f t="shared" si="0"/>
        <v>0</v>
      </c>
      <c r="L13" t="s">
        <v>29</v>
      </c>
      <c r="M13">
        <v>5</v>
      </c>
      <c r="N13">
        <v>0.56999999999999995</v>
      </c>
      <c r="O13" t="str">
        <f t="shared" si="1"/>
        <v>0.4–0.6 hours</v>
      </c>
      <c r="P13" t="s">
        <v>34</v>
      </c>
    </row>
    <row r="14" spans="1:16" x14ac:dyDescent="0.4">
      <c r="A14" t="s">
        <v>50</v>
      </c>
      <c r="B14">
        <v>47</v>
      </c>
      <c r="C14" t="s">
        <v>15</v>
      </c>
      <c r="D14" t="s">
        <v>22</v>
      </c>
      <c r="E14">
        <v>7.92</v>
      </c>
      <c r="F14">
        <v>23</v>
      </c>
      <c r="G14" t="s">
        <v>49</v>
      </c>
      <c r="H14" t="s">
        <v>18</v>
      </c>
      <c r="I14" s="2">
        <v>13.99</v>
      </c>
      <c r="J14">
        <v>0</v>
      </c>
      <c r="K14" s="2">
        <f t="shared" si="0"/>
        <v>0</v>
      </c>
      <c r="L14" t="s">
        <v>29</v>
      </c>
      <c r="M14">
        <v>1</v>
      </c>
      <c r="N14">
        <v>0.33</v>
      </c>
      <c r="O14" t="str">
        <f t="shared" si="1"/>
        <v>0.2–0.4 hours</v>
      </c>
      <c r="P14" t="s">
        <v>25</v>
      </c>
    </row>
    <row r="15" spans="1:16" x14ac:dyDescent="0.4">
      <c r="A15" t="s">
        <v>51</v>
      </c>
      <c r="B15">
        <v>49</v>
      </c>
      <c r="C15" t="s">
        <v>27</v>
      </c>
      <c r="D15" t="s">
        <v>16</v>
      </c>
      <c r="E15">
        <v>5.26</v>
      </c>
      <c r="F15">
        <v>33</v>
      </c>
      <c r="G15" t="s">
        <v>49</v>
      </c>
      <c r="H15" t="s">
        <v>24</v>
      </c>
      <c r="I15" s="2">
        <v>8.99</v>
      </c>
      <c r="J15">
        <v>1</v>
      </c>
      <c r="K15" s="2">
        <f t="shared" si="0"/>
        <v>8.99</v>
      </c>
      <c r="L15" t="s">
        <v>29</v>
      </c>
      <c r="M15">
        <v>3</v>
      </c>
      <c r="N15">
        <v>0.15</v>
      </c>
      <c r="O15" t="str">
        <f t="shared" si="1"/>
        <v>0–0.2 hours</v>
      </c>
      <c r="P15" t="s">
        <v>52</v>
      </c>
    </row>
    <row r="16" spans="1:16" x14ac:dyDescent="0.4">
      <c r="A16" t="s">
        <v>53</v>
      </c>
      <c r="B16">
        <v>39</v>
      </c>
      <c r="C16" t="s">
        <v>27</v>
      </c>
      <c r="D16" t="s">
        <v>16</v>
      </c>
      <c r="E16">
        <v>10.97</v>
      </c>
      <c r="F16">
        <v>10</v>
      </c>
      <c r="G16" t="s">
        <v>33</v>
      </c>
      <c r="H16" t="s">
        <v>24</v>
      </c>
      <c r="I16" s="2">
        <v>8.99</v>
      </c>
      <c r="J16">
        <v>0</v>
      </c>
      <c r="K16" s="2">
        <f t="shared" si="0"/>
        <v>0</v>
      </c>
      <c r="L16" t="s">
        <v>43</v>
      </c>
      <c r="M16">
        <v>1</v>
      </c>
      <c r="N16">
        <v>1</v>
      </c>
      <c r="O16" t="str">
        <f t="shared" si="1"/>
        <v>0.8–1 hour</v>
      </c>
      <c r="P16" t="s">
        <v>47</v>
      </c>
    </row>
    <row r="17" spans="1:16" x14ac:dyDescent="0.4">
      <c r="A17" t="s">
        <v>54</v>
      </c>
      <c r="B17">
        <v>32</v>
      </c>
      <c r="C17" t="s">
        <v>27</v>
      </c>
      <c r="D17" t="s">
        <v>32</v>
      </c>
      <c r="E17">
        <v>40.94</v>
      </c>
      <c r="F17">
        <v>7</v>
      </c>
      <c r="G17" t="s">
        <v>49</v>
      </c>
      <c r="H17" t="s">
        <v>55</v>
      </c>
      <c r="I17" s="2">
        <v>17.989999999999998</v>
      </c>
      <c r="J17">
        <v>0</v>
      </c>
      <c r="K17" s="2">
        <f t="shared" si="0"/>
        <v>0</v>
      </c>
      <c r="L17" t="s">
        <v>29</v>
      </c>
      <c r="M17">
        <v>1</v>
      </c>
      <c r="N17">
        <v>5.12</v>
      </c>
      <c r="O17" t="str">
        <f t="shared" si="1"/>
        <v>1+ hours</v>
      </c>
      <c r="P17" t="s">
        <v>20</v>
      </c>
    </row>
    <row r="18" spans="1:16" x14ac:dyDescent="0.4">
      <c r="A18" t="s">
        <v>56</v>
      </c>
      <c r="B18">
        <v>46</v>
      </c>
      <c r="C18" t="s">
        <v>15</v>
      </c>
      <c r="D18" t="s">
        <v>32</v>
      </c>
      <c r="E18">
        <v>1.25</v>
      </c>
      <c r="F18">
        <v>13</v>
      </c>
      <c r="G18" t="s">
        <v>23</v>
      </c>
      <c r="H18" t="s">
        <v>57</v>
      </c>
      <c r="I18" s="2">
        <v>17.989999999999998</v>
      </c>
      <c r="J18">
        <v>1</v>
      </c>
      <c r="K18" s="2">
        <f t="shared" si="0"/>
        <v>17.989999999999998</v>
      </c>
      <c r="L18" t="s">
        <v>37</v>
      </c>
      <c r="M18">
        <v>3</v>
      </c>
      <c r="N18">
        <v>0.09</v>
      </c>
      <c r="O18" t="str">
        <f t="shared" si="1"/>
        <v>0–0.2 hours</v>
      </c>
      <c r="P18" t="s">
        <v>47</v>
      </c>
    </row>
    <row r="19" spans="1:16" x14ac:dyDescent="0.4">
      <c r="A19" t="s">
        <v>58</v>
      </c>
      <c r="B19">
        <v>48</v>
      </c>
      <c r="C19" t="s">
        <v>27</v>
      </c>
      <c r="D19" t="s">
        <v>22</v>
      </c>
      <c r="E19">
        <v>8.1199999999999992</v>
      </c>
      <c r="F19">
        <v>32</v>
      </c>
      <c r="G19" t="s">
        <v>17</v>
      </c>
      <c r="H19" t="s">
        <v>55</v>
      </c>
      <c r="I19" s="2">
        <v>13.99</v>
      </c>
      <c r="J19">
        <v>1</v>
      </c>
      <c r="K19" s="2">
        <f t="shared" si="0"/>
        <v>13.99</v>
      </c>
      <c r="L19" t="s">
        <v>29</v>
      </c>
      <c r="M19">
        <v>2</v>
      </c>
      <c r="N19">
        <v>0.25</v>
      </c>
      <c r="O19" t="str">
        <f t="shared" si="1"/>
        <v>0.2–0.4 hours</v>
      </c>
      <c r="P19" t="s">
        <v>20</v>
      </c>
    </row>
    <row r="20" spans="1:16" x14ac:dyDescent="0.4">
      <c r="A20" t="s">
        <v>59</v>
      </c>
      <c r="B20">
        <v>68</v>
      </c>
      <c r="C20" t="s">
        <v>27</v>
      </c>
      <c r="D20" t="s">
        <v>32</v>
      </c>
      <c r="E20">
        <v>7.67</v>
      </c>
      <c r="F20">
        <v>40</v>
      </c>
      <c r="G20" t="s">
        <v>33</v>
      </c>
      <c r="H20" t="s">
        <v>57</v>
      </c>
      <c r="I20" s="2">
        <v>17.989999999999998</v>
      </c>
      <c r="J20">
        <v>0</v>
      </c>
      <c r="K20" s="2">
        <f t="shared" si="0"/>
        <v>0</v>
      </c>
      <c r="L20" t="s">
        <v>43</v>
      </c>
      <c r="M20">
        <v>4</v>
      </c>
      <c r="N20">
        <v>0.19</v>
      </c>
      <c r="O20" t="str">
        <f t="shared" si="1"/>
        <v>0–0.2 hours</v>
      </c>
      <c r="P20" t="s">
        <v>39</v>
      </c>
    </row>
    <row r="21" spans="1:16" x14ac:dyDescent="0.4">
      <c r="A21" t="s">
        <v>60</v>
      </c>
      <c r="B21">
        <v>21</v>
      </c>
      <c r="C21" t="s">
        <v>27</v>
      </c>
      <c r="D21" t="s">
        <v>22</v>
      </c>
      <c r="E21">
        <v>15.53</v>
      </c>
      <c r="F21">
        <v>27</v>
      </c>
      <c r="G21" t="s">
        <v>49</v>
      </c>
      <c r="H21" t="s">
        <v>46</v>
      </c>
      <c r="I21" s="2">
        <v>13.99</v>
      </c>
      <c r="J21">
        <v>0</v>
      </c>
      <c r="K21" s="2">
        <f t="shared" si="0"/>
        <v>0</v>
      </c>
      <c r="L21" t="s">
        <v>61</v>
      </c>
      <c r="M21">
        <v>1</v>
      </c>
      <c r="N21">
        <v>0.55000000000000004</v>
      </c>
      <c r="O21" t="str">
        <f t="shared" si="1"/>
        <v>0.4–0.6 hours</v>
      </c>
      <c r="P21" t="s">
        <v>47</v>
      </c>
    </row>
    <row r="22" spans="1:16" x14ac:dyDescent="0.4">
      <c r="A22" t="s">
        <v>62</v>
      </c>
      <c r="B22">
        <v>60</v>
      </c>
      <c r="C22" t="s">
        <v>41</v>
      </c>
      <c r="D22" t="s">
        <v>16</v>
      </c>
      <c r="E22">
        <v>31.9</v>
      </c>
      <c r="F22">
        <v>4</v>
      </c>
      <c r="G22" t="s">
        <v>33</v>
      </c>
      <c r="H22" t="s">
        <v>57</v>
      </c>
      <c r="I22" s="2">
        <v>8.99</v>
      </c>
      <c r="J22">
        <v>0</v>
      </c>
      <c r="K22" s="2">
        <f t="shared" si="0"/>
        <v>0</v>
      </c>
      <c r="L22" t="s">
        <v>29</v>
      </c>
      <c r="M22">
        <v>2</v>
      </c>
      <c r="N22">
        <v>6.38</v>
      </c>
      <c r="O22" t="str">
        <f t="shared" si="1"/>
        <v>1+ hours</v>
      </c>
      <c r="P22" t="s">
        <v>47</v>
      </c>
    </row>
    <row r="23" spans="1:16" x14ac:dyDescent="0.4">
      <c r="A23" t="s">
        <v>63</v>
      </c>
      <c r="B23">
        <v>70</v>
      </c>
      <c r="C23" t="s">
        <v>15</v>
      </c>
      <c r="D23" t="s">
        <v>32</v>
      </c>
      <c r="E23">
        <v>7.97</v>
      </c>
      <c r="F23">
        <v>57</v>
      </c>
      <c r="G23" t="s">
        <v>23</v>
      </c>
      <c r="H23" t="s">
        <v>46</v>
      </c>
      <c r="I23" s="2">
        <v>17.989999999999998</v>
      </c>
      <c r="J23">
        <v>1</v>
      </c>
      <c r="K23" s="2">
        <f t="shared" si="0"/>
        <v>17.989999999999998</v>
      </c>
      <c r="L23" t="s">
        <v>19</v>
      </c>
      <c r="M23">
        <v>5</v>
      </c>
      <c r="N23">
        <v>0.14000000000000001</v>
      </c>
      <c r="O23" t="str">
        <f t="shared" si="1"/>
        <v>0–0.2 hours</v>
      </c>
      <c r="P23" t="s">
        <v>30</v>
      </c>
    </row>
    <row r="24" spans="1:16" x14ac:dyDescent="0.4">
      <c r="A24" t="s">
        <v>64</v>
      </c>
      <c r="B24">
        <v>53</v>
      </c>
      <c r="C24" t="s">
        <v>15</v>
      </c>
      <c r="D24" t="s">
        <v>22</v>
      </c>
      <c r="E24">
        <v>43.02</v>
      </c>
      <c r="F24">
        <v>43</v>
      </c>
      <c r="G24" t="s">
        <v>49</v>
      </c>
      <c r="H24" t="s">
        <v>57</v>
      </c>
      <c r="I24" s="2">
        <v>13.99</v>
      </c>
      <c r="J24">
        <v>0</v>
      </c>
      <c r="K24" s="2">
        <f t="shared" si="0"/>
        <v>0</v>
      </c>
      <c r="L24" t="s">
        <v>29</v>
      </c>
      <c r="M24">
        <v>1</v>
      </c>
      <c r="N24">
        <v>0.98</v>
      </c>
      <c r="O24" t="str">
        <f t="shared" si="1"/>
        <v>0.8–1 hour</v>
      </c>
      <c r="P24" t="s">
        <v>20</v>
      </c>
    </row>
    <row r="25" spans="1:16" x14ac:dyDescent="0.4">
      <c r="A25" t="s">
        <v>65</v>
      </c>
      <c r="B25">
        <v>36</v>
      </c>
      <c r="C25" t="s">
        <v>15</v>
      </c>
      <c r="D25" t="s">
        <v>22</v>
      </c>
      <c r="E25">
        <v>34.6</v>
      </c>
      <c r="F25">
        <v>19</v>
      </c>
      <c r="G25" t="s">
        <v>33</v>
      </c>
      <c r="H25" t="s">
        <v>57</v>
      </c>
      <c r="I25" s="2">
        <v>13.99</v>
      </c>
      <c r="J25">
        <v>0</v>
      </c>
      <c r="K25" s="2">
        <f t="shared" si="0"/>
        <v>0</v>
      </c>
      <c r="L25" t="s">
        <v>29</v>
      </c>
      <c r="M25">
        <v>3</v>
      </c>
      <c r="N25">
        <v>1.73</v>
      </c>
      <c r="O25" t="str">
        <f t="shared" si="1"/>
        <v>1+ hours</v>
      </c>
      <c r="P25" t="s">
        <v>20</v>
      </c>
    </row>
    <row r="26" spans="1:16" x14ac:dyDescent="0.4">
      <c r="A26" t="s">
        <v>66</v>
      </c>
      <c r="B26">
        <v>55</v>
      </c>
      <c r="C26" t="s">
        <v>15</v>
      </c>
      <c r="D26" t="s">
        <v>16</v>
      </c>
      <c r="E26">
        <v>24.58</v>
      </c>
      <c r="F26">
        <v>18</v>
      </c>
      <c r="G26" t="s">
        <v>28</v>
      </c>
      <c r="H26" t="s">
        <v>55</v>
      </c>
      <c r="I26" s="2">
        <v>8.99</v>
      </c>
      <c r="J26">
        <v>0</v>
      </c>
      <c r="K26" s="2">
        <f t="shared" si="0"/>
        <v>0</v>
      </c>
      <c r="L26" t="s">
        <v>37</v>
      </c>
      <c r="M26">
        <v>1</v>
      </c>
      <c r="N26">
        <v>1.29</v>
      </c>
      <c r="O26" t="str">
        <f t="shared" si="1"/>
        <v>1+ hours</v>
      </c>
      <c r="P26" t="s">
        <v>52</v>
      </c>
    </row>
    <row r="27" spans="1:16" x14ac:dyDescent="0.4">
      <c r="A27" t="s">
        <v>67</v>
      </c>
      <c r="B27">
        <v>45</v>
      </c>
      <c r="C27" t="s">
        <v>27</v>
      </c>
      <c r="D27" t="s">
        <v>22</v>
      </c>
      <c r="E27">
        <v>7.39</v>
      </c>
      <c r="F27">
        <v>6</v>
      </c>
      <c r="G27" t="s">
        <v>33</v>
      </c>
      <c r="H27" t="s">
        <v>18</v>
      </c>
      <c r="I27" s="2">
        <v>13.99</v>
      </c>
      <c r="J27">
        <v>0</v>
      </c>
      <c r="K27" s="2">
        <f t="shared" si="0"/>
        <v>0</v>
      </c>
      <c r="L27" t="s">
        <v>43</v>
      </c>
      <c r="M27">
        <v>1</v>
      </c>
      <c r="N27">
        <v>1.06</v>
      </c>
      <c r="O27" t="str">
        <f t="shared" si="1"/>
        <v>1+ hours</v>
      </c>
      <c r="P27" t="s">
        <v>39</v>
      </c>
    </row>
    <row r="28" spans="1:16" x14ac:dyDescent="0.4">
      <c r="A28" t="s">
        <v>68</v>
      </c>
      <c r="B28">
        <v>24</v>
      </c>
      <c r="C28" t="s">
        <v>41</v>
      </c>
      <c r="D28" t="s">
        <v>32</v>
      </c>
      <c r="E28">
        <v>6.92</v>
      </c>
      <c r="F28">
        <v>13</v>
      </c>
      <c r="G28" t="s">
        <v>17</v>
      </c>
      <c r="H28" t="s">
        <v>55</v>
      </c>
      <c r="I28" s="2">
        <v>17.989999999999998</v>
      </c>
      <c r="J28">
        <v>0</v>
      </c>
      <c r="K28" s="2">
        <f t="shared" si="0"/>
        <v>0</v>
      </c>
      <c r="L28" t="s">
        <v>29</v>
      </c>
      <c r="M28">
        <v>2</v>
      </c>
      <c r="N28">
        <v>0.49</v>
      </c>
      <c r="O28" t="str">
        <f t="shared" si="1"/>
        <v>0.4–0.6 hours</v>
      </c>
      <c r="P28" t="s">
        <v>20</v>
      </c>
    </row>
    <row r="29" spans="1:16" x14ac:dyDescent="0.4">
      <c r="A29" t="s">
        <v>69</v>
      </c>
      <c r="B29">
        <v>30</v>
      </c>
      <c r="C29" t="s">
        <v>15</v>
      </c>
      <c r="D29" t="s">
        <v>32</v>
      </c>
      <c r="E29">
        <v>1.37</v>
      </c>
      <c r="F29">
        <v>55</v>
      </c>
      <c r="G29" t="s">
        <v>70</v>
      </c>
      <c r="H29" t="s">
        <v>24</v>
      </c>
      <c r="I29" s="2">
        <v>17.989999999999998</v>
      </c>
      <c r="J29">
        <v>1</v>
      </c>
      <c r="K29" s="2">
        <f t="shared" si="0"/>
        <v>17.989999999999998</v>
      </c>
      <c r="L29" t="s">
        <v>37</v>
      </c>
      <c r="M29">
        <v>1</v>
      </c>
      <c r="N29">
        <v>0.02</v>
      </c>
      <c r="O29" t="str">
        <f t="shared" si="1"/>
        <v>0–0.2 hours</v>
      </c>
      <c r="P29" t="s">
        <v>34</v>
      </c>
    </row>
    <row r="30" spans="1:16" x14ac:dyDescent="0.4">
      <c r="A30" t="s">
        <v>71</v>
      </c>
      <c r="B30">
        <v>69</v>
      </c>
      <c r="C30" t="s">
        <v>27</v>
      </c>
      <c r="D30" t="s">
        <v>16</v>
      </c>
      <c r="E30">
        <v>24.56</v>
      </c>
      <c r="F30">
        <v>53</v>
      </c>
      <c r="G30" t="s">
        <v>33</v>
      </c>
      <c r="H30" t="s">
        <v>46</v>
      </c>
      <c r="I30" s="2">
        <v>8.99</v>
      </c>
      <c r="J30">
        <v>1</v>
      </c>
      <c r="K30" s="2">
        <f t="shared" si="0"/>
        <v>8.99</v>
      </c>
      <c r="L30" t="s">
        <v>19</v>
      </c>
      <c r="M30">
        <v>1</v>
      </c>
      <c r="N30">
        <v>0.45</v>
      </c>
      <c r="O30" t="str">
        <f t="shared" si="1"/>
        <v>0.4–0.6 hours</v>
      </c>
      <c r="P30" t="s">
        <v>20</v>
      </c>
    </row>
    <row r="31" spans="1:16" x14ac:dyDescent="0.4">
      <c r="A31" t="s">
        <v>72</v>
      </c>
      <c r="B31">
        <v>47</v>
      </c>
      <c r="C31" t="s">
        <v>15</v>
      </c>
      <c r="D31" t="s">
        <v>22</v>
      </c>
      <c r="E31">
        <v>15.87</v>
      </c>
      <c r="F31">
        <v>52</v>
      </c>
      <c r="G31" t="s">
        <v>17</v>
      </c>
      <c r="H31" t="s">
        <v>46</v>
      </c>
      <c r="I31" s="2">
        <v>13.99</v>
      </c>
      <c r="J31">
        <v>1</v>
      </c>
      <c r="K31" s="2">
        <f t="shared" si="0"/>
        <v>13.99</v>
      </c>
      <c r="L31" t="s">
        <v>29</v>
      </c>
      <c r="M31">
        <v>1</v>
      </c>
      <c r="N31">
        <v>0.3</v>
      </c>
      <c r="O31" t="str">
        <f t="shared" si="1"/>
        <v>0.2–0.4 hours</v>
      </c>
      <c r="P31" t="s">
        <v>25</v>
      </c>
    </row>
    <row r="32" spans="1:16" x14ac:dyDescent="0.4">
      <c r="A32" t="s">
        <v>73</v>
      </c>
      <c r="B32">
        <v>49</v>
      </c>
      <c r="C32" t="s">
        <v>27</v>
      </c>
      <c r="D32" t="s">
        <v>22</v>
      </c>
      <c r="E32">
        <v>7.62</v>
      </c>
      <c r="F32">
        <v>27</v>
      </c>
      <c r="G32" t="s">
        <v>28</v>
      </c>
      <c r="H32" t="s">
        <v>18</v>
      </c>
      <c r="I32" s="2">
        <v>13.99</v>
      </c>
      <c r="J32">
        <v>0</v>
      </c>
      <c r="K32" s="2">
        <f t="shared" si="0"/>
        <v>0</v>
      </c>
      <c r="L32" t="s">
        <v>37</v>
      </c>
      <c r="M32">
        <v>3</v>
      </c>
      <c r="N32">
        <v>0.27</v>
      </c>
      <c r="O32" t="str">
        <f t="shared" si="1"/>
        <v>0.2–0.4 hours</v>
      </c>
      <c r="P32" t="s">
        <v>20</v>
      </c>
    </row>
    <row r="33" spans="1:16" x14ac:dyDescent="0.4">
      <c r="A33" t="s">
        <v>74</v>
      </c>
      <c r="B33">
        <v>67</v>
      </c>
      <c r="C33" t="s">
        <v>41</v>
      </c>
      <c r="D33" t="s">
        <v>22</v>
      </c>
      <c r="E33">
        <v>3.05</v>
      </c>
      <c r="F33">
        <v>29</v>
      </c>
      <c r="G33" t="s">
        <v>33</v>
      </c>
      <c r="H33" t="s">
        <v>57</v>
      </c>
      <c r="I33" s="2">
        <v>13.99</v>
      </c>
      <c r="J33">
        <v>1</v>
      </c>
      <c r="K33" s="2">
        <f t="shared" si="0"/>
        <v>13.99</v>
      </c>
      <c r="L33" t="s">
        <v>43</v>
      </c>
      <c r="M33">
        <v>1</v>
      </c>
      <c r="N33">
        <v>0.1</v>
      </c>
      <c r="O33" t="str">
        <f t="shared" si="1"/>
        <v>0–0.2 hours</v>
      </c>
      <c r="P33" t="s">
        <v>30</v>
      </c>
    </row>
    <row r="34" spans="1:16" x14ac:dyDescent="0.4">
      <c r="A34" t="s">
        <v>75</v>
      </c>
      <c r="B34">
        <v>23</v>
      </c>
      <c r="C34" t="s">
        <v>27</v>
      </c>
      <c r="D34" t="s">
        <v>32</v>
      </c>
      <c r="E34">
        <v>13.31</v>
      </c>
      <c r="F34">
        <v>34</v>
      </c>
      <c r="G34" t="s">
        <v>17</v>
      </c>
      <c r="H34" t="s">
        <v>24</v>
      </c>
      <c r="I34" s="2">
        <v>17.989999999999998</v>
      </c>
      <c r="J34">
        <v>1</v>
      </c>
      <c r="K34" s="2">
        <f t="shared" si="0"/>
        <v>17.989999999999998</v>
      </c>
      <c r="L34" t="s">
        <v>37</v>
      </c>
      <c r="M34">
        <v>2</v>
      </c>
      <c r="N34">
        <v>0.38</v>
      </c>
      <c r="O34" t="str">
        <f t="shared" si="1"/>
        <v>0.2–0.4 hours</v>
      </c>
      <c r="P34" t="s">
        <v>39</v>
      </c>
    </row>
    <row r="35" spans="1:16" x14ac:dyDescent="0.4">
      <c r="A35" t="s">
        <v>76</v>
      </c>
      <c r="B35">
        <v>67</v>
      </c>
      <c r="C35" t="s">
        <v>41</v>
      </c>
      <c r="D35" t="s">
        <v>16</v>
      </c>
      <c r="E35">
        <v>1.56</v>
      </c>
      <c r="F35">
        <v>0</v>
      </c>
      <c r="G35" t="s">
        <v>33</v>
      </c>
      <c r="H35" t="s">
        <v>55</v>
      </c>
      <c r="I35" s="2">
        <v>8.99</v>
      </c>
      <c r="J35">
        <v>0</v>
      </c>
      <c r="K35" s="2">
        <f t="shared" si="0"/>
        <v>0</v>
      </c>
      <c r="L35" t="s">
        <v>29</v>
      </c>
      <c r="M35">
        <v>5</v>
      </c>
      <c r="N35">
        <v>1.56</v>
      </c>
      <c r="O35" t="str">
        <f t="shared" si="1"/>
        <v>1+ hours</v>
      </c>
      <c r="P35" t="s">
        <v>52</v>
      </c>
    </row>
    <row r="36" spans="1:16" x14ac:dyDescent="0.4">
      <c r="A36" t="s">
        <v>77</v>
      </c>
      <c r="B36">
        <v>57</v>
      </c>
      <c r="C36" t="s">
        <v>41</v>
      </c>
      <c r="D36" t="s">
        <v>32</v>
      </c>
      <c r="E36">
        <v>0.97</v>
      </c>
      <c r="F36">
        <v>32</v>
      </c>
      <c r="G36" t="s">
        <v>49</v>
      </c>
      <c r="H36" t="s">
        <v>24</v>
      </c>
      <c r="I36" s="2">
        <v>17.989999999999998</v>
      </c>
      <c r="J36">
        <v>1</v>
      </c>
      <c r="K36" s="2">
        <f t="shared" si="0"/>
        <v>17.989999999999998</v>
      </c>
      <c r="L36" t="s">
        <v>19</v>
      </c>
      <c r="M36">
        <v>2</v>
      </c>
      <c r="N36">
        <v>0.03</v>
      </c>
      <c r="O36" t="str">
        <f t="shared" si="1"/>
        <v>0–0.2 hours</v>
      </c>
      <c r="P36" t="s">
        <v>47</v>
      </c>
    </row>
    <row r="37" spans="1:16" x14ac:dyDescent="0.4">
      <c r="A37" t="s">
        <v>78</v>
      </c>
      <c r="B37">
        <v>55</v>
      </c>
      <c r="C37" t="s">
        <v>15</v>
      </c>
      <c r="D37" t="s">
        <v>22</v>
      </c>
      <c r="E37">
        <v>21.58</v>
      </c>
      <c r="F37">
        <v>48</v>
      </c>
      <c r="G37" t="s">
        <v>70</v>
      </c>
      <c r="H37" t="s">
        <v>24</v>
      </c>
      <c r="I37" s="2">
        <v>13.99</v>
      </c>
      <c r="J37">
        <v>0</v>
      </c>
      <c r="K37" s="2">
        <f t="shared" si="0"/>
        <v>0</v>
      </c>
      <c r="L37" t="s">
        <v>61</v>
      </c>
      <c r="M37">
        <v>5</v>
      </c>
      <c r="N37">
        <v>0.44</v>
      </c>
      <c r="O37" t="str">
        <f t="shared" si="1"/>
        <v>0.4–0.6 hours</v>
      </c>
      <c r="P37" t="s">
        <v>39</v>
      </c>
    </row>
    <row r="38" spans="1:16" x14ac:dyDescent="0.4">
      <c r="A38" t="s">
        <v>79</v>
      </c>
      <c r="B38">
        <v>35</v>
      </c>
      <c r="C38" t="s">
        <v>15</v>
      </c>
      <c r="D38" t="s">
        <v>22</v>
      </c>
      <c r="E38">
        <v>22.59</v>
      </c>
      <c r="F38">
        <v>16</v>
      </c>
      <c r="G38" t="s">
        <v>23</v>
      </c>
      <c r="H38" t="s">
        <v>57</v>
      </c>
      <c r="I38" s="2">
        <v>13.99</v>
      </c>
      <c r="J38">
        <v>0</v>
      </c>
      <c r="K38" s="2">
        <f t="shared" si="0"/>
        <v>0</v>
      </c>
      <c r="L38" t="s">
        <v>61</v>
      </c>
      <c r="M38">
        <v>2</v>
      </c>
      <c r="N38">
        <v>1.33</v>
      </c>
      <c r="O38" t="str">
        <f t="shared" si="1"/>
        <v>1+ hours</v>
      </c>
      <c r="P38" t="s">
        <v>47</v>
      </c>
    </row>
    <row r="39" spans="1:16" x14ac:dyDescent="0.4">
      <c r="A39" t="s">
        <v>80</v>
      </c>
      <c r="B39">
        <v>22</v>
      </c>
      <c r="C39" t="s">
        <v>27</v>
      </c>
      <c r="D39" t="s">
        <v>22</v>
      </c>
      <c r="E39">
        <v>9.69</v>
      </c>
      <c r="F39">
        <v>35</v>
      </c>
      <c r="G39" t="s">
        <v>28</v>
      </c>
      <c r="H39" t="s">
        <v>18</v>
      </c>
      <c r="I39" s="2">
        <v>13.99</v>
      </c>
      <c r="J39">
        <v>1</v>
      </c>
      <c r="K39" s="2">
        <f t="shared" si="0"/>
        <v>13.99</v>
      </c>
      <c r="L39" t="s">
        <v>29</v>
      </c>
      <c r="M39">
        <v>4</v>
      </c>
      <c r="N39">
        <v>0.27</v>
      </c>
      <c r="O39" t="str">
        <f t="shared" si="1"/>
        <v>0.2–0.4 hours</v>
      </c>
      <c r="P39" t="s">
        <v>52</v>
      </c>
    </row>
    <row r="40" spans="1:16" x14ac:dyDescent="0.4">
      <c r="A40" t="s">
        <v>81</v>
      </c>
      <c r="B40">
        <v>34</v>
      </c>
      <c r="C40" t="s">
        <v>41</v>
      </c>
      <c r="D40" t="s">
        <v>32</v>
      </c>
      <c r="E40">
        <v>12.82</v>
      </c>
      <c r="F40">
        <v>45</v>
      </c>
      <c r="G40" t="s">
        <v>70</v>
      </c>
      <c r="H40" t="s">
        <v>24</v>
      </c>
      <c r="I40" s="2">
        <v>17.989999999999998</v>
      </c>
      <c r="J40">
        <v>1</v>
      </c>
      <c r="K40" s="2">
        <f t="shared" si="0"/>
        <v>17.989999999999998</v>
      </c>
      <c r="L40" t="s">
        <v>43</v>
      </c>
      <c r="M40">
        <v>2</v>
      </c>
      <c r="N40">
        <v>0.28000000000000003</v>
      </c>
      <c r="O40" t="str">
        <f t="shared" si="1"/>
        <v>0.2–0.4 hours</v>
      </c>
      <c r="P40" t="s">
        <v>39</v>
      </c>
    </row>
    <row r="41" spans="1:16" x14ac:dyDescent="0.4">
      <c r="A41" t="s">
        <v>82</v>
      </c>
      <c r="B41">
        <v>19</v>
      </c>
      <c r="C41" t="s">
        <v>41</v>
      </c>
      <c r="D41" t="s">
        <v>22</v>
      </c>
      <c r="E41">
        <v>4.34</v>
      </c>
      <c r="F41">
        <v>1</v>
      </c>
      <c r="G41" t="s">
        <v>28</v>
      </c>
      <c r="H41" t="s">
        <v>57</v>
      </c>
      <c r="I41" s="2">
        <v>13.99</v>
      </c>
      <c r="J41">
        <v>0</v>
      </c>
      <c r="K41" s="2">
        <f t="shared" si="0"/>
        <v>0</v>
      </c>
      <c r="L41" t="s">
        <v>43</v>
      </c>
      <c r="M41">
        <v>1</v>
      </c>
      <c r="N41">
        <v>2.17</v>
      </c>
      <c r="O41" t="str">
        <f t="shared" si="1"/>
        <v>1+ hours</v>
      </c>
      <c r="P41" t="s">
        <v>25</v>
      </c>
    </row>
    <row r="42" spans="1:16" x14ac:dyDescent="0.4">
      <c r="A42" t="s">
        <v>83</v>
      </c>
      <c r="B42">
        <v>25</v>
      </c>
      <c r="C42" t="s">
        <v>27</v>
      </c>
      <c r="D42" t="s">
        <v>32</v>
      </c>
      <c r="E42">
        <v>15.95</v>
      </c>
      <c r="F42">
        <v>15</v>
      </c>
      <c r="G42" t="s">
        <v>49</v>
      </c>
      <c r="H42" t="s">
        <v>46</v>
      </c>
      <c r="I42" s="2">
        <v>17.989999999999998</v>
      </c>
      <c r="J42">
        <v>0</v>
      </c>
      <c r="K42" s="2">
        <f t="shared" si="0"/>
        <v>0</v>
      </c>
      <c r="L42" t="s">
        <v>61</v>
      </c>
      <c r="M42">
        <v>1</v>
      </c>
      <c r="N42">
        <v>1</v>
      </c>
      <c r="O42" t="str">
        <f t="shared" si="1"/>
        <v>0.8–1 hour</v>
      </c>
      <c r="P42" t="s">
        <v>20</v>
      </c>
    </row>
    <row r="43" spans="1:16" x14ac:dyDescent="0.4">
      <c r="A43" t="s">
        <v>84</v>
      </c>
      <c r="B43">
        <v>49</v>
      </c>
      <c r="C43" t="s">
        <v>15</v>
      </c>
      <c r="D43" t="s">
        <v>32</v>
      </c>
      <c r="E43">
        <v>2.0499999999999998</v>
      </c>
      <c r="F43">
        <v>14</v>
      </c>
      <c r="G43" t="s">
        <v>70</v>
      </c>
      <c r="H43" t="s">
        <v>57</v>
      </c>
      <c r="I43" s="2">
        <v>17.989999999999998</v>
      </c>
      <c r="J43">
        <v>0</v>
      </c>
      <c r="K43" s="2">
        <f t="shared" si="0"/>
        <v>0</v>
      </c>
      <c r="L43" t="s">
        <v>37</v>
      </c>
      <c r="M43">
        <v>5</v>
      </c>
      <c r="N43">
        <v>0.14000000000000001</v>
      </c>
      <c r="O43" t="str">
        <f t="shared" si="1"/>
        <v>0–0.2 hours</v>
      </c>
      <c r="P43" t="s">
        <v>39</v>
      </c>
    </row>
    <row r="44" spans="1:16" x14ac:dyDescent="0.4">
      <c r="A44" t="s">
        <v>85</v>
      </c>
      <c r="B44">
        <v>55</v>
      </c>
      <c r="C44" t="s">
        <v>15</v>
      </c>
      <c r="D44" t="s">
        <v>32</v>
      </c>
      <c r="E44">
        <v>3.86</v>
      </c>
      <c r="F44">
        <v>25</v>
      </c>
      <c r="G44" t="s">
        <v>23</v>
      </c>
      <c r="H44" t="s">
        <v>57</v>
      </c>
      <c r="I44" s="2">
        <v>17.989999999999998</v>
      </c>
      <c r="J44">
        <v>1</v>
      </c>
      <c r="K44" s="2">
        <f t="shared" si="0"/>
        <v>17.989999999999998</v>
      </c>
      <c r="L44" t="s">
        <v>43</v>
      </c>
      <c r="M44">
        <v>3</v>
      </c>
      <c r="N44">
        <v>0.15</v>
      </c>
      <c r="O44" t="str">
        <f t="shared" si="1"/>
        <v>0–0.2 hours</v>
      </c>
      <c r="P44" t="s">
        <v>20</v>
      </c>
    </row>
    <row r="45" spans="1:16" x14ac:dyDescent="0.4">
      <c r="A45" t="s">
        <v>86</v>
      </c>
      <c r="B45">
        <v>36</v>
      </c>
      <c r="C45" t="s">
        <v>15</v>
      </c>
      <c r="D45" t="s">
        <v>16</v>
      </c>
      <c r="E45">
        <v>1.68</v>
      </c>
      <c r="F45">
        <v>10</v>
      </c>
      <c r="G45" t="s">
        <v>17</v>
      </c>
      <c r="H45" t="s">
        <v>18</v>
      </c>
      <c r="I45" s="2">
        <v>8.99</v>
      </c>
      <c r="J45">
        <v>1</v>
      </c>
      <c r="K45" s="2">
        <f t="shared" si="0"/>
        <v>8.99</v>
      </c>
      <c r="L45" t="s">
        <v>43</v>
      </c>
      <c r="M45">
        <v>4</v>
      </c>
      <c r="N45">
        <v>0.15</v>
      </c>
      <c r="O45" t="str">
        <f t="shared" si="1"/>
        <v>0–0.2 hours</v>
      </c>
      <c r="P45" t="s">
        <v>20</v>
      </c>
    </row>
    <row r="46" spans="1:16" x14ac:dyDescent="0.4">
      <c r="A46" t="s">
        <v>87</v>
      </c>
      <c r="B46">
        <v>27</v>
      </c>
      <c r="C46" t="s">
        <v>15</v>
      </c>
      <c r="D46" t="s">
        <v>32</v>
      </c>
      <c r="E46">
        <v>46.88</v>
      </c>
      <c r="F46">
        <v>56</v>
      </c>
      <c r="G46" t="s">
        <v>33</v>
      </c>
      <c r="H46" t="s">
        <v>18</v>
      </c>
      <c r="I46" s="2">
        <v>17.989999999999998</v>
      </c>
      <c r="J46">
        <v>0</v>
      </c>
      <c r="K46" s="2">
        <f t="shared" si="0"/>
        <v>0</v>
      </c>
      <c r="L46" t="s">
        <v>29</v>
      </c>
      <c r="M46">
        <v>3</v>
      </c>
      <c r="N46">
        <v>0.82</v>
      </c>
      <c r="O46" t="str">
        <f t="shared" si="1"/>
        <v>0.8–1 hour</v>
      </c>
      <c r="P46" t="s">
        <v>30</v>
      </c>
    </row>
    <row r="47" spans="1:16" x14ac:dyDescent="0.4">
      <c r="A47" t="s">
        <v>88</v>
      </c>
      <c r="B47">
        <v>49</v>
      </c>
      <c r="C47" t="s">
        <v>41</v>
      </c>
      <c r="D47" t="s">
        <v>22</v>
      </c>
      <c r="E47">
        <v>4.22</v>
      </c>
      <c r="F47">
        <v>50</v>
      </c>
      <c r="G47" t="s">
        <v>33</v>
      </c>
      <c r="H47" t="s">
        <v>55</v>
      </c>
      <c r="I47" s="2">
        <v>13.99</v>
      </c>
      <c r="J47">
        <v>1</v>
      </c>
      <c r="K47" s="2">
        <f t="shared" si="0"/>
        <v>13.99</v>
      </c>
      <c r="L47" t="s">
        <v>19</v>
      </c>
      <c r="M47">
        <v>2</v>
      </c>
      <c r="N47">
        <v>0.08</v>
      </c>
      <c r="O47" t="str">
        <f t="shared" si="1"/>
        <v>0–0.2 hours</v>
      </c>
      <c r="P47" t="s">
        <v>47</v>
      </c>
    </row>
    <row r="48" spans="1:16" x14ac:dyDescent="0.4">
      <c r="A48" t="s">
        <v>89</v>
      </c>
      <c r="B48">
        <v>54</v>
      </c>
      <c r="C48" t="s">
        <v>27</v>
      </c>
      <c r="D48" t="s">
        <v>16</v>
      </c>
      <c r="E48">
        <v>26.88</v>
      </c>
      <c r="F48">
        <v>44</v>
      </c>
      <c r="G48" t="s">
        <v>49</v>
      </c>
      <c r="H48" t="s">
        <v>55</v>
      </c>
      <c r="I48" s="2">
        <v>8.99</v>
      </c>
      <c r="J48">
        <v>0</v>
      </c>
      <c r="K48" s="2">
        <f t="shared" si="0"/>
        <v>0</v>
      </c>
      <c r="L48" t="s">
        <v>19</v>
      </c>
      <c r="M48">
        <v>3</v>
      </c>
      <c r="N48">
        <v>0.6</v>
      </c>
      <c r="O48" t="str">
        <f t="shared" si="1"/>
        <v>0.4–0.6 hours</v>
      </c>
      <c r="P48" t="s">
        <v>30</v>
      </c>
    </row>
    <row r="49" spans="1:16" x14ac:dyDescent="0.4">
      <c r="A49" t="s">
        <v>90</v>
      </c>
      <c r="B49">
        <v>31</v>
      </c>
      <c r="C49" t="s">
        <v>27</v>
      </c>
      <c r="D49" t="s">
        <v>22</v>
      </c>
      <c r="E49">
        <v>2.23</v>
      </c>
      <c r="F49">
        <v>39</v>
      </c>
      <c r="G49" t="s">
        <v>70</v>
      </c>
      <c r="H49" t="s">
        <v>24</v>
      </c>
      <c r="I49" s="2">
        <v>13.99</v>
      </c>
      <c r="J49">
        <v>1</v>
      </c>
      <c r="K49" s="2">
        <f t="shared" si="0"/>
        <v>13.99</v>
      </c>
      <c r="L49" t="s">
        <v>37</v>
      </c>
      <c r="M49">
        <v>5</v>
      </c>
      <c r="N49">
        <v>0.06</v>
      </c>
      <c r="O49" t="str">
        <f t="shared" si="1"/>
        <v>0–0.2 hours</v>
      </c>
      <c r="P49" t="s">
        <v>30</v>
      </c>
    </row>
    <row r="50" spans="1:16" x14ac:dyDescent="0.4">
      <c r="A50" t="s">
        <v>91</v>
      </c>
      <c r="B50">
        <v>31</v>
      </c>
      <c r="C50" t="s">
        <v>41</v>
      </c>
      <c r="D50" t="s">
        <v>32</v>
      </c>
      <c r="E50">
        <v>14.15</v>
      </c>
      <c r="F50">
        <v>24</v>
      </c>
      <c r="G50" t="s">
        <v>49</v>
      </c>
      <c r="H50" t="s">
        <v>55</v>
      </c>
      <c r="I50" s="2">
        <v>17.989999999999998</v>
      </c>
      <c r="J50">
        <v>0</v>
      </c>
      <c r="K50" s="2">
        <f t="shared" si="0"/>
        <v>0</v>
      </c>
      <c r="L50" t="s">
        <v>43</v>
      </c>
      <c r="M50">
        <v>5</v>
      </c>
      <c r="N50">
        <v>0.56999999999999995</v>
      </c>
      <c r="O50" t="str">
        <f t="shared" si="1"/>
        <v>0.4–0.6 hours</v>
      </c>
      <c r="P50" t="s">
        <v>30</v>
      </c>
    </row>
    <row r="51" spans="1:16" x14ac:dyDescent="0.4">
      <c r="A51" t="s">
        <v>92</v>
      </c>
      <c r="B51">
        <v>42</v>
      </c>
      <c r="C51" t="s">
        <v>27</v>
      </c>
      <c r="D51" t="s">
        <v>16</v>
      </c>
      <c r="E51">
        <v>49.49</v>
      </c>
      <c r="F51">
        <v>39</v>
      </c>
      <c r="G51" t="s">
        <v>23</v>
      </c>
      <c r="H51" t="s">
        <v>24</v>
      </c>
      <c r="I51" s="2">
        <v>8.99</v>
      </c>
      <c r="J51">
        <v>0</v>
      </c>
      <c r="K51" s="2">
        <f t="shared" si="0"/>
        <v>0</v>
      </c>
      <c r="L51" t="s">
        <v>61</v>
      </c>
      <c r="M51">
        <v>5</v>
      </c>
      <c r="N51">
        <v>1.24</v>
      </c>
      <c r="O51" t="str">
        <f t="shared" si="1"/>
        <v>1+ hours</v>
      </c>
      <c r="P51" t="s">
        <v>34</v>
      </c>
    </row>
    <row r="52" spans="1:16" x14ac:dyDescent="0.4">
      <c r="A52" t="s">
        <v>93</v>
      </c>
      <c r="B52">
        <v>30</v>
      </c>
      <c r="C52" t="s">
        <v>41</v>
      </c>
      <c r="D52" t="s">
        <v>32</v>
      </c>
      <c r="E52">
        <v>8.7899999999999991</v>
      </c>
      <c r="F52">
        <v>21</v>
      </c>
      <c r="G52" t="s">
        <v>23</v>
      </c>
      <c r="H52" t="s">
        <v>57</v>
      </c>
      <c r="I52" s="2">
        <v>17.989999999999998</v>
      </c>
      <c r="J52">
        <v>0</v>
      </c>
      <c r="K52" s="2">
        <f t="shared" si="0"/>
        <v>0</v>
      </c>
      <c r="L52" t="s">
        <v>29</v>
      </c>
      <c r="M52">
        <v>4</v>
      </c>
      <c r="N52">
        <v>0.4</v>
      </c>
      <c r="O52" t="str">
        <f t="shared" si="1"/>
        <v>0.2–0.4 hours</v>
      </c>
      <c r="P52" t="s">
        <v>47</v>
      </c>
    </row>
    <row r="53" spans="1:16" x14ac:dyDescent="0.4">
      <c r="A53" t="s">
        <v>94</v>
      </c>
      <c r="B53">
        <v>58</v>
      </c>
      <c r="C53" t="s">
        <v>41</v>
      </c>
      <c r="D53" t="s">
        <v>22</v>
      </c>
      <c r="E53">
        <v>14.57</v>
      </c>
      <c r="F53">
        <v>22</v>
      </c>
      <c r="G53" t="s">
        <v>70</v>
      </c>
      <c r="H53" t="s">
        <v>24</v>
      </c>
      <c r="I53" s="2">
        <v>13.99</v>
      </c>
      <c r="J53">
        <v>0</v>
      </c>
      <c r="K53" s="2">
        <f t="shared" si="0"/>
        <v>0</v>
      </c>
      <c r="L53" t="s">
        <v>37</v>
      </c>
      <c r="M53">
        <v>2</v>
      </c>
      <c r="N53">
        <v>0.63</v>
      </c>
      <c r="O53" t="str">
        <f t="shared" si="1"/>
        <v>0.6–0.8 hours</v>
      </c>
      <c r="P53" t="s">
        <v>39</v>
      </c>
    </row>
    <row r="54" spans="1:16" x14ac:dyDescent="0.4">
      <c r="A54" t="s">
        <v>95</v>
      </c>
      <c r="B54">
        <v>63</v>
      </c>
      <c r="C54" t="s">
        <v>15</v>
      </c>
      <c r="D54" t="s">
        <v>22</v>
      </c>
      <c r="E54">
        <v>25.73</v>
      </c>
      <c r="F54">
        <v>11</v>
      </c>
      <c r="G54" t="s">
        <v>17</v>
      </c>
      <c r="H54" t="s">
        <v>18</v>
      </c>
      <c r="I54" s="2">
        <v>13.99</v>
      </c>
      <c r="J54">
        <v>0</v>
      </c>
      <c r="K54" s="2">
        <f t="shared" si="0"/>
        <v>0</v>
      </c>
      <c r="L54" t="s">
        <v>43</v>
      </c>
      <c r="M54">
        <v>1</v>
      </c>
      <c r="N54">
        <v>2.14</v>
      </c>
      <c r="O54" t="str">
        <f t="shared" si="1"/>
        <v>1+ hours</v>
      </c>
      <c r="P54" t="s">
        <v>47</v>
      </c>
    </row>
    <row r="55" spans="1:16" x14ac:dyDescent="0.4">
      <c r="A55" t="s">
        <v>96</v>
      </c>
      <c r="B55">
        <v>60</v>
      </c>
      <c r="C55" t="s">
        <v>41</v>
      </c>
      <c r="D55" t="s">
        <v>22</v>
      </c>
      <c r="E55">
        <v>3.01</v>
      </c>
      <c r="F55">
        <v>30</v>
      </c>
      <c r="G55" t="s">
        <v>28</v>
      </c>
      <c r="H55" t="s">
        <v>55</v>
      </c>
      <c r="I55" s="2">
        <v>13.99</v>
      </c>
      <c r="J55">
        <v>1</v>
      </c>
      <c r="K55" s="2">
        <f t="shared" si="0"/>
        <v>13.99</v>
      </c>
      <c r="L55" t="s">
        <v>19</v>
      </c>
      <c r="M55">
        <v>3</v>
      </c>
      <c r="N55">
        <v>0.1</v>
      </c>
      <c r="O55" t="str">
        <f t="shared" si="1"/>
        <v>0–0.2 hours</v>
      </c>
      <c r="P55" t="s">
        <v>52</v>
      </c>
    </row>
    <row r="56" spans="1:16" x14ac:dyDescent="0.4">
      <c r="A56" t="s">
        <v>97</v>
      </c>
      <c r="B56">
        <v>66</v>
      </c>
      <c r="C56" t="s">
        <v>41</v>
      </c>
      <c r="D56" t="s">
        <v>16</v>
      </c>
      <c r="E56">
        <v>12.05</v>
      </c>
      <c r="F56">
        <v>33</v>
      </c>
      <c r="G56" t="s">
        <v>49</v>
      </c>
      <c r="H56" t="s">
        <v>57</v>
      </c>
      <c r="I56" s="2">
        <v>8.99</v>
      </c>
      <c r="J56">
        <v>1</v>
      </c>
      <c r="K56" s="2">
        <f t="shared" si="0"/>
        <v>8.99</v>
      </c>
      <c r="L56" t="s">
        <v>43</v>
      </c>
      <c r="M56">
        <v>3</v>
      </c>
      <c r="N56">
        <v>0.35</v>
      </c>
      <c r="O56" t="str">
        <f t="shared" si="1"/>
        <v>0.2–0.4 hours</v>
      </c>
      <c r="P56" t="s">
        <v>30</v>
      </c>
    </row>
    <row r="57" spans="1:16" x14ac:dyDescent="0.4">
      <c r="A57" t="s">
        <v>98</v>
      </c>
      <c r="B57">
        <v>51</v>
      </c>
      <c r="C57" t="s">
        <v>27</v>
      </c>
      <c r="D57" t="s">
        <v>32</v>
      </c>
      <c r="E57">
        <v>3.7</v>
      </c>
      <c r="F57">
        <v>37</v>
      </c>
      <c r="G57" t="s">
        <v>49</v>
      </c>
      <c r="H57" t="s">
        <v>24</v>
      </c>
      <c r="I57" s="2">
        <v>17.989999999999998</v>
      </c>
      <c r="J57">
        <v>1</v>
      </c>
      <c r="K57" s="2">
        <f t="shared" si="0"/>
        <v>17.989999999999998</v>
      </c>
      <c r="L57" t="s">
        <v>61</v>
      </c>
      <c r="M57">
        <v>2</v>
      </c>
      <c r="N57">
        <v>0.1</v>
      </c>
      <c r="O57" t="str">
        <f t="shared" si="1"/>
        <v>0–0.2 hours</v>
      </c>
      <c r="P57" t="s">
        <v>34</v>
      </c>
    </row>
    <row r="58" spans="1:16" x14ac:dyDescent="0.4">
      <c r="A58" t="s">
        <v>99</v>
      </c>
      <c r="B58">
        <v>63</v>
      </c>
      <c r="C58" t="s">
        <v>41</v>
      </c>
      <c r="D58" t="s">
        <v>32</v>
      </c>
      <c r="E58">
        <v>5.84</v>
      </c>
      <c r="F58">
        <v>20</v>
      </c>
      <c r="G58" t="s">
        <v>33</v>
      </c>
      <c r="H58" t="s">
        <v>24</v>
      </c>
      <c r="I58" s="2">
        <v>17.989999999999998</v>
      </c>
      <c r="J58">
        <v>0</v>
      </c>
      <c r="K58" s="2">
        <f t="shared" si="0"/>
        <v>0</v>
      </c>
      <c r="L58" t="s">
        <v>61</v>
      </c>
      <c r="M58">
        <v>1</v>
      </c>
      <c r="N58">
        <v>0.28000000000000003</v>
      </c>
      <c r="O58" t="str">
        <f t="shared" si="1"/>
        <v>0.2–0.4 hours</v>
      </c>
      <c r="P58" t="s">
        <v>52</v>
      </c>
    </row>
    <row r="59" spans="1:16" x14ac:dyDescent="0.4">
      <c r="A59" t="s">
        <v>100</v>
      </c>
      <c r="B59">
        <v>31</v>
      </c>
      <c r="C59" t="s">
        <v>41</v>
      </c>
      <c r="D59" t="s">
        <v>16</v>
      </c>
      <c r="E59">
        <v>48.35</v>
      </c>
      <c r="F59">
        <v>11</v>
      </c>
      <c r="G59" t="s">
        <v>33</v>
      </c>
      <c r="H59" t="s">
        <v>55</v>
      </c>
      <c r="I59" s="2">
        <v>8.99</v>
      </c>
      <c r="J59">
        <v>0</v>
      </c>
      <c r="K59" s="2">
        <f t="shared" si="0"/>
        <v>0</v>
      </c>
      <c r="L59" t="s">
        <v>37</v>
      </c>
      <c r="M59">
        <v>5</v>
      </c>
      <c r="N59">
        <v>4.03</v>
      </c>
      <c r="O59" t="str">
        <f t="shared" si="1"/>
        <v>1+ hours</v>
      </c>
      <c r="P59" t="s">
        <v>47</v>
      </c>
    </row>
    <row r="60" spans="1:16" x14ac:dyDescent="0.4">
      <c r="A60" t="s">
        <v>101</v>
      </c>
      <c r="B60">
        <v>55</v>
      </c>
      <c r="C60" t="s">
        <v>15</v>
      </c>
      <c r="D60" t="s">
        <v>22</v>
      </c>
      <c r="E60">
        <v>2.89</v>
      </c>
      <c r="F60">
        <v>37</v>
      </c>
      <c r="G60" t="s">
        <v>70</v>
      </c>
      <c r="H60" t="s">
        <v>55</v>
      </c>
      <c r="I60" s="2">
        <v>13.99</v>
      </c>
      <c r="J60">
        <v>1</v>
      </c>
      <c r="K60" s="2">
        <f t="shared" si="0"/>
        <v>13.99</v>
      </c>
      <c r="L60" t="s">
        <v>37</v>
      </c>
      <c r="M60">
        <v>4</v>
      </c>
      <c r="N60">
        <v>0.08</v>
      </c>
      <c r="O60" t="str">
        <f t="shared" si="1"/>
        <v>0–0.2 hours</v>
      </c>
      <c r="P60" t="s">
        <v>20</v>
      </c>
    </row>
    <row r="61" spans="1:16" x14ac:dyDescent="0.4">
      <c r="A61" t="s">
        <v>102</v>
      </c>
      <c r="B61">
        <v>38</v>
      </c>
      <c r="C61" t="s">
        <v>41</v>
      </c>
      <c r="D61" t="s">
        <v>32</v>
      </c>
      <c r="E61">
        <v>29.84</v>
      </c>
      <c r="F61">
        <v>56</v>
      </c>
      <c r="G61" t="s">
        <v>49</v>
      </c>
      <c r="H61" t="s">
        <v>55</v>
      </c>
      <c r="I61" s="2">
        <v>17.989999999999998</v>
      </c>
      <c r="J61">
        <v>0</v>
      </c>
      <c r="K61" s="2">
        <f t="shared" si="0"/>
        <v>0</v>
      </c>
      <c r="L61" t="s">
        <v>61</v>
      </c>
      <c r="M61">
        <v>4</v>
      </c>
      <c r="N61">
        <v>0.52</v>
      </c>
      <c r="O61" t="str">
        <f t="shared" si="1"/>
        <v>0.4–0.6 hours</v>
      </c>
      <c r="P61" t="s">
        <v>30</v>
      </c>
    </row>
    <row r="62" spans="1:16" x14ac:dyDescent="0.4">
      <c r="A62" t="s">
        <v>103</v>
      </c>
      <c r="B62">
        <v>65</v>
      </c>
      <c r="C62" t="s">
        <v>15</v>
      </c>
      <c r="D62" t="s">
        <v>22</v>
      </c>
      <c r="E62">
        <v>19.329999999999998</v>
      </c>
      <c r="F62">
        <v>31</v>
      </c>
      <c r="G62" t="s">
        <v>70</v>
      </c>
      <c r="H62" t="s">
        <v>55</v>
      </c>
      <c r="I62" s="2">
        <v>13.99</v>
      </c>
      <c r="J62">
        <v>0</v>
      </c>
      <c r="K62" s="2">
        <f t="shared" si="0"/>
        <v>0</v>
      </c>
      <c r="L62" t="s">
        <v>61</v>
      </c>
      <c r="M62">
        <v>1</v>
      </c>
      <c r="N62">
        <v>0.6</v>
      </c>
      <c r="O62" t="str">
        <f t="shared" si="1"/>
        <v>0.4–0.6 hours</v>
      </c>
      <c r="P62" t="s">
        <v>47</v>
      </c>
    </row>
    <row r="63" spans="1:16" x14ac:dyDescent="0.4">
      <c r="A63" t="s">
        <v>104</v>
      </c>
      <c r="B63">
        <v>43</v>
      </c>
      <c r="C63" t="s">
        <v>27</v>
      </c>
      <c r="D63" t="s">
        <v>32</v>
      </c>
      <c r="E63">
        <v>2.5</v>
      </c>
      <c r="F63">
        <v>33</v>
      </c>
      <c r="G63" t="s">
        <v>23</v>
      </c>
      <c r="H63" t="s">
        <v>18</v>
      </c>
      <c r="I63" s="2">
        <v>17.989999999999998</v>
      </c>
      <c r="J63">
        <v>1</v>
      </c>
      <c r="K63" s="2">
        <f t="shared" si="0"/>
        <v>17.989999999999998</v>
      </c>
      <c r="L63" t="s">
        <v>61</v>
      </c>
      <c r="M63">
        <v>3</v>
      </c>
      <c r="N63">
        <v>7.0000000000000007E-2</v>
      </c>
      <c r="O63" t="str">
        <f t="shared" si="1"/>
        <v>0–0.2 hours</v>
      </c>
      <c r="P63" t="s">
        <v>20</v>
      </c>
    </row>
    <row r="64" spans="1:16" x14ac:dyDescent="0.4">
      <c r="A64" t="s">
        <v>105</v>
      </c>
      <c r="B64">
        <v>63</v>
      </c>
      <c r="C64" t="s">
        <v>41</v>
      </c>
      <c r="D64" t="s">
        <v>32</v>
      </c>
      <c r="E64">
        <v>6.97</v>
      </c>
      <c r="F64">
        <v>31</v>
      </c>
      <c r="G64" t="s">
        <v>70</v>
      </c>
      <c r="H64" t="s">
        <v>57</v>
      </c>
      <c r="I64" s="2">
        <v>17.989999999999998</v>
      </c>
      <c r="J64">
        <v>1</v>
      </c>
      <c r="K64" s="2">
        <f t="shared" si="0"/>
        <v>17.989999999999998</v>
      </c>
      <c r="L64" t="s">
        <v>29</v>
      </c>
      <c r="M64">
        <v>1</v>
      </c>
      <c r="N64">
        <v>0.22</v>
      </c>
      <c r="O64" t="str">
        <f t="shared" si="1"/>
        <v>0.2–0.4 hours</v>
      </c>
      <c r="P64" t="s">
        <v>39</v>
      </c>
    </row>
    <row r="65" spans="1:16" x14ac:dyDescent="0.4">
      <c r="A65" t="s">
        <v>106</v>
      </c>
      <c r="B65">
        <v>64</v>
      </c>
      <c r="C65" t="s">
        <v>27</v>
      </c>
      <c r="D65" t="s">
        <v>22</v>
      </c>
      <c r="E65">
        <v>3.66</v>
      </c>
      <c r="F65">
        <v>6</v>
      </c>
      <c r="G65" t="s">
        <v>17</v>
      </c>
      <c r="H65" t="s">
        <v>24</v>
      </c>
      <c r="I65" s="2">
        <v>13.99</v>
      </c>
      <c r="J65">
        <v>0</v>
      </c>
      <c r="K65" s="2">
        <f t="shared" si="0"/>
        <v>0</v>
      </c>
      <c r="L65" t="s">
        <v>43</v>
      </c>
      <c r="M65">
        <v>1</v>
      </c>
      <c r="N65">
        <v>0.52</v>
      </c>
      <c r="O65" t="str">
        <f t="shared" si="1"/>
        <v>0.4–0.6 hours</v>
      </c>
      <c r="P65" t="s">
        <v>39</v>
      </c>
    </row>
    <row r="66" spans="1:16" x14ac:dyDescent="0.4">
      <c r="A66" t="s">
        <v>107</v>
      </c>
      <c r="B66">
        <v>58</v>
      </c>
      <c r="C66" t="s">
        <v>27</v>
      </c>
      <c r="D66" t="s">
        <v>16</v>
      </c>
      <c r="E66">
        <v>30.85</v>
      </c>
      <c r="F66">
        <v>46</v>
      </c>
      <c r="G66" t="s">
        <v>70</v>
      </c>
      <c r="H66" t="s">
        <v>24</v>
      </c>
      <c r="I66" s="2">
        <v>8.99</v>
      </c>
      <c r="J66">
        <v>0</v>
      </c>
      <c r="K66" s="2">
        <f t="shared" si="0"/>
        <v>0</v>
      </c>
      <c r="L66" t="s">
        <v>37</v>
      </c>
      <c r="M66">
        <v>5</v>
      </c>
      <c r="N66">
        <v>0.66</v>
      </c>
      <c r="O66" t="str">
        <f t="shared" si="1"/>
        <v>0.6–0.8 hours</v>
      </c>
      <c r="P66" t="s">
        <v>20</v>
      </c>
    </row>
    <row r="67" spans="1:16" x14ac:dyDescent="0.4">
      <c r="A67" t="s">
        <v>108</v>
      </c>
      <c r="B67">
        <v>31</v>
      </c>
      <c r="C67" t="s">
        <v>41</v>
      </c>
      <c r="D67" t="s">
        <v>22</v>
      </c>
      <c r="E67">
        <v>1.77</v>
      </c>
      <c r="F67">
        <v>34</v>
      </c>
      <c r="G67" t="s">
        <v>23</v>
      </c>
      <c r="H67" t="s">
        <v>18</v>
      </c>
      <c r="I67" s="2">
        <v>13.99</v>
      </c>
      <c r="J67">
        <v>1</v>
      </c>
      <c r="K67" s="2">
        <f t="shared" ref="K67:K130" si="2">SUMIF(J67,1,I67)</f>
        <v>13.99</v>
      </c>
      <c r="L67" t="s">
        <v>43</v>
      </c>
      <c r="M67">
        <v>3</v>
      </c>
      <c r="N67">
        <v>0.05</v>
      </c>
      <c r="O67" t="str">
        <f t="shared" ref="O67:O130" si="3">IF(N67&gt;1,"1+ hours",IF(N67&lt;=0.2,"0–0.2 hours",IF(N67&lt;=0.4,"0.2–0.4 hours",IF(N67&lt;=0.6,"0.4–0.6 hours",IF(N67&lt;=0.8,"0.6–0.8 hours","0.8–1 hour")))))</f>
        <v>0–0.2 hours</v>
      </c>
      <c r="P67" t="s">
        <v>25</v>
      </c>
    </row>
    <row r="68" spans="1:16" x14ac:dyDescent="0.4">
      <c r="A68" t="s">
        <v>109</v>
      </c>
      <c r="B68">
        <v>62</v>
      </c>
      <c r="C68" t="s">
        <v>15</v>
      </c>
      <c r="D68" t="s">
        <v>22</v>
      </c>
      <c r="E68">
        <v>16.649999999999999</v>
      </c>
      <c r="F68">
        <v>41</v>
      </c>
      <c r="G68" t="s">
        <v>70</v>
      </c>
      <c r="H68" t="s">
        <v>57</v>
      </c>
      <c r="I68" s="2">
        <v>13.99</v>
      </c>
      <c r="J68">
        <v>1</v>
      </c>
      <c r="K68" s="2">
        <f t="shared" si="2"/>
        <v>13.99</v>
      </c>
      <c r="L68" t="s">
        <v>37</v>
      </c>
      <c r="M68">
        <v>3</v>
      </c>
      <c r="N68">
        <v>0.4</v>
      </c>
      <c r="O68" t="str">
        <f t="shared" si="3"/>
        <v>0.2–0.4 hours</v>
      </c>
      <c r="P68" t="s">
        <v>39</v>
      </c>
    </row>
    <row r="69" spans="1:16" x14ac:dyDescent="0.4">
      <c r="A69" t="s">
        <v>110</v>
      </c>
      <c r="B69">
        <v>35</v>
      </c>
      <c r="C69" t="s">
        <v>41</v>
      </c>
      <c r="D69" t="s">
        <v>22</v>
      </c>
      <c r="E69">
        <v>25.08</v>
      </c>
      <c r="F69">
        <v>2</v>
      </c>
      <c r="G69" t="s">
        <v>33</v>
      </c>
      <c r="H69" t="s">
        <v>18</v>
      </c>
      <c r="I69" s="2">
        <v>13.99</v>
      </c>
      <c r="J69">
        <v>0</v>
      </c>
      <c r="K69" s="2">
        <f t="shared" si="2"/>
        <v>0</v>
      </c>
      <c r="L69" t="s">
        <v>29</v>
      </c>
      <c r="M69">
        <v>5</v>
      </c>
      <c r="N69">
        <v>8.36</v>
      </c>
      <c r="O69" t="str">
        <f t="shared" si="3"/>
        <v>1+ hours</v>
      </c>
      <c r="P69" t="s">
        <v>20</v>
      </c>
    </row>
    <row r="70" spans="1:16" x14ac:dyDescent="0.4">
      <c r="A70" t="s">
        <v>111</v>
      </c>
      <c r="B70">
        <v>34</v>
      </c>
      <c r="C70" t="s">
        <v>15</v>
      </c>
      <c r="D70" t="s">
        <v>22</v>
      </c>
      <c r="E70">
        <v>23.2</v>
      </c>
      <c r="F70">
        <v>18</v>
      </c>
      <c r="G70" t="s">
        <v>28</v>
      </c>
      <c r="H70" t="s">
        <v>57</v>
      </c>
      <c r="I70" s="2">
        <v>13.99</v>
      </c>
      <c r="J70">
        <v>0</v>
      </c>
      <c r="K70" s="2">
        <f t="shared" si="2"/>
        <v>0</v>
      </c>
      <c r="L70" t="s">
        <v>37</v>
      </c>
      <c r="M70">
        <v>1</v>
      </c>
      <c r="N70">
        <v>1.22</v>
      </c>
      <c r="O70" t="str">
        <f t="shared" si="3"/>
        <v>1+ hours</v>
      </c>
      <c r="P70" t="s">
        <v>47</v>
      </c>
    </row>
    <row r="71" spans="1:16" x14ac:dyDescent="0.4">
      <c r="A71" t="s">
        <v>112</v>
      </c>
      <c r="B71">
        <v>65</v>
      </c>
      <c r="C71" t="s">
        <v>15</v>
      </c>
      <c r="D71" t="s">
        <v>32</v>
      </c>
      <c r="E71">
        <v>37.82</v>
      </c>
      <c r="F71">
        <v>31</v>
      </c>
      <c r="G71" t="s">
        <v>33</v>
      </c>
      <c r="H71" t="s">
        <v>57</v>
      </c>
      <c r="I71" s="2">
        <v>17.989999999999998</v>
      </c>
      <c r="J71">
        <v>0</v>
      </c>
      <c r="K71" s="2">
        <f t="shared" si="2"/>
        <v>0</v>
      </c>
      <c r="L71" t="s">
        <v>19</v>
      </c>
      <c r="M71">
        <v>3</v>
      </c>
      <c r="N71">
        <v>1.18</v>
      </c>
      <c r="O71" t="str">
        <f t="shared" si="3"/>
        <v>1+ hours</v>
      </c>
      <c r="P71" t="s">
        <v>25</v>
      </c>
    </row>
    <row r="72" spans="1:16" x14ac:dyDescent="0.4">
      <c r="A72" t="s">
        <v>113</v>
      </c>
      <c r="B72">
        <v>68</v>
      </c>
      <c r="C72" t="s">
        <v>41</v>
      </c>
      <c r="D72" t="s">
        <v>22</v>
      </c>
      <c r="E72">
        <v>28.44</v>
      </c>
      <c r="F72">
        <v>55</v>
      </c>
      <c r="G72" t="s">
        <v>23</v>
      </c>
      <c r="H72" t="s">
        <v>46</v>
      </c>
      <c r="I72" s="2">
        <v>13.99</v>
      </c>
      <c r="J72">
        <v>0</v>
      </c>
      <c r="K72" s="2">
        <f t="shared" si="2"/>
        <v>0</v>
      </c>
      <c r="L72" t="s">
        <v>29</v>
      </c>
      <c r="M72">
        <v>3</v>
      </c>
      <c r="N72">
        <v>0.51</v>
      </c>
      <c r="O72" t="str">
        <f t="shared" si="3"/>
        <v>0.4–0.6 hours</v>
      </c>
      <c r="P72" t="s">
        <v>39</v>
      </c>
    </row>
    <row r="73" spans="1:16" x14ac:dyDescent="0.4">
      <c r="A73" t="s">
        <v>114</v>
      </c>
      <c r="B73">
        <v>46</v>
      </c>
      <c r="C73" t="s">
        <v>15</v>
      </c>
      <c r="D73" t="s">
        <v>22</v>
      </c>
      <c r="E73">
        <v>13.38</v>
      </c>
      <c r="F73">
        <v>3</v>
      </c>
      <c r="G73" t="s">
        <v>49</v>
      </c>
      <c r="H73" t="s">
        <v>46</v>
      </c>
      <c r="I73" s="2">
        <v>13.99</v>
      </c>
      <c r="J73">
        <v>0</v>
      </c>
      <c r="K73" s="2">
        <f t="shared" si="2"/>
        <v>0</v>
      </c>
      <c r="L73" t="s">
        <v>61</v>
      </c>
      <c r="M73">
        <v>2</v>
      </c>
      <c r="N73">
        <v>3.35</v>
      </c>
      <c r="O73" t="str">
        <f t="shared" si="3"/>
        <v>1+ hours</v>
      </c>
      <c r="P73" t="s">
        <v>39</v>
      </c>
    </row>
    <row r="74" spans="1:16" x14ac:dyDescent="0.4">
      <c r="A74" t="s">
        <v>115</v>
      </c>
      <c r="B74">
        <v>62</v>
      </c>
      <c r="C74" t="s">
        <v>27</v>
      </c>
      <c r="D74" t="s">
        <v>22</v>
      </c>
      <c r="E74">
        <v>14.8</v>
      </c>
      <c r="F74">
        <v>40</v>
      </c>
      <c r="G74" t="s">
        <v>49</v>
      </c>
      <c r="H74" t="s">
        <v>24</v>
      </c>
      <c r="I74" s="2">
        <v>13.99</v>
      </c>
      <c r="J74">
        <v>1</v>
      </c>
      <c r="K74" s="2">
        <f t="shared" si="2"/>
        <v>13.99</v>
      </c>
      <c r="L74" t="s">
        <v>29</v>
      </c>
      <c r="M74">
        <v>5</v>
      </c>
      <c r="N74">
        <v>0.36</v>
      </c>
      <c r="O74" t="str">
        <f t="shared" si="3"/>
        <v>0.2–0.4 hours</v>
      </c>
      <c r="P74" t="s">
        <v>30</v>
      </c>
    </row>
    <row r="75" spans="1:16" x14ac:dyDescent="0.4">
      <c r="A75" t="s">
        <v>116</v>
      </c>
      <c r="B75">
        <v>63</v>
      </c>
      <c r="C75" t="s">
        <v>15</v>
      </c>
      <c r="D75" t="s">
        <v>32</v>
      </c>
      <c r="E75">
        <v>3.39</v>
      </c>
      <c r="F75">
        <v>57</v>
      </c>
      <c r="G75" t="s">
        <v>49</v>
      </c>
      <c r="H75" t="s">
        <v>24</v>
      </c>
      <c r="I75" s="2">
        <v>17.989999999999998</v>
      </c>
      <c r="J75">
        <v>1</v>
      </c>
      <c r="K75" s="2">
        <f t="shared" si="2"/>
        <v>17.989999999999998</v>
      </c>
      <c r="L75" t="s">
        <v>43</v>
      </c>
      <c r="M75">
        <v>4</v>
      </c>
      <c r="N75">
        <v>0.06</v>
      </c>
      <c r="O75" t="str">
        <f t="shared" si="3"/>
        <v>0–0.2 hours</v>
      </c>
      <c r="P75" t="s">
        <v>25</v>
      </c>
    </row>
    <row r="76" spans="1:16" x14ac:dyDescent="0.4">
      <c r="A76" t="s">
        <v>117</v>
      </c>
      <c r="B76">
        <v>62</v>
      </c>
      <c r="C76" t="s">
        <v>27</v>
      </c>
      <c r="D76" t="s">
        <v>32</v>
      </c>
      <c r="E76">
        <v>13.15</v>
      </c>
      <c r="F76">
        <v>11</v>
      </c>
      <c r="G76" t="s">
        <v>33</v>
      </c>
      <c r="H76" t="s">
        <v>55</v>
      </c>
      <c r="I76" s="2">
        <v>17.989999999999998</v>
      </c>
      <c r="J76">
        <v>0</v>
      </c>
      <c r="K76" s="2">
        <f t="shared" si="2"/>
        <v>0</v>
      </c>
      <c r="L76" t="s">
        <v>37</v>
      </c>
      <c r="M76">
        <v>1</v>
      </c>
      <c r="N76">
        <v>1.1000000000000001</v>
      </c>
      <c r="O76" t="str">
        <f t="shared" si="3"/>
        <v>1+ hours</v>
      </c>
      <c r="P76" t="s">
        <v>47</v>
      </c>
    </row>
    <row r="77" spans="1:16" x14ac:dyDescent="0.4">
      <c r="A77" t="s">
        <v>118</v>
      </c>
      <c r="B77">
        <v>41</v>
      </c>
      <c r="C77" t="s">
        <v>41</v>
      </c>
      <c r="D77" t="s">
        <v>16</v>
      </c>
      <c r="E77">
        <v>15.26</v>
      </c>
      <c r="F77">
        <v>21</v>
      </c>
      <c r="G77" t="s">
        <v>49</v>
      </c>
      <c r="H77" t="s">
        <v>55</v>
      </c>
      <c r="I77" s="2">
        <v>8.99</v>
      </c>
      <c r="J77">
        <v>0</v>
      </c>
      <c r="K77" s="2">
        <f t="shared" si="2"/>
        <v>0</v>
      </c>
      <c r="L77" t="s">
        <v>37</v>
      </c>
      <c r="M77">
        <v>5</v>
      </c>
      <c r="N77">
        <v>0.69</v>
      </c>
      <c r="O77" t="str">
        <f t="shared" si="3"/>
        <v>0.6–0.8 hours</v>
      </c>
      <c r="P77" t="s">
        <v>30</v>
      </c>
    </row>
    <row r="78" spans="1:16" x14ac:dyDescent="0.4">
      <c r="A78" t="s">
        <v>119</v>
      </c>
      <c r="B78">
        <v>27</v>
      </c>
      <c r="C78" t="s">
        <v>15</v>
      </c>
      <c r="D78" t="s">
        <v>32</v>
      </c>
      <c r="E78">
        <v>79.17</v>
      </c>
      <c r="F78">
        <v>12</v>
      </c>
      <c r="G78" t="s">
        <v>49</v>
      </c>
      <c r="H78" t="s">
        <v>57</v>
      </c>
      <c r="I78" s="2">
        <v>17.989999999999998</v>
      </c>
      <c r="J78">
        <v>0</v>
      </c>
      <c r="K78" s="2">
        <f t="shared" si="2"/>
        <v>0</v>
      </c>
      <c r="L78" t="s">
        <v>37</v>
      </c>
      <c r="M78">
        <v>2</v>
      </c>
      <c r="N78">
        <v>6.09</v>
      </c>
      <c r="O78" t="str">
        <f t="shared" si="3"/>
        <v>1+ hours</v>
      </c>
      <c r="P78" t="s">
        <v>30</v>
      </c>
    </row>
    <row r="79" spans="1:16" x14ac:dyDescent="0.4">
      <c r="A79" t="s">
        <v>120</v>
      </c>
      <c r="B79">
        <v>60</v>
      </c>
      <c r="C79" t="s">
        <v>27</v>
      </c>
      <c r="D79" t="s">
        <v>16</v>
      </c>
      <c r="E79">
        <v>9.1300000000000008</v>
      </c>
      <c r="F79">
        <v>43</v>
      </c>
      <c r="G79" t="s">
        <v>70</v>
      </c>
      <c r="H79" t="s">
        <v>46</v>
      </c>
      <c r="I79" s="2">
        <v>8.99</v>
      </c>
      <c r="J79">
        <v>1</v>
      </c>
      <c r="K79" s="2">
        <f t="shared" si="2"/>
        <v>8.99</v>
      </c>
      <c r="L79" t="s">
        <v>37</v>
      </c>
      <c r="M79">
        <v>1</v>
      </c>
      <c r="N79">
        <v>0.21</v>
      </c>
      <c r="O79" t="str">
        <f t="shared" si="3"/>
        <v>0.2–0.4 hours</v>
      </c>
      <c r="P79" t="s">
        <v>52</v>
      </c>
    </row>
    <row r="80" spans="1:16" x14ac:dyDescent="0.4">
      <c r="A80" t="s">
        <v>121</v>
      </c>
      <c r="B80">
        <v>60</v>
      </c>
      <c r="C80" t="s">
        <v>41</v>
      </c>
      <c r="D80" t="s">
        <v>32</v>
      </c>
      <c r="E80">
        <v>3.29</v>
      </c>
      <c r="F80">
        <v>20</v>
      </c>
      <c r="G80" t="s">
        <v>28</v>
      </c>
      <c r="H80" t="s">
        <v>24</v>
      </c>
      <c r="I80" s="2">
        <v>17.989999999999998</v>
      </c>
      <c r="J80">
        <v>1</v>
      </c>
      <c r="K80" s="2">
        <f t="shared" si="2"/>
        <v>17.989999999999998</v>
      </c>
      <c r="L80" t="s">
        <v>37</v>
      </c>
      <c r="M80">
        <v>2</v>
      </c>
      <c r="N80">
        <v>0.16</v>
      </c>
      <c r="O80" t="str">
        <f t="shared" si="3"/>
        <v>0–0.2 hours</v>
      </c>
      <c r="P80" t="s">
        <v>30</v>
      </c>
    </row>
    <row r="81" spans="1:16" x14ac:dyDescent="0.4">
      <c r="A81" t="s">
        <v>122</v>
      </c>
      <c r="B81">
        <v>58</v>
      </c>
      <c r="C81" t="s">
        <v>27</v>
      </c>
      <c r="D81" t="s">
        <v>22</v>
      </c>
      <c r="E81">
        <v>9.52</v>
      </c>
      <c r="F81">
        <v>51</v>
      </c>
      <c r="G81" t="s">
        <v>23</v>
      </c>
      <c r="H81" t="s">
        <v>46</v>
      </c>
      <c r="I81" s="2">
        <v>13.99</v>
      </c>
      <c r="J81">
        <v>1</v>
      </c>
      <c r="K81" s="2">
        <f t="shared" si="2"/>
        <v>13.99</v>
      </c>
      <c r="L81" t="s">
        <v>43</v>
      </c>
      <c r="M81">
        <v>1</v>
      </c>
      <c r="N81">
        <v>0.18</v>
      </c>
      <c r="O81" t="str">
        <f t="shared" si="3"/>
        <v>0–0.2 hours</v>
      </c>
      <c r="P81" t="s">
        <v>25</v>
      </c>
    </row>
    <row r="82" spans="1:16" x14ac:dyDescent="0.4">
      <c r="A82" t="s">
        <v>123</v>
      </c>
      <c r="B82">
        <v>18</v>
      </c>
      <c r="C82" t="s">
        <v>41</v>
      </c>
      <c r="D82" t="s">
        <v>22</v>
      </c>
      <c r="E82">
        <v>3.56</v>
      </c>
      <c r="F82">
        <v>23</v>
      </c>
      <c r="G82" t="s">
        <v>33</v>
      </c>
      <c r="H82" t="s">
        <v>57</v>
      </c>
      <c r="I82" s="2">
        <v>13.99</v>
      </c>
      <c r="J82">
        <v>0</v>
      </c>
      <c r="K82" s="2">
        <f t="shared" si="2"/>
        <v>0</v>
      </c>
      <c r="L82" t="s">
        <v>37</v>
      </c>
      <c r="M82">
        <v>4</v>
      </c>
      <c r="N82">
        <v>0.15</v>
      </c>
      <c r="O82" t="str">
        <f t="shared" si="3"/>
        <v>0–0.2 hours</v>
      </c>
      <c r="P82" t="s">
        <v>34</v>
      </c>
    </row>
    <row r="83" spans="1:16" x14ac:dyDescent="0.4">
      <c r="A83" t="s">
        <v>124</v>
      </c>
      <c r="B83">
        <v>48</v>
      </c>
      <c r="C83" t="s">
        <v>15</v>
      </c>
      <c r="D83" t="s">
        <v>32</v>
      </c>
      <c r="E83">
        <v>11.1</v>
      </c>
      <c r="F83">
        <v>41</v>
      </c>
      <c r="G83" t="s">
        <v>17</v>
      </c>
      <c r="H83" t="s">
        <v>24</v>
      </c>
      <c r="I83" s="2">
        <v>17.989999999999998</v>
      </c>
      <c r="J83">
        <v>1</v>
      </c>
      <c r="K83" s="2">
        <f t="shared" si="2"/>
        <v>17.989999999999998</v>
      </c>
      <c r="L83" t="s">
        <v>19</v>
      </c>
      <c r="M83">
        <v>5</v>
      </c>
      <c r="N83">
        <v>0.26</v>
      </c>
      <c r="O83" t="str">
        <f t="shared" si="3"/>
        <v>0.2–0.4 hours</v>
      </c>
      <c r="P83" t="s">
        <v>52</v>
      </c>
    </row>
    <row r="84" spans="1:16" x14ac:dyDescent="0.4">
      <c r="A84" t="s">
        <v>125</v>
      </c>
      <c r="B84">
        <v>26</v>
      </c>
      <c r="C84" t="s">
        <v>15</v>
      </c>
      <c r="D84" t="s">
        <v>22</v>
      </c>
      <c r="E84">
        <v>23.13</v>
      </c>
      <c r="F84">
        <v>27</v>
      </c>
      <c r="G84" t="s">
        <v>33</v>
      </c>
      <c r="H84" t="s">
        <v>24</v>
      </c>
      <c r="I84" s="2">
        <v>13.99</v>
      </c>
      <c r="J84">
        <v>0</v>
      </c>
      <c r="K84" s="2">
        <f t="shared" si="2"/>
        <v>0</v>
      </c>
      <c r="L84" t="s">
        <v>37</v>
      </c>
      <c r="M84">
        <v>2</v>
      </c>
      <c r="N84">
        <v>0.83</v>
      </c>
      <c r="O84" t="str">
        <f t="shared" si="3"/>
        <v>0.8–1 hour</v>
      </c>
      <c r="P84" t="s">
        <v>52</v>
      </c>
    </row>
    <row r="85" spans="1:16" x14ac:dyDescent="0.4">
      <c r="A85" t="s">
        <v>126</v>
      </c>
      <c r="B85">
        <v>21</v>
      </c>
      <c r="C85" t="s">
        <v>41</v>
      </c>
      <c r="D85" t="s">
        <v>32</v>
      </c>
      <c r="E85">
        <v>9.91</v>
      </c>
      <c r="F85">
        <v>27</v>
      </c>
      <c r="G85" t="s">
        <v>28</v>
      </c>
      <c r="H85" t="s">
        <v>55</v>
      </c>
      <c r="I85" s="2">
        <v>17.989999999999998</v>
      </c>
      <c r="J85">
        <v>0</v>
      </c>
      <c r="K85" s="2">
        <f t="shared" si="2"/>
        <v>0</v>
      </c>
      <c r="L85" t="s">
        <v>37</v>
      </c>
      <c r="M85">
        <v>2</v>
      </c>
      <c r="N85">
        <v>0.35</v>
      </c>
      <c r="O85" t="str">
        <f t="shared" si="3"/>
        <v>0.2–0.4 hours</v>
      </c>
      <c r="P85" t="s">
        <v>25</v>
      </c>
    </row>
    <row r="86" spans="1:16" x14ac:dyDescent="0.4">
      <c r="A86" t="s">
        <v>127</v>
      </c>
      <c r="B86">
        <v>46</v>
      </c>
      <c r="C86" t="s">
        <v>15</v>
      </c>
      <c r="D86" t="s">
        <v>16</v>
      </c>
      <c r="E86">
        <v>6.22</v>
      </c>
      <c r="F86">
        <v>36</v>
      </c>
      <c r="G86" t="s">
        <v>28</v>
      </c>
      <c r="H86" t="s">
        <v>46</v>
      </c>
      <c r="I86" s="2">
        <v>8.99</v>
      </c>
      <c r="J86">
        <v>1</v>
      </c>
      <c r="K86" s="2">
        <f t="shared" si="2"/>
        <v>8.99</v>
      </c>
      <c r="L86" t="s">
        <v>61</v>
      </c>
      <c r="M86">
        <v>2</v>
      </c>
      <c r="N86">
        <v>0.17</v>
      </c>
      <c r="O86" t="str">
        <f t="shared" si="3"/>
        <v>0–0.2 hours</v>
      </c>
      <c r="P86" t="s">
        <v>34</v>
      </c>
    </row>
    <row r="87" spans="1:16" x14ac:dyDescent="0.4">
      <c r="A87" t="s">
        <v>128</v>
      </c>
      <c r="B87">
        <v>62</v>
      </c>
      <c r="C87" t="s">
        <v>27</v>
      </c>
      <c r="D87" t="s">
        <v>32</v>
      </c>
      <c r="E87">
        <v>0.45</v>
      </c>
      <c r="F87">
        <v>20</v>
      </c>
      <c r="G87" t="s">
        <v>23</v>
      </c>
      <c r="H87" t="s">
        <v>57</v>
      </c>
      <c r="I87" s="2">
        <v>17.989999999999998</v>
      </c>
      <c r="J87">
        <v>0</v>
      </c>
      <c r="K87" s="2">
        <f t="shared" si="2"/>
        <v>0</v>
      </c>
      <c r="L87" t="s">
        <v>37</v>
      </c>
      <c r="M87">
        <v>5</v>
      </c>
      <c r="N87">
        <v>0.02</v>
      </c>
      <c r="O87" t="str">
        <f t="shared" si="3"/>
        <v>0–0.2 hours</v>
      </c>
      <c r="P87" t="s">
        <v>25</v>
      </c>
    </row>
    <row r="88" spans="1:16" x14ac:dyDescent="0.4">
      <c r="A88" t="s">
        <v>129</v>
      </c>
      <c r="B88">
        <v>35</v>
      </c>
      <c r="C88" t="s">
        <v>27</v>
      </c>
      <c r="D88" t="s">
        <v>22</v>
      </c>
      <c r="E88">
        <v>17.53</v>
      </c>
      <c r="F88">
        <v>38</v>
      </c>
      <c r="G88" t="s">
        <v>33</v>
      </c>
      <c r="H88" t="s">
        <v>46</v>
      </c>
      <c r="I88" s="2">
        <v>13.99</v>
      </c>
      <c r="J88">
        <v>1</v>
      </c>
      <c r="K88" s="2">
        <f t="shared" si="2"/>
        <v>13.99</v>
      </c>
      <c r="L88" t="s">
        <v>61</v>
      </c>
      <c r="M88">
        <v>1</v>
      </c>
      <c r="N88">
        <v>0.45</v>
      </c>
      <c r="O88" t="str">
        <f t="shared" si="3"/>
        <v>0.4–0.6 hours</v>
      </c>
      <c r="P88" t="s">
        <v>20</v>
      </c>
    </row>
    <row r="89" spans="1:16" x14ac:dyDescent="0.4">
      <c r="A89" t="s">
        <v>130</v>
      </c>
      <c r="B89">
        <v>61</v>
      </c>
      <c r="C89" t="s">
        <v>27</v>
      </c>
      <c r="D89" t="s">
        <v>22</v>
      </c>
      <c r="E89">
        <v>4.5199999999999996</v>
      </c>
      <c r="F89">
        <v>21</v>
      </c>
      <c r="G89" t="s">
        <v>23</v>
      </c>
      <c r="H89" t="s">
        <v>57</v>
      </c>
      <c r="I89" s="2">
        <v>13.99</v>
      </c>
      <c r="J89">
        <v>1</v>
      </c>
      <c r="K89" s="2">
        <f t="shared" si="2"/>
        <v>13.99</v>
      </c>
      <c r="L89" t="s">
        <v>29</v>
      </c>
      <c r="M89">
        <v>2</v>
      </c>
      <c r="N89">
        <v>0.21</v>
      </c>
      <c r="O89" t="str">
        <f t="shared" si="3"/>
        <v>0.2–0.4 hours</v>
      </c>
      <c r="P89" t="s">
        <v>30</v>
      </c>
    </row>
    <row r="90" spans="1:16" x14ac:dyDescent="0.4">
      <c r="A90" t="s">
        <v>131</v>
      </c>
      <c r="B90">
        <v>37</v>
      </c>
      <c r="C90" t="s">
        <v>41</v>
      </c>
      <c r="D90" t="s">
        <v>16</v>
      </c>
      <c r="E90">
        <v>9.69</v>
      </c>
      <c r="F90">
        <v>24</v>
      </c>
      <c r="G90" t="s">
        <v>28</v>
      </c>
      <c r="H90" t="s">
        <v>24</v>
      </c>
      <c r="I90" s="2">
        <v>8.99</v>
      </c>
      <c r="J90">
        <v>0</v>
      </c>
      <c r="K90" s="2">
        <f t="shared" si="2"/>
        <v>0</v>
      </c>
      <c r="L90" t="s">
        <v>61</v>
      </c>
      <c r="M90">
        <v>4</v>
      </c>
      <c r="N90">
        <v>0.39</v>
      </c>
      <c r="O90" t="str">
        <f t="shared" si="3"/>
        <v>0.2–0.4 hours</v>
      </c>
      <c r="P90" t="s">
        <v>34</v>
      </c>
    </row>
    <row r="91" spans="1:16" x14ac:dyDescent="0.4">
      <c r="A91" t="s">
        <v>132</v>
      </c>
      <c r="B91">
        <v>46</v>
      </c>
      <c r="C91" t="s">
        <v>27</v>
      </c>
      <c r="D91" t="s">
        <v>22</v>
      </c>
      <c r="E91">
        <v>5.78</v>
      </c>
      <c r="F91">
        <v>4</v>
      </c>
      <c r="G91" t="s">
        <v>28</v>
      </c>
      <c r="H91" t="s">
        <v>46</v>
      </c>
      <c r="I91" s="2">
        <v>13.99</v>
      </c>
      <c r="J91">
        <v>0</v>
      </c>
      <c r="K91" s="2">
        <f t="shared" si="2"/>
        <v>0</v>
      </c>
      <c r="L91" t="s">
        <v>61</v>
      </c>
      <c r="M91">
        <v>2</v>
      </c>
      <c r="N91">
        <v>1.1599999999999999</v>
      </c>
      <c r="O91" t="str">
        <f t="shared" si="3"/>
        <v>1+ hours</v>
      </c>
      <c r="P91" t="s">
        <v>25</v>
      </c>
    </row>
    <row r="92" spans="1:16" x14ac:dyDescent="0.4">
      <c r="A92" t="s">
        <v>133</v>
      </c>
      <c r="B92">
        <v>41</v>
      </c>
      <c r="C92" t="s">
        <v>27</v>
      </c>
      <c r="D92" t="s">
        <v>32</v>
      </c>
      <c r="E92">
        <v>18.87</v>
      </c>
      <c r="F92">
        <v>9</v>
      </c>
      <c r="G92" t="s">
        <v>23</v>
      </c>
      <c r="H92" t="s">
        <v>18</v>
      </c>
      <c r="I92" s="2">
        <v>17.989999999999998</v>
      </c>
      <c r="J92">
        <v>0</v>
      </c>
      <c r="K92" s="2">
        <f t="shared" si="2"/>
        <v>0</v>
      </c>
      <c r="L92" t="s">
        <v>19</v>
      </c>
      <c r="M92">
        <v>3</v>
      </c>
      <c r="N92">
        <v>1.89</v>
      </c>
      <c r="O92" t="str">
        <f t="shared" si="3"/>
        <v>1+ hours</v>
      </c>
      <c r="P92" t="s">
        <v>52</v>
      </c>
    </row>
    <row r="93" spans="1:16" x14ac:dyDescent="0.4">
      <c r="A93" t="s">
        <v>134</v>
      </c>
      <c r="B93">
        <v>21</v>
      </c>
      <c r="C93" t="s">
        <v>27</v>
      </c>
      <c r="D93" t="s">
        <v>32</v>
      </c>
      <c r="E93">
        <v>4.8899999999999997</v>
      </c>
      <c r="F93">
        <v>3</v>
      </c>
      <c r="G93" t="s">
        <v>33</v>
      </c>
      <c r="H93" t="s">
        <v>55</v>
      </c>
      <c r="I93" s="2">
        <v>17.989999999999998</v>
      </c>
      <c r="J93">
        <v>0</v>
      </c>
      <c r="K93" s="2">
        <f t="shared" si="2"/>
        <v>0</v>
      </c>
      <c r="L93" t="s">
        <v>37</v>
      </c>
      <c r="M93">
        <v>4</v>
      </c>
      <c r="N93">
        <v>1.22</v>
      </c>
      <c r="O93" t="str">
        <f t="shared" si="3"/>
        <v>1+ hours</v>
      </c>
      <c r="P93" t="s">
        <v>25</v>
      </c>
    </row>
    <row r="94" spans="1:16" x14ac:dyDescent="0.4">
      <c r="A94" t="s">
        <v>135</v>
      </c>
      <c r="B94">
        <v>55</v>
      </c>
      <c r="C94" t="s">
        <v>27</v>
      </c>
      <c r="D94" t="s">
        <v>32</v>
      </c>
      <c r="E94">
        <v>1.66</v>
      </c>
      <c r="F94">
        <v>54</v>
      </c>
      <c r="G94" t="s">
        <v>33</v>
      </c>
      <c r="H94" t="s">
        <v>18</v>
      </c>
      <c r="I94" s="2">
        <v>17.989999999999998</v>
      </c>
      <c r="J94">
        <v>1</v>
      </c>
      <c r="K94" s="2">
        <f t="shared" si="2"/>
        <v>17.989999999999998</v>
      </c>
      <c r="L94" t="s">
        <v>43</v>
      </c>
      <c r="M94">
        <v>4</v>
      </c>
      <c r="N94">
        <v>0.03</v>
      </c>
      <c r="O94" t="str">
        <f t="shared" si="3"/>
        <v>0–0.2 hours</v>
      </c>
      <c r="P94" t="s">
        <v>30</v>
      </c>
    </row>
    <row r="95" spans="1:16" x14ac:dyDescent="0.4">
      <c r="A95" t="s">
        <v>136</v>
      </c>
      <c r="B95">
        <v>64</v>
      </c>
      <c r="C95" t="s">
        <v>27</v>
      </c>
      <c r="D95" t="s">
        <v>32</v>
      </c>
      <c r="E95">
        <v>4.42</v>
      </c>
      <c r="F95">
        <v>17</v>
      </c>
      <c r="G95" t="s">
        <v>49</v>
      </c>
      <c r="H95" t="s">
        <v>46</v>
      </c>
      <c r="I95" s="2">
        <v>17.989999999999998</v>
      </c>
      <c r="J95">
        <v>1</v>
      </c>
      <c r="K95" s="2">
        <f t="shared" si="2"/>
        <v>17.989999999999998</v>
      </c>
      <c r="L95" t="s">
        <v>29</v>
      </c>
      <c r="M95">
        <v>3</v>
      </c>
      <c r="N95">
        <v>0.25</v>
      </c>
      <c r="O95" t="str">
        <f t="shared" si="3"/>
        <v>0.2–0.4 hours</v>
      </c>
      <c r="P95" t="s">
        <v>34</v>
      </c>
    </row>
    <row r="96" spans="1:16" x14ac:dyDescent="0.4">
      <c r="A96" s="1" t="s">
        <v>137</v>
      </c>
      <c r="B96">
        <v>36</v>
      </c>
      <c r="C96" t="s">
        <v>15</v>
      </c>
      <c r="D96" t="s">
        <v>32</v>
      </c>
      <c r="E96">
        <v>13.38</v>
      </c>
      <c r="F96">
        <v>22</v>
      </c>
      <c r="G96" t="s">
        <v>70</v>
      </c>
      <c r="H96" t="s">
        <v>24</v>
      </c>
      <c r="I96" s="2">
        <v>17.989999999999998</v>
      </c>
      <c r="J96">
        <v>0</v>
      </c>
      <c r="K96" s="2">
        <f t="shared" si="2"/>
        <v>0</v>
      </c>
      <c r="L96" t="s">
        <v>19</v>
      </c>
      <c r="M96">
        <v>4</v>
      </c>
      <c r="N96">
        <v>0.57999999999999996</v>
      </c>
      <c r="O96" t="str">
        <f t="shared" si="3"/>
        <v>0.4–0.6 hours</v>
      </c>
      <c r="P96" t="s">
        <v>52</v>
      </c>
    </row>
    <row r="97" spans="1:16" x14ac:dyDescent="0.4">
      <c r="A97" t="s">
        <v>138</v>
      </c>
      <c r="B97">
        <v>67</v>
      </c>
      <c r="C97" t="s">
        <v>27</v>
      </c>
      <c r="D97" t="s">
        <v>32</v>
      </c>
      <c r="E97">
        <v>9.8699999999999992</v>
      </c>
      <c r="F97">
        <v>6</v>
      </c>
      <c r="G97" t="s">
        <v>23</v>
      </c>
      <c r="H97" t="s">
        <v>18</v>
      </c>
      <c r="I97" s="2">
        <v>17.989999999999998</v>
      </c>
      <c r="J97">
        <v>0</v>
      </c>
      <c r="K97" s="2">
        <f t="shared" si="2"/>
        <v>0</v>
      </c>
      <c r="L97" t="s">
        <v>43</v>
      </c>
      <c r="M97">
        <v>3</v>
      </c>
      <c r="N97">
        <v>1.41</v>
      </c>
      <c r="O97" t="str">
        <f t="shared" si="3"/>
        <v>1+ hours</v>
      </c>
      <c r="P97" t="s">
        <v>20</v>
      </c>
    </row>
    <row r="98" spans="1:16" x14ac:dyDescent="0.4">
      <c r="A98" t="s">
        <v>139</v>
      </c>
      <c r="B98">
        <v>23</v>
      </c>
      <c r="C98" t="s">
        <v>27</v>
      </c>
      <c r="D98" t="s">
        <v>32</v>
      </c>
      <c r="E98">
        <v>23.6</v>
      </c>
      <c r="F98">
        <v>56</v>
      </c>
      <c r="G98" t="s">
        <v>49</v>
      </c>
      <c r="H98" t="s">
        <v>18</v>
      </c>
      <c r="I98" s="2">
        <v>17.989999999999998</v>
      </c>
      <c r="J98">
        <v>0</v>
      </c>
      <c r="K98" s="2">
        <f t="shared" si="2"/>
        <v>0</v>
      </c>
      <c r="L98" t="s">
        <v>43</v>
      </c>
      <c r="M98">
        <v>4</v>
      </c>
      <c r="N98">
        <v>0.41</v>
      </c>
      <c r="O98" t="str">
        <f t="shared" si="3"/>
        <v>0.4–0.6 hours</v>
      </c>
      <c r="P98" t="s">
        <v>25</v>
      </c>
    </row>
    <row r="99" spans="1:16" x14ac:dyDescent="0.4">
      <c r="A99" t="s">
        <v>140</v>
      </c>
      <c r="B99">
        <v>19</v>
      </c>
      <c r="C99" t="s">
        <v>41</v>
      </c>
      <c r="D99" t="s">
        <v>16</v>
      </c>
      <c r="E99">
        <v>3.89</v>
      </c>
      <c r="F99">
        <v>33</v>
      </c>
      <c r="G99" t="s">
        <v>70</v>
      </c>
      <c r="H99" t="s">
        <v>24</v>
      </c>
      <c r="I99" s="2">
        <v>8.99</v>
      </c>
      <c r="J99">
        <v>1</v>
      </c>
      <c r="K99" s="2">
        <f t="shared" si="2"/>
        <v>8.99</v>
      </c>
      <c r="L99" t="s">
        <v>61</v>
      </c>
      <c r="M99">
        <v>1</v>
      </c>
      <c r="N99">
        <v>0.11</v>
      </c>
      <c r="O99" t="str">
        <f t="shared" si="3"/>
        <v>0–0.2 hours</v>
      </c>
      <c r="P99" t="s">
        <v>39</v>
      </c>
    </row>
    <row r="100" spans="1:16" x14ac:dyDescent="0.4">
      <c r="A100" t="s">
        <v>141</v>
      </c>
      <c r="B100">
        <v>20</v>
      </c>
      <c r="C100" t="s">
        <v>15</v>
      </c>
      <c r="D100" t="s">
        <v>32</v>
      </c>
      <c r="E100">
        <v>3.4</v>
      </c>
      <c r="F100">
        <v>33</v>
      </c>
      <c r="G100" t="s">
        <v>17</v>
      </c>
      <c r="H100" t="s">
        <v>57</v>
      </c>
      <c r="I100" s="2">
        <v>17.989999999999998</v>
      </c>
      <c r="J100">
        <v>1</v>
      </c>
      <c r="K100" s="2">
        <f t="shared" si="2"/>
        <v>17.989999999999998</v>
      </c>
      <c r="L100" t="s">
        <v>29</v>
      </c>
      <c r="M100">
        <v>5</v>
      </c>
      <c r="N100">
        <v>0.1</v>
      </c>
      <c r="O100" t="str">
        <f t="shared" si="3"/>
        <v>0–0.2 hours</v>
      </c>
      <c r="P100" t="s">
        <v>30</v>
      </c>
    </row>
    <row r="101" spans="1:16" x14ac:dyDescent="0.4">
      <c r="A101" t="s">
        <v>142</v>
      </c>
      <c r="B101">
        <v>50</v>
      </c>
      <c r="C101" t="s">
        <v>27</v>
      </c>
      <c r="D101" t="s">
        <v>22</v>
      </c>
      <c r="E101">
        <v>3.58</v>
      </c>
      <c r="F101">
        <v>54</v>
      </c>
      <c r="G101" t="s">
        <v>23</v>
      </c>
      <c r="H101" t="s">
        <v>57</v>
      </c>
      <c r="I101" s="2">
        <v>13.99</v>
      </c>
      <c r="J101">
        <v>1</v>
      </c>
      <c r="K101" s="2">
        <f t="shared" si="2"/>
        <v>13.99</v>
      </c>
      <c r="L101" t="s">
        <v>61</v>
      </c>
      <c r="M101">
        <v>4</v>
      </c>
      <c r="N101">
        <v>7.0000000000000007E-2</v>
      </c>
      <c r="O101" t="str">
        <f t="shared" si="3"/>
        <v>0–0.2 hours</v>
      </c>
      <c r="P101" t="s">
        <v>39</v>
      </c>
    </row>
    <row r="102" spans="1:16" x14ac:dyDescent="0.4">
      <c r="A102" t="s">
        <v>143</v>
      </c>
      <c r="B102">
        <v>33</v>
      </c>
      <c r="C102" t="s">
        <v>15</v>
      </c>
      <c r="D102" t="s">
        <v>32</v>
      </c>
      <c r="E102">
        <v>31.11</v>
      </c>
      <c r="F102">
        <v>39</v>
      </c>
      <c r="G102" t="s">
        <v>49</v>
      </c>
      <c r="H102" t="s">
        <v>24</v>
      </c>
      <c r="I102" s="2">
        <v>17.989999999999998</v>
      </c>
      <c r="J102">
        <v>0</v>
      </c>
      <c r="K102" s="2">
        <f t="shared" si="2"/>
        <v>0</v>
      </c>
      <c r="L102" t="s">
        <v>29</v>
      </c>
      <c r="M102">
        <v>4</v>
      </c>
      <c r="N102">
        <v>0.78</v>
      </c>
      <c r="O102" t="str">
        <f t="shared" si="3"/>
        <v>0.6–0.8 hours</v>
      </c>
      <c r="P102" t="s">
        <v>47</v>
      </c>
    </row>
    <row r="103" spans="1:16" x14ac:dyDescent="0.4">
      <c r="A103" t="s">
        <v>144</v>
      </c>
      <c r="B103">
        <v>31</v>
      </c>
      <c r="C103" t="s">
        <v>15</v>
      </c>
      <c r="D103" t="s">
        <v>32</v>
      </c>
      <c r="E103">
        <v>2.81</v>
      </c>
      <c r="F103">
        <v>39</v>
      </c>
      <c r="G103" t="s">
        <v>23</v>
      </c>
      <c r="H103" t="s">
        <v>55</v>
      </c>
      <c r="I103" s="2">
        <v>17.989999999999998</v>
      </c>
      <c r="J103">
        <v>1</v>
      </c>
      <c r="K103" s="2">
        <f t="shared" si="2"/>
        <v>17.989999999999998</v>
      </c>
      <c r="L103" t="s">
        <v>61</v>
      </c>
      <c r="M103">
        <v>5</v>
      </c>
      <c r="N103">
        <v>7.0000000000000007E-2</v>
      </c>
      <c r="O103" t="str">
        <f t="shared" si="3"/>
        <v>0–0.2 hours</v>
      </c>
      <c r="P103" t="s">
        <v>34</v>
      </c>
    </row>
    <row r="104" spans="1:16" x14ac:dyDescent="0.4">
      <c r="A104" t="s">
        <v>145</v>
      </c>
      <c r="B104">
        <v>20</v>
      </c>
      <c r="C104" t="s">
        <v>41</v>
      </c>
      <c r="D104" t="s">
        <v>22</v>
      </c>
      <c r="E104">
        <v>9.8699999999999992</v>
      </c>
      <c r="F104">
        <v>29</v>
      </c>
      <c r="G104" t="s">
        <v>17</v>
      </c>
      <c r="H104" t="s">
        <v>55</v>
      </c>
      <c r="I104" s="2">
        <v>13.99</v>
      </c>
      <c r="J104">
        <v>0</v>
      </c>
      <c r="K104" s="2">
        <f t="shared" si="2"/>
        <v>0</v>
      </c>
      <c r="L104" t="s">
        <v>43</v>
      </c>
      <c r="M104">
        <v>3</v>
      </c>
      <c r="N104">
        <v>0.33</v>
      </c>
      <c r="O104" t="str">
        <f t="shared" si="3"/>
        <v>0.2–0.4 hours</v>
      </c>
      <c r="P104" t="s">
        <v>52</v>
      </c>
    </row>
    <row r="105" spans="1:16" x14ac:dyDescent="0.4">
      <c r="A105" t="s">
        <v>146</v>
      </c>
      <c r="B105">
        <v>18</v>
      </c>
      <c r="C105" t="s">
        <v>27</v>
      </c>
      <c r="D105" t="s">
        <v>16</v>
      </c>
      <c r="E105">
        <v>35.520000000000003</v>
      </c>
      <c r="F105">
        <v>40</v>
      </c>
      <c r="G105" t="s">
        <v>49</v>
      </c>
      <c r="H105" t="s">
        <v>57</v>
      </c>
      <c r="I105" s="2">
        <v>8.99</v>
      </c>
      <c r="J105">
        <v>0</v>
      </c>
      <c r="K105" s="2">
        <f t="shared" si="2"/>
        <v>0</v>
      </c>
      <c r="L105" t="s">
        <v>29</v>
      </c>
      <c r="M105">
        <v>3</v>
      </c>
      <c r="N105">
        <v>0.87</v>
      </c>
      <c r="O105" t="str">
        <f t="shared" si="3"/>
        <v>0.8–1 hour</v>
      </c>
      <c r="P105" t="s">
        <v>20</v>
      </c>
    </row>
    <row r="106" spans="1:16" x14ac:dyDescent="0.4">
      <c r="A106" t="s">
        <v>147</v>
      </c>
      <c r="B106">
        <v>31</v>
      </c>
      <c r="C106" t="s">
        <v>41</v>
      </c>
      <c r="D106" t="s">
        <v>32</v>
      </c>
      <c r="E106">
        <v>4.5999999999999996</v>
      </c>
      <c r="F106">
        <v>1</v>
      </c>
      <c r="G106" t="s">
        <v>49</v>
      </c>
      <c r="H106" t="s">
        <v>55</v>
      </c>
      <c r="I106" s="2">
        <v>17.989999999999998</v>
      </c>
      <c r="J106">
        <v>0</v>
      </c>
      <c r="K106" s="2">
        <f t="shared" si="2"/>
        <v>0</v>
      </c>
      <c r="L106" t="s">
        <v>19</v>
      </c>
      <c r="M106">
        <v>1</v>
      </c>
      <c r="N106">
        <v>2.2999999999999998</v>
      </c>
      <c r="O106" t="str">
        <f t="shared" si="3"/>
        <v>1+ hours</v>
      </c>
      <c r="P106" t="s">
        <v>25</v>
      </c>
    </row>
    <row r="107" spans="1:16" x14ac:dyDescent="0.4">
      <c r="A107" t="s">
        <v>148</v>
      </c>
      <c r="B107">
        <v>47</v>
      </c>
      <c r="C107" t="s">
        <v>15</v>
      </c>
      <c r="D107" t="s">
        <v>32</v>
      </c>
      <c r="E107">
        <v>14.24</v>
      </c>
      <c r="F107">
        <v>37</v>
      </c>
      <c r="G107" t="s">
        <v>17</v>
      </c>
      <c r="H107" t="s">
        <v>57</v>
      </c>
      <c r="I107" s="2">
        <v>17.989999999999998</v>
      </c>
      <c r="J107">
        <v>1</v>
      </c>
      <c r="K107" s="2">
        <f t="shared" si="2"/>
        <v>17.989999999999998</v>
      </c>
      <c r="L107" t="s">
        <v>19</v>
      </c>
      <c r="M107">
        <v>2</v>
      </c>
      <c r="N107">
        <v>0.37</v>
      </c>
      <c r="O107" t="str">
        <f t="shared" si="3"/>
        <v>0.2–0.4 hours</v>
      </c>
      <c r="P107" t="s">
        <v>52</v>
      </c>
    </row>
    <row r="108" spans="1:16" x14ac:dyDescent="0.4">
      <c r="A108" t="s">
        <v>149</v>
      </c>
      <c r="B108">
        <v>49</v>
      </c>
      <c r="C108" t="s">
        <v>27</v>
      </c>
      <c r="D108" t="s">
        <v>16</v>
      </c>
      <c r="E108">
        <v>2.9</v>
      </c>
      <c r="F108">
        <v>46</v>
      </c>
      <c r="G108" t="s">
        <v>28</v>
      </c>
      <c r="H108" t="s">
        <v>24</v>
      </c>
      <c r="I108" s="2">
        <v>8.99</v>
      </c>
      <c r="J108">
        <v>1</v>
      </c>
      <c r="K108" s="2">
        <f t="shared" si="2"/>
        <v>8.99</v>
      </c>
      <c r="L108" t="s">
        <v>37</v>
      </c>
      <c r="M108">
        <v>2</v>
      </c>
      <c r="N108">
        <v>0.06</v>
      </c>
      <c r="O108" t="str">
        <f t="shared" si="3"/>
        <v>0–0.2 hours</v>
      </c>
      <c r="P108" t="s">
        <v>34</v>
      </c>
    </row>
    <row r="109" spans="1:16" x14ac:dyDescent="0.4">
      <c r="A109" t="s">
        <v>150</v>
      </c>
      <c r="B109">
        <v>30</v>
      </c>
      <c r="C109" t="s">
        <v>27</v>
      </c>
      <c r="D109" t="s">
        <v>16</v>
      </c>
      <c r="E109">
        <v>24.74</v>
      </c>
      <c r="F109">
        <v>17</v>
      </c>
      <c r="G109" t="s">
        <v>33</v>
      </c>
      <c r="H109" t="s">
        <v>46</v>
      </c>
      <c r="I109" s="2">
        <v>8.99</v>
      </c>
      <c r="J109">
        <v>0</v>
      </c>
      <c r="K109" s="2">
        <f t="shared" si="2"/>
        <v>0</v>
      </c>
      <c r="L109" t="s">
        <v>61</v>
      </c>
      <c r="M109">
        <v>5</v>
      </c>
      <c r="N109">
        <v>1.37</v>
      </c>
      <c r="O109" t="str">
        <f t="shared" si="3"/>
        <v>1+ hours</v>
      </c>
      <c r="P109" t="s">
        <v>47</v>
      </c>
    </row>
    <row r="110" spans="1:16" x14ac:dyDescent="0.4">
      <c r="A110" t="s">
        <v>151</v>
      </c>
      <c r="B110">
        <v>22</v>
      </c>
      <c r="C110" t="s">
        <v>15</v>
      </c>
      <c r="D110" t="s">
        <v>16</v>
      </c>
      <c r="E110">
        <v>2.93</v>
      </c>
      <c r="F110">
        <v>27</v>
      </c>
      <c r="G110" t="s">
        <v>28</v>
      </c>
      <c r="H110" t="s">
        <v>18</v>
      </c>
      <c r="I110" s="2">
        <v>8.99</v>
      </c>
      <c r="J110">
        <v>1</v>
      </c>
      <c r="K110" s="2">
        <f t="shared" si="2"/>
        <v>8.99</v>
      </c>
      <c r="L110" t="s">
        <v>19</v>
      </c>
      <c r="M110">
        <v>2</v>
      </c>
      <c r="N110">
        <v>0.1</v>
      </c>
      <c r="O110" t="str">
        <f t="shared" si="3"/>
        <v>0–0.2 hours</v>
      </c>
      <c r="P110" t="s">
        <v>25</v>
      </c>
    </row>
    <row r="111" spans="1:16" x14ac:dyDescent="0.4">
      <c r="A111" t="s">
        <v>152</v>
      </c>
      <c r="B111">
        <v>61</v>
      </c>
      <c r="C111" t="s">
        <v>15</v>
      </c>
      <c r="D111" t="s">
        <v>22</v>
      </c>
      <c r="E111">
        <v>5.98</v>
      </c>
      <c r="F111">
        <v>1</v>
      </c>
      <c r="G111" t="s">
        <v>70</v>
      </c>
      <c r="H111" t="s">
        <v>57</v>
      </c>
      <c r="I111" s="2">
        <v>13.99</v>
      </c>
      <c r="J111">
        <v>0</v>
      </c>
      <c r="K111" s="2">
        <f t="shared" si="2"/>
        <v>0</v>
      </c>
      <c r="L111" t="s">
        <v>19</v>
      </c>
      <c r="M111">
        <v>5</v>
      </c>
      <c r="N111">
        <v>2.99</v>
      </c>
      <c r="O111" t="str">
        <f t="shared" si="3"/>
        <v>1+ hours</v>
      </c>
      <c r="P111" t="s">
        <v>39</v>
      </c>
    </row>
    <row r="112" spans="1:16" x14ac:dyDescent="0.4">
      <c r="A112" t="s">
        <v>153</v>
      </c>
      <c r="B112">
        <v>59</v>
      </c>
      <c r="C112" t="s">
        <v>15</v>
      </c>
      <c r="D112" t="s">
        <v>32</v>
      </c>
      <c r="E112">
        <v>24.59</v>
      </c>
      <c r="F112">
        <v>49</v>
      </c>
      <c r="G112" t="s">
        <v>70</v>
      </c>
      <c r="H112" t="s">
        <v>55</v>
      </c>
      <c r="I112" s="2">
        <v>17.989999999999998</v>
      </c>
      <c r="J112">
        <v>0</v>
      </c>
      <c r="K112" s="2">
        <f t="shared" si="2"/>
        <v>0</v>
      </c>
      <c r="L112" t="s">
        <v>29</v>
      </c>
      <c r="M112">
        <v>3</v>
      </c>
      <c r="N112">
        <v>0.49</v>
      </c>
      <c r="O112" t="str">
        <f t="shared" si="3"/>
        <v>0.4–0.6 hours</v>
      </c>
      <c r="P112" t="s">
        <v>39</v>
      </c>
    </row>
    <row r="113" spans="1:16" x14ac:dyDescent="0.4">
      <c r="A113" t="s">
        <v>154</v>
      </c>
      <c r="B113">
        <v>42</v>
      </c>
      <c r="C113" t="s">
        <v>41</v>
      </c>
      <c r="D113" t="s">
        <v>32</v>
      </c>
      <c r="E113">
        <v>18.170000000000002</v>
      </c>
      <c r="F113">
        <v>2</v>
      </c>
      <c r="G113" t="s">
        <v>49</v>
      </c>
      <c r="H113" t="s">
        <v>46</v>
      </c>
      <c r="I113" s="2">
        <v>17.989999999999998</v>
      </c>
      <c r="J113">
        <v>0</v>
      </c>
      <c r="K113" s="2">
        <f t="shared" si="2"/>
        <v>0</v>
      </c>
      <c r="L113" t="s">
        <v>29</v>
      </c>
      <c r="M113">
        <v>4</v>
      </c>
      <c r="N113">
        <v>6.06</v>
      </c>
      <c r="O113" t="str">
        <f t="shared" si="3"/>
        <v>1+ hours</v>
      </c>
      <c r="P113" t="s">
        <v>25</v>
      </c>
    </row>
    <row r="114" spans="1:16" x14ac:dyDescent="0.4">
      <c r="A114" t="s">
        <v>155</v>
      </c>
      <c r="B114">
        <v>21</v>
      </c>
      <c r="C114" t="s">
        <v>27</v>
      </c>
      <c r="D114" t="s">
        <v>16</v>
      </c>
      <c r="E114">
        <v>13.97</v>
      </c>
      <c r="F114">
        <v>14</v>
      </c>
      <c r="G114" t="s">
        <v>70</v>
      </c>
      <c r="H114" t="s">
        <v>46</v>
      </c>
      <c r="I114" s="2">
        <v>8.99</v>
      </c>
      <c r="J114">
        <v>0</v>
      </c>
      <c r="K114" s="2">
        <f t="shared" si="2"/>
        <v>0</v>
      </c>
      <c r="L114" t="s">
        <v>61</v>
      </c>
      <c r="M114">
        <v>3</v>
      </c>
      <c r="N114">
        <v>0.93</v>
      </c>
      <c r="O114" t="str">
        <f t="shared" si="3"/>
        <v>0.8–1 hour</v>
      </c>
      <c r="P114" t="s">
        <v>39</v>
      </c>
    </row>
    <row r="115" spans="1:16" x14ac:dyDescent="0.4">
      <c r="A115" t="s">
        <v>156</v>
      </c>
      <c r="B115">
        <v>35</v>
      </c>
      <c r="C115" t="s">
        <v>41</v>
      </c>
      <c r="D115" t="s">
        <v>16</v>
      </c>
      <c r="E115">
        <v>4.58</v>
      </c>
      <c r="F115">
        <v>42</v>
      </c>
      <c r="G115" t="s">
        <v>49</v>
      </c>
      <c r="H115" t="s">
        <v>57</v>
      </c>
      <c r="I115" s="2">
        <v>8.99</v>
      </c>
      <c r="J115">
        <v>1</v>
      </c>
      <c r="K115" s="2">
        <f t="shared" si="2"/>
        <v>8.99</v>
      </c>
      <c r="L115" t="s">
        <v>61</v>
      </c>
      <c r="M115">
        <v>4</v>
      </c>
      <c r="N115">
        <v>0.11</v>
      </c>
      <c r="O115" t="str">
        <f t="shared" si="3"/>
        <v>0–0.2 hours</v>
      </c>
      <c r="P115" t="s">
        <v>39</v>
      </c>
    </row>
    <row r="116" spans="1:16" x14ac:dyDescent="0.4">
      <c r="A116" t="s">
        <v>157</v>
      </c>
      <c r="B116">
        <v>32</v>
      </c>
      <c r="C116" t="s">
        <v>15</v>
      </c>
      <c r="D116" t="s">
        <v>16</v>
      </c>
      <c r="E116">
        <v>17.18</v>
      </c>
      <c r="F116">
        <v>22</v>
      </c>
      <c r="G116" t="s">
        <v>17</v>
      </c>
      <c r="H116" t="s">
        <v>18</v>
      </c>
      <c r="I116" s="2">
        <v>8.99</v>
      </c>
      <c r="J116">
        <v>0</v>
      </c>
      <c r="K116" s="2">
        <f t="shared" si="2"/>
        <v>0</v>
      </c>
      <c r="L116" t="s">
        <v>29</v>
      </c>
      <c r="M116">
        <v>4</v>
      </c>
      <c r="N116">
        <v>0.75</v>
      </c>
      <c r="O116" t="str">
        <f t="shared" si="3"/>
        <v>0.6–0.8 hours</v>
      </c>
      <c r="P116" t="s">
        <v>39</v>
      </c>
    </row>
    <row r="117" spans="1:16" x14ac:dyDescent="0.4">
      <c r="A117" t="s">
        <v>158</v>
      </c>
      <c r="B117">
        <v>65</v>
      </c>
      <c r="C117" t="s">
        <v>27</v>
      </c>
      <c r="D117" t="s">
        <v>32</v>
      </c>
      <c r="E117">
        <v>4.8899999999999997</v>
      </c>
      <c r="F117">
        <v>6</v>
      </c>
      <c r="G117" t="s">
        <v>28</v>
      </c>
      <c r="H117" t="s">
        <v>18</v>
      </c>
      <c r="I117" s="2">
        <v>17.989999999999998</v>
      </c>
      <c r="J117">
        <v>0</v>
      </c>
      <c r="K117" s="2">
        <f t="shared" si="2"/>
        <v>0</v>
      </c>
      <c r="L117" t="s">
        <v>19</v>
      </c>
      <c r="M117">
        <v>1</v>
      </c>
      <c r="N117">
        <v>0.7</v>
      </c>
      <c r="O117" t="str">
        <f t="shared" si="3"/>
        <v>0.6–0.8 hours</v>
      </c>
      <c r="P117" t="s">
        <v>52</v>
      </c>
    </row>
    <row r="118" spans="1:16" x14ac:dyDescent="0.4">
      <c r="A118" t="s">
        <v>159</v>
      </c>
      <c r="B118">
        <v>59</v>
      </c>
      <c r="C118" t="s">
        <v>15</v>
      </c>
      <c r="D118" t="s">
        <v>22</v>
      </c>
      <c r="E118">
        <v>6.77</v>
      </c>
      <c r="F118">
        <v>22</v>
      </c>
      <c r="G118" t="s">
        <v>33</v>
      </c>
      <c r="H118" t="s">
        <v>57</v>
      </c>
      <c r="I118" s="2">
        <v>13.99</v>
      </c>
      <c r="J118">
        <v>0</v>
      </c>
      <c r="K118" s="2">
        <f t="shared" si="2"/>
        <v>0</v>
      </c>
      <c r="L118" t="s">
        <v>37</v>
      </c>
      <c r="M118">
        <v>1</v>
      </c>
      <c r="N118">
        <v>0.28999999999999998</v>
      </c>
      <c r="O118" t="str">
        <f t="shared" si="3"/>
        <v>0.2–0.4 hours</v>
      </c>
      <c r="P118" t="s">
        <v>25</v>
      </c>
    </row>
    <row r="119" spans="1:16" x14ac:dyDescent="0.4">
      <c r="A119" t="s">
        <v>160</v>
      </c>
      <c r="B119">
        <v>70</v>
      </c>
      <c r="C119" t="s">
        <v>15</v>
      </c>
      <c r="D119" t="s">
        <v>16</v>
      </c>
      <c r="E119">
        <v>1.28</v>
      </c>
      <c r="F119">
        <v>52</v>
      </c>
      <c r="G119" t="s">
        <v>28</v>
      </c>
      <c r="H119" t="s">
        <v>24</v>
      </c>
      <c r="I119" s="2">
        <v>8.99</v>
      </c>
      <c r="J119">
        <v>1</v>
      </c>
      <c r="K119" s="2">
        <f t="shared" si="2"/>
        <v>8.99</v>
      </c>
      <c r="L119" t="s">
        <v>61</v>
      </c>
      <c r="M119">
        <v>5</v>
      </c>
      <c r="N119">
        <v>0.02</v>
      </c>
      <c r="O119" t="str">
        <f t="shared" si="3"/>
        <v>0–0.2 hours</v>
      </c>
      <c r="P119" t="s">
        <v>20</v>
      </c>
    </row>
    <row r="120" spans="1:16" x14ac:dyDescent="0.4">
      <c r="A120" t="s">
        <v>161</v>
      </c>
      <c r="B120">
        <v>63</v>
      </c>
      <c r="C120" t="s">
        <v>41</v>
      </c>
      <c r="D120" t="s">
        <v>32</v>
      </c>
      <c r="E120">
        <v>8.5399999999999991</v>
      </c>
      <c r="F120">
        <v>51</v>
      </c>
      <c r="G120" t="s">
        <v>70</v>
      </c>
      <c r="H120" t="s">
        <v>57</v>
      </c>
      <c r="I120" s="2">
        <v>17.989999999999998</v>
      </c>
      <c r="J120">
        <v>0</v>
      </c>
      <c r="K120" s="2">
        <f t="shared" si="2"/>
        <v>0</v>
      </c>
      <c r="L120" t="s">
        <v>61</v>
      </c>
      <c r="M120">
        <v>5</v>
      </c>
      <c r="N120">
        <v>0.16</v>
      </c>
      <c r="O120" t="str">
        <f t="shared" si="3"/>
        <v>0–0.2 hours</v>
      </c>
      <c r="P120" t="s">
        <v>52</v>
      </c>
    </row>
    <row r="121" spans="1:16" x14ac:dyDescent="0.4">
      <c r="A121" t="s">
        <v>162</v>
      </c>
      <c r="B121">
        <v>29</v>
      </c>
      <c r="C121" t="s">
        <v>15</v>
      </c>
      <c r="D121" t="s">
        <v>16</v>
      </c>
      <c r="E121">
        <v>17.579999999999998</v>
      </c>
      <c r="F121">
        <v>2</v>
      </c>
      <c r="G121" t="s">
        <v>23</v>
      </c>
      <c r="H121" t="s">
        <v>55</v>
      </c>
      <c r="I121" s="2">
        <v>8.99</v>
      </c>
      <c r="J121">
        <v>0</v>
      </c>
      <c r="K121" s="2">
        <f t="shared" si="2"/>
        <v>0</v>
      </c>
      <c r="L121" t="s">
        <v>43</v>
      </c>
      <c r="M121">
        <v>1</v>
      </c>
      <c r="N121">
        <v>5.86</v>
      </c>
      <c r="O121" t="str">
        <f t="shared" si="3"/>
        <v>1+ hours</v>
      </c>
      <c r="P121" t="s">
        <v>20</v>
      </c>
    </row>
    <row r="122" spans="1:16" x14ac:dyDescent="0.4">
      <c r="A122" t="s">
        <v>163</v>
      </c>
      <c r="B122">
        <v>30</v>
      </c>
      <c r="C122" t="s">
        <v>15</v>
      </c>
      <c r="D122" t="s">
        <v>16</v>
      </c>
      <c r="E122">
        <v>9.2799999999999994</v>
      </c>
      <c r="F122">
        <v>44</v>
      </c>
      <c r="G122" t="s">
        <v>70</v>
      </c>
      <c r="H122" t="s">
        <v>57</v>
      </c>
      <c r="I122" s="2">
        <v>8.99</v>
      </c>
      <c r="J122">
        <v>1</v>
      </c>
      <c r="K122" s="2">
        <f t="shared" si="2"/>
        <v>8.99</v>
      </c>
      <c r="L122" t="s">
        <v>43</v>
      </c>
      <c r="M122">
        <v>4</v>
      </c>
      <c r="N122">
        <v>0.21</v>
      </c>
      <c r="O122" t="str">
        <f t="shared" si="3"/>
        <v>0.2–0.4 hours</v>
      </c>
      <c r="P122" t="s">
        <v>20</v>
      </c>
    </row>
    <row r="123" spans="1:16" x14ac:dyDescent="0.4">
      <c r="A123" t="s">
        <v>164</v>
      </c>
      <c r="B123">
        <v>52</v>
      </c>
      <c r="C123" t="s">
        <v>15</v>
      </c>
      <c r="D123" t="s">
        <v>16</v>
      </c>
      <c r="E123">
        <v>6.18</v>
      </c>
      <c r="F123">
        <v>41</v>
      </c>
      <c r="G123" t="s">
        <v>49</v>
      </c>
      <c r="H123" t="s">
        <v>57</v>
      </c>
      <c r="I123" s="2">
        <v>8.99</v>
      </c>
      <c r="J123">
        <v>1</v>
      </c>
      <c r="K123" s="2">
        <f t="shared" si="2"/>
        <v>8.99</v>
      </c>
      <c r="L123" t="s">
        <v>19</v>
      </c>
      <c r="M123">
        <v>3</v>
      </c>
      <c r="N123">
        <v>0.15</v>
      </c>
      <c r="O123" t="str">
        <f t="shared" si="3"/>
        <v>0–0.2 hours</v>
      </c>
      <c r="P123" t="s">
        <v>47</v>
      </c>
    </row>
    <row r="124" spans="1:16" x14ac:dyDescent="0.4">
      <c r="A124" t="s">
        <v>165</v>
      </c>
      <c r="B124">
        <v>49</v>
      </c>
      <c r="C124" t="s">
        <v>15</v>
      </c>
      <c r="D124" t="s">
        <v>22</v>
      </c>
      <c r="E124">
        <v>5.88</v>
      </c>
      <c r="F124">
        <v>40</v>
      </c>
      <c r="G124" t="s">
        <v>70</v>
      </c>
      <c r="H124" t="s">
        <v>24</v>
      </c>
      <c r="I124" s="2">
        <v>13.99</v>
      </c>
      <c r="J124">
        <v>1</v>
      </c>
      <c r="K124" s="2">
        <f t="shared" si="2"/>
        <v>13.99</v>
      </c>
      <c r="L124" t="s">
        <v>29</v>
      </c>
      <c r="M124">
        <v>2</v>
      </c>
      <c r="N124">
        <v>0.14000000000000001</v>
      </c>
      <c r="O124" t="str">
        <f t="shared" si="3"/>
        <v>0–0.2 hours</v>
      </c>
      <c r="P124" t="s">
        <v>20</v>
      </c>
    </row>
    <row r="125" spans="1:16" x14ac:dyDescent="0.4">
      <c r="A125" t="s">
        <v>166</v>
      </c>
      <c r="B125">
        <v>33</v>
      </c>
      <c r="C125" t="s">
        <v>41</v>
      </c>
      <c r="D125" t="s">
        <v>22</v>
      </c>
      <c r="E125">
        <v>2.86</v>
      </c>
      <c r="F125">
        <v>30</v>
      </c>
      <c r="G125" t="s">
        <v>23</v>
      </c>
      <c r="H125" t="s">
        <v>57</v>
      </c>
      <c r="I125" s="2">
        <v>13.99</v>
      </c>
      <c r="J125">
        <v>1</v>
      </c>
      <c r="K125" s="2">
        <f t="shared" si="2"/>
        <v>13.99</v>
      </c>
      <c r="L125" t="s">
        <v>19</v>
      </c>
      <c r="M125">
        <v>5</v>
      </c>
      <c r="N125">
        <v>0.09</v>
      </c>
      <c r="O125" t="str">
        <f t="shared" si="3"/>
        <v>0–0.2 hours</v>
      </c>
      <c r="P125" t="s">
        <v>30</v>
      </c>
    </row>
    <row r="126" spans="1:16" x14ac:dyDescent="0.4">
      <c r="A126" t="s">
        <v>167</v>
      </c>
      <c r="B126">
        <v>22</v>
      </c>
      <c r="C126" t="s">
        <v>27</v>
      </c>
      <c r="D126" t="s">
        <v>16</v>
      </c>
      <c r="E126">
        <v>3.71</v>
      </c>
      <c r="F126">
        <v>28</v>
      </c>
      <c r="G126" t="s">
        <v>23</v>
      </c>
      <c r="H126" t="s">
        <v>18</v>
      </c>
      <c r="I126" s="2">
        <v>8.99</v>
      </c>
      <c r="J126">
        <v>1</v>
      </c>
      <c r="K126" s="2">
        <f t="shared" si="2"/>
        <v>8.99</v>
      </c>
      <c r="L126" t="s">
        <v>29</v>
      </c>
      <c r="M126">
        <v>1</v>
      </c>
      <c r="N126">
        <v>0.13</v>
      </c>
      <c r="O126" t="str">
        <f t="shared" si="3"/>
        <v>0–0.2 hours</v>
      </c>
      <c r="P126" t="s">
        <v>34</v>
      </c>
    </row>
    <row r="127" spans="1:16" x14ac:dyDescent="0.4">
      <c r="A127" t="s">
        <v>168</v>
      </c>
      <c r="B127">
        <v>29</v>
      </c>
      <c r="C127" t="s">
        <v>41</v>
      </c>
      <c r="D127" t="s">
        <v>16</v>
      </c>
      <c r="E127">
        <v>1.7</v>
      </c>
      <c r="F127">
        <v>43</v>
      </c>
      <c r="G127" t="s">
        <v>49</v>
      </c>
      <c r="H127" t="s">
        <v>24</v>
      </c>
      <c r="I127" s="2">
        <v>8.99</v>
      </c>
      <c r="J127">
        <v>1</v>
      </c>
      <c r="K127" s="2">
        <f t="shared" si="2"/>
        <v>8.99</v>
      </c>
      <c r="L127" t="s">
        <v>37</v>
      </c>
      <c r="M127">
        <v>5</v>
      </c>
      <c r="N127">
        <v>0.04</v>
      </c>
      <c r="O127" t="str">
        <f t="shared" si="3"/>
        <v>0–0.2 hours</v>
      </c>
      <c r="P127" t="s">
        <v>34</v>
      </c>
    </row>
    <row r="128" spans="1:16" x14ac:dyDescent="0.4">
      <c r="A128" t="s">
        <v>169</v>
      </c>
      <c r="B128">
        <v>67</v>
      </c>
      <c r="C128" t="s">
        <v>27</v>
      </c>
      <c r="D128" t="s">
        <v>22</v>
      </c>
      <c r="E128">
        <v>1.02</v>
      </c>
      <c r="F128">
        <v>20</v>
      </c>
      <c r="G128" t="s">
        <v>23</v>
      </c>
      <c r="H128" t="s">
        <v>46</v>
      </c>
      <c r="I128" s="2">
        <v>13.99</v>
      </c>
      <c r="J128">
        <v>1</v>
      </c>
      <c r="K128" s="2">
        <f t="shared" si="2"/>
        <v>13.99</v>
      </c>
      <c r="L128" t="s">
        <v>19</v>
      </c>
      <c r="M128">
        <v>1</v>
      </c>
      <c r="N128">
        <v>0.05</v>
      </c>
      <c r="O128" t="str">
        <f t="shared" si="3"/>
        <v>0–0.2 hours</v>
      </c>
      <c r="P128" t="s">
        <v>25</v>
      </c>
    </row>
    <row r="129" spans="1:16" x14ac:dyDescent="0.4">
      <c r="A129" t="s">
        <v>170</v>
      </c>
      <c r="B129">
        <v>53</v>
      </c>
      <c r="C129" t="s">
        <v>27</v>
      </c>
      <c r="D129" t="s">
        <v>32</v>
      </c>
      <c r="E129">
        <v>1.36</v>
      </c>
      <c r="F129">
        <v>35</v>
      </c>
      <c r="G129" t="s">
        <v>49</v>
      </c>
      <c r="H129" t="s">
        <v>24</v>
      </c>
      <c r="I129" s="2">
        <v>17.989999999999998</v>
      </c>
      <c r="J129">
        <v>1</v>
      </c>
      <c r="K129" s="2">
        <f t="shared" si="2"/>
        <v>17.989999999999998</v>
      </c>
      <c r="L129" t="s">
        <v>19</v>
      </c>
      <c r="M129">
        <v>2</v>
      </c>
      <c r="N129">
        <v>0.04</v>
      </c>
      <c r="O129" t="str">
        <f t="shared" si="3"/>
        <v>0–0.2 hours</v>
      </c>
      <c r="P129" t="s">
        <v>39</v>
      </c>
    </row>
    <row r="130" spans="1:16" x14ac:dyDescent="0.4">
      <c r="A130" t="s">
        <v>171</v>
      </c>
      <c r="B130">
        <v>40</v>
      </c>
      <c r="C130" t="s">
        <v>41</v>
      </c>
      <c r="D130" t="s">
        <v>32</v>
      </c>
      <c r="E130">
        <v>12.26</v>
      </c>
      <c r="F130">
        <v>3</v>
      </c>
      <c r="G130" t="s">
        <v>70</v>
      </c>
      <c r="H130" t="s">
        <v>24</v>
      </c>
      <c r="I130" s="2">
        <v>17.989999999999998</v>
      </c>
      <c r="J130">
        <v>0</v>
      </c>
      <c r="K130" s="2">
        <f t="shared" si="2"/>
        <v>0</v>
      </c>
      <c r="L130" t="s">
        <v>37</v>
      </c>
      <c r="M130">
        <v>5</v>
      </c>
      <c r="N130">
        <v>3.06</v>
      </c>
      <c r="O130" t="str">
        <f t="shared" si="3"/>
        <v>1+ hours</v>
      </c>
      <c r="P130" t="s">
        <v>39</v>
      </c>
    </row>
    <row r="131" spans="1:16" x14ac:dyDescent="0.4">
      <c r="A131" t="s">
        <v>172</v>
      </c>
      <c r="B131">
        <v>56</v>
      </c>
      <c r="C131" t="s">
        <v>15</v>
      </c>
      <c r="D131" t="s">
        <v>32</v>
      </c>
      <c r="E131">
        <v>1.43</v>
      </c>
      <c r="F131">
        <v>16</v>
      </c>
      <c r="G131" t="s">
        <v>23</v>
      </c>
      <c r="H131" t="s">
        <v>46</v>
      </c>
      <c r="I131" s="2">
        <v>17.989999999999998</v>
      </c>
      <c r="J131">
        <v>1</v>
      </c>
      <c r="K131" s="2">
        <f t="shared" ref="K131:K194" si="4">SUMIF(J131,1,I131)</f>
        <v>17.989999999999998</v>
      </c>
      <c r="L131" t="s">
        <v>37</v>
      </c>
      <c r="M131">
        <v>2</v>
      </c>
      <c r="N131">
        <v>0.08</v>
      </c>
      <c r="O131" t="str">
        <f t="shared" ref="O131:O194" si="5">IF(N131&gt;1,"1+ hours",IF(N131&lt;=0.2,"0–0.2 hours",IF(N131&lt;=0.4,"0.2–0.4 hours",IF(N131&lt;=0.6,"0.4–0.6 hours",IF(N131&lt;=0.8,"0.6–0.8 hours","0.8–1 hour")))))</f>
        <v>0–0.2 hours</v>
      </c>
      <c r="P131" t="s">
        <v>20</v>
      </c>
    </row>
    <row r="132" spans="1:16" x14ac:dyDescent="0.4">
      <c r="A132" t="s">
        <v>173</v>
      </c>
      <c r="B132">
        <v>35</v>
      </c>
      <c r="C132" t="s">
        <v>27</v>
      </c>
      <c r="D132" t="s">
        <v>16</v>
      </c>
      <c r="E132">
        <v>26.9</v>
      </c>
      <c r="F132">
        <v>49</v>
      </c>
      <c r="G132" t="s">
        <v>49</v>
      </c>
      <c r="H132" t="s">
        <v>55</v>
      </c>
      <c r="I132" s="2">
        <v>8.99</v>
      </c>
      <c r="J132">
        <v>0</v>
      </c>
      <c r="K132" s="2">
        <f t="shared" si="4"/>
        <v>0</v>
      </c>
      <c r="L132" t="s">
        <v>19</v>
      </c>
      <c r="M132">
        <v>2</v>
      </c>
      <c r="N132">
        <v>0.54</v>
      </c>
      <c r="O132" t="str">
        <f t="shared" si="5"/>
        <v>0.4–0.6 hours</v>
      </c>
      <c r="P132" t="s">
        <v>30</v>
      </c>
    </row>
    <row r="133" spans="1:16" x14ac:dyDescent="0.4">
      <c r="A133" t="s">
        <v>174</v>
      </c>
      <c r="B133">
        <v>54</v>
      </c>
      <c r="C133" t="s">
        <v>41</v>
      </c>
      <c r="D133" t="s">
        <v>16</v>
      </c>
      <c r="E133">
        <v>3.13</v>
      </c>
      <c r="F133">
        <v>16</v>
      </c>
      <c r="G133" t="s">
        <v>33</v>
      </c>
      <c r="H133" t="s">
        <v>18</v>
      </c>
      <c r="I133" s="2">
        <v>8.99</v>
      </c>
      <c r="J133">
        <v>1</v>
      </c>
      <c r="K133" s="2">
        <f t="shared" si="4"/>
        <v>8.99</v>
      </c>
      <c r="L133" t="s">
        <v>61</v>
      </c>
      <c r="M133">
        <v>5</v>
      </c>
      <c r="N133">
        <v>0.18</v>
      </c>
      <c r="O133" t="str">
        <f t="shared" si="5"/>
        <v>0–0.2 hours</v>
      </c>
      <c r="P133" t="s">
        <v>30</v>
      </c>
    </row>
    <row r="134" spans="1:16" x14ac:dyDescent="0.4">
      <c r="A134" t="s">
        <v>175</v>
      </c>
      <c r="B134">
        <v>19</v>
      </c>
      <c r="C134" t="s">
        <v>15</v>
      </c>
      <c r="D134" t="s">
        <v>16</v>
      </c>
      <c r="E134">
        <v>3.72</v>
      </c>
      <c r="F134">
        <v>11</v>
      </c>
      <c r="G134" t="s">
        <v>28</v>
      </c>
      <c r="H134" t="s">
        <v>55</v>
      </c>
      <c r="I134" s="2">
        <v>8.99</v>
      </c>
      <c r="J134">
        <v>1</v>
      </c>
      <c r="K134" s="2">
        <f t="shared" si="4"/>
        <v>8.99</v>
      </c>
      <c r="L134" t="s">
        <v>29</v>
      </c>
      <c r="M134">
        <v>5</v>
      </c>
      <c r="N134">
        <v>0.31</v>
      </c>
      <c r="O134" t="str">
        <f t="shared" si="5"/>
        <v>0.2–0.4 hours</v>
      </c>
      <c r="P134" t="s">
        <v>52</v>
      </c>
    </row>
    <row r="135" spans="1:16" x14ac:dyDescent="0.4">
      <c r="A135" t="s">
        <v>176</v>
      </c>
      <c r="B135">
        <v>28</v>
      </c>
      <c r="C135" t="s">
        <v>41</v>
      </c>
      <c r="D135" t="s">
        <v>32</v>
      </c>
      <c r="E135">
        <v>16.170000000000002</v>
      </c>
      <c r="F135">
        <v>46</v>
      </c>
      <c r="G135" t="s">
        <v>17</v>
      </c>
      <c r="H135" t="s">
        <v>46</v>
      </c>
      <c r="I135" s="2">
        <v>17.989999999999998</v>
      </c>
      <c r="J135">
        <v>1</v>
      </c>
      <c r="K135" s="2">
        <f t="shared" si="4"/>
        <v>17.989999999999998</v>
      </c>
      <c r="L135" t="s">
        <v>29</v>
      </c>
      <c r="M135">
        <v>4</v>
      </c>
      <c r="N135">
        <v>0.34</v>
      </c>
      <c r="O135" t="str">
        <f t="shared" si="5"/>
        <v>0.2–0.4 hours</v>
      </c>
      <c r="P135" t="s">
        <v>34</v>
      </c>
    </row>
    <row r="136" spans="1:16" x14ac:dyDescent="0.4">
      <c r="A136" t="s">
        <v>177</v>
      </c>
      <c r="B136">
        <v>19</v>
      </c>
      <c r="C136" t="s">
        <v>15</v>
      </c>
      <c r="D136" t="s">
        <v>16</v>
      </c>
      <c r="E136">
        <v>5.18</v>
      </c>
      <c r="F136">
        <v>43</v>
      </c>
      <c r="G136" t="s">
        <v>23</v>
      </c>
      <c r="H136" t="s">
        <v>57</v>
      </c>
      <c r="I136" s="2">
        <v>8.99</v>
      </c>
      <c r="J136">
        <v>1</v>
      </c>
      <c r="K136" s="2">
        <f t="shared" si="4"/>
        <v>8.99</v>
      </c>
      <c r="L136" t="s">
        <v>43</v>
      </c>
      <c r="M136">
        <v>4</v>
      </c>
      <c r="N136">
        <v>0.12</v>
      </c>
      <c r="O136" t="str">
        <f t="shared" si="5"/>
        <v>0–0.2 hours</v>
      </c>
      <c r="P136" t="s">
        <v>34</v>
      </c>
    </row>
    <row r="137" spans="1:16" x14ac:dyDescent="0.4">
      <c r="A137" t="s">
        <v>178</v>
      </c>
      <c r="B137">
        <v>34</v>
      </c>
      <c r="C137" t="s">
        <v>41</v>
      </c>
      <c r="D137" t="s">
        <v>16</v>
      </c>
      <c r="E137">
        <v>1.89</v>
      </c>
      <c r="F137">
        <v>59</v>
      </c>
      <c r="G137" t="s">
        <v>28</v>
      </c>
      <c r="H137" t="s">
        <v>57</v>
      </c>
      <c r="I137" s="2">
        <v>8.99</v>
      </c>
      <c r="J137">
        <v>1</v>
      </c>
      <c r="K137" s="2">
        <f t="shared" si="4"/>
        <v>8.99</v>
      </c>
      <c r="L137" t="s">
        <v>61</v>
      </c>
      <c r="M137">
        <v>5</v>
      </c>
      <c r="N137">
        <v>0.03</v>
      </c>
      <c r="O137" t="str">
        <f t="shared" si="5"/>
        <v>0–0.2 hours</v>
      </c>
      <c r="P137" t="s">
        <v>20</v>
      </c>
    </row>
    <row r="138" spans="1:16" x14ac:dyDescent="0.4">
      <c r="A138" t="s">
        <v>179</v>
      </c>
      <c r="B138">
        <v>19</v>
      </c>
      <c r="C138" t="s">
        <v>41</v>
      </c>
      <c r="D138" t="s">
        <v>32</v>
      </c>
      <c r="E138">
        <v>8.0299999999999994</v>
      </c>
      <c r="F138">
        <v>1</v>
      </c>
      <c r="G138" t="s">
        <v>28</v>
      </c>
      <c r="H138" t="s">
        <v>18</v>
      </c>
      <c r="I138" s="2">
        <v>17.989999999999998</v>
      </c>
      <c r="J138">
        <v>0</v>
      </c>
      <c r="K138" s="2">
        <f t="shared" si="4"/>
        <v>0</v>
      </c>
      <c r="L138" t="s">
        <v>19</v>
      </c>
      <c r="M138">
        <v>3</v>
      </c>
      <c r="N138">
        <v>4.01</v>
      </c>
      <c r="O138" t="str">
        <f t="shared" si="5"/>
        <v>1+ hours</v>
      </c>
      <c r="P138" t="s">
        <v>30</v>
      </c>
    </row>
    <row r="139" spans="1:16" x14ac:dyDescent="0.4">
      <c r="A139" t="s">
        <v>180</v>
      </c>
      <c r="B139">
        <v>45</v>
      </c>
      <c r="C139" t="s">
        <v>15</v>
      </c>
      <c r="D139" t="s">
        <v>16</v>
      </c>
      <c r="E139">
        <v>3.4</v>
      </c>
      <c r="F139">
        <v>27</v>
      </c>
      <c r="G139" t="s">
        <v>70</v>
      </c>
      <c r="H139" t="s">
        <v>46</v>
      </c>
      <c r="I139" s="2">
        <v>8.99</v>
      </c>
      <c r="J139">
        <v>1</v>
      </c>
      <c r="K139" s="2">
        <f t="shared" si="4"/>
        <v>8.99</v>
      </c>
      <c r="L139" t="s">
        <v>29</v>
      </c>
      <c r="M139">
        <v>3</v>
      </c>
      <c r="N139">
        <v>0.12</v>
      </c>
      <c r="O139" t="str">
        <f t="shared" si="5"/>
        <v>0–0.2 hours</v>
      </c>
      <c r="P139" t="s">
        <v>25</v>
      </c>
    </row>
    <row r="140" spans="1:16" x14ac:dyDescent="0.4">
      <c r="A140" t="s">
        <v>181</v>
      </c>
      <c r="B140">
        <v>50</v>
      </c>
      <c r="C140" t="s">
        <v>15</v>
      </c>
      <c r="D140" t="s">
        <v>16</v>
      </c>
      <c r="E140">
        <v>0.11</v>
      </c>
      <c r="F140">
        <v>1</v>
      </c>
      <c r="G140" t="s">
        <v>49</v>
      </c>
      <c r="H140" t="s">
        <v>57</v>
      </c>
      <c r="I140" s="2">
        <v>8.99</v>
      </c>
      <c r="J140">
        <v>1</v>
      </c>
      <c r="K140" s="2">
        <f t="shared" si="4"/>
        <v>8.99</v>
      </c>
      <c r="L140" t="s">
        <v>19</v>
      </c>
      <c r="M140">
        <v>2</v>
      </c>
      <c r="N140">
        <v>0.06</v>
      </c>
      <c r="O140" t="str">
        <f t="shared" si="5"/>
        <v>0–0.2 hours</v>
      </c>
      <c r="P140" t="s">
        <v>25</v>
      </c>
    </row>
    <row r="141" spans="1:16" x14ac:dyDescent="0.4">
      <c r="A141" t="s">
        <v>182</v>
      </c>
      <c r="B141">
        <v>47</v>
      </c>
      <c r="C141" t="s">
        <v>27</v>
      </c>
      <c r="D141" t="s">
        <v>22</v>
      </c>
      <c r="E141">
        <v>40.119999999999997</v>
      </c>
      <c r="F141">
        <v>55</v>
      </c>
      <c r="G141" t="s">
        <v>17</v>
      </c>
      <c r="H141" t="s">
        <v>55</v>
      </c>
      <c r="I141" s="2">
        <v>13.99</v>
      </c>
      <c r="J141">
        <v>0</v>
      </c>
      <c r="K141" s="2">
        <f t="shared" si="4"/>
        <v>0</v>
      </c>
      <c r="L141" t="s">
        <v>43</v>
      </c>
      <c r="M141">
        <v>1</v>
      </c>
      <c r="N141">
        <v>0.72</v>
      </c>
      <c r="O141" t="str">
        <f t="shared" si="5"/>
        <v>0.6–0.8 hours</v>
      </c>
      <c r="P141" t="s">
        <v>20</v>
      </c>
    </row>
    <row r="142" spans="1:16" x14ac:dyDescent="0.4">
      <c r="A142" t="s">
        <v>183</v>
      </c>
      <c r="B142">
        <v>40</v>
      </c>
      <c r="C142" t="s">
        <v>27</v>
      </c>
      <c r="D142" t="s">
        <v>22</v>
      </c>
      <c r="E142">
        <v>32.880000000000003</v>
      </c>
      <c r="F142">
        <v>36</v>
      </c>
      <c r="G142" t="s">
        <v>49</v>
      </c>
      <c r="H142" t="s">
        <v>55</v>
      </c>
      <c r="I142" s="2">
        <v>13.99</v>
      </c>
      <c r="J142">
        <v>0</v>
      </c>
      <c r="K142" s="2">
        <f t="shared" si="4"/>
        <v>0</v>
      </c>
      <c r="L142" t="s">
        <v>29</v>
      </c>
      <c r="M142">
        <v>4</v>
      </c>
      <c r="N142">
        <v>0.89</v>
      </c>
      <c r="O142" t="str">
        <f t="shared" si="5"/>
        <v>0.8–1 hour</v>
      </c>
      <c r="P142" t="s">
        <v>25</v>
      </c>
    </row>
    <row r="143" spans="1:16" x14ac:dyDescent="0.4">
      <c r="A143" t="s">
        <v>184</v>
      </c>
      <c r="B143">
        <v>41</v>
      </c>
      <c r="C143" t="s">
        <v>27</v>
      </c>
      <c r="D143" t="s">
        <v>22</v>
      </c>
      <c r="E143">
        <v>6.26</v>
      </c>
      <c r="F143">
        <v>16</v>
      </c>
      <c r="G143" t="s">
        <v>33</v>
      </c>
      <c r="H143" t="s">
        <v>57</v>
      </c>
      <c r="I143" s="2">
        <v>13.99</v>
      </c>
      <c r="J143">
        <v>0</v>
      </c>
      <c r="K143" s="2">
        <f t="shared" si="4"/>
        <v>0</v>
      </c>
      <c r="L143" t="s">
        <v>29</v>
      </c>
      <c r="M143">
        <v>4</v>
      </c>
      <c r="N143">
        <v>0.37</v>
      </c>
      <c r="O143" t="str">
        <f t="shared" si="5"/>
        <v>0.2–0.4 hours</v>
      </c>
      <c r="P143" t="s">
        <v>20</v>
      </c>
    </row>
    <row r="144" spans="1:16" x14ac:dyDescent="0.4">
      <c r="A144" t="s">
        <v>185</v>
      </c>
      <c r="B144">
        <v>48</v>
      </c>
      <c r="C144" t="s">
        <v>15</v>
      </c>
      <c r="D144" t="s">
        <v>32</v>
      </c>
      <c r="E144">
        <v>16.78</v>
      </c>
      <c r="F144">
        <v>2</v>
      </c>
      <c r="G144" t="s">
        <v>23</v>
      </c>
      <c r="H144" t="s">
        <v>24</v>
      </c>
      <c r="I144" s="2">
        <v>17.989999999999998</v>
      </c>
      <c r="J144">
        <v>0</v>
      </c>
      <c r="K144" s="2">
        <f t="shared" si="4"/>
        <v>0</v>
      </c>
      <c r="L144" t="s">
        <v>43</v>
      </c>
      <c r="M144">
        <v>1</v>
      </c>
      <c r="N144">
        <v>5.59</v>
      </c>
      <c r="O144" t="str">
        <f t="shared" si="5"/>
        <v>1+ hours</v>
      </c>
      <c r="P144" t="s">
        <v>30</v>
      </c>
    </row>
    <row r="145" spans="1:16" x14ac:dyDescent="0.4">
      <c r="A145" t="s">
        <v>186</v>
      </c>
      <c r="B145">
        <v>67</v>
      </c>
      <c r="C145" t="s">
        <v>15</v>
      </c>
      <c r="D145" t="s">
        <v>22</v>
      </c>
      <c r="E145">
        <v>3.29</v>
      </c>
      <c r="F145">
        <v>25</v>
      </c>
      <c r="G145" t="s">
        <v>70</v>
      </c>
      <c r="H145" t="s">
        <v>57</v>
      </c>
      <c r="I145" s="2">
        <v>13.99</v>
      </c>
      <c r="J145">
        <v>1</v>
      </c>
      <c r="K145" s="2">
        <f t="shared" si="4"/>
        <v>13.99</v>
      </c>
      <c r="L145" t="s">
        <v>29</v>
      </c>
      <c r="M145">
        <v>1</v>
      </c>
      <c r="N145">
        <v>0.13</v>
      </c>
      <c r="O145" t="str">
        <f t="shared" si="5"/>
        <v>0–0.2 hours</v>
      </c>
      <c r="P145" t="s">
        <v>52</v>
      </c>
    </row>
    <row r="146" spans="1:16" x14ac:dyDescent="0.4">
      <c r="A146" t="s">
        <v>187</v>
      </c>
      <c r="B146">
        <v>59</v>
      </c>
      <c r="C146" t="s">
        <v>27</v>
      </c>
      <c r="D146" t="s">
        <v>16</v>
      </c>
      <c r="E146">
        <v>20.11</v>
      </c>
      <c r="F146">
        <v>40</v>
      </c>
      <c r="G146" t="s">
        <v>49</v>
      </c>
      <c r="H146" t="s">
        <v>55</v>
      </c>
      <c r="I146" s="2">
        <v>8.99</v>
      </c>
      <c r="J146">
        <v>1</v>
      </c>
      <c r="K146" s="2">
        <f t="shared" si="4"/>
        <v>8.99</v>
      </c>
      <c r="L146" t="s">
        <v>43</v>
      </c>
      <c r="M146">
        <v>2</v>
      </c>
      <c r="N146">
        <v>0.49</v>
      </c>
      <c r="O146" t="str">
        <f t="shared" si="5"/>
        <v>0.4–0.6 hours</v>
      </c>
      <c r="P146" t="s">
        <v>25</v>
      </c>
    </row>
    <row r="147" spans="1:16" x14ac:dyDescent="0.4">
      <c r="A147" t="s">
        <v>188</v>
      </c>
      <c r="B147">
        <v>60</v>
      </c>
      <c r="C147" t="s">
        <v>27</v>
      </c>
      <c r="D147" t="s">
        <v>22</v>
      </c>
      <c r="E147">
        <v>19.36</v>
      </c>
      <c r="F147">
        <v>45</v>
      </c>
      <c r="G147" t="s">
        <v>49</v>
      </c>
      <c r="H147" t="s">
        <v>55</v>
      </c>
      <c r="I147" s="2">
        <v>13.99</v>
      </c>
      <c r="J147">
        <v>1</v>
      </c>
      <c r="K147" s="2">
        <f t="shared" si="4"/>
        <v>13.99</v>
      </c>
      <c r="L147" t="s">
        <v>37</v>
      </c>
      <c r="M147">
        <v>2</v>
      </c>
      <c r="N147">
        <v>0.42</v>
      </c>
      <c r="O147" t="str">
        <f t="shared" si="5"/>
        <v>0.4–0.6 hours</v>
      </c>
      <c r="P147" t="s">
        <v>30</v>
      </c>
    </row>
    <row r="148" spans="1:16" x14ac:dyDescent="0.4">
      <c r="A148" t="s">
        <v>189</v>
      </c>
      <c r="B148">
        <v>33</v>
      </c>
      <c r="C148" t="s">
        <v>41</v>
      </c>
      <c r="D148" t="s">
        <v>16</v>
      </c>
      <c r="E148">
        <v>2.27</v>
      </c>
      <c r="F148">
        <v>20</v>
      </c>
      <c r="G148" t="s">
        <v>49</v>
      </c>
      <c r="H148" t="s">
        <v>55</v>
      </c>
      <c r="I148" s="2">
        <v>8.99</v>
      </c>
      <c r="J148">
        <v>1</v>
      </c>
      <c r="K148" s="2">
        <f t="shared" si="4"/>
        <v>8.99</v>
      </c>
      <c r="L148" t="s">
        <v>37</v>
      </c>
      <c r="M148">
        <v>3</v>
      </c>
      <c r="N148">
        <v>0.11</v>
      </c>
      <c r="O148" t="str">
        <f t="shared" si="5"/>
        <v>0–0.2 hours</v>
      </c>
      <c r="P148" t="s">
        <v>39</v>
      </c>
    </row>
    <row r="149" spans="1:16" x14ac:dyDescent="0.4">
      <c r="A149" t="s">
        <v>190</v>
      </c>
      <c r="B149">
        <v>24</v>
      </c>
      <c r="C149" t="s">
        <v>27</v>
      </c>
      <c r="D149" t="s">
        <v>16</v>
      </c>
      <c r="E149">
        <v>2.42</v>
      </c>
      <c r="F149">
        <v>56</v>
      </c>
      <c r="G149" t="s">
        <v>23</v>
      </c>
      <c r="H149" t="s">
        <v>57</v>
      </c>
      <c r="I149" s="2">
        <v>8.99</v>
      </c>
      <c r="J149">
        <v>1</v>
      </c>
      <c r="K149" s="2">
        <f t="shared" si="4"/>
        <v>8.99</v>
      </c>
      <c r="L149" t="s">
        <v>29</v>
      </c>
      <c r="M149">
        <v>3</v>
      </c>
      <c r="N149">
        <v>0.04</v>
      </c>
      <c r="O149" t="str">
        <f t="shared" si="5"/>
        <v>0–0.2 hours</v>
      </c>
      <c r="P149" t="s">
        <v>47</v>
      </c>
    </row>
    <row r="150" spans="1:16" x14ac:dyDescent="0.4">
      <c r="A150" t="s">
        <v>191</v>
      </c>
      <c r="B150">
        <v>23</v>
      </c>
      <c r="C150" t="s">
        <v>15</v>
      </c>
      <c r="D150" t="s">
        <v>16</v>
      </c>
      <c r="E150">
        <v>10.85</v>
      </c>
      <c r="F150">
        <v>13</v>
      </c>
      <c r="G150" t="s">
        <v>70</v>
      </c>
      <c r="H150" t="s">
        <v>24</v>
      </c>
      <c r="I150" s="2">
        <v>8.99</v>
      </c>
      <c r="J150">
        <v>0</v>
      </c>
      <c r="K150" s="2">
        <f t="shared" si="4"/>
        <v>0</v>
      </c>
      <c r="L150" t="s">
        <v>43</v>
      </c>
      <c r="M150">
        <v>3</v>
      </c>
      <c r="N150">
        <v>0.78</v>
      </c>
      <c r="O150" t="str">
        <f t="shared" si="5"/>
        <v>0.6–0.8 hours</v>
      </c>
      <c r="P150" t="s">
        <v>39</v>
      </c>
    </row>
    <row r="151" spans="1:16" x14ac:dyDescent="0.4">
      <c r="A151" t="s">
        <v>192</v>
      </c>
      <c r="B151">
        <v>34</v>
      </c>
      <c r="C151" t="s">
        <v>41</v>
      </c>
      <c r="D151" t="s">
        <v>32</v>
      </c>
      <c r="E151">
        <v>9.59</v>
      </c>
      <c r="F151">
        <v>28</v>
      </c>
      <c r="G151" t="s">
        <v>23</v>
      </c>
      <c r="H151" t="s">
        <v>24</v>
      </c>
      <c r="I151" s="2">
        <v>17.989999999999998</v>
      </c>
      <c r="J151">
        <v>0</v>
      </c>
      <c r="K151" s="2">
        <f t="shared" si="4"/>
        <v>0</v>
      </c>
      <c r="L151" t="s">
        <v>43</v>
      </c>
      <c r="M151">
        <v>4</v>
      </c>
      <c r="N151">
        <v>0.33</v>
      </c>
      <c r="O151" t="str">
        <f t="shared" si="5"/>
        <v>0.2–0.4 hours</v>
      </c>
      <c r="P151" t="s">
        <v>20</v>
      </c>
    </row>
    <row r="152" spans="1:16" x14ac:dyDescent="0.4">
      <c r="A152" t="s">
        <v>193</v>
      </c>
      <c r="B152">
        <v>30</v>
      </c>
      <c r="C152" t="s">
        <v>41</v>
      </c>
      <c r="D152" t="s">
        <v>32</v>
      </c>
      <c r="E152">
        <v>7.24</v>
      </c>
      <c r="F152">
        <v>40</v>
      </c>
      <c r="G152" t="s">
        <v>28</v>
      </c>
      <c r="H152" t="s">
        <v>18</v>
      </c>
      <c r="I152" s="2">
        <v>17.989999999999998</v>
      </c>
      <c r="J152">
        <v>0</v>
      </c>
      <c r="K152" s="2">
        <f t="shared" si="4"/>
        <v>0</v>
      </c>
      <c r="L152" t="s">
        <v>37</v>
      </c>
      <c r="M152">
        <v>5</v>
      </c>
      <c r="N152">
        <v>0.18</v>
      </c>
      <c r="O152" t="str">
        <f t="shared" si="5"/>
        <v>0–0.2 hours</v>
      </c>
      <c r="P152" t="s">
        <v>52</v>
      </c>
    </row>
    <row r="153" spans="1:16" x14ac:dyDescent="0.4">
      <c r="A153" t="s">
        <v>194</v>
      </c>
      <c r="B153">
        <v>69</v>
      </c>
      <c r="C153" t="s">
        <v>41</v>
      </c>
      <c r="D153" t="s">
        <v>22</v>
      </c>
      <c r="E153">
        <v>7.85</v>
      </c>
      <c r="F153">
        <v>43</v>
      </c>
      <c r="G153" t="s">
        <v>23</v>
      </c>
      <c r="H153" t="s">
        <v>18</v>
      </c>
      <c r="I153" s="2">
        <v>13.99</v>
      </c>
      <c r="J153">
        <v>1</v>
      </c>
      <c r="K153" s="2">
        <f t="shared" si="4"/>
        <v>13.99</v>
      </c>
      <c r="L153" t="s">
        <v>19</v>
      </c>
      <c r="M153">
        <v>5</v>
      </c>
      <c r="N153">
        <v>0.18</v>
      </c>
      <c r="O153" t="str">
        <f t="shared" si="5"/>
        <v>0–0.2 hours</v>
      </c>
      <c r="P153" t="s">
        <v>20</v>
      </c>
    </row>
    <row r="154" spans="1:16" x14ac:dyDescent="0.4">
      <c r="A154" t="s">
        <v>195</v>
      </c>
      <c r="B154">
        <v>70</v>
      </c>
      <c r="C154" t="s">
        <v>27</v>
      </c>
      <c r="D154" t="s">
        <v>16</v>
      </c>
      <c r="E154">
        <v>6.8</v>
      </c>
      <c r="F154">
        <v>6</v>
      </c>
      <c r="G154" t="s">
        <v>70</v>
      </c>
      <c r="H154" t="s">
        <v>24</v>
      </c>
      <c r="I154" s="2">
        <v>8.99</v>
      </c>
      <c r="J154">
        <v>0</v>
      </c>
      <c r="K154" s="2">
        <f t="shared" si="4"/>
        <v>0</v>
      </c>
      <c r="L154" t="s">
        <v>37</v>
      </c>
      <c r="M154">
        <v>4</v>
      </c>
      <c r="N154">
        <v>0.97</v>
      </c>
      <c r="O154" t="str">
        <f t="shared" si="5"/>
        <v>0.8–1 hour</v>
      </c>
      <c r="P154" t="s">
        <v>20</v>
      </c>
    </row>
    <row r="155" spans="1:16" x14ac:dyDescent="0.4">
      <c r="A155" t="s">
        <v>196</v>
      </c>
      <c r="B155">
        <v>42</v>
      </c>
      <c r="C155" t="s">
        <v>41</v>
      </c>
      <c r="D155" t="s">
        <v>32</v>
      </c>
      <c r="E155">
        <v>0.88</v>
      </c>
      <c r="F155">
        <v>33</v>
      </c>
      <c r="G155" t="s">
        <v>33</v>
      </c>
      <c r="H155" t="s">
        <v>46</v>
      </c>
      <c r="I155" s="2">
        <v>17.989999999999998</v>
      </c>
      <c r="J155">
        <v>1</v>
      </c>
      <c r="K155" s="2">
        <f t="shared" si="4"/>
        <v>17.989999999999998</v>
      </c>
      <c r="L155" t="s">
        <v>61</v>
      </c>
      <c r="M155">
        <v>1</v>
      </c>
      <c r="N155">
        <v>0.03</v>
      </c>
      <c r="O155" t="str">
        <f t="shared" si="5"/>
        <v>0–0.2 hours</v>
      </c>
      <c r="P155" t="s">
        <v>47</v>
      </c>
    </row>
    <row r="156" spans="1:16" x14ac:dyDescent="0.4">
      <c r="A156" t="s">
        <v>197</v>
      </c>
      <c r="B156">
        <v>34</v>
      </c>
      <c r="C156" t="s">
        <v>41</v>
      </c>
      <c r="D156" t="s">
        <v>32</v>
      </c>
      <c r="E156">
        <v>12.48</v>
      </c>
      <c r="F156">
        <v>53</v>
      </c>
      <c r="G156" t="s">
        <v>28</v>
      </c>
      <c r="H156" t="s">
        <v>57</v>
      </c>
      <c r="I156" s="2">
        <v>17.989999999999998</v>
      </c>
      <c r="J156">
        <v>1</v>
      </c>
      <c r="K156" s="2">
        <f t="shared" si="4"/>
        <v>17.989999999999998</v>
      </c>
      <c r="L156" t="s">
        <v>19</v>
      </c>
      <c r="M156">
        <v>2</v>
      </c>
      <c r="N156">
        <v>0.23</v>
      </c>
      <c r="O156" t="str">
        <f t="shared" si="5"/>
        <v>0.2–0.4 hours</v>
      </c>
      <c r="P156" t="s">
        <v>47</v>
      </c>
    </row>
    <row r="157" spans="1:16" x14ac:dyDescent="0.4">
      <c r="A157" t="s">
        <v>198</v>
      </c>
      <c r="B157">
        <v>51</v>
      </c>
      <c r="C157" t="s">
        <v>27</v>
      </c>
      <c r="D157" t="s">
        <v>32</v>
      </c>
      <c r="E157">
        <v>2.04</v>
      </c>
      <c r="F157">
        <v>6</v>
      </c>
      <c r="G157" t="s">
        <v>49</v>
      </c>
      <c r="H157" t="s">
        <v>18</v>
      </c>
      <c r="I157" s="2">
        <v>17.989999999999998</v>
      </c>
      <c r="J157">
        <v>0</v>
      </c>
      <c r="K157" s="2">
        <f t="shared" si="4"/>
        <v>0</v>
      </c>
      <c r="L157" t="s">
        <v>37</v>
      </c>
      <c r="M157">
        <v>2</v>
      </c>
      <c r="N157">
        <v>0.28999999999999998</v>
      </c>
      <c r="O157" t="str">
        <f t="shared" si="5"/>
        <v>0.2–0.4 hours</v>
      </c>
      <c r="P157" t="s">
        <v>30</v>
      </c>
    </row>
    <row r="158" spans="1:16" x14ac:dyDescent="0.4">
      <c r="A158" t="s">
        <v>199</v>
      </c>
      <c r="B158">
        <v>27</v>
      </c>
      <c r="C158" t="s">
        <v>15</v>
      </c>
      <c r="D158" t="s">
        <v>32</v>
      </c>
      <c r="E158">
        <v>4.57</v>
      </c>
      <c r="F158">
        <v>24</v>
      </c>
      <c r="G158" t="s">
        <v>17</v>
      </c>
      <c r="H158" t="s">
        <v>46</v>
      </c>
      <c r="I158" s="2">
        <v>17.989999999999998</v>
      </c>
      <c r="J158">
        <v>1</v>
      </c>
      <c r="K158" s="2">
        <f t="shared" si="4"/>
        <v>17.989999999999998</v>
      </c>
      <c r="L158" t="s">
        <v>19</v>
      </c>
      <c r="M158">
        <v>4</v>
      </c>
      <c r="N158">
        <v>0.18</v>
      </c>
      <c r="O158" t="str">
        <f t="shared" si="5"/>
        <v>0–0.2 hours</v>
      </c>
      <c r="P158" t="s">
        <v>52</v>
      </c>
    </row>
    <row r="159" spans="1:16" x14ac:dyDescent="0.4">
      <c r="A159" t="s">
        <v>200</v>
      </c>
      <c r="B159">
        <v>19</v>
      </c>
      <c r="C159" t="s">
        <v>41</v>
      </c>
      <c r="D159" t="s">
        <v>22</v>
      </c>
      <c r="E159">
        <v>19.23</v>
      </c>
      <c r="F159">
        <v>20</v>
      </c>
      <c r="G159" t="s">
        <v>33</v>
      </c>
      <c r="H159" t="s">
        <v>46</v>
      </c>
      <c r="I159" s="2">
        <v>13.99</v>
      </c>
      <c r="J159">
        <v>0</v>
      </c>
      <c r="K159" s="2">
        <f t="shared" si="4"/>
        <v>0</v>
      </c>
      <c r="L159" t="s">
        <v>37</v>
      </c>
      <c r="M159">
        <v>3</v>
      </c>
      <c r="N159">
        <v>0.92</v>
      </c>
      <c r="O159" t="str">
        <f t="shared" si="5"/>
        <v>0.8–1 hour</v>
      </c>
      <c r="P159" t="s">
        <v>39</v>
      </c>
    </row>
    <row r="160" spans="1:16" x14ac:dyDescent="0.4">
      <c r="A160" t="s">
        <v>201</v>
      </c>
      <c r="B160">
        <v>18</v>
      </c>
      <c r="C160" t="s">
        <v>15</v>
      </c>
      <c r="D160" t="s">
        <v>22</v>
      </c>
      <c r="E160">
        <v>16.809999999999999</v>
      </c>
      <c r="F160">
        <v>56</v>
      </c>
      <c r="G160" t="s">
        <v>33</v>
      </c>
      <c r="H160" t="s">
        <v>57</v>
      </c>
      <c r="I160" s="2">
        <v>13.99</v>
      </c>
      <c r="J160">
        <v>1</v>
      </c>
      <c r="K160" s="2">
        <f t="shared" si="4"/>
        <v>13.99</v>
      </c>
      <c r="L160" t="s">
        <v>61</v>
      </c>
      <c r="M160">
        <v>2</v>
      </c>
      <c r="N160">
        <v>0.28999999999999998</v>
      </c>
      <c r="O160" t="str">
        <f t="shared" si="5"/>
        <v>0.2–0.4 hours</v>
      </c>
      <c r="P160" t="s">
        <v>30</v>
      </c>
    </row>
    <row r="161" spans="1:16" x14ac:dyDescent="0.4">
      <c r="A161" t="s">
        <v>202</v>
      </c>
      <c r="B161">
        <v>23</v>
      </c>
      <c r="C161" t="s">
        <v>15</v>
      </c>
      <c r="D161" t="s">
        <v>32</v>
      </c>
      <c r="E161">
        <v>8.17</v>
      </c>
      <c r="F161">
        <v>38</v>
      </c>
      <c r="G161" t="s">
        <v>23</v>
      </c>
      <c r="H161" t="s">
        <v>55</v>
      </c>
      <c r="I161" s="2">
        <v>17.989999999999998</v>
      </c>
      <c r="J161">
        <v>1</v>
      </c>
      <c r="K161" s="2">
        <f t="shared" si="4"/>
        <v>17.989999999999998</v>
      </c>
      <c r="L161" t="s">
        <v>43</v>
      </c>
      <c r="M161">
        <v>3</v>
      </c>
      <c r="N161">
        <v>0.21</v>
      </c>
      <c r="O161" t="str">
        <f t="shared" si="5"/>
        <v>0.2–0.4 hours</v>
      </c>
      <c r="P161" t="s">
        <v>52</v>
      </c>
    </row>
    <row r="162" spans="1:16" x14ac:dyDescent="0.4">
      <c r="A162" t="s">
        <v>203</v>
      </c>
      <c r="B162">
        <v>23</v>
      </c>
      <c r="C162" t="s">
        <v>41</v>
      </c>
      <c r="D162" t="s">
        <v>16</v>
      </c>
      <c r="E162">
        <v>7.09</v>
      </c>
      <c r="F162">
        <v>32</v>
      </c>
      <c r="G162" t="s">
        <v>23</v>
      </c>
      <c r="H162" t="s">
        <v>18</v>
      </c>
      <c r="I162" s="2">
        <v>8.99</v>
      </c>
      <c r="J162">
        <v>1</v>
      </c>
      <c r="K162" s="2">
        <f t="shared" si="4"/>
        <v>8.99</v>
      </c>
      <c r="L162" t="s">
        <v>61</v>
      </c>
      <c r="M162">
        <v>2</v>
      </c>
      <c r="N162">
        <v>0.21</v>
      </c>
      <c r="O162" t="str">
        <f t="shared" si="5"/>
        <v>0.2–0.4 hours</v>
      </c>
      <c r="P162" t="s">
        <v>39</v>
      </c>
    </row>
    <row r="163" spans="1:16" x14ac:dyDescent="0.4">
      <c r="A163" t="s">
        <v>204</v>
      </c>
      <c r="B163">
        <v>50</v>
      </c>
      <c r="C163" t="s">
        <v>27</v>
      </c>
      <c r="D163" t="s">
        <v>32</v>
      </c>
      <c r="E163">
        <v>7.92</v>
      </c>
      <c r="F163">
        <v>58</v>
      </c>
      <c r="G163" t="s">
        <v>28</v>
      </c>
      <c r="H163" t="s">
        <v>55</v>
      </c>
      <c r="I163" s="2">
        <v>17.989999999999998</v>
      </c>
      <c r="J163">
        <v>1</v>
      </c>
      <c r="K163" s="2">
        <f t="shared" si="4"/>
        <v>17.989999999999998</v>
      </c>
      <c r="L163" t="s">
        <v>19</v>
      </c>
      <c r="M163">
        <v>4</v>
      </c>
      <c r="N163">
        <v>0.13</v>
      </c>
      <c r="O163" t="str">
        <f t="shared" si="5"/>
        <v>0–0.2 hours</v>
      </c>
      <c r="P163" t="s">
        <v>30</v>
      </c>
    </row>
    <row r="164" spans="1:16" x14ac:dyDescent="0.4">
      <c r="A164" t="s">
        <v>205</v>
      </c>
      <c r="B164">
        <v>54</v>
      </c>
      <c r="C164" t="s">
        <v>15</v>
      </c>
      <c r="D164" t="s">
        <v>22</v>
      </c>
      <c r="E164">
        <v>10.1</v>
      </c>
      <c r="F164">
        <v>40</v>
      </c>
      <c r="G164" t="s">
        <v>33</v>
      </c>
      <c r="H164" t="s">
        <v>18</v>
      </c>
      <c r="I164" s="2">
        <v>13.99</v>
      </c>
      <c r="J164">
        <v>0</v>
      </c>
      <c r="K164" s="2">
        <f t="shared" si="4"/>
        <v>0</v>
      </c>
      <c r="L164" t="s">
        <v>43</v>
      </c>
      <c r="M164">
        <v>5</v>
      </c>
      <c r="N164">
        <v>0.25</v>
      </c>
      <c r="O164" t="str">
        <f t="shared" si="5"/>
        <v>0.2–0.4 hours</v>
      </c>
      <c r="P164" t="s">
        <v>34</v>
      </c>
    </row>
    <row r="165" spans="1:16" x14ac:dyDescent="0.4">
      <c r="A165" t="s">
        <v>206</v>
      </c>
      <c r="B165">
        <v>68</v>
      </c>
      <c r="C165" t="s">
        <v>27</v>
      </c>
      <c r="D165" t="s">
        <v>16</v>
      </c>
      <c r="E165">
        <v>9.07</v>
      </c>
      <c r="F165">
        <v>32</v>
      </c>
      <c r="G165" t="s">
        <v>17</v>
      </c>
      <c r="H165" t="s">
        <v>18</v>
      </c>
      <c r="I165" s="2">
        <v>8.99</v>
      </c>
      <c r="J165">
        <v>1</v>
      </c>
      <c r="K165" s="2">
        <f t="shared" si="4"/>
        <v>8.99</v>
      </c>
      <c r="L165" t="s">
        <v>29</v>
      </c>
      <c r="M165">
        <v>3</v>
      </c>
      <c r="N165">
        <v>0.27</v>
      </c>
      <c r="O165" t="str">
        <f t="shared" si="5"/>
        <v>0.2–0.4 hours</v>
      </c>
      <c r="P165" t="s">
        <v>39</v>
      </c>
    </row>
    <row r="166" spans="1:16" x14ac:dyDescent="0.4">
      <c r="A166" t="s">
        <v>207</v>
      </c>
      <c r="B166">
        <v>70</v>
      </c>
      <c r="C166" t="s">
        <v>15</v>
      </c>
      <c r="D166" t="s">
        <v>16</v>
      </c>
      <c r="E166">
        <v>2.2400000000000002</v>
      </c>
      <c r="F166">
        <v>50</v>
      </c>
      <c r="G166" t="s">
        <v>23</v>
      </c>
      <c r="H166" t="s">
        <v>46</v>
      </c>
      <c r="I166" s="2">
        <v>8.99</v>
      </c>
      <c r="J166">
        <v>1</v>
      </c>
      <c r="K166" s="2">
        <f t="shared" si="4"/>
        <v>8.99</v>
      </c>
      <c r="L166" t="s">
        <v>43</v>
      </c>
      <c r="M166">
        <v>5</v>
      </c>
      <c r="N166">
        <v>0.04</v>
      </c>
      <c r="O166" t="str">
        <f t="shared" si="5"/>
        <v>0–0.2 hours</v>
      </c>
      <c r="P166" t="s">
        <v>52</v>
      </c>
    </row>
    <row r="167" spans="1:16" x14ac:dyDescent="0.4">
      <c r="A167" t="s">
        <v>208</v>
      </c>
      <c r="B167">
        <v>28</v>
      </c>
      <c r="C167" t="s">
        <v>41</v>
      </c>
      <c r="D167" t="s">
        <v>16</v>
      </c>
      <c r="E167">
        <v>11.25</v>
      </c>
      <c r="F167">
        <v>52</v>
      </c>
      <c r="G167" t="s">
        <v>23</v>
      </c>
      <c r="H167" t="s">
        <v>46</v>
      </c>
      <c r="I167" s="2">
        <v>8.99</v>
      </c>
      <c r="J167">
        <v>1</v>
      </c>
      <c r="K167" s="2">
        <f t="shared" si="4"/>
        <v>8.99</v>
      </c>
      <c r="L167" t="s">
        <v>43</v>
      </c>
      <c r="M167">
        <v>5</v>
      </c>
      <c r="N167">
        <v>0.21</v>
      </c>
      <c r="O167" t="str">
        <f t="shared" si="5"/>
        <v>0.2–0.4 hours</v>
      </c>
      <c r="P167" t="s">
        <v>20</v>
      </c>
    </row>
    <row r="168" spans="1:16" x14ac:dyDescent="0.4">
      <c r="A168" t="s">
        <v>209</v>
      </c>
      <c r="B168">
        <v>37</v>
      </c>
      <c r="C168" t="s">
        <v>41</v>
      </c>
      <c r="D168" t="s">
        <v>22</v>
      </c>
      <c r="E168">
        <v>31.31</v>
      </c>
      <c r="F168">
        <v>53</v>
      </c>
      <c r="G168" t="s">
        <v>49</v>
      </c>
      <c r="H168" t="s">
        <v>24</v>
      </c>
      <c r="I168" s="2">
        <v>13.99</v>
      </c>
      <c r="J168">
        <v>0</v>
      </c>
      <c r="K168" s="2">
        <f t="shared" si="4"/>
        <v>0</v>
      </c>
      <c r="L168" t="s">
        <v>19</v>
      </c>
      <c r="M168">
        <v>1</v>
      </c>
      <c r="N168">
        <v>0.57999999999999996</v>
      </c>
      <c r="O168" t="str">
        <f t="shared" si="5"/>
        <v>0.4–0.6 hours</v>
      </c>
      <c r="P168" t="s">
        <v>25</v>
      </c>
    </row>
    <row r="169" spans="1:16" x14ac:dyDescent="0.4">
      <c r="A169" t="s">
        <v>210</v>
      </c>
      <c r="B169">
        <v>51</v>
      </c>
      <c r="C169" t="s">
        <v>27</v>
      </c>
      <c r="D169" t="s">
        <v>32</v>
      </c>
      <c r="E169">
        <v>8.32</v>
      </c>
      <c r="F169">
        <v>48</v>
      </c>
      <c r="G169" t="s">
        <v>23</v>
      </c>
      <c r="H169" t="s">
        <v>18</v>
      </c>
      <c r="I169" s="2">
        <v>17.989999999999998</v>
      </c>
      <c r="J169">
        <v>1</v>
      </c>
      <c r="K169" s="2">
        <f t="shared" si="4"/>
        <v>17.989999999999998</v>
      </c>
      <c r="L169" t="s">
        <v>61</v>
      </c>
      <c r="M169">
        <v>2</v>
      </c>
      <c r="N169">
        <v>0.17</v>
      </c>
      <c r="O169" t="str">
        <f t="shared" si="5"/>
        <v>0–0.2 hours</v>
      </c>
      <c r="P169" t="s">
        <v>34</v>
      </c>
    </row>
    <row r="170" spans="1:16" x14ac:dyDescent="0.4">
      <c r="A170" t="s">
        <v>211</v>
      </c>
      <c r="B170">
        <v>18</v>
      </c>
      <c r="C170" t="s">
        <v>27</v>
      </c>
      <c r="D170" t="s">
        <v>32</v>
      </c>
      <c r="E170">
        <v>6.8</v>
      </c>
      <c r="F170">
        <v>20</v>
      </c>
      <c r="G170" t="s">
        <v>49</v>
      </c>
      <c r="H170" t="s">
        <v>46</v>
      </c>
      <c r="I170" s="2">
        <v>17.989999999999998</v>
      </c>
      <c r="J170">
        <v>0</v>
      </c>
      <c r="K170" s="2">
        <f t="shared" si="4"/>
        <v>0</v>
      </c>
      <c r="L170" t="s">
        <v>61</v>
      </c>
      <c r="M170">
        <v>4</v>
      </c>
      <c r="N170">
        <v>0.32</v>
      </c>
      <c r="O170" t="str">
        <f t="shared" si="5"/>
        <v>0.2–0.4 hours</v>
      </c>
      <c r="P170" t="s">
        <v>30</v>
      </c>
    </row>
    <row r="171" spans="1:16" x14ac:dyDescent="0.4">
      <c r="A171" t="s">
        <v>212</v>
      </c>
      <c r="B171">
        <v>25</v>
      </c>
      <c r="C171" t="s">
        <v>27</v>
      </c>
      <c r="D171" t="s">
        <v>16</v>
      </c>
      <c r="E171">
        <v>18.399999999999999</v>
      </c>
      <c r="F171">
        <v>55</v>
      </c>
      <c r="G171" t="s">
        <v>28</v>
      </c>
      <c r="H171" t="s">
        <v>18</v>
      </c>
      <c r="I171" s="2">
        <v>8.99</v>
      </c>
      <c r="J171">
        <v>1</v>
      </c>
      <c r="K171" s="2">
        <f t="shared" si="4"/>
        <v>8.99</v>
      </c>
      <c r="L171" t="s">
        <v>37</v>
      </c>
      <c r="M171">
        <v>4</v>
      </c>
      <c r="N171">
        <v>0.33</v>
      </c>
      <c r="O171" t="str">
        <f t="shared" si="5"/>
        <v>0.2–0.4 hours</v>
      </c>
      <c r="P171" t="s">
        <v>30</v>
      </c>
    </row>
    <row r="172" spans="1:16" x14ac:dyDescent="0.4">
      <c r="A172" t="s">
        <v>213</v>
      </c>
      <c r="B172">
        <v>33</v>
      </c>
      <c r="C172" t="s">
        <v>15</v>
      </c>
      <c r="D172" t="s">
        <v>16</v>
      </c>
      <c r="E172">
        <v>44.72</v>
      </c>
      <c r="F172">
        <v>7</v>
      </c>
      <c r="G172" t="s">
        <v>33</v>
      </c>
      <c r="H172" t="s">
        <v>57</v>
      </c>
      <c r="I172" s="2">
        <v>8.99</v>
      </c>
      <c r="J172">
        <v>0</v>
      </c>
      <c r="K172" s="2">
        <f t="shared" si="4"/>
        <v>0</v>
      </c>
      <c r="L172" t="s">
        <v>43</v>
      </c>
      <c r="M172">
        <v>4</v>
      </c>
      <c r="N172">
        <v>5.59</v>
      </c>
      <c r="O172" t="str">
        <f t="shared" si="5"/>
        <v>1+ hours</v>
      </c>
      <c r="P172" t="s">
        <v>34</v>
      </c>
    </row>
    <row r="173" spans="1:16" x14ac:dyDescent="0.4">
      <c r="A173" t="s">
        <v>214</v>
      </c>
      <c r="B173">
        <v>30</v>
      </c>
      <c r="C173" t="s">
        <v>27</v>
      </c>
      <c r="D173" t="s">
        <v>32</v>
      </c>
      <c r="E173">
        <v>3.61</v>
      </c>
      <c r="F173">
        <v>43</v>
      </c>
      <c r="G173" t="s">
        <v>17</v>
      </c>
      <c r="H173" t="s">
        <v>57</v>
      </c>
      <c r="I173" s="2">
        <v>17.989999999999998</v>
      </c>
      <c r="J173">
        <v>1</v>
      </c>
      <c r="K173" s="2">
        <f t="shared" si="4"/>
        <v>17.989999999999998</v>
      </c>
      <c r="L173" t="s">
        <v>43</v>
      </c>
      <c r="M173">
        <v>4</v>
      </c>
      <c r="N173">
        <v>0.08</v>
      </c>
      <c r="O173" t="str">
        <f t="shared" si="5"/>
        <v>0–0.2 hours</v>
      </c>
      <c r="P173" t="s">
        <v>47</v>
      </c>
    </row>
    <row r="174" spans="1:16" x14ac:dyDescent="0.4">
      <c r="A174" t="s">
        <v>215</v>
      </c>
      <c r="B174">
        <v>22</v>
      </c>
      <c r="C174" t="s">
        <v>41</v>
      </c>
      <c r="D174" t="s">
        <v>32</v>
      </c>
      <c r="E174">
        <v>10.68</v>
      </c>
      <c r="F174">
        <v>60</v>
      </c>
      <c r="G174" t="s">
        <v>17</v>
      </c>
      <c r="H174" t="s">
        <v>57</v>
      </c>
      <c r="I174" s="2">
        <v>17.989999999999998</v>
      </c>
      <c r="J174">
        <v>0</v>
      </c>
      <c r="K174" s="2">
        <f t="shared" si="4"/>
        <v>0</v>
      </c>
      <c r="L174" t="s">
        <v>37</v>
      </c>
      <c r="M174">
        <v>5</v>
      </c>
      <c r="N174">
        <v>0.18</v>
      </c>
      <c r="O174" t="str">
        <f t="shared" si="5"/>
        <v>0–0.2 hours</v>
      </c>
      <c r="P174" t="s">
        <v>20</v>
      </c>
    </row>
    <row r="175" spans="1:16" x14ac:dyDescent="0.4">
      <c r="A175" t="s">
        <v>216</v>
      </c>
      <c r="B175">
        <v>40</v>
      </c>
      <c r="C175" t="s">
        <v>15</v>
      </c>
      <c r="D175" t="s">
        <v>16</v>
      </c>
      <c r="E175">
        <v>8.1300000000000008</v>
      </c>
      <c r="F175">
        <v>4</v>
      </c>
      <c r="G175" t="s">
        <v>33</v>
      </c>
      <c r="H175" t="s">
        <v>57</v>
      </c>
      <c r="I175" s="2">
        <v>8.99</v>
      </c>
      <c r="J175">
        <v>0</v>
      </c>
      <c r="K175" s="2">
        <f t="shared" si="4"/>
        <v>0</v>
      </c>
      <c r="L175" t="s">
        <v>19</v>
      </c>
      <c r="M175">
        <v>4</v>
      </c>
      <c r="N175">
        <v>1.63</v>
      </c>
      <c r="O175" t="str">
        <f t="shared" si="5"/>
        <v>1+ hours</v>
      </c>
      <c r="P175" t="s">
        <v>39</v>
      </c>
    </row>
    <row r="176" spans="1:16" x14ac:dyDescent="0.4">
      <c r="A176" s="1" t="s">
        <v>217</v>
      </c>
      <c r="B176">
        <v>44</v>
      </c>
      <c r="C176" t="s">
        <v>41</v>
      </c>
      <c r="D176" t="s">
        <v>32</v>
      </c>
      <c r="E176">
        <v>38.18</v>
      </c>
      <c r="F176">
        <v>49</v>
      </c>
      <c r="G176" t="s">
        <v>33</v>
      </c>
      <c r="H176" t="s">
        <v>18</v>
      </c>
      <c r="I176" s="2">
        <v>17.989999999999998</v>
      </c>
      <c r="J176">
        <v>0</v>
      </c>
      <c r="K176" s="2">
        <f t="shared" si="4"/>
        <v>0</v>
      </c>
      <c r="L176" t="s">
        <v>19</v>
      </c>
      <c r="M176">
        <v>3</v>
      </c>
      <c r="N176">
        <v>0.76</v>
      </c>
      <c r="O176" t="str">
        <f t="shared" si="5"/>
        <v>0.6–0.8 hours</v>
      </c>
      <c r="P176" t="s">
        <v>52</v>
      </c>
    </row>
    <row r="177" spans="1:16" x14ac:dyDescent="0.4">
      <c r="A177" t="s">
        <v>218</v>
      </c>
      <c r="B177">
        <v>68</v>
      </c>
      <c r="C177" t="s">
        <v>41</v>
      </c>
      <c r="D177" t="s">
        <v>16</v>
      </c>
      <c r="E177">
        <v>1.83</v>
      </c>
      <c r="F177">
        <v>0</v>
      </c>
      <c r="G177" t="s">
        <v>17</v>
      </c>
      <c r="H177" t="s">
        <v>24</v>
      </c>
      <c r="I177" s="2">
        <v>8.99</v>
      </c>
      <c r="J177">
        <v>0</v>
      </c>
      <c r="K177" s="2">
        <f t="shared" si="4"/>
        <v>0</v>
      </c>
      <c r="L177" t="s">
        <v>37</v>
      </c>
      <c r="M177">
        <v>5</v>
      </c>
      <c r="N177">
        <v>1.83</v>
      </c>
      <c r="O177" t="str">
        <f t="shared" si="5"/>
        <v>1+ hours</v>
      </c>
      <c r="P177" t="s">
        <v>34</v>
      </c>
    </row>
    <row r="178" spans="1:16" x14ac:dyDescent="0.4">
      <c r="A178" t="s">
        <v>219</v>
      </c>
      <c r="B178">
        <v>24</v>
      </c>
      <c r="C178" t="s">
        <v>27</v>
      </c>
      <c r="D178" t="s">
        <v>16</v>
      </c>
      <c r="E178">
        <v>47.9</v>
      </c>
      <c r="F178">
        <v>21</v>
      </c>
      <c r="G178" t="s">
        <v>33</v>
      </c>
      <c r="H178" t="s">
        <v>46</v>
      </c>
      <c r="I178" s="2">
        <v>8.99</v>
      </c>
      <c r="J178">
        <v>0</v>
      </c>
      <c r="K178" s="2">
        <f t="shared" si="4"/>
        <v>0</v>
      </c>
      <c r="L178" t="s">
        <v>37</v>
      </c>
      <c r="M178">
        <v>4</v>
      </c>
      <c r="N178">
        <v>2.1800000000000002</v>
      </c>
      <c r="O178" t="str">
        <f t="shared" si="5"/>
        <v>1+ hours</v>
      </c>
      <c r="P178" t="s">
        <v>39</v>
      </c>
    </row>
    <row r="179" spans="1:16" x14ac:dyDescent="0.4">
      <c r="A179" t="s">
        <v>220</v>
      </c>
      <c r="B179">
        <v>34</v>
      </c>
      <c r="C179" t="s">
        <v>27</v>
      </c>
      <c r="D179" t="s">
        <v>22</v>
      </c>
      <c r="E179">
        <v>3.85</v>
      </c>
      <c r="F179">
        <v>55</v>
      </c>
      <c r="G179" t="s">
        <v>49</v>
      </c>
      <c r="H179" t="s">
        <v>55</v>
      </c>
      <c r="I179" s="2">
        <v>13.99</v>
      </c>
      <c r="J179">
        <v>1</v>
      </c>
      <c r="K179" s="2">
        <f t="shared" si="4"/>
        <v>13.99</v>
      </c>
      <c r="L179" t="s">
        <v>19</v>
      </c>
      <c r="M179">
        <v>3</v>
      </c>
      <c r="N179">
        <v>7.0000000000000007E-2</v>
      </c>
      <c r="O179" t="str">
        <f t="shared" si="5"/>
        <v>0–0.2 hours</v>
      </c>
      <c r="P179" t="s">
        <v>39</v>
      </c>
    </row>
    <row r="180" spans="1:16" x14ac:dyDescent="0.4">
      <c r="A180" t="s">
        <v>221</v>
      </c>
      <c r="B180">
        <v>62</v>
      </c>
      <c r="C180" t="s">
        <v>27</v>
      </c>
      <c r="D180" t="s">
        <v>16</v>
      </c>
      <c r="E180">
        <v>1.55</v>
      </c>
      <c r="F180">
        <v>17</v>
      </c>
      <c r="G180" t="s">
        <v>49</v>
      </c>
      <c r="H180" t="s">
        <v>57</v>
      </c>
      <c r="I180" s="2">
        <v>8.99</v>
      </c>
      <c r="J180">
        <v>1</v>
      </c>
      <c r="K180" s="2">
        <f t="shared" si="4"/>
        <v>8.99</v>
      </c>
      <c r="L180" t="s">
        <v>37</v>
      </c>
      <c r="M180">
        <v>2</v>
      </c>
      <c r="N180">
        <v>0.09</v>
      </c>
      <c r="O180" t="str">
        <f t="shared" si="5"/>
        <v>0–0.2 hours</v>
      </c>
      <c r="P180" t="s">
        <v>20</v>
      </c>
    </row>
    <row r="181" spans="1:16" x14ac:dyDescent="0.4">
      <c r="A181" t="s">
        <v>222</v>
      </c>
      <c r="B181">
        <v>29</v>
      </c>
      <c r="C181" t="s">
        <v>27</v>
      </c>
      <c r="D181" t="s">
        <v>22</v>
      </c>
      <c r="E181">
        <v>7.46</v>
      </c>
      <c r="F181">
        <v>58</v>
      </c>
      <c r="G181" t="s">
        <v>28</v>
      </c>
      <c r="H181" t="s">
        <v>57</v>
      </c>
      <c r="I181" s="2">
        <v>13.99</v>
      </c>
      <c r="J181">
        <v>0</v>
      </c>
      <c r="K181" s="2">
        <f t="shared" si="4"/>
        <v>0</v>
      </c>
      <c r="L181" t="s">
        <v>61</v>
      </c>
      <c r="M181">
        <v>5</v>
      </c>
      <c r="N181">
        <v>0.13</v>
      </c>
      <c r="O181" t="str">
        <f t="shared" si="5"/>
        <v>0–0.2 hours</v>
      </c>
      <c r="P181" t="s">
        <v>30</v>
      </c>
    </row>
    <row r="182" spans="1:16" x14ac:dyDescent="0.4">
      <c r="A182" t="s">
        <v>223</v>
      </c>
      <c r="B182">
        <v>62</v>
      </c>
      <c r="C182" t="s">
        <v>27</v>
      </c>
      <c r="D182" t="s">
        <v>16</v>
      </c>
      <c r="E182">
        <v>6.67</v>
      </c>
      <c r="F182">
        <v>47</v>
      </c>
      <c r="G182" t="s">
        <v>70</v>
      </c>
      <c r="H182" t="s">
        <v>18</v>
      </c>
      <c r="I182" s="2">
        <v>8.99</v>
      </c>
      <c r="J182">
        <v>1</v>
      </c>
      <c r="K182" s="2">
        <f t="shared" si="4"/>
        <v>8.99</v>
      </c>
      <c r="L182" t="s">
        <v>19</v>
      </c>
      <c r="M182">
        <v>2</v>
      </c>
      <c r="N182">
        <v>0.14000000000000001</v>
      </c>
      <c r="O182" t="str">
        <f t="shared" si="5"/>
        <v>0–0.2 hours</v>
      </c>
      <c r="P182" t="s">
        <v>52</v>
      </c>
    </row>
    <row r="183" spans="1:16" x14ac:dyDescent="0.4">
      <c r="A183" t="s">
        <v>224</v>
      </c>
      <c r="B183">
        <v>20</v>
      </c>
      <c r="C183" t="s">
        <v>27</v>
      </c>
      <c r="D183" t="s">
        <v>32</v>
      </c>
      <c r="E183">
        <v>4.57</v>
      </c>
      <c r="F183">
        <v>17</v>
      </c>
      <c r="G183" t="s">
        <v>49</v>
      </c>
      <c r="H183" t="s">
        <v>46</v>
      </c>
      <c r="I183" s="2">
        <v>17.989999999999998</v>
      </c>
      <c r="J183">
        <v>1</v>
      </c>
      <c r="K183" s="2">
        <f t="shared" si="4"/>
        <v>17.989999999999998</v>
      </c>
      <c r="L183" t="s">
        <v>19</v>
      </c>
      <c r="M183">
        <v>1</v>
      </c>
      <c r="N183">
        <v>0.25</v>
      </c>
      <c r="O183" t="str">
        <f t="shared" si="5"/>
        <v>0.2–0.4 hours</v>
      </c>
      <c r="P183" t="s">
        <v>47</v>
      </c>
    </row>
    <row r="184" spans="1:16" x14ac:dyDescent="0.4">
      <c r="A184" t="s">
        <v>225</v>
      </c>
      <c r="B184">
        <v>60</v>
      </c>
      <c r="C184" t="s">
        <v>27</v>
      </c>
      <c r="D184" t="s">
        <v>22</v>
      </c>
      <c r="E184">
        <v>1.03</v>
      </c>
      <c r="F184">
        <v>2</v>
      </c>
      <c r="G184" t="s">
        <v>28</v>
      </c>
      <c r="H184" t="s">
        <v>57</v>
      </c>
      <c r="I184" s="2">
        <v>13.99</v>
      </c>
      <c r="J184">
        <v>0</v>
      </c>
      <c r="K184" s="2">
        <f t="shared" si="4"/>
        <v>0</v>
      </c>
      <c r="L184" t="s">
        <v>43</v>
      </c>
      <c r="M184">
        <v>5</v>
      </c>
      <c r="N184">
        <v>0.34</v>
      </c>
      <c r="O184" t="str">
        <f t="shared" si="5"/>
        <v>0.2–0.4 hours</v>
      </c>
      <c r="P184" t="s">
        <v>52</v>
      </c>
    </row>
    <row r="185" spans="1:16" x14ac:dyDescent="0.4">
      <c r="A185" t="s">
        <v>226</v>
      </c>
      <c r="B185">
        <v>25</v>
      </c>
      <c r="C185" t="s">
        <v>15</v>
      </c>
      <c r="D185" t="s">
        <v>22</v>
      </c>
      <c r="E185">
        <v>6.71</v>
      </c>
      <c r="F185">
        <v>2</v>
      </c>
      <c r="G185" t="s">
        <v>17</v>
      </c>
      <c r="H185" t="s">
        <v>57</v>
      </c>
      <c r="I185" s="2">
        <v>13.99</v>
      </c>
      <c r="J185">
        <v>0</v>
      </c>
      <c r="K185" s="2">
        <f t="shared" si="4"/>
        <v>0</v>
      </c>
      <c r="L185" t="s">
        <v>61</v>
      </c>
      <c r="M185">
        <v>4</v>
      </c>
      <c r="N185">
        <v>2.2400000000000002</v>
      </c>
      <c r="O185" t="str">
        <f t="shared" si="5"/>
        <v>1+ hours</v>
      </c>
      <c r="P185" t="s">
        <v>25</v>
      </c>
    </row>
    <row r="186" spans="1:16" x14ac:dyDescent="0.4">
      <c r="A186" t="s">
        <v>227</v>
      </c>
      <c r="B186">
        <v>57</v>
      </c>
      <c r="C186" t="s">
        <v>41</v>
      </c>
      <c r="D186" t="s">
        <v>22</v>
      </c>
      <c r="E186">
        <v>12.95</v>
      </c>
      <c r="F186">
        <v>27</v>
      </c>
      <c r="G186" t="s">
        <v>70</v>
      </c>
      <c r="H186" t="s">
        <v>18</v>
      </c>
      <c r="I186" s="2">
        <v>13.99</v>
      </c>
      <c r="J186">
        <v>0</v>
      </c>
      <c r="K186" s="2">
        <f t="shared" si="4"/>
        <v>0</v>
      </c>
      <c r="L186" t="s">
        <v>19</v>
      </c>
      <c r="M186">
        <v>4</v>
      </c>
      <c r="N186">
        <v>0.46</v>
      </c>
      <c r="O186" t="str">
        <f t="shared" si="5"/>
        <v>0.4–0.6 hours</v>
      </c>
      <c r="P186" t="s">
        <v>34</v>
      </c>
    </row>
    <row r="187" spans="1:16" x14ac:dyDescent="0.4">
      <c r="A187" t="s">
        <v>228</v>
      </c>
      <c r="B187">
        <v>47</v>
      </c>
      <c r="C187" t="s">
        <v>41</v>
      </c>
      <c r="D187" t="s">
        <v>22</v>
      </c>
      <c r="E187">
        <v>3.92</v>
      </c>
      <c r="F187">
        <v>58</v>
      </c>
      <c r="G187" t="s">
        <v>17</v>
      </c>
      <c r="H187" t="s">
        <v>57</v>
      </c>
      <c r="I187" s="2">
        <v>13.99</v>
      </c>
      <c r="J187">
        <v>1</v>
      </c>
      <c r="K187" s="2">
        <f t="shared" si="4"/>
        <v>13.99</v>
      </c>
      <c r="L187" t="s">
        <v>43</v>
      </c>
      <c r="M187">
        <v>5</v>
      </c>
      <c r="N187">
        <v>7.0000000000000007E-2</v>
      </c>
      <c r="O187" t="str">
        <f t="shared" si="5"/>
        <v>0–0.2 hours</v>
      </c>
      <c r="P187" t="s">
        <v>34</v>
      </c>
    </row>
    <row r="188" spans="1:16" x14ac:dyDescent="0.4">
      <c r="A188" t="s">
        <v>229</v>
      </c>
      <c r="B188">
        <v>54</v>
      </c>
      <c r="C188" t="s">
        <v>41</v>
      </c>
      <c r="D188" t="s">
        <v>16</v>
      </c>
      <c r="E188">
        <v>24.44</v>
      </c>
      <c r="F188">
        <v>28</v>
      </c>
      <c r="G188" t="s">
        <v>70</v>
      </c>
      <c r="H188" t="s">
        <v>46</v>
      </c>
      <c r="I188" s="2">
        <v>8.99</v>
      </c>
      <c r="J188">
        <v>0</v>
      </c>
      <c r="K188" s="2">
        <f t="shared" si="4"/>
        <v>0</v>
      </c>
      <c r="L188" t="s">
        <v>19</v>
      </c>
      <c r="M188">
        <v>4</v>
      </c>
      <c r="N188">
        <v>0.84</v>
      </c>
      <c r="O188" t="str">
        <f t="shared" si="5"/>
        <v>0.8–1 hour</v>
      </c>
      <c r="P188" t="s">
        <v>30</v>
      </c>
    </row>
    <row r="189" spans="1:16" x14ac:dyDescent="0.4">
      <c r="A189" t="s">
        <v>230</v>
      </c>
      <c r="B189">
        <v>34</v>
      </c>
      <c r="C189" t="s">
        <v>27</v>
      </c>
      <c r="D189" t="s">
        <v>22</v>
      </c>
      <c r="E189">
        <v>28.76</v>
      </c>
      <c r="F189">
        <v>11</v>
      </c>
      <c r="G189" t="s">
        <v>70</v>
      </c>
      <c r="H189" t="s">
        <v>24</v>
      </c>
      <c r="I189" s="2">
        <v>13.99</v>
      </c>
      <c r="J189">
        <v>0</v>
      </c>
      <c r="K189" s="2">
        <f t="shared" si="4"/>
        <v>0</v>
      </c>
      <c r="L189" t="s">
        <v>43</v>
      </c>
      <c r="M189">
        <v>2</v>
      </c>
      <c r="N189">
        <v>2.4</v>
      </c>
      <c r="O189" t="str">
        <f t="shared" si="5"/>
        <v>1+ hours</v>
      </c>
      <c r="P189" t="s">
        <v>52</v>
      </c>
    </row>
    <row r="190" spans="1:16" x14ac:dyDescent="0.4">
      <c r="A190" t="s">
        <v>231</v>
      </c>
      <c r="B190">
        <v>52</v>
      </c>
      <c r="C190" t="s">
        <v>41</v>
      </c>
      <c r="D190" t="s">
        <v>22</v>
      </c>
      <c r="E190">
        <v>1.35</v>
      </c>
      <c r="F190">
        <v>7</v>
      </c>
      <c r="G190" t="s">
        <v>28</v>
      </c>
      <c r="H190" t="s">
        <v>18</v>
      </c>
      <c r="I190" s="2">
        <v>13.99</v>
      </c>
      <c r="J190">
        <v>1</v>
      </c>
      <c r="K190" s="2">
        <f t="shared" si="4"/>
        <v>13.99</v>
      </c>
      <c r="L190" t="s">
        <v>29</v>
      </c>
      <c r="M190">
        <v>1</v>
      </c>
      <c r="N190">
        <v>0.17</v>
      </c>
      <c r="O190" t="str">
        <f t="shared" si="5"/>
        <v>0–0.2 hours</v>
      </c>
      <c r="P190" t="s">
        <v>20</v>
      </c>
    </row>
    <row r="191" spans="1:16" x14ac:dyDescent="0.4">
      <c r="A191" t="s">
        <v>232</v>
      </c>
      <c r="B191">
        <v>53</v>
      </c>
      <c r="C191" t="s">
        <v>15</v>
      </c>
      <c r="D191" t="s">
        <v>32</v>
      </c>
      <c r="E191">
        <v>0.25</v>
      </c>
      <c r="F191">
        <v>50</v>
      </c>
      <c r="G191" t="s">
        <v>28</v>
      </c>
      <c r="H191" t="s">
        <v>57</v>
      </c>
      <c r="I191" s="2">
        <v>17.989999999999998</v>
      </c>
      <c r="J191">
        <v>1</v>
      </c>
      <c r="K191" s="2">
        <f t="shared" si="4"/>
        <v>17.989999999999998</v>
      </c>
      <c r="L191" t="s">
        <v>43</v>
      </c>
      <c r="M191">
        <v>1</v>
      </c>
      <c r="N191">
        <v>0</v>
      </c>
      <c r="O191" t="str">
        <f t="shared" si="5"/>
        <v>0–0.2 hours</v>
      </c>
      <c r="P191" t="s">
        <v>39</v>
      </c>
    </row>
    <row r="192" spans="1:16" x14ac:dyDescent="0.4">
      <c r="A192" t="s">
        <v>233</v>
      </c>
      <c r="B192">
        <v>68</v>
      </c>
      <c r="C192" t="s">
        <v>27</v>
      </c>
      <c r="D192" t="s">
        <v>32</v>
      </c>
      <c r="E192">
        <v>10.27</v>
      </c>
      <c r="F192">
        <v>55</v>
      </c>
      <c r="G192" t="s">
        <v>70</v>
      </c>
      <c r="H192" t="s">
        <v>57</v>
      </c>
      <c r="I192" s="2">
        <v>17.989999999999998</v>
      </c>
      <c r="J192">
        <v>0</v>
      </c>
      <c r="K192" s="2">
        <f t="shared" si="4"/>
        <v>0</v>
      </c>
      <c r="L192" t="s">
        <v>43</v>
      </c>
      <c r="M192">
        <v>4</v>
      </c>
      <c r="N192">
        <v>0.18</v>
      </c>
      <c r="O192" t="str">
        <f t="shared" si="5"/>
        <v>0–0.2 hours</v>
      </c>
      <c r="P192" t="s">
        <v>34</v>
      </c>
    </row>
    <row r="193" spans="1:16" x14ac:dyDescent="0.4">
      <c r="A193" t="s">
        <v>234</v>
      </c>
      <c r="B193">
        <v>68</v>
      </c>
      <c r="C193" t="s">
        <v>41</v>
      </c>
      <c r="D193" t="s">
        <v>32</v>
      </c>
      <c r="E193">
        <v>52.22</v>
      </c>
      <c r="F193">
        <v>4</v>
      </c>
      <c r="G193" t="s">
        <v>70</v>
      </c>
      <c r="H193" t="s">
        <v>46</v>
      </c>
      <c r="I193" s="2">
        <v>17.989999999999998</v>
      </c>
      <c r="J193">
        <v>0</v>
      </c>
      <c r="K193" s="2">
        <f t="shared" si="4"/>
        <v>0</v>
      </c>
      <c r="L193" t="s">
        <v>19</v>
      </c>
      <c r="M193">
        <v>1</v>
      </c>
      <c r="N193">
        <v>10.44</v>
      </c>
      <c r="O193" t="str">
        <f t="shared" si="5"/>
        <v>1+ hours</v>
      </c>
      <c r="P193" t="s">
        <v>39</v>
      </c>
    </row>
    <row r="194" spans="1:16" x14ac:dyDescent="0.4">
      <c r="A194" t="s">
        <v>235</v>
      </c>
      <c r="B194">
        <v>55</v>
      </c>
      <c r="C194" t="s">
        <v>15</v>
      </c>
      <c r="D194" t="s">
        <v>22</v>
      </c>
      <c r="E194">
        <v>7.61</v>
      </c>
      <c r="F194">
        <v>37</v>
      </c>
      <c r="G194" t="s">
        <v>70</v>
      </c>
      <c r="H194" t="s">
        <v>24</v>
      </c>
      <c r="I194" s="2">
        <v>13.99</v>
      </c>
      <c r="J194">
        <v>1</v>
      </c>
      <c r="K194" s="2">
        <f t="shared" si="4"/>
        <v>13.99</v>
      </c>
      <c r="L194" t="s">
        <v>43</v>
      </c>
      <c r="M194">
        <v>1</v>
      </c>
      <c r="N194">
        <v>0.2</v>
      </c>
      <c r="O194" t="str">
        <f t="shared" si="5"/>
        <v>0–0.2 hours</v>
      </c>
      <c r="P194" t="s">
        <v>47</v>
      </c>
    </row>
    <row r="195" spans="1:16" x14ac:dyDescent="0.4">
      <c r="A195" t="s">
        <v>236</v>
      </c>
      <c r="B195">
        <v>31</v>
      </c>
      <c r="C195" t="s">
        <v>41</v>
      </c>
      <c r="D195" t="s">
        <v>16</v>
      </c>
      <c r="E195">
        <v>11.05</v>
      </c>
      <c r="F195">
        <v>51</v>
      </c>
      <c r="G195" t="s">
        <v>70</v>
      </c>
      <c r="H195" t="s">
        <v>18</v>
      </c>
      <c r="I195" s="2">
        <v>8.99</v>
      </c>
      <c r="J195">
        <v>1</v>
      </c>
      <c r="K195" s="2">
        <f t="shared" ref="K195:K258" si="6">SUMIF(J195,1,I195)</f>
        <v>8.99</v>
      </c>
      <c r="L195" t="s">
        <v>43</v>
      </c>
      <c r="M195">
        <v>1</v>
      </c>
      <c r="N195">
        <v>0.21</v>
      </c>
      <c r="O195" t="str">
        <f t="shared" ref="O195:O258" si="7">IF(N195&gt;1,"1+ hours",IF(N195&lt;=0.2,"0–0.2 hours",IF(N195&lt;=0.4,"0.2–0.4 hours",IF(N195&lt;=0.6,"0.4–0.6 hours",IF(N195&lt;=0.8,"0.6–0.8 hours","0.8–1 hour")))))</f>
        <v>0.2–0.4 hours</v>
      </c>
      <c r="P195" t="s">
        <v>34</v>
      </c>
    </row>
    <row r="196" spans="1:16" x14ac:dyDescent="0.4">
      <c r="A196" t="s">
        <v>237</v>
      </c>
      <c r="B196">
        <v>30</v>
      </c>
      <c r="C196" t="s">
        <v>15</v>
      </c>
      <c r="D196" t="s">
        <v>22</v>
      </c>
      <c r="E196">
        <v>17.22</v>
      </c>
      <c r="F196">
        <v>5</v>
      </c>
      <c r="G196" t="s">
        <v>49</v>
      </c>
      <c r="H196" t="s">
        <v>46</v>
      </c>
      <c r="I196" s="2">
        <v>13.99</v>
      </c>
      <c r="J196">
        <v>0</v>
      </c>
      <c r="K196" s="2">
        <f t="shared" si="6"/>
        <v>0</v>
      </c>
      <c r="L196" t="s">
        <v>43</v>
      </c>
      <c r="M196">
        <v>1</v>
      </c>
      <c r="N196">
        <v>2.87</v>
      </c>
      <c r="O196" t="str">
        <f t="shared" si="7"/>
        <v>1+ hours</v>
      </c>
      <c r="P196" t="s">
        <v>34</v>
      </c>
    </row>
    <row r="197" spans="1:16" x14ac:dyDescent="0.4">
      <c r="A197" t="s">
        <v>238</v>
      </c>
      <c r="B197">
        <v>56</v>
      </c>
      <c r="C197" t="s">
        <v>27</v>
      </c>
      <c r="D197" t="s">
        <v>32</v>
      </c>
      <c r="E197">
        <v>2.39</v>
      </c>
      <c r="F197">
        <v>21</v>
      </c>
      <c r="G197" t="s">
        <v>49</v>
      </c>
      <c r="H197" t="s">
        <v>57</v>
      </c>
      <c r="I197" s="2">
        <v>17.989999999999998</v>
      </c>
      <c r="J197">
        <v>1</v>
      </c>
      <c r="K197" s="2">
        <f t="shared" si="6"/>
        <v>17.989999999999998</v>
      </c>
      <c r="L197" t="s">
        <v>37</v>
      </c>
      <c r="M197">
        <v>2</v>
      </c>
      <c r="N197">
        <v>0.11</v>
      </c>
      <c r="O197" t="str">
        <f t="shared" si="7"/>
        <v>0–0.2 hours</v>
      </c>
      <c r="P197" t="s">
        <v>47</v>
      </c>
    </row>
    <row r="198" spans="1:16" x14ac:dyDescent="0.4">
      <c r="A198" t="s">
        <v>239</v>
      </c>
      <c r="B198">
        <v>44</v>
      </c>
      <c r="C198" t="s">
        <v>15</v>
      </c>
      <c r="D198" t="s">
        <v>16</v>
      </c>
      <c r="E198">
        <v>14.91</v>
      </c>
      <c r="F198">
        <v>47</v>
      </c>
      <c r="G198" t="s">
        <v>23</v>
      </c>
      <c r="H198" t="s">
        <v>55</v>
      </c>
      <c r="I198" s="2">
        <v>8.99</v>
      </c>
      <c r="J198">
        <v>1</v>
      </c>
      <c r="K198" s="2">
        <f t="shared" si="6"/>
        <v>8.99</v>
      </c>
      <c r="L198" t="s">
        <v>37</v>
      </c>
      <c r="M198">
        <v>5</v>
      </c>
      <c r="N198">
        <v>0.31</v>
      </c>
      <c r="O198" t="str">
        <f t="shared" si="7"/>
        <v>0.2–0.4 hours</v>
      </c>
      <c r="P198" t="s">
        <v>34</v>
      </c>
    </row>
    <row r="199" spans="1:16" x14ac:dyDescent="0.4">
      <c r="A199" t="s">
        <v>240</v>
      </c>
      <c r="B199">
        <v>64</v>
      </c>
      <c r="C199" t="s">
        <v>41</v>
      </c>
      <c r="D199" t="s">
        <v>22</v>
      </c>
      <c r="E199">
        <v>13.86</v>
      </c>
      <c r="F199">
        <v>7</v>
      </c>
      <c r="G199" t="s">
        <v>17</v>
      </c>
      <c r="H199" t="s">
        <v>46</v>
      </c>
      <c r="I199" s="2">
        <v>13.99</v>
      </c>
      <c r="J199">
        <v>0</v>
      </c>
      <c r="K199" s="2">
        <f t="shared" si="6"/>
        <v>0</v>
      </c>
      <c r="L199" t="s">
        <v>61</v>
      </c>
      <c r="M199">
        <v>3</v>
      </c>
      <c r="N199">
        <v>1.73</v>
      </c>
      <c r="O199" t="str">
        <f t="shared" si="7"/>
        <v>1+ hours</v>
      </c>
      <c r="P199" t="s">
        <v>47</v>
      </c>
    </row>
    <row r="200" spans="1:16" x14ac:dyDescent="0.4">
      <c r="A200" t="s">
        <v>241</v>
      </c>
      <c r="B200">
        <v>42</v>
      </c>
      <c r="C200" t="s">
        <v>15</v>
      </c>
      <c r="D200" t="s">
        <v>16</v>
      </c>
      <c r="E200">
        <v>2.6</v>
      </c>
      <c r="F200">
        <v>50</v>
      </c>
      <c r="G200" t="s">
        <v>49</v>
      </c>
      <c r="H200" t="s">
        <v>46</v>
      </c>
      <c r="I200" s="2">
        <v>8.99</v>
      </c>
      <c r="J200">
        <v>1</v>
      </c>
      <c r="K200" s="2">
        <f t="shared" si="6"/>
        <v>8.99</v>
      </c>
      <c r="L200" t="s">
        <v>61</v>
      </c>
      <c r="M200">
        <v>4</v>
      </c>
      <c r="N200">
        <v>0.05</v>
      </c>
      <c r="O200" t="str">
        <f t="shared" si="7"/>
        <v>0–0.2 hours</v>
      </c>
      <c r="P200" t="s">
        <v>39</v>
      </c>
    </row>
    <row r="201" spans="1:16" x14ac:dyDescent="0.4">
      <c r="A201" t="s">
        <v>242</v>
      </c>
      <c r="B201">
        <v>18</v>
      </c>
      <c r="C201" t="s">
        <v>15</v>
      </c>
      <c r="D201" t="s">
        <v>32</v>
      </c>
      <c r="E201">
        <v>17.75</v>
      </c>
      <c r="F201">
        <v>9</v>
      </c>
      <c r="G201" t="s">
        <v>33</v>
      </c>
      <c r="H201" t="s">
        <v>55</v>
      </c>
      <c r="I201" s="2">
        <v>17.989999999999998</v>
      </c>
      <c r="J201">
        <v>0</v>
      </c>
      <c r="K201" s="2">
        <f t="shared" si="6"/>
        <v>0</v>
      </c>
      <c r="L201" t="s">
        <v>19</v>
      </c>
      <c r="M201">
        <v>1</v>
      </c>
      <c r="N201">
        <v>1.77</v>
      </c>
      <c r="O201" t="str">
        <f t="shared" si="7"/>
        <v>1+ hours</v>
      </c>
      <c r="P201" t="s">
        <v>47</v>
      </c>
    </row>
    <row r="202" spans="1:16" x14ac:dyDescent="0.4">
      <c r="A202" t="s">
        <v>243</v>
      </c>
      <c r="B202">
        <v>56</v>
      </c>
      <c r="C202" t="s">
        <v>41</v>
      </c>
      <c r="D202" t="s">
        <v>16</v>
      </c>
      <c r="E202">
        <v>8.7100000000000009</v>
      </c>
      <c r="F202">
        <v>2</v>
      </c>
      <c r="G202" t="s">
        <v>28</v>
      </c>
      <c r="H202" t="s">
        <v>46</v>
      </c>
      <c r="I202" s="2">
        <v>8.99</v>
      </c>
      <c r="J202">
        <v>0</v>
      </c>
      <c r="K202" s="2">
        <f t="shared" si="6"/>
        <v>0</v>
      </c>
      <c r="L202" t="s">
        <v>37</v>
      </c>
      <c r="M202">
        <v>3</v>
      </c>
      <c r="N202">
        <v>2.9</v>
      </c>
      <c r="O202" t="str">
        <f t="shared" si="7"/>
        <v>1+ hours</v>
      </c>
      <c r="P202" t="s">
        <v>30</v>
      </c>
    </row>
    <row r="203" spans="1:16" x14ac:dyDescent="0.4">
      <c r="A203" t="s">
        <v>244</v>
      </c>
      <c r="B203">
        <v>23</v>
      </c>
      <c r="C203" t="s">
        <v>41</v>
      </c>
      <c r="D203" t="s">
        <v>32</v>
      </c>
      <c r="E203">
        <v>10.39</v>
      </c>
      <c r="F203">
        <v>2</v>
      </c>
      <c r="G203" t="s">
        <v>70</v>
      </c>
      <c r="H203" t="s">
        <v>18</v>
      </c>
      <c r="I203" s="2">
        <v>17.989999999999998</v>
      </c>
      <c r="J203">
        <v>0</v>
      </c>
      <c r="K203" s="2">
        <f t="shared" si="6"/>
        <v>0</v>
      </c>
      <c r="L203" t="s">
        <v>43</v>
      </c>
      <c r="M203">
        <v>4</v>
      </c>
      <c r="N203">
        <v>3.46</v>
      </c>
      <c r="O203" t="str">
        <f t="shared" si="7"/>
        <v>1+ hours</v>
      </c>
      <c r="P203" t="s">
        <v>39</v>
      </c>
    </row>
    <row r="204" spans="1:16" x14ac:dyDescent="0.4">
      <c r="A204" t="s">
        <v>245</v>
      </c>
      <c r="B204">
        <v>23</v>
      </c>
      <c r="C204" t="s">
        <v>27</v>
      </c>
      <c r="D204" t="s">
        <v>16</v>
      </c>
      <c r="E204">
        <v>18.25</v>
      </c>
      <c r="F204">
        <v>30</v>
      </c>
      <c r="G204" t="s">
        <v>49</v>
      </c>
      <c r="H204" t="s">
        <v>24</v>
      </c>
      <c r="I204" s="2">
        <v>8.99</v>
      </c>
      <c r="J204">
        <v>0</v>
      </c>
      <c r="K204" s="2">
        <f t="shared" si="6"/>
        <v>0</v>
      </c>
      <c r="L204" t="s">
        <v>29</v>
      </c>
      <c r="M204">
        <v>5</v>
      </c>
      <c r="N204">
        <v>0.59</v>
      </c>
      <c r="O204" t="str">
        <f t="shared" si="7"/>
        <v>0.4–0.6 hours</v>
      </c>
      <c r="P204" t="s">
        <v>52</v>
      </c>
    </row>
    <row r="205" spans="1:16" x14ac:dyDescent="0.4">
      <c r="A205" t="s">
        <v>246</v>
      </c>
      <c r="B205">
        <v>65</v>
      </c>
      <c r="C205" t="s">
        <v>15</v>
      </c>
      <c r="D205" t="s">
        <v>32</v>
      </c>
      <c r="E205">
        <v>20.05</v>
      </c>
      <c r="F205">
        <v>21</v>
      </c>
      <c r="G205" t="s">
        <v>28</v>
      </c>
      <c r="H205" t="s">
        <v>57</v>
      </c>
      <c r="I205" s="2">
        <v>17.989999999999998</v>
      </c>
      <c r="J205">
        <v>0</v>
      </c>
      <c r="K205" s="2">
        <f t="shared" si="6"/>
        <v>0</v>
      </c>
      <c r="L205" t="s">
        <v>29</v>
      </c>
      <c r="M205">
        <v>5</v>
      </c>
      <c r="N205">
        <v>0.91</v>
      </c>
      <c r="O205" t="str">
        <f t="shared" si="7"/>
        <v>0.8–1 hour</v>
      </c>
      <c r="P205" t="s">
        <v>52</v>
      </c>
    </row>
    <row r="206" spans="1:16" x14ac:dyDescent="0.4">
      <c r="A206" t="s">
        <v>247</v>
      </c>
      <c r="B206">
        <v>47</v>
      </c>
      <c r="C206" t="s">
        <v>15</v>
      </c>
      <c r="D206" t="s">
        <v>16</v>
      </c>
      <c r="E206">
        <v>0.39</v>
      </c>
      <c r="F206">
        <v>48</v>
      </c>
      <c r="G206" t="s">
        <v>49</v>
      </c>
      <c r="H206" t="s">
        <v>57</v>
      </c>
      <c r="I206" s="2">
        <v>8.99</v>
      </c>
      <c r="J206">
        <v>1</v>
      </c>
      <c r="K206" s="2">
        <f t="shared" si="6"/>
        <v>8.99</v>
      </c>
      <c r="L206" t="s">
        <v>43</v>
      </c>
      <c r="M206">
        <v>5</v>
      </c>
      <c r="N206">
        <v>0.01</v>
      </c>
      <c r="O206" t="str">
        <f t="shared" si="7"/>
        <v>0–0.2 hours</v>
      </c>
      <c r="P206" t="s">
        <v>39</v>
      </c>
    </row>
    <row r="207" spans="1:16" x14ac:dyDescent="0.4">
      <c r="A207" t="s">
        <v>248</v>
      </c>
      <c r="B207">
        <v>36</v>
      </c>
      <c r="C207" t="s">
        <v>27</v>
      </c>
      <c r="D207" t="s">
        <v>32</v>
      </c>
      <c r="E207">
        <v>50.98</v>
      </c>
      <c r="F207">
        <v>23</v>
      </c>
      <c r="G207" t="s">
        <v>28</v>
      </c>
      <c r="H207" t="s">
        <v>24</v>
      </c>
      <c r="I207" s="2">
        <v>17.989999999999998</v>
      </c>
      <c r="J207">
        <v>0</v>
      </c>
      <c r="K207" s="2">
        <f t="shared" si="6"/>
        <v>0</v>
      </c>
      <c r="L207" t="s">
        <v>19</v>
      </c>
      <c r="M207">
        <v>4</v>
      </c>
      <c r="N207">
        <v>2.12</v>
      </c>
      <c r="O207" t="str">
        <f t="shared" si="7"/>
        <v>1+ hours</v>
      </c>
      <c r="P207" t="s">
        <v>47</v>
      </c>
    </row>
    <row r="208" spans="1:16" x14ac:dyDescent="0.4">
      <c r="A208" s="1" t="s">
        <v>249</v>
      </c>
      <c r="B208">
        <v>54</v>
      </c>
      <c r="C208" t="s">
        <v>15</v>
      </c>
      <c r="D208" t="s">
        <v>32</v>
      </c>
      <c r="E208">
        <v>0.56000000000000005</v>
      </c>
      <c r="F208">
        <v>30</v>
      </c>
      <c r="G208" t="s">
        <v>70</v>
      </c>
      <c r="H208" t="s">
        <v>57</v>
      </c>
      <c r="I208" s="2">
        <v>17.989999999999998</v>
      </c>
      <c r="J208">
        <v>1</v>
      </c>
      <c r="K208" s="2">
        <f t="shared" si="6"/>
        <v>17.989999999999998</v>
      </c>
      <c r="L208" t="s">
        <v>37</v>
      </c>
      <c r="M208">
        <v>2</v>
      </c>
      <c r="N208">
        <v>0.02</v>
      </c>
      <c r="O208" t="str">
        <f t="shared" si="7"/>
        <v>0–0.2 hours</v>
      </c>
      <c r="P208" t="s">
        <v>34</v>
      </c>
    </row>
    <row r="209" spans="1:16" x14ac:dyDescent="0.4">
      <c r="A209" t="s">
        <v>250</v>
      </c>
      <c r="B209">
        <v>56</v>
      </c>
      <c r="C209" t="s">
        <v>15</v>
      </c>
      <c r="D209" t="s">
        <v>22</v>
      </c>
      <c r="E209">
        <v>1.95</v>
      </c>
      <c r="F209">
        <v>28</v>
      </c>
      <c r="G209" t="s">
        <v>70</v>
      </c>
      <c r="H209" t="s">
        <v>24</v>
      </c>
      <c r="I209" s="2">
        <v>13.99</v>
      </c>
      <c r="J209">
        <v>1</v>
      </c>
      <c r="K209" s="2">
        <f t="shared" si="6"/>
        <v>13.99</v>
      </c>
      <c r="L209" t="s">
        <v>29</v>
      </c>
      <c r="M209">
        <v>4</v>
      </c>
      <c r="N209">
        <v>7.0000000000000007E-2</v>
      </c>
      <c r="O209" t="str">
        <f t="shared" si="7"/>
        <v>0–0.2 hours</v>
      </c>
      <c r="P209" t="s">
        <v>39</v>
      </c>
    </row>
    <row r="210" spans="1:16" x14ac:dyDescent="0.4">
      <c r="A210" t="s">
        <v>251</v>
      </c>
      <c r="B210">
        <v>34</v>
      </c>
      <c r="C210" t="s">
        <v>41</v>
      </c>
      <c r="D210" t="s">
        <v>32</v>
      </c>
      <c r="E210">
        <v>70.61</v>
      </c>
      <c r="F210">
        <v>38</v>
      </c>
      <c r="G210" t="s">
        <v>33</v>
      </c>
      <c r="H210" t="s">
        <v>18</v>
      </c>
      <c r="I210" s="2">
        <v>17.989999999999998</v>
      </c>
      <c r="J210">
        <v>0</v>
      </c>
      <c r="K210" s="2">
        <f t="shared" si="6"/>
        <v>0</v>
      </c>
      <c r="L210" t="s">
        <v>61</v>
      </c>
      <c r="M210">
        <v>5</v>
      </c>
      <c r="N210">
        <v>1.81</v>
      </c>
      <c r="O210" t="str">
        <f t="shared" si="7"/>
        <v>1+ hours</v>
      </c>
      <c r="P210" t="s">
        <v>47</v>
      </c>
    </row>
    <row r="211" spans="1:16" x14ac:dyDescent="0.4">
      <c r="A211" t="s">
        <v>252</v>
      </c>
      <c r="B211">
        <v>70</v>
      </c>
      <c r="C211" t="s">
        <v>15</v>
      </c>
      <c r="D211" t="s">
        <v>22</v>
      </c>
      <c r="E211">
        <v>8.6999999999999993</v>
      </c>
      <c r="F211">
        <v>46</v>
      </c>
      <c r="G211" t="s">
        <v>28</v>
      </c>
      <c r="H211" t="s">
        <v>24</v>
      </c>
      <c r="I211" s="2">
        <v>13.99</v>
      </c>
      <c r="J211">
        <v>1</v>
      </c>
      <c r="K211" s="2">
        <f t="shared" si="6"/>
        <v>13.99</v>
      </c>
      <c r="L211" t="s">
        <v>61</v>
      </c>
      <c r="M211">
        <v>3</v>
      </c>
      <c r="N211">
        <v>0.19</v>
      </c>
      <c r="O211" t="str">
        <f t="shared" si="7"/>
        <v>0–0.2 hours</v>
      </c>
      <c r="P211" t="s">
        <v>20</v>
      </c>
    </row>
    <row r="212" spans="1:16" x14ac:dyDescent="0.4">
      <c r="A212" t="s">
        <v>253</v>
      </c>
      <c r="B212">
        <v>51</v>
      </c>
      <c r="C212" t="s">
        <v>41</v>
      </c>
      <c r="D212" t="s">
        <v>16</v>
      </c>
      <c r="E212">
        <v>2.17</v>
      </c>
      <c r="F212">
        <v>14</v>
      </c>
      <c r="G212" t="s">
        <v>17</v>
      </c>
      <c r="H212" t="s">
        <v>57</v>
      </c>
      <c r="I212" s="2">
        <v>8.99</v>
      </c>
      <c r="J212">
        <v>1</v>
      </c>
      <c r="K212" s="2">
        <f t="shared" si="6"/>
        <v>8.99</v>
      </c>
      <c r="L212" t="s">
        <v>37</v>
      </c>
      <c r="M212">
        <v>3</v>
      </c>
      <c r="N212">
        <v>0.14000000000000001</v>
      </c>
      <c r="O212" t="str">
        <f t="shared" si="7"/>
        <v>0–0.2 hours</v>
      </c>
      <c r="P212" t="s">
        <v>34</v>
      </c>
    </row>
    <row r="213" spans="1:16" x14ac:dyDescent="0.4">
      <c r="A213" t="s">
        <v>254</v>
      </c>
      <c r="B213">
        <v>57</v>
      </c>
      <c r="C213" t="s">
        <v>27</v>
      </c>
      <c r="D213" t="s">
        <v>16</v>
      </c>
      <c r="E213">
        <v>15.75</v>
      </c>
      <c r="F213">
        <v>1</v>
      </c>
      <c r="G213" t="s">
        <v>23</v>
      </c>
      <c r="H213" t="s">
        <v>55</v>
      </c>
      <c r="I213" s="2">
        <v>8.99</v>
      </c>
      <c r="J213">
        <v>0</v>
      </c>
      <c r="K213" s="2">
        <f t="shared" si="6"/>
        <v>0</v>
      </c>
      <c r="L213" t="s">
        <v>29</v>
      </c>
      <c r="M213">
        <v>3</v>
      </c>
      <c r="N213">
        <v>7.88</v>
      </c>
      <c r="O213" t="str">
        <f t="shared" si="7"/>
        <v>1+ hours</v>
      </c>
      <c r="P213" t="s">
        <v>34</v>
      </c>
    </row>
    <row r="214" spans="1:16" x14ac:dyDescent="0.4">
      <c r="A214" t="s">
        <v>255</v>
      </c>
      <c r="B214">
        <v>36</v>
      </c>
      <c r="C214" t="s">
        <v>27</v>
      </c>
      <c r="D214" t="s">
        <v>16</v>
      </c>
      <c r="E214">
        <v>3.58</v>
      </c>
      <c r="F214">
        <v>14</v>
      </c>
      <c r="G214" t="s">
        <v>70</v>
      </c>
      <c r="H214" t="s">
        <v>57</v>
      </c>
      <c r="I214" s="2">
        <v>8.99</v>
      </c>
      <c r="J214">
        <v>1</v>
      </c>
      <c r="K214" s="2">
        <f t="shared" si="6"/>
        <v>8.99</v>
      </c>
      <c r="L214" t="s">
        <v>43</v>
      </c>
      <c r="M214">
        <v>2</v>
      </c>
      <c r="N214">
        <v>0.24</v>
      </c>
      <c r="O214" t="str">
        <f t="shared" si="7"/>
        <v>0.2–0.4 hours</v>
      </c>
      <c r="P214" t="s">
        <v>39</v>
      </c>
    </row>
    <row r="215" spans="1:16" x14ac:dyDescent="0.4">
      <c r="A215" t="s">
        <v>256</v>
      </c>
      <c r="B215">
        <v>67</v>
      </c>
      <c r="C215" t="s">
        <v>15</v>
      </c>
      <c r="D215" t="s">
        <v>22</v>
      </c>
      <c r="E215">
        <v>14.58</v>
      </c>
      <c r="F215">
        <v>18</v>
      </c>
      <c r="G215" t="s">
        <v>23</v>
      </c>
      <c r="H215" t="s">
        <v>55</v>
      </c>
      <c r="I215" s="2">
        <v>13.99</v>
      </c>
      <c r="J215">
        <v>0</v>
      </c>
      <c r="K215" s="2">
        <f t="shared" si="6"/>
        <v>0</v>
      </c>
      <c r="L215" t="s">
        <v>61</v>
      </c>
      <c r="M215">
        <v>2</v>
      </c>
      <c r="N215">
        <v>0.77</v>
      </c>
      <c r="O215" t="str">
        <f t="shared" si="7"/>
        <v>0.6–0.8 hours</v>
      </c>
      <c r="P215" t="s">
        <v>25</v>
      </c>
    </row>
    <row r="216" spans="1:16" x14ac:dyDescent="0.4">
      <c r="A216" t="s">
        <v>257</v>
      </c>
      <c r="B216">
        <v>66</v>
      </c>
      <c r="C216" t="s">
        <v>15</v>
      </c>
      <c r="D216" t="s">
        <v>22</v>
      </c>
      <c r="E216">
        <v>1.42</v>
      </c>
      <c r="F216">
        <v>57</v>
      </c>
      <c r="G216" t="s">
        <v>23</v>
      </c>
      <c r="H216" t="s">
        <v>46</v>
      </c>
      <c r="I216" s="2">
        <v>13.99</v>
      </c>
      <c r="J216">
        <v>1</v>
      </c>
      <c r="K216" s="2">
        <f t="shared" si="6"/>
        <v>13.99</v>
      </c>
      <c r="L216" t="s">
        <v>19</v>
      </c>
      <c r="M216">
        <v>3</v>
      </c>
      <c r="N216">
        <v>0.02</v>
      </c>
      <c r="O216" t="str">
        <f t="shared" si="7"/>
        <v>0–0.2 hours</v>
      </c>
      <c r="P216" t="s">
        <v>30</v>
      </c>
    </row>
    <row r="217" spans="1:16" x14ac:dyDescent="0.4">
      <c r="A217" t="s">
        <v>258</v>
      </c>
      <c r="B217">
        <v>42</v>
      </c>
      <c r="C217" t="s">
        <v>27</v>
      </c>
      <c r="D217" t="s">
        <v>16</v>
      </c>
      <c r="E217">
        <v>2.98</v>
      </c>
      <c r="F217">
        <v>29</v>
      </c>
      <c r="G217" t="s">
        <v>28</v>
      </c>
      <c r="H217" t="s">
        <v>18</v>
      </c>
      <c r="I217" s="2">
        <v>8.99</v>
      </c>
      <c r="J217">
        <v>1</v>
      </c>
      <c r="K217" s="2">
        <f t="shared" si="6"/>
        <v>8.99</v>
      </c>
      <c r="L217" t="s">
        <v>29</v>
      </c>
      <c r="M217">
        <v>4</v>
      </c>
      <c r="N217">
        <v>0.1</v>
      </c>
      <c r="O217" t="str">
        <f t="shared" si="7"/>
        <v>0–0.2 hours</v>
      </c>
      <c r="P217" t="s">
        <v>47</v>
      </c>
    </row>
    <row r="218" spans="1:16" x14ac:dyDescent="0.4">
      <c r="A218" t="s">
        <v>259</v>
      </c>
      <c r="B218">
        <v>34</v>
      </c>
      <c r="C218" t="s">
        <v>27</v>
      </c>
      <c r="D218" t="s">
        <v>22</v>
      </c>
      <c r="E218">
        <v>0.68</v>
      </c>
      <c r="F218">
        <v>42</v>
      </c>
      <c r="G218" t="s">
        <v>17</v>
      </c>
      <c r="H218" t="s">
        <v>55</v>
      </c>
      <c r="I218" s="2">
        <v>13.99</v>
      </c>
      <c r="J218">
        <v>1</v>
      </c>
      <c r="K218" s="2">
        <f t="shared" si="6"/>
        <v>13.99</v>
      </c>
      <c r="L218" t="s">
        <v>29</v>
      </c>
      <c r="M218">
        <v>2</v>
      </c>
      <c r="N218">
        <v>0.02</v>
      </c>
      <c r="O218" t="str">
        <f t="shared" si="7"/>
        <v>0–0.2 hours</v>
      </c>
      <c r="P218" t="s">
        <v>47</v>
      </c>
    </row>
    <row r="219" spans="1:16" x14ac:dyDescent="0.4">
      <c r="A219" t="s">
        <v>260</v>
      </c>
      <c r="B219">
        <v>49</v>
      </c>
      <c r="C219" t="s">
        <v>15</v>
      </c>
      <c r="D219" t="s">
        <v>22</v>
      </c>
      <c r="E219">
        <v>2.2599999999999998</v>
      </c>
      <c r="F219">
        <v>31</v>
      </c>
      <c r="G219" t="s">
        <v>23</v>
      </c>
      <c r="H219" t="s">
        <v>46</v>
      </c>
      <c r="I219" s="2">
        <v>13.99</v>
      </c>
      <c r="J219">
        <v>1</v>
      </c>
      <c r="K219" s="2">
        <f t="shared" si="6"/>
        <v>13.99</v>
      </c>
      <c r="L219" t="s">
        <v>43</v>
      </c>
      <c r="M219">
        <v>5</v>
      </c>
      <c r="N219">
        <v>7.0000000000000007E-2</v>
      </c>
      <c r="O219" t="str">
        <f t="shared" si="7"/>
        <v>0–0.2 hours</v>
      </c>
      <c r="P219" t="s">
        <v>47</v>
      </c>
    </row>
    <row r="220" spans="1:16" x14ac:dyDescent="0.4">
      <c r="A220" t="s">
        <v>261</v>
      </c>
      <c r="B220">
        <v>66</v>
      </c>
      <c r="C220" t="s">
        <v>27</v>
      </c>
      <c r="D220" t="s">
        <v>16</v>
      </c>
      <c r="E220">
        <v>6.93</v>
      </c>
      <c r="F220">
        <v>47</v>
      </c>
      <c r="G220" t="s">
        <v>49</v>
      </c>
      <c r="H220" t="s">
        <v>57</v>
      </c>
      <c r="I220" s="2">
        <v>8.99</v>
      </c>
      <c r="J220">
        <v>1</v>
      </c>
      <c r="K220" s="2">
        <f t="shared" si="6"/>
        <v>8.99</v>
      </c>
      <c r="L220" t="s">
        <v>43</v>
      </c>
      <c r="M220">
        <v>3</v>
      </c>
      <c r="N220">
        <v>0.14000000000000001</v>
      </c>
      <c r="O220" t="str">
        <f t="shared" si="7"/>
        <v>0–0.2 hours</v>
      </c>
      <c r="P220" t="s">
        <v>25</v>
      </c>
    </row>
    <row r="221" spans="1:16" x14ac:dyDescent="0.4">
      <c r="A221" t="s">
        <v>262</v>
      </c>
      <c r="B221">
        <v>24</v>
      </c>
      <c r="C221" t="s">
        <v>27</v>
      </c>
      <c r="D221" t="s">
        <v>32</v>
      </c>
      <c r="E221">
        <v>11.67</v>
      </c>
      <c r="F221">
        <v>31</v>
      </c>
      <c r="G221" t="s">
        <v>33</v>
      </c>
      <c r="H221" t="s">
        <v>24</v>
      </c>
      <c r="I221" s="2">
        <v>17.989999999999998</v>
      </c>
      <c r="J221">
        <v>1</v>
      </c>
      <c r="K221" s="2">
        <f t="shared" si="6"/>
        <v>17.989999999999998</v>
      </c>
      <c r="L221" t="s">
        <v>29</v>
      </c>
      <c r="M221">
        <v>3</v>
      </c>
      <c r="N221">
        <v>0.36</v>
      </c>
      <c r="O221" t="str">
        <f t="shared" si="7"/>
        <v>0.2–0.4 hours</v>
      </c>
      <c r="P221" t="s">
        <v>25</v>
      </c>
    </row>
    <row r="222" spans="1:16" x14ac:dyDescent="0.4">
      <c r="A222" t="s">
        <v>263</v>
      </c>
      <c r="B222">
        <v>49</v>
      </c>
      <c r="C222" t="s">
        <v>15</v>
      </c>
      <c r="D222" t="s">
        <v>32</v>
      </c>
      <c r="E222">
        <v>5.31</v>
      </c>
      <c r="F222">
        <v>39</v>
      </c>
      <c r="G222" t="s">
        <v>23</v>
      </c>
      <c r="H222" t="s">
        <v>18</v>
      </c>
      <c r="I222" s="2">
        <v>17.989999999999998</v>
      </c>
      <c r="J222">
        <v>1</v>
      </c>
      <c r="K222" s="2">
        <f t="shared" si="6"/>
        <v>17.989999999999998</v>
      </c>
      <c r="L222" t="s">
        <v>61</v>
      </c>
      <c r="M222">
        <v>1</v>
      </c>
      <c r="N222">
        <v>0.13</v>
      </c>
      <c r="O222" t="str">
        <f t="shared" si="7"/>
        <v>0–0.2 hours</v>
      </c>
      <c r="P222" t="s">
        <v>47</v>
      </c>
    </row>
    <row r="223" spans="1:16" x14ac:dyDescent="0.4">
      <c r="A223" t="s">
        <v>264</v>
      </c>
      <c r="B223">
        <v>65</v>
      </c>
      <c r="C223" t="s">
        <v>15</v>
      </c>
      <c r="D223" t="s">
        <v>22</v>
      </c>
      <c r="E223">
        <v>1.83</v>
      </c>
      <c r="F223">
        <v>37</v>
      </c>
      <c r="G223" t="s">
        <v>17</v>
      </c>
      <c r="H223" t="s">
        <v>55</v>
      </c>
      <c r="I223" s="2">
        <v>13.99</v>
      </c>
      <c r="J223">
        <v>1</v>
      </c>
      <c r="K223" s="2">
        <f t="shared" si="6"/>
        <v>13.99</v>
      </c>
      <c r="L223" t="s">
        <v>61</v>
      </c>
      <c r="M223">
        <v>1</v>
      </c>
      <c r="N223">
        <v>0.05</v>
      </c>
      <c r="O223" t="str">
        <f t="shared" si="7"/>
        <v>0–0.2 hours</v>
      </c>
      <c r="P223" t="s">
        <v>47</v>
      </c>
    </row>
    <row r="224" spans="1:16" x14ac:dyDescent="0.4">
      <c r="A224" t="s">
        <v>265</v>
      </c>
      <c r="B224">
        <v>52</v>
      </c>
      <c r="C224" t="s">
        <v>27</v>
      </c>
      <c r="D224" t="s">
        <v>22</v>
      </c>
      <c r="E224">
        <v>2.62</v>
      </c>
      <c r="F224">
        <v>43</v>
      </c>
      <c r="G224" t="s">
        <v>49</v>
      </c>
      <c r="H224" t="s">
        <v>24</v>
      </c>
      <c r="I224" s="2">
        <v>13.99</v>
      </c>
      <c r="J224">
        <v>1</v>
      </c>
      <c r="K224" s="2">
        <f t="shared" si="6"/>
        <v>13.99</v>
      </c>
      <c r="L224" t="s">
        <v>19</v>
      </c>
      <c r="M224">
        <v>5</v>
      </c>
      <c r="N224">
        <v>0.06</v>
      </c>
      <c r="O224" t="str">
        <f t="shared" si="7"/>
        <v>0–0.2 hours</v>
      </c>
      <c r="P224" t="s">
        <v>52</v>
      </c>
    </row>
    <row r="225" spans="1:16" x14ac:dyDescent="0.4">
      <c r="A225" t="s">
        <v>266</v>
      </c>
      <c r="B225">
        <v>61</v>
      </c>
      <c r="C225" t="s">
        <v>15</v>
      </c>
      <c r="D225" t="s">
        <v>32</v>
      </c>
      <c r="E225">
        <v>0.85</v>
      </c>
      <c r="F225">
        <v>6</v>
      </c>
      <c r="G225" t="s">
        <v>23</v>
      </c>
      <c r="H225" t="s">
        <v>18</v>
      </c>
      <c r="I225" s="2">
        <v>17.989999999999998</v>
      </c>
      <c r="J225">
        <v>1</v>
      </c>
      <c r="K225" s="2">
        <f t="shared" si="6"/>
        <v>17.989999999999998</v>
      </c>
      <c r="L225" t="s">
        <v>29</v>
      </c>
      <c r="M225">
        <v>1</v>
      </c>
      <c r="N225">
        <v>0.12</v>
      </c>
      <c r="O225" t="str">
        <f t="shared" si="7"/>
        <v>0–0.2 hours</v>
      </c>
      <c r="P225" t="s">
        <v>34</v>
      </c>
    </row>
    <row r="226" spans="1:16" x14ac:dyDescent="0.4">
      <c r="A226" t="s">
        <v>267</v>
      </c>
      <c r="B226">
        <v>50</v>
      </c>
      <c r="C226" t="s">
        <v>27</v>
      </c>
      <c r="D226" t="s">
        <v>22</v>
      </c>
      <c r="E226">
        <v>5.0199999999999996</v>
      </c>
      <c r="F226">
        <v>47</v>
      </c>
      <c r="G226" t="s">
        <v>17</v>
      </c>
      <c r="H226" t="s">
        <v>24</v>
      </c>
      <c r="I226" s="2">
        <v>13.99</v>
      </c>
      <c r="J226">
        <v>1</v>
      </c>
      <c r="K226" s="2">
        <f t="shared" si="6"/>
        <v>13.99</v>
      </c>
      <c r="L226" t="s">
        <v>29</v>
      </c>
      <c r="M226">
        <v>3</v>
      </c>
      <c r="N226">
        <v>0.1</v>
      </c>
      <c r="O226" t="str">
        <f t="shared" si="7"/>
        <v>0–0.2 hours</v>
      </c>
      <c r="P226" t="s">
        <v>34</v>
      </c>
    </row>
    <row r="227" spans="1:16" x14ac:dyDescent="0.4">
      <c r="A227" t="s">
        <v>268</v>
      </c>
      <c r="B227">
        <v>56</v>
      </c>
      <c r="C227" t="s">
        <v>15</v>
      </c>
      <c r="D227" t="s">
        <v>32</v>
      </c>
      <c r="E227">
        <v>19.809999999999999</v>
      </c>
      <c r="F227">
        <v>25</v>
      </c>
      <c r="G227" t="s">
        <v>28</v>
      </c>
      <c r="H227" t="s">
        <v>57</v>
      </c>
      <c r="I227" s="2">
        <v>17.989999999999998</v>
      </c>
      <c r="J227">
        <v>0</v>
      </c>
      <c r="K227" s="2">
        <f t="shared" si="6"/>
        <v>0</v>
      </c>
      <c r="L227" t="s">
        <v>61</v>
      </c>
      <c r="M227">
        <v>4</v>
      </c>
      <c r="N227">
        <v>0.76</v>
      </c>
      <c r="O227" t="str">
        <f t="shared" si="7"/>
        <v>0.6–0.8 hours</v>
      </c>
      <c r="P227" t="s">
        <v>25</v>
      </c>
    </row>
    <row r="228" spans="1:16" x14ac:dyDescent="0.4">
      <c r="A228" s="1" t="s">
        <v>269</v>
      </c>
      <c r="B228">
        <v>36</v>
      </c>
      <c r="C228" t="s">
        <v>15</v>
      </c>
      <c r="D228" t="s">
        <v>32</v>
      </c>
      <c r="E228">
        <v>18.47</v>
      </c>
      <c r="F228">
        <v>28</v>
      </c>
      <c r="G228" t="s">
        <v>28</v>
      </c>
      <c r="H228" t="s">
        <v>57</v>
      </c>
      <c r="I228" s="2">
        <v>17.989999999999998</v>
      </c>
      <c r="J228">
        <v>0</v>
      </c>
      <c r="K228" s="2">
        <f t="shared" si="6"/>
        <v>0</v>
      </c>
      <c r="L228" t="s">
        <v>61</v>
      </c>
      <c r="M228">
        <v>2</v>
      </c>
      <c r="N228">
        <v>0.64</v>
      </c>
      <c r="O228" t="str">
        <f t="shared" si="7"/>
        <v>0.6–0.8 hours</v>
      </c>
      <c r="P228" t="s">
        <v>34</v>
      </c>
    </row>
    <row r="229" spans="1:16" x14ac:dyDescent="0.4">
      <c r="A229" t="s">
        <v>270</v>
      </c>
      <c r="B229">
        <v>40</v>
      </c>
      <c r="C229" t="s">
        <v>27</v>
      </c>
      <c r="D229" t="s">
        <v>22</v>
      </c>
      <c r="E229">
        <v>22.52</v>
      </c>
      <c r="F229">
        <v>8</v>
      </c>
      <c r="G229" t="s">
        <v>17</v>
      </c>
      <c r="H229" t="s">
        <v>46</v>
      </c>
      <c r="I229" s="2">
        <v>13.99</v>
      </c>
      <c r="J229">
        <v>0</v>
      </c>
      <c r="K229" s="2">
        <f t="shared" si="6"/>
        <v>0</v>
      </c>
      <c r="L229" t="s">
        <v>43</v>
      </c>
      <c r="M229">
        <v>5</v>
      </c>
      <c r="N229">
        <v>2.5</v>
      </c>
      <c r="O229" t="str">
        <f t="shared" si="7"/>
        <v>1+ hours</v>
      </c>
      <c r="P229" t="s">
        <v>47</v>
      </c>
    </row>
    <row r="230" spans="1:16" x14ac:dyDescent="0.4">
      <c r="A230" t="s">
        <v>271</v>
      </c>
      <c r="B230">
        <v>23</v>
      </c>
      <c r="C230" t="s">
        <v>27</v>
      </c>
      <c r="D230" t="s">
        <v>32</v>
      </c>
      <c r="E230">
        <v>11.54</v>
      </c>
      <c r="F230">
        <v>28</v>
      </c>
      <c r="G230" t="s">
        <v>23</v>
      </c>
      <c r="H230" t="s">
        <v>46</v>
      </c>
      <c r="I230" s="2">
        <v>17.989999999999998</v>
      </c>
      <c r="J230">
        <v>0</v>
      </c>
      <c r="K230" s="2">
        <f t="shared" si="6"/>
        <v>0</v>
      </c>
      <c r="L230" t="s">
        <v>19</v>
      </c>
      <c r="M230">
        <v>5</v>
      </c>
      <c r="N230">
        <v>0.4</v>
      </c>
      <c r="O230" t="str">
        <f t="shared" si="7"/>
        <v>0.2–0.4 hours</v>
      </c>
      <c r="P230" t="s">
        <v>25</v>
      </c>
    </row>
    <row r="231" spans="1:16" x14ac:dyDescent="0.4">
      <c r="A231" t="s">
        <v>272</v>
      </c>
      <c r="B231">
        <v>49</v>
      </c>
      <c r="C231" t="s">
        <v>27</v>
      </c>
      <c r="D231" t="s">
        <v>16</v>
      </c>
      <c r="E231">
        <v>38.43</v>
      </c>
      <c r="F231">
        <v>6</v>
      </c>
      <c r="G231" t="s">
        <v>33</v>
      </c>
      <c r="H231" t="s">
        <v>57</v>
      </c>
      <c r="I231" s="2">
        <v>8.99</v>
      </c>
      <c r="J231">
        <v>0</v>
      </c>
      <c r="K231" s="2">
        <f t="shared" si="6"/>
        <v>0</v>
      </c>
      <c r="L231" t="s">
        <v>43</v>
      </c>
      <c r="M231">
        <v>3</v>
      </c>
      <c r="N231">
        <v>5.49</v>
      </c>
      <c r="O231" t="str">
        <f t="shared" si="7"/>
        <v>1+ hours</v>
      </c>
      <c r="P231" t="s">
        <v>30</v>
      </c>
    </row>
    <row r="232" spans="1:16" x14ac:dyDescent="0.4">
      <c r="A232" t="s">
        <v>273</v>
      </c>
      <c r="B232">
        <v>68</v>
      </c>
      <c r="C232" t="s">
        <v>27</v>
      </c>
      <c r="D232" t="s">
        <v>22</v>
      </c>
      <c r="E232">
        <v>2.7</v>
      </c>
      <c r="F232">
        <v>35</v>
      </c>
      <c r="G232" t="s">
        <v>28</v>
      </c>
      <c r="H232" t="s">
        <v>18</v>
      </c>
      <c r="I232" s="2">
        <v>13.99</v>
      </c>
      <c r="J232">
        <v>1</v>
      </c>
      <c r="K232" s="2">
        <f t="shared" si="6"/>
        <v>13.99</v>
      </c>
      <c r="L232" t="s">
        <v>37</v>
      </c>
      <c r="M232">
        <v>1</v>
      </c>
      <c r="N232">
        <v>0.08</v>
      </c>
      <c r="O232" t="str">
        <f t="shared" si="7"/>
        <v>0–0.2 hours</v>
      </c>
      <c r="P232" t="s">
        <v>52</v>
      </c>
    </row>
    <row r="233" spans="1:16" x14ac:dyDescent="0.4">
      <c r="A233" s="1" t="s">
        <v>274</v>
      </c>
      <c r="B233">
        <v>52</v>
      </c>
      <c r="C233" t="s">
        <v>15</v>
      </c>
      <c r="D233" t="s">
        <v>22</v>
      </c>
      <c r="E233">
        <v>1.79</v>
      </c>
      <c r="F233">
        <v>38</v>
      </c>
      <c r="G233" t="s">
        <v>17</v>
      </c>
      <c r="H233" t="s">
        <v>24</v>
      </c>
      <c r="I233" s="2">
        <v>13.99</v>
      </c>
      <c r="J233">
        <v>1</v>
      </c>
      <c r="K233" s="2">
        <f t="shared" si="6"/>
        <v>13.99</v>
      </c>
      <c r="L233" t="s">
        <v>61</v>
      </c>
      <c r="M233">
        <v>1</v>
      </c>
      <c r="N233">
        <v>0.05</v>
      </c>
      <c r="O233" t="str">
        <f t="shared" si="7"/>
        <v>0–0.2 hours</v>
      </c>
      <c r="P233" t="s">
        <v>30</v>
      </c>
    </row>
    <row r="234" spans="1:16" x14ac:dyDescent="0.4">
      <c r="A234" t="s">
        <v>275</v>
      </c>
      <c r="B234">
        <v>37</v>
      </c>
      <c r="C234" t="s">
        <v>41</v>
      </c>
      <c r="D234" t="s">
        <v>22</v>
      </c>
      <c r="E234">
        <v>13.86</v>
      </c>
      <c r="F234">
        <v>46</v>
      </c>
      <c r="G234" t="s">
        <v>49</v>
      </c>
      <c r="H234" t="s">
        <v>46</v>
      </c>
      <c r="I234" s="2">
        <v>13.99</v>
      </c>
      <c r="J234">
        <v>1</v>
      </c>
      <c r="K234" s="2">
        <f t="shared" si="6"/>
        <v>13.99</v>
      </c>
      <c r="L234" t="s">
        <v>19</v>
      </c>
      <c r="M234">
        <v>3</v>
      </c>
      <c r="N234">
        <v>0.28999999999999998</v>
      </c>
      <c r="O234" t="str">
        <f t="shared" si="7"/>
        <v>0.2–0.4 hours</v>
      </c>
      <c r="P234" t="s">
        <v>52</v>
      </c>
    </row>
    <row r="235" spans="1:16" x14ac:dyDescent="0.4">
      <c r="A235" t="s">
        <v>276</v>
      </c>
      <c r="B235">
        <v>33</v>
      </c>
      <c r="C235" t="s">
        <v>27</v>
      </c>
      <c r="D235" t="s">
        <v>16</v>
      </c>
      <c r="E235">
        <v>0.14000000000000001</v>
      </c>
      <c r="F235">
        <v>37</v>
      </c>
      <c r="G235" t="s">
        <v>23</v>
      </c>
      <c r="H235" t="s">
        <v>18</v>
      </c>
      <c r="I235" s="2">
        <v>8.99</v>
      </c>
      <c r="J235">
        <v>1</v>
      </c>
      <c r="K235" s="2">
        <f t="shared" si="6"/>
        <v>8.99</v>
      </c>
      <c r="L235" t="s">
        <v>43</v>
      </c>
      <c r="M235">
        <v>5</v>
      </c>
      <c r="N235">
        <v>0</v>
      </c>
      <c r="O235" t="str">
        <f t="shared" si="7"/>
        <v>0–0.2 hours</v>
      </c>
      <c r="P235" t="s">
        <v>25</v>
      </c>
    </row>
    <row r="236" spans="1:16" x14ac:dyDescent="0.4">
      <c r="A236" t="s">
        <v>277</v>
      </c>
      <c r="B236">
        <v>26</v>
      </c>
      <c r="C236" t="s">
        <v>15</v>
      </c>
      <c r="D236" t="s">
        <v>32</v>
      </c>
      <c r="E236">
        <v>19.48</v>
      </c>
      <c r="F236">
        <v>35</v>
      </c>
      <c r="G236" t="s">
        <v>33</v>
      </c>
      <c r="H236" t="s">
        <v>46</v>
      </c>
      <c r="I236" s="2">
        <v>17.989999999999998</v>
      </c>
      <c r="J236">
        <v>0</v>
      </c>
      <c r="K236" s="2">
        <f t="shared" si="6"/>
        <v>0</v>
      </c>
      <c r="L236" t="s">
        <v>43</v>
      </c>
      <c r="M236">
        <v>5</v>
      </c>
      <c r="N236">
        <v>0.54</v>
      </c>
      <c r="O236" t="str">
        <f t="shared" si="7"/>
        <v>0.4–0.6 hours</v>
      </c>
      <c r="P236" t="s">
        <v>34</v>
      </c>
    </row>
    <row r="237" spans="1:16" x14ac:dyDescent="0.4">
      <c r="A237" t="s">
        <v>278</v>
      </c>
      <c r="B237">
        <v>37</v>
      </c>
      <c r="C237" t="s">
        <v>41</v>
      </c>
      <c r="D237" t="s">
        <v>16</v>
      </c>
      <c r="E237">
        <v>4.84</v>
      </c>
      <c r="F237">
        <v>25</v>
      </c>
      <c r="G237" t="s">
        <v>17</v>
      </c>
      <c r="H237" t="s">
        <v>46</v>
      </c>
      <c r="I237" s="2">
        <v>8.99</v>
      </c>
      <c r="J237">
        <v>1</v>
      </c>
      <c r="K237" s="2">
        <f t="shared" si="6"/>
        <v>8.99</v>
      </c>
      <c r="L237" t="s">
        <v>43</v>
      </c>
      <c r="M237">
        <v>5</v>
      </c>
      <c r="N237">
        <v>0.19</v>
      </c>
      <c r="O237" t="str">
        <f t="shared" si="7"/>
        <v>0–0.2 hours</v>
      </c>
      <c r="P237" t="s">
        <v>20</v>
      </c>
    </row>
    <row r="238" spans="1:16" x14ac:dyDescent="0.4">
      <c r="A238" t="s">
        <v>279</v>
      </c>
      <c r="B238">
        <v>36</v>
      </c>
      <c r="C238" t="s">
        <v>15</v>
      </c>
      <c r="D238" t="s">
        <v>32</v>
      </c>
      <c r="E238">
        <v>8.6999999999999993</v>
      </c>
      <c r="F238">
        <v>45</v>
      </c>
      <c r="G238" t="s">
        <v>49</v>
      </c>
      <c r="H238" t="s">
        <v>24</v>
      </c>
      <c r="I238" s="2">
        <v>17.989999999999998</v>
      </c>
      <c r="J238">
        <v>0</v>
      </c>
      <c r="K238" s="2">
        <f t="shared" si="6"/>
        <v>0</v>
      </c>
      <c r="L238" t="s">
        <v>43</v>
      </c>
      <c r="M238">
        <v>4</v>
      </c>
      <c r="N238">
        <v>0.19</v>
      </c>
      <c r="O238" t="str">
        <f t="shared" si="7"/>
        <v>0–0.2 hours</v>
      </c>
      <c r="P238" t="s">
        <v>30</v>
      </c>
    </row>
    <row r="239" spans="1:16" x14ac:dyDescent="0.4">
      <c r="A239" t="s">
        <v>280</v>
      </c>
      <c r="B239">
        <v>61</v>
      </c>
      <c r="C239" t="s">
        <v>41</v>
      </c>
      <c r="D239" t="s">
        <v>32</v>
      </c>
      <c r="E239">
        <v>19.190000000000001</v>
      </c>
      <c r="F239">
        <v>27</v>
      </c>
      <c r="G239" t="s">
        <v>49</v>
      </c>
      <c r="H239" t="s">
        <v>24</v>
      </c>
      <c r="I239" s="2">
        <v>17.989999999999998</v>
      </c>
      <c r="J239">
        <v>0</v>
      </c>
      <c r="K239" s="2">
        <f t="shared" si="6"/>
        <v>0</v>
      </c>
      <c r="L239" t="s">
        <v>43</v>
      </c>
      <c r="M239">
        <v>2</v>
      </c>
      <c r="N239">
        <v>0.69</v>
      </c>
      <c r="O239" t="str">
        <f t="shared" si="7"/>
        <v>0.6–0.8 hours</v>
      </c>
      <c r="P239" t="s">
        <v>34</v>
      </c>
    </row>
    <row r="240" spans="1:16" x14ac:dyDescent="0.4">
      <c r="A240" t="s">
        <v>281</v>
      </c>
      <c r="B240">
        <v>43</v>
      </c>
      <c r="C240" t="s">
        <v>41</v>
      </c>
      <c r="D240" t="s">
        <v>16</v>
      </c>
      <c r="E240">
        <v>0.53</v>
      </c>
      <c r="F240">
        <v>22</v>
      </c>
      <c r="G240" t="s">
        <v>23</v>
      </c>
      <c r="H240" t="s">
        <v>18</v>
      </c>
      <c r="I240" s="2">
        <v>8.99</v>
      </c>
      <c r="J240">
        <v>1</v>
      </c>
      <c r="K240" s="2">
        <f t="shared" si="6"/>
        <v>8.99</v>
      </c>
      <c r="L240" t="s">
        <v>43</v>
      </c>
      <c r="M240">
        <v>1</v>
      </c>
      <c r="N240">
        <v>0.02</v>
      </c>
      <c r="O240" t="str">
        <f t="shared" si="7"/>
        <v>0–0.2 hours</v>
      </c>
      <c r="P240" t="s">
        <v>39</v>
      </c>
    </row>
    <row r="241" spans="1:16" x14ac:dyDescent="0.4">
      <c r="A241" t="s">
        <v>282</v>
      </c>
      <c r="B241">
        <v>62</v>
      </c>
      <c r="C241" t="s">
        <v>41</v>
      </c>
      <c r="D241" t="s">
        <v>16</v>
      </c>
      <c r="E241">
        <v>7.85</v>
      </c>
      <c r="F241">
        <v>53</v>
      </c>
      <c r="G241" t="s">
        <v>23</v>
      </c>
      <c r="H241" t="s">
        <v>24</v>
      </c>
      <c r="I241" s="2">
        <v>8.99</v>
      </c>
      <c r="J241">
        <v>1</v>
      </c>
      <c r="K241" s="2">
        <f t="shared" si="6"/>
        <v>8.99</v>
      </c>
      <c r="L241" t="s">
        <v>43</v>
      </c>
      <c r="M241">
        <v>2</v>
      </c>
      <c r="N241">
        <v>0.15</v>
      </c>
      <c r="O241" t="str">
        <f t="shared" si="7"/>
        <v>0–0.2 hours</v>
      </c>
      <c r="P241" t="s">
        <v>39</v>
      </c>
    </row>
    <row r="242" spans="1:16" x14ac:dyDescent="0.4">
      <c r="A242" t="s">
        <v>283</v>
      </c>
      <c r="B242">
        <v>70</v>
      </c>
      <c r="C242" t="s">
        <v>15</v>
      </c>
      <c r="D242" t="s">
        <v>32</v>
      </c>
      <c r="E242">
        <v>42.5</v>
      </c>
      <c r="F242">
        <v>46</v>
      </c>
      <c r="G242" t="s">
        <v>23</v>
      </c>
      <c r="H242" t="s">
        <v>46</v>
      </c>
      <c r="I242" s="2">
        <v>17.989999999999998</v>
      </c>
      <c r="J242">
        <v>0</v>
      </c>
      <c r="K242" s="2">
        <f t="shared" si="6"/>
        <v>0</v>
      </c>
      <c r="L242" t="s">
        <v>61</v>
      </c>
      <c r="M242">
        <v>2</v>
      </c>
      <c r="N242">
        <v>0.9</v>
      </c>
      <c r="O242" t="str">
        <f t="shared" si="7"/>
        <v>0.8–1 hour</v>
      </c>
      <c r="P242" t="s">
        <v>30</v>
      </c>
    </row>
    <row r="243" spans="1:16" x14ac:dyDescent="0.4">
      <c r="A243" t="s">
        <v>284</v>
      </c>
      <c r="B243">
        <v>34</v>
      </c>
      <c r="C243" t="s">
        <v>41</v>
      </c>
      <c r="D243" t="s">
        <v>22</v>
      </c>
      <c r="E243">
        <v>6.33</v>
      </c>
      <c r="F243">
        <v>49</v>
      </c>
      <c r="G243" t="s">
        <v>23</v>
      </c>
      <c r="H243" t="s">
        <v>46</v>
      </c>
      <c r="I243" s="2">
        <v>13.99</v>
      </c>
      <c r="J243">
        <v>0</v>
      </c>
      <c r="K243" s="2">
        <f t="shared" si="6"/>
        <v>0</v>
      </c>
      <c r="L243" t="s">
        <v>37</v>
      </c>
      <c r="M243">
        <v>4</v>
      </c>
      <c r="N243">
        <v>0.13</v>
      </c>
      <c r="O243" t="str">
        <f t="shared" si="7"/>
        <v>0–0.2 hours</v>
      </c>
      <c r="P243" t="s">
        <v>20</v>
      </c>
    </row>
    <row r="244" spans="1:16" x14ac:dyDescent="0.4">
      <c r="A244" t="s">
        <v>285</v>
      </c>
      <c r="B244">
        <v>38</v>
      </c>
      <c r="C244" t="s">
        <v>27</v>
      </c>
      <c r="D244" t="s">
        <v>16</v>
      </c>
      <c r="E244">
        <v>33.5</v>
      </c>
      <c r="F244">
        <v>56</v>
      </c>
      <c r="G244" t="s">
        <v>28</v>
      </c>
      <c r="H244" t="s">
        <v>46</v>
      </c>
      <c r="I244" s="2">
        <v>8.99</v>
      </c>
      <c r="J244">
        <v>0</v>
      </c>
      <c r="K244" s="2">
        <f t="shared" si="6"/>
        <v>0</v>
      </c>
      <c r="L244" t="s">
        <v>43</v>
      </c>
      <c r="M244">
        <v>2</v>
      </c>
      <c r="N244">
        <v>0.59</v>
      </c>
      <c r="O244" t="str">
        <f t="shared" si="7"/>
        <v>0.4–0.6 hours</v>
      </c>
      <c r="P244" t="s">
        <v>20</v>
      </c>
    </row>
    <row r="245" spans="1:16" x14ac:dyDescent="0.4">
      <c r="A245" t="s">
        <v>286</v>
      </c>
      <c r="B245">
        <v>67</v>
      </c>
      <c r="C245" t="s">
        <v>27</v>
      </c>
      <c r="D245" t="s">
        <v>16</v>
      </c>
      <c r="E245">
        <v>2.5499999999999998</v>
      </c>
      <c r="F245">
        <v>48</v>
      </c>
      <c r="G245" t="s">
        <v>33</v>
      </c>
      <c r="H245" t="s">
        <v>46</v>
      </c>
      <c r="I245" s="2">
        <v>8.99</v>
      </c>
      <c r="J245">
        <v>1</v>
      </c>
      <c r="K245" s="2">
        <f t="shared" si="6"/>
        <v>8.99</v>
      </c>
      <c r="L245" t="s">
        <v>19</v>
      </c>
      <c r="M245">
        <v>2</v>
      </c>
      <c r="N245">
        <v>0.05</v>
      </c>
      <c r="O245" t="str">
        <f t="shared" si="7"/>
        <v>0–0.2 hours</v>
      </c>
      <c r="P245" t="s">
        <v>25</v>
      </c>
    </row>
    <row r="246" spans="1:16" x14ac:dyDescent="0.4">
      <c r="A246" t="s">
        <v>287</v>
      </c>
      <c r="B246">
        <v>39</v>
      </c>
      <c r="C246" t="s">
        <v>27</v>
      </c>
      <c r="D246" t="s">
        <v>32</v>
      </c>
      <c r="E246">
        <v>47.79</v>
      </c>
      <c r="F246">
        <v>12</v>
      </c>
      <c r="G246" t="s">
        <v>70</v>
      </c>
      <c r="H246" t="s">
        <v>18</v>
      </c>
      <c r="I246" s="2">
        <v>17.989999999999998</v>
      </c>
      <c r="J246">
        <v>0</v>
      </c>
      <c r="K246" s="2">
        <f t="shared" si="6"/>
        <v>0</v>
      </c>
      <c r="L246" t="s">
        <v>19</v>
      </c>
      <c r="M246">
        <v>1</v>
      </c>
      <c r="N246">
        <v>3.68</v>
      </c>
      <c r="O246" t="str">
        <f t="shared" si="7"/>
        <v>1+ hours</v>
      </c>
      <c r="P246" t="s">
        <v>47</v>
      </c>
    </row>
    <row r="247" spans="1:16" x14ac:dyDescent="0.4">
      <c r="A247" t="s">
        <v>288</v>
      </c>
      <c r="B247">
        <v>22</v>
      </c>
      <c r="C247" t="s">
        <v>15</v>
      </c>
      <c r="D247" t="s">
        <v>16</v>
      </c>
      <c r="E247">
        <v>26.28</v>
      </c>
      <c r="F247">
        <v>48</v>
      </c>
      <c r="G247" t="s">
        <v>23</v>
      </c>
      <c r="H247" t="s">
        <v>18</v>
      </c>
      <c r="I247" s="2">
        <v>8.99</v>
      </c>
      <c r="J247">
        <v>0</v>
      </c>
      <c r="K247" s="2">
        <f t="shared" si="6"/>
        <v>0</v>
      </c>
      <c r="L247" t="s">
        <v>29</v>
      </c>
      <c r="M247">
        <v>3</v>
      </c>
      <c r="N247">
        <v>0.54</v>
      </c>
      <c r="O247" t="str">
        <f t="shared" si="7"/>
        <v>0.4–0.6 hours</v>
      </c>
      <c r="P247" t="s">
        <v>25</v>
      </c>
    </row>
    <row r="248" spans="1:16" x14ac:dyDescent="0.4">
      <c r="A248" t="s">
        <v>289</v>
      </c>
      <c r="B248">
        <v>67</v>
      </c>
      <c r="C248" t="s">
        <v>41</v>
      </c>
      <c r="D248" t="s">
        <v>32</v>
      </c>
      <c r="E248">
        <v>1.04</v>
      </c>
      <c r="F248">
        <v>17</v>
      </c>
      <c r="G248" t="s">
        <v>23</v>
      </c>
      <c r="H248" t="s">
        <v>24</v>
      </c>
      <c r="I248" s="2">
        <v>17.989999999999998</v>
      </c>
      <c r="J248">
        <v>1</v>
      </c>
      <c r="K248" s="2">
        <f t="shared" si="6"/>
        <v>17.989999999999998</v>
      </c>
      <c r="L248" t="s">
        <v>19</v>
      </c>
      <c r="M248">
        <v>2</v>
      </c>
      <c r="N248">
        <v>0.06</v>
      </c>
      <c r="O248" t="str">
        <f t="shared" si="7"/>
        <v>0–0.2 hours</v>
      </c>
      <c r="P248" t="s">
        <v>39</v>
      </c>
    </row>
    <row r="249" spans="1:16" x14ac:dyDescent="0.4">
      <c r="A249" s="1" t="s">
        <v>290</v>
      </c>
      <c r="B249">
        <v>42</v>
      </c>
      <c r="C249" t="s">
        <v>27</v>
      </c>
      <c r="D249" t="s">
        <v>22</v>
      </c>
      <c r="E249">
        <v>9.91</v>
      </c>
      <c r="F249">
        <v>14</v>
      </c>
      <c r="G249" t="s">
        <v>17</v>
      </c>
      <c r="H249" t="s">
        <v>55</v>
      </c>
      <c r="I249" s="2">
        <v>13.99</v>
      </c>
      <c r="J249">
        <v>0</v>
      </c>
      <c r="K249" s="2">
        <f t="shared" si="6"/>
        <v>0</v>
      </c>
      <c r="L249" t="s">
        <v>29</v>
      </c>
      <c r="M249">
        <v>1</v>
      </c>
      <c r="N249">
        <v>0.66</v>
      </c>
      <c r="O249" t="str">
        <f t="shared" si="7"/>
        <v>0.6–0.8 hours</v>
      </c>
      <c r="P249" t="s">
        <v>47</v>
      </c>
    </row>
    <row r="250" spans="1:16" x14ac:dyDescent="0.4">
      <c r="A250" t="s">
        <v>291</v>
      </c>
      <c r="B250">
        <v>32</v>
      </c>
      <c r="C250" t="s">
        <v>15</v>
      </c>
      <c r="D250" t="s">
        <v>32</v>
      </c>
      <c r="E250">
        <v>16.39</v>
      </c>
      <c r="F250">
        <v>27</v>
      </c>
      <c r="G250" t="s">
        <v>23</v>
      </c>
      <c r="H250" t="s">
        <v>55</v>
      </c>
      <c r="I250" s="2">
        <v>17.989999999999998</v>
      </c>
      <c r="J250">
        <v>0</v>
      </c>
      <c r="K250" s="2">
        <f t="shared" si="6"/>
        <v>0</v>
      </c>
      <c r="L250" t="s">
        <v>19</v>
      </c>
      <c r="M250">
        <v>5</v>
      </c>
      <c r="N250">
        <v>0.59</v>
      </c>
      <c r="O250" t="str">
        <f t="shared" si="7"/>
        <v>0.4–0.6 hours</v>
      </c>
      <c r="P250" t="s">
        <v>34</v>
      </c>
    </row>
    <row r="251" spans="1:16" x14ac:dyDescent="0.4">
      <c r="A251" t="s">
        <v>292</v>
      </c>
      <c r="B251">
        <v>36</v>
      </c>
      <c r="C251" t="s">
        <v>15</v>
      </c>
      <c r="D251" t="s">
        <v>22</v>
      </c>
      <c r="E251">
        <v>32.78</v>
      </c>
      <c r="F251">
        <v>51</v>
      </c>
      <c r="G251" t="s">
        <v>28</v>
      </c>
      <c r="H251" t="s">
        <v>46</v>
      </c>
      <c r="I251" s="2">
        <v>13.99</v>
      </c>
      <c r="J251">
        <v>0</v>
      </c>
      <c r="K251" s="2">
        <f t="shared" si="6"/>
        <v>0</v>
      </c>
      <c r="L251" t="s">
        <v>37</v>
      </c>
      <c r="M251">
        <v>5</v>
      </c>
      <c r="N251">
        <v>0.63</v>
      </c>
      <c r="O251" t="str">
        <f t="shared" si="7"/>
        <v>0.6–0.8 hours</v>
      </c>
      <c r="P251" t="s">
        <v>52</v>
      </c>
    </row>
    <row r="252" spans="1:16" x14ac:dyDescent="0.4">
      <c r="A252" t="s">
        <v>293</v>
      </c>
      <c r="B252">
        <v>35</v>
      </c>
      <c r="C252" t="s">
        <v>41</v>
      </c>
      <c r="D252" t="s">
        <v>32</v>
      </c>
      <c r="E252">
        <v>1.95</v>
      </c>
      <c r="F252">
        <v>52</v>
      </c>
      <c r="G252" t="s">
        <v>17</v>
      </c>
      <c r="H252" t="s">
        <v>57</v>
      </c>
      <c r="I252" s="2">
        <v>17.989999999999998</v>
      </c>
      <c r="J252">
        <v>1</v>
      </c>
      <c r="K252" s="2">
        <f t="shared" si="6"/>
        <v>17.989999999999998</v>
      </c>
      <c r="L252" t="s">
        <v>61</v>
      </c>
      <c r="M252">
        <v>5</v>
      </c>
      <c r="N252">
        <v>0.04</v>
      </c>
      <c r="O252" t="str">
        <f t="shared" si="7"/>
        <v>0–0.2 hours</v>
      </c>
      <c r="P252" t="s">
        <v>30</v>
      </c>
    </row>
    <row r="253" spans="1:16" x14ac:dyDescent="0.4">
      <c r="A253" t="s">
        <v>294</v>
      </c>
      <c r="B253">
        <v>49</v>
      </c>
      <c r="C253" t="s">
        <v>15</v>
      </c>
      <c r="D253" t="s">
        <v>22</v>
      </c>
      <c r="E253">
        <v>5.0199999999999996</v>
      </c>
      <c r="F253">
        <v>26</v>
      </c>
      <c r="G253" t="s">
        <v>49</v>
      </c>
      <c r="H253" t="s">
        <v>57</v>
      </c>
      <c r="I253" s="2">
        <v>13.99</v>
      </c>
      <c r="J253">
        <v>0</v>
      </c>
      <c r="K253" s="2">
        <f t="shared" si="6"/>
        <v>0</v>
      </c>
      <c r="L253" t="s">
        <v>61</v>
      </c>
      <c r="M253">
        <v>4</v>
      </c>
      <c r="N253">
        <v>0.19</v>
      </c>
      <c r="O253" t="str">
        <f t="shared" si="7"/>
        <v>0–0.2 hours</v>
      </c>
      <c r="P253" t="s">
        <v>52</v>
      </c>
    </row>
    <row r="254" spans="1:16" x14ac:dyDescent="0.4">
      <c r="A254" t="s">
        <v>295</v>
      </c>
      <c r="B254">
        <v>41</v>
      </c>
      <c r="C254" t="s">
        <v>27</v>
      </c>
      <c r="D254" t="s">
        <v>16</v>
      </c>
      <c r="E254">
        <v>36.94</v>
      </c>
      <c r="F254">
        <v>6</v>
      </c>
      <c r="G254" t="s">
        <v>17</v>
      </c>
      <c r="H254" t="s">
        <v>57</v>
      </c>
      <c r="I254" s="2">
        <v>8.99</v>
      </c>
      <c r="J254">
        <v>0</v>
      </c>
      <c r="K254" s="2">
        <f t="shared" si="6"/>
        <v>0</v>
      </c>
      <c r="L254" t="s">
        <v>61</v>
      </c>
      <c r="M254">
        <v>4</v>
      </c>
      <c r="N254">
        <v>5.28</v>
      </c>
      <c r="O254" t="str">
        <f t="shared" si="7"/>
        <v>1+ hours</v>
      </c>
      <c r="P254" t="s">
        <v>30</v>
      </c>
    </row>
    <row r="255" spans="1:16" x14ac:dyDescent="0.4">
      <c r="A255" t="s">
        <v>296</v>
      </c>
      <c r="B255">
        <v>48</v>
      </c>
      <c r="C255" t="s">
        <v>27</v>
      </c>
      <c r="D255" t="s">
        <v>16</v>
      </c>
      <c r="E255">
        <v>1.3</v>
      </c>
      <c r="F255">
        <v>2</v>
      </c>
      <c r="G255" t="s">
        <v>49</v>
      </c>
      <c r="H255" t="s">
        <v>24</v>
      </c>
      <c r="I255" s="2">
        <v>8.99</v>
      </c>
      <c r="J255">
        <v>1</v>
      </c>
      <c r="K255" s="2">
        <f t="shared" si="6"/>
        <v>8.99</v>
      </c>
      <c r="L255" t="s">
        <v>29</v>
      </c>
      <c r="M255">
        <v>4</v>
      </c>
      <c r="N255">
        <v>0.43</v>
      </c>
      <c r="O255" t="str">
        <f t="shared" si="7"/>
        <v>0.4–0.6 hours</v>
      </c>
      <c r="P255" t="s">
        <v>30</v>
      </c>
    </row>
    <row r="256" spans="1:16" x14ac:dyDescent="0.4">
      <c r="A256" t="s">
        <v>297</v>
      </c>
      <c r="B256">
        <v>34</v>
      </c>
      <c r="C256" t="s">
        <v>41</v>
      </c>
      <c r="D256" t="s">
        <v>32</v>
      </c>
      <c r="E256">
        <v>0.33</v>
      </c>
      <c r="F256">
        <v>7</v>
      </c>
      <c r="G256" t="s">
        <v>28</v>
      </c>
      <c r="H256" t="s">
        <v>57</v>
      </c>
      <c r="I256" s="2">
        <v>17.989999999999998</v>
      </c>
      <c r="J256">
        <v>1</v>
      </c>
      <c r="K256" s="2">
        <f t="shared" si="6"/>
        <v>17.989999999999998</v>
      </c>
      <c r="L256" t="s">
        <v>19</v>
      </c>
      <c r="M256">
        <v>2</v>
      </c>
      <c r="N256">
        <v>0.04</v>
      </c>
      <c r="O256" t="str">
        <f t="shared" si="7"/>
        <v>0–0.2 hours</v>
      </c>
      <c r="P256" t="s">
        <v>34</v>
      </c>
    </row>
    <row r="257" spans="1:16" x14ac:dyDescent="0.4">
      <c r="A257" t="s">
        <v>298</v>
      </c>
      <c r="B257">
        <v>28</v>
      </c>
      <c r="C257" t="s">
        <v>15</v>
      </c>
      <c r="D257" t="s">
        <v>32</v>
      </c>
      <c r="E257">
        <v>5.03</v>
      </c>
      <c r="F257">
        <v>59</v>
      </c>
      <c r="G257" t="s">
        <v>33</v>
      </c>
      <c r="H257" t="s">
        <v>18</v>
      </c>
      <c r="I257" s="2">
        <v>17.989999999999998</v>
      </c>
      <c r="J257">
        <v>1</v>
      </c>
      <c r="K257" s="2">
        <f t="shared" si="6"/>
        <v>17.989999999999998</v>
      </c>
      <c r="L257" t="s">
        <v>29</v>
      </c>
      <c r="M257">
        <v>1</v>
      </c>
      <c r="N257">
        <v>0.08</v>
      </c>
      <c r="O257" t="str">
        <f t="shared" si="7"/>
        <v>0–0.2 hours</v>
      </c>
      <c r="P257" t="s">
        <v>30</v>
      </c>
    </row>
    <row r="258" spans="1:16" x14ac:dyDescent="0.4">
      <c r="A258" t="s">
        <v>299</v>
      </c>
      <c r="B258">
        <v>61</v>
      </c>
      <c r="C258" t="s">
        <v>27</v>
      </c>
      <c r="D258" t="s">
        <v>16</v>
      </c>
      <c r="E258">
        <v>1.21</v>
      </c>
      <c r="F258">
        <v>31</v>
      </c>
      <c r="G258" t="s">
        <v>23</v>
      </c>
      <c r="H258" t="s">
        <v>57</v>
      </c>
      <c r="I258" s="2">
        <v>8.99</v>
      </c>
      <c r="J258">
        <v>1</v>
      </c>
      <c r="K258" s="2">
        <f t="shared" si="6"/>
        <v>8.99</v>
      </c>
      <c r="L258" t="s">
        <v>29</v>
      </c>
      <c r="M258">
        <v>3</v>
      </c>
      <c r="N258">
        <v>0.04</v>
      </c>
      <c r="O258" t="str">
        <f t="shared" si="7"/>
        <v>0–0.2 hours</v>
      </c>
      <c r="P258" t="s">
        <v>30</v>
      </c>
    </row>
    <row r="259" spans="1:16" x14ac:dyDescent="0.4">
      <c r="A259" t="s">
        <v>300</v>
      </c>
      <c r="B259">
        <v>23</v>
      </c>
      <c r="C259" t="s">
        <v>15</v>
      </c>
      <c r="D259" t="s">
        <v>32</v>
      </c>
      <c r="E259">
        <v>3.51</v>
      </c>
      <c r="F259">
        <v>16</v>
      </c>
      <c r="G259" t="s">
        <v>28</v>
      </c>
      <c r="H259" t="s">
        <v>55</v>
      </c>
      <c r="I259" s="2">
        <v>17.989999999999998</v>
      </c>
      <c r="J259">
        <v>0</v>
      </c>
      <c r="K259" s="2">
        <f t="shared" ref="K259:K322" si="8">SUMIF(J259,1,I259)</f>
        <v>0</v>
      </c>
      <c r="L259" t="s">
        <v>61</v>
      </c>
      <c r="M259">
        <v>5</v>
      </c>
      <c r="N259">
        <v>0.21</v>
      </c>
      <c r="O259" t="str">
        <f t="shared" ref="O259:O322" si="9">IF(N259&gt;1,"1+ hours",IF(N259&lt;=0.2,"0–0.2 hours",IF(N259&lt;=0.4,"0.2–0.4 hours",IF(N259&lt;=0.6,"0.4–0.6 hours",IF(N259&lt;=0.8,"0.6–0.8 hours","0.8–1 hour")))))</f>
        <v>0.2–0.4 hours</v>
      </c>
      <c r="P259" t="s">
        <v>30</v>
      </c>
    </row>
    <row r="260" spans="1:16" x14ac:dyDescent="0.4">
      <c r="A260" t="s">
        <v>301</v>
      </c>
      <c r="B260">
        <v>30</v>
      </c>
      <c r="C260" t="s">
        <v>27</v>
      </c>
      <c r="D260" t="s">
        <v>32</v>
      </c>
      <c r="E260">
        <v>3.55</v>
      </c>
      <c r="F260">
        <v>45</v>
      </c>
      <c r="G260" t="s">
        <v>49</v>
      </c>
      <c r="H260" t="s">
        <v>55</v>
      </c>
      <c r="I260" s="2">
        <v>17.989999999999998</v>
      </c>
      <c r="J260">
        <v>1</v>
      </c>
      <c r="K260" s="2">
        <f t="shared" si="8"/>
        <v>17.989999999999998</v>
      </c>
      <c r="L260" t="s">
        <v>19</v>
      </c>
      <c r="M260">
        <v>3</v>
      </c>
      <c r="N260">
        <v>0.08</v>
      </c>
      <c r="O260" t="str">
        <f t="shared" si="9"/>
        <v>0–0.2 hours</v>
      </c>
      <c r="P260" t="s">
        <v>39</v>
      </c>
    </row>
    <row r="261" spans="1:16" x14ac:dyDescent="0.4">
      <c r="A261" t="s">
        <v>302</v>
      </c>
      <c r="B261">
        <v>40</v>
      </c>
      <c r="C261" t="s">
        <v>27</v>
      </c>
      <c r="D261" t="s">
        <v>16</v>
      </c>
      <c r="E261">
        <v>7.02</v>
      </c>
      <c r="F261">
        <v>44</v>
      </c>
      <c r="G261" t="s">
        <v>17</v>
      </c>
      <c r="H261" t="s">
        <v>57</v>
      </c>
      <c r="I261" s="2">
        <v>8.99</v>
      </c>
      <c r="J261">
        <v>1</v>
      </c>
      <c r="K261" s="2">
        <f t="shared" si="8"/>
        <v>8.99</v>
      </c>
      <c r="L261" t="s">
        <v>19</v>
      </c>
      <c r="M261">
        <v>4</v>
      </c>
      <c r="N261">
        <v>0.16</v>
      </c>
      <c r="O261" t="str">
        <f t="shared" si="9"/>
        <v>0–0.2 hours</v>
      </c>
      <c r="P261" t="s">
        <v>34</v>
      </c>
    </row>
    <row r="262" spans="1:16" x14ac:dyDescent="0.4">
      <c r="A262" t="s">
        <v>303</v>
      </c>
      <c r="B262">
        <v>18</v>
      </c>
      <c r="C262" t="s">
        <v>41</v>
      </c>
      <c r="D262" t="s">
        <v>16</v>
      </c>
      <c r="E262">
        <v>15.17</v>
      </c>
      <c r="F262">
        <v>28</v>
      </c>
      <c r="G262" t="s">
        <v>49</v>
      </c>
      <c r="H262" t="s">
        <v>24</v>
      </c>
      <c r="I262" s="2">
        <v>8.99</v>
      </c>
      <c r="J262">
        <v>0</v>
      </c>
      <c r="K262" s="2">
        <f t="shared" si="8"/>
        <v>0</v>
      </c>
      <c r="L262" t="s">
        <v>43</v>
      </c>
      <c r="M262">
        <v>3</v>
      </c>
      <c r="N262">
        <v>0.52</v>
      </c>
      <c r="O262" t="str">
        <f t="shared" si="9"/>
        <v>0.4–0.6 hours</v>
      </c>
      <c r="P262" t="s">
        <v>52</v>
      </c>
    </row>
    <row r="263" spans="1:16" x14ac:dyDescent="0.4">
      <c r="A263" t="s">
        <v>304</v>
      </c>
      <c r="B263">
        <v>47</v>
      </c>
      <c r="C263" t="s">
        <v>41</v>
      </c>
      <c r="D263" t="s">
        <v>22</v>
      </c>
      <c r="E263">
        <v>17.12</v>
      </c>
      <c r="F263">
        <v>22</v>
      </c>
      <c r="G263" t="s">
        <v>23</v>
      </c>
      <c r="H263" t="s">
        <v>55</v>
      </c>
      <c r="I263" s="2">
        <v>13.99</v>
      </c>
      <c r="J263">
        <v>0</v>
      </c>
      <c r="K263" s="2">
        <f t="shared" si="8"/>
        <v>0</v>
      </c>
      <c r="L263" t="s">
        <v>61</v>
      </c>
      <c r="M263">
        <v>1</v>
      </c>
      <c r="N263">
        <v>0.74</v>
      </c>
      <c r="O263" t="str">
        <f t="shared" si="9"/>
        <v>0.6–0.8 hours</v>
      </c>
      <c r="P263" t="s">
        <v>52</v>
      </c>
    </row>
    <row r="264" spans="1:16" x14ac:dyDescent="0.4">
      <c r="A264" t="s">
        <v>305</v>
      </c>
      <c r="B264">
        <v>61</v>
      </c>
      <c r="C264" t="s">
        <v>27</v>
      </c>
      <c r="D264" t="s">
        <v>16</v>
      </c>
      <c r="E264">
        <v>12.93</v>
      </c>
      <c r="F264">
        <v>55</v>
      </c>
      <c r="G264" t="s">
        <v>33</v>
      </c>
      <c r="H264" t="s">
        <v>57</v>
      </c>
      <c r="I264" s="2">
        <v>8.99</v>
      </c>
      <c r="J264">
        <v>1</v>
      </c>
      <c r="K264" s="2">
        <f t="shared" si="8"/>
        <v>8.99</v>
      </c>
      <c r="L264" t="s">
        <v>37</v>
      </c>
      <c r="M264">
        <v>4</v>
      </c>
      <c r="N264">
        <v>0.23</v>
      </c>
      <c r="O264" t="str">
        <f t="shared" si="9"/>
        <v>0.2–0.4 hours</v>
      </c>
      <c r="P264" t="s">
        <v>25</v>
      </c>
    </row>
    <row r="265" spans="1:16" x14ac:dyDescent="0.4">
      <c r="A265" t="s">
        <v>306</v>
      </c>
      <c r="B265">
        <v>50</v>
      </c>
      <c r="C265" t="s">
        <v>41</v>
      </c>
      <c r="D265" t="s">
        <v>22</v>
      </c>
      <c r="E265">
        <v>7.88</v>
      </c>
      <c r="F265">
        <v>43</v>
      </c>
      <c r="G265" t="s">
        <v>23</v>
      </c>
      <c r="H265" t="s">
        <v>57</v>
      </c>
      <c r="I265" s="2">
        <v>13.99</v>
      </c>
      <c r="J265">
        <v>1</v>
      </c>
      <c r="K265" s="2">
        <f t="shared" si="8"/>
        <v>13.99</v>
      </c>
      <c r="L265" t="s">
        <v>29</v>
      </c>
      <c r="M265">
        <v>1</v>
      </c>
      <c r="N265">
        <v>0.18</v>
      </c>
      <c r="O265" t="str">
        <f t="shared" si="9"/>
        <v>0–0.2 hours</v>
      </c>
      <c r="P265" t="s">
        <v>34</v>
      </c>
    </row>
    <row r="266" spans="1:16" x14ac:dyDescent="0.4">
      <c r="A266" t="s">
        <v>307</v>
      </c>
      <c r="B266">
        <v>42</v>
      </c>
      <c r="C266" t="s">
        <v>15</v>
      </c>
      <c r="D266" t="s">
        <v>16</v>
      </c>
      <c r="E266">
        <v>5.55</v>
      </c>
      <c r="F266">
        <v>47</v>
      </c>
      <c r="G266" t="s">
        <v>23</v>
      </c>
      <c r="H266" t="s">
        <v>57</v>
      </c>
      <c r="I266" s="2">
        <v>8.99</v>
      </c>
      <c r="J266">
        <v>1</v>
      </c>
      <c r="K266" s="2">
        <f t="shared" si="8"/>
        <v>8.99</v>
      </c>
      <c r="L266" t="s">
        <v>19</v>
      </c>
      <c r="M266">
        <v>2</v>
      </c>
      <c r="N266">
        <v>0.12</v>
      </c>
      <c r="O266" t="str">
        <f t="shared" si="9"/>
        <v>0–0.2 hours</v>
      </c>
      <c r="P266" t="s">
        <v>30</v>
      </c>
    </row>
    <row r="267" spans="1:16" x14ac:dyDescent="0.4">
      <c r="A267" t="s">
        <v>308</v>
      </c>
      <c r="B267">
        <v>60</v>
      </c>
      <c r="C267" t="s">
        <v>41</v>
      </c>
      <c r="D267" t="s">
        <v>16</v>
      </c>
      <c r="E267">
        <v>4.6100000000000003</v>
      </c>
      <c r="F267">
        <v>8</v>
      </c>
      <c r="G267" t="s">
        <v>70</v>
      </c>
      <c r="H267" t="s">
        <v>24</v>
      </c>
      <c r="I267" s="2">
        <v>8.99</v>
      </c>
      <c r="J267">
        <v>1</v>
      </c>
      <c r="K267" s="2">
        <f t="shared" si="8"/>
        <v>8.99</v>
      </c>
      <c r="L267" t="s">
        <v>43</v>
      </c>
      <c r="M267">
        <v>3</v>
      </c>
      <c r="N267">
        <v>0.51</v>
      </c>
      <c r="O267" t="str">
        <f t="shared" si="9"/>
        <v>0.4–0.6 hours</v>
      </c>
      <c r="P267" t="s">
        <v>25</v>
      </c>
    </row>
    <row r="268" spans="1:16" x14ac:dyDescent="0.4">
      <c r="A268" t="s">
        <v>309</v>
      </c>
      <c r="B268">
        <v>46</v>
      </c>
      <c r="C268" t="s">
        <v>41</v>
      </c>
      <c r="D268" t="s">
        <v>16</v>
      </c>
      <c r="E268">
        <v>19.739999999999998</v>
      </c>
      <c r="F268">
        <v>20</v>
      </c>
      <c r="G268" t="s">
        <v>28</v>
      </c>
      <c r="H268" t="s">
        <v>24</v>
      </c>
      <c r="I268" s="2">
        <v>8.99</v>
      </c>
      <c r="J268">
        <v>0</v>
      </c>
      <c r="K268" s="2">
        <f t="shared" si="8"/>
        <v>0</v>
      </c>
      <c r="L268" t="s">
        <v>37</v>
      </c>
      <c r="M268">
        <v>1</v>
      </c>
      <c r="N268">
        <v>0.94</v>
      </c>
      <c r="O268" t="str">
        <f t="shared" si="9"/>
        <v>0.8–1 hour</v>
      </c>
      <c r="P268" t="s">
        <v>34</v>
      </c>
    </row>
    <row r="269" spans="1:16" x14ac:dyDescent="0.4">
      <c r="A269" t="s">
        <v>310</v>
      </c>
      <c r="B269">
        <v>49</v>
      </c>
      <c r="C269" t="s">
        <v>15</v>
      </c>
      <c r="D269" t="s">
        <v>32</v>
      </c>
      <c r="E269">
        <v>19.670000000000002</v>
      </c>
      <c r="F269">
        <v>54</v>
      </c>
      <c r="G269" t="s">
        <v>23</v>
      </c>
      <c r="H269" t="s">
        <v>24</v>
      </c>
      <c r="I269" s="2">
        <v>17.989999999999998</v>
      </c>
      <c r="J269">
        <v>0</v>
      </c>
      <c r="K269" s="2">
        <f t="shared" si="8"/>
        <v>0</v>
      </c>
      <c r="L269" t="s">
        <v>61</v>
      </c>
      <c r="M269">
        <v>5</v>
      </c>
      <c r="N269">
        <v>0.36</v>
      </c>
      <c r="O269" t="str">
        <f t="shared" si="9"/>
        <v>0.2–0.4 hours</v>
      </c>
      <c r="P269" t="s">
        <v>52</v>
      </c>
    </row>
    <row r="270" spans="1:16" x14ac:dyDescent="0.4">
      <c r="A270" t="s">
        <v>311</v>
      </c>
      <c r="B270">
        <v>63</v>
      </c>
      <c r="C270" t="s">
        <v>15</v>
      </c>
      <c r="D270" t="s">
        <v>32</v>
      </c>
      <c r="E270">
        <v>0.3</v>
      </c>
      <c r="F270">
        <v>12</v>
      </c>
      <c r="G270" t="s">
        <v>28</v>
      </c>
      <c r="H270" t="s">
        <v>46</v>
      </c>
      <c r="I270" s="2">
        <v>17.989999999999998</v>
      </c>
      <c r="J270">
        <v>1</v>
      </c>
      <c r="K270" s="2">
        <f t="shared" si="8"/>
        <v>17.989999999999998</v>
      </c>
      <c r="L270" t="s">
        <v>61</v>
      </c>
      <c r="M270">
        <v>2</v>
      </c>
      <c r="N270">
        <v>0.02</v>
      </c>
      <c r="O270" t="str">
        <f t="shared" si="9"/>
        <v>0–0.2 hours</v>
      </c>
      <c r="P270" t="s">
        <v>30</v>
      </c>
    </row>
    <row r="271" spans="1:16" x14ac:dyDescent="0.4">
      <c r="A271" t="s">
        <v>312</v>
      </c>
      <c r="B271">
        <v>41</v>
      </c>
      <c r="C271" t="s">
        <v>41</v>
      </c>
      <c r="D271" t="s">
        <v>16</v>
      </c>
      <c r="E271">
        <v>7.73</v>
      </c>
      <c r="F271">
        <v>31</v>
      </c>
      <c r="G271" t="s">
        <v>28</v>
      </c>
      <c r="H271" t="s">
        <v>57</v>
      </c>
      <c r="I271" s="2">
        <v>8.99</v>
      </c>
      <c r="J271">
        <v>1</v>
      </c>
      <c r="K271" s="2">
        <f t="shared" si="8"/>
        <v>8.99</v>
      </c>
      <c r="L271" t="s">
        <v>19</v>
      </c>
      <c r="M271">
        <v>4</v>
      </c>
      <c r="N271">
        <v>0.24</v>
      </c>
      <c r="O271" t="str">
        <f t="shared" si="9"/>
        <v>0.2–0.4 hours</v>
      </c>
      <c r="P271" t="s">
        <v>52</v>
      </c>
    </row>
    <row r="272" spans="1:16" x14ac:dyDescent="0.4">
      <c r="A272" t="s">
        <v>313</v>
      </c>
      <c r="B272">
        <v>63</v>
      </c>
      <c r="C272" t="s">
        <v>41</v>
      </c>
      <c r="D272" t="s">
        <v>16</v>
      </c>
      <c r="E272">
        <v>1.03</v>
      </c>
      <c r="F272">
        <v>3</v>
      </c>
      <c r="G272" t="s">
        <v>70</v>
      </c>
      <c r="H272" t="s">
        <v>57</v>
      </c>
      <c r="I272" s="2">
        <v>8.99</v>
      </c>
      <c r="J272">
        <v>1</v>
      </c>
      <c r="K272" s="2">
        <f t="shared" si="8"/>
        <v>8.99</v>
      </c>
      <c r="L272" t="s">
        <v>61</v>
      </c>
      <c r="M272">
        <v>5</v>
      </c>
      <c r="N272">
        <v>0.26</v>
      </c>
      <c r="O272" t="str">
        <f t="shared" si="9"/>
        <v>0.2–0.4 hours</v>
      </c>
      <c r="P272" t="s">
        <v>52</v>
      </c>
    </row>
    <row r="273" spans="1:16" x14ac:dyDescent="0.4">
      <c r="A273" t="s">
        <v>314</v>
      </c>
      <c r="B273">
        <v>33</v>
      </c>
      <c r="C273" t="s">
        <v>41</v>
      </c>
      <c r="D273" t="s">
        <v>22</v>
      </c>
      <c r="E273">
        <v>9.93</v>
      </c>
      <c r="F273">
        <v>51</v>
      </c>
      <c r="G273" t="s">
        <v>49</v>
      </c>
      <c r="H273" t="s">
        <v>57</v>
      </c>
      <c r="I273" s="2">
        <v>13.99</v>
      </c>
      <c r="J273">
        <v>0</v>
      </c>
      <c r="K273" s="2">
        <f t="shared" si="8"/>
        <v>0</v>
      </c>
      <c r="L273" t="s">
        <v>37</v>
      </c>
      <c r="M273">
        <v>4</v>
      </c>
      <c r="N273">
        <v>0.19</v>
      </c>
      <c r="O273" t="str">
        <f t="shared" si="9"/>
        <v>0–0.2 hours</v>
      </c>
      <c r="P273" t="s">
        <v>39</v>
      </c>
    </row>
    <row r="274" spans="1:16" x14ac:dyDescent="0.4">
      <c r="A274" t="s">
        <v>315</v>
      </c>
      <c r="B274">
        <v>51</v>
      </c>
      <c r="C274" t="s">
        <v>41</v>
      </c>
      <c r="D274" t="s">
        <v>22</v>
      </c>
      <c r="E274">
        <v>2.56</v>
      </c>
      <c r="F274">
        <v>53</v>
      </c>
      <c r="G274" t="s">
        <v>33</v>
      </c>
      <c r="H274" t="s">
        <v>55</v>
      </c>
      <c r="I274" s="2">
        <v>13.99</v>
      </c>
      <c r="J274">
        <v>1</v>
      </c>
      <c r="K274" s="2">
        <f t="shared" si="8"/>
        <v>13.99</v>
      </c>
      <c r="L274" t="s">
        <v>43</v>
      </c>
      <c r="M274">
        <v>2</v>
      </c>
      <c r="N274">
        <v>0.05</v>
      </c>
      <c r="O274" t="str">
        <f t="shared" si="9"/>
        <v>0–0.2 hours</v>
      </c>
      <c r="P274" t="s">
        <v>39</v>
      </c>
    </row>
    <row r="275" spans="1:16" x14ac:dyDescent="0.4">
      <c r="A275" t="s">
        <v>316</v>
      </c>
      <c r="B275">
        <v>59</v>
      </c>
      <c r="C275" t="s">
        <v>27</v>
      </c>
      <c r="D275" t="s">
        <v>22</v>
      </c>
      <c r="E275">
        <v>2.2799999999999998</v>
      </c>
      <c r="F275">
        <v>38</v>
      </c>
      <c r="G275" t="s">
        <v>17</v>
      </c>
      <c r="H275" t="s">
        <v>55</v>
      </c>
      <c r="I275" s="2">
        <v>13.99</v>
      </c>
      <c r="J275">
        <v>1</v>
      </c>
      <c r="K275" s="2">
        <f t="shared" si="8"/>
        <v>13.99</v>
      </c>
      <c r="L275" t="s">
        <v>43</v>
      </c>
      <c r="M275">
        <v>3</v>
      </c>
      <c r="N275">
        <v>0.06</v>
      </c>
      <c r="O275" t="str">
        <f t="shared" si="9"/>
        <v>0–0.2 hours</v>
      </c>
      <c r="P275" t="s">
        <v>30</v>
      </c>
    </row>
    <row r="276" spans="1:16" x14ac:dyDescent="0.4">
      <c r="A276" t="s">
        <v>317</v>
      </c>
      <c r="B276">
        <v>44</v>
      </c>
      <c r="C276" t="s">
        <v>41</v>
      </c>
      <c r="D276" t="s">
        <v>22</v>
      </c>
      <c r="E276">
        <v>1.17</v>
      </c>
      <c r="F276">
        <v>51</v>
      </c>
      <c r="G276" t="s">
        <v>49</v>
      </c>
      <c r="H276" t="s">
        <v>57</v>
      </c>
      <c r="I276" s="2">
        <v>13.99</v>
      </c>
      <c r="J276">
        <v>1</v>
      </c>
      <c r="K276" s="2">
        <f t="shared" si="8"/>
        <v>13.99</v>
      </c>
      <c r="L276" t="s">
        <v>61</v>
      </c>
      <c r="M276">
        <v>3</v>
      </c>
      <c r="N276">
        <v>0.02</v>
      </c>
      <c r="O276" t="str">
        <f t="shared" si="9"/>
        <v>0–0.2 hours</v>
      </c>
      <c r="P276" t="s">
        <v>39</v>
      </c>
    </row>
    <row r="277" spans="1:16" x14ac:dyDescent="0.4">
      <c r="A277" t="s">
        <v>318</v>
      </c>
      <c r="B277">
        <v>22</v>
      </c>
      <c r="C277" t="s">
        <v>27</v>
      </c>
      <c r="D277" t="s">
        <v>32</v>
      </c>
      <c r="E277">
        <v>21.84</v>
      </c>
      <c r="F277">
        <v>1</v>
      </c>
      <c r="G277" t="s">
        <v>33</v>
      </c>
      <c r="H277" t="s">
        <v>24</v>
      </c>
      <c r="I277" s="2">
        <v>17.989999999999998</v>
      </c>
      <c r="J277">
        <v>0</v>
      </c>
      <c r="K277" s="2">
        <f t="shared" si="8"/>
        <v>0</v>
      </c>
      <c r="L277" t="s">
        <v>61</v>
      </c>
      <c r="M277">
        <v>1</v>
      </c>
      <c r="N277">
        <v>10.92</v>
      </c>
      <c r="O277" t="str">
        <f t="shared" si="9"/>
        <v>1+ hours</v>
      </c>
      <c r="P277" t="s">
        <v>34</v>
      </c>
    </row>
    <row r="278" spans="1:16" x14ac:dyDescent="0.4">
      <c r="A278" t="s">
        <v>319</v>
      </c>
      <c r="B278">
        <v>25</v>
      </c>
      <c r="C278" t="s">
        <v>27</v>
      </c>
      <c r="D278" t="s">
        <v>32</v>
      </c>
      <c r="E278">
        <v>10.53</v>
      </c>
      <c r="F278">
        <v>33</v>
      </c>
      <c r="G278" t="s">
        <v>33</v>
      </c>
      <c r="H278" t="s">
        <v>57</v>
      </c>
      <c r="I278" s="2">
        <v>17.989999999999998</v>
      </c>
      <c r="J278">
        <v>1</v>
      </c>
      <c r="K278" s="2">
        <f t="shared" si="8"/>
        <v>17.989999999999998</v>
      </c>
      <c r="L278" t="s">
        <v>37</v>
      </c>
      <c r="M278">
        <v>3</v>
      </c>
      <c r="N278">
        <v>0.31</v>
      </c>
      <c r="O278" t="str">
        <f t="shared" si="9"/>
        <v>0.2–0.4 hours</v>
      </c>
      <c r="P278" t="s">
        <v>25</v>
      </c>
    </row>
    <row r="279" spans="1:16" x14ac:dyDescent="0.4">
      <c r="A279" t="s">
        <v>320</v>
      </c>
      <c r="B279">
        <v>26</v>
      </c>
      <c r="C279" t="s">
        <v>41</v>
      </c>
      <c r="D279" t="s">
        <v>22</v>
      </c>
      <c r="E279">
        <v>8.43</v>
      </c>
      <c r="F279">
        <v>45</v>
      </c>
      <c r="G279" t="s">
        <v>70</v>
      </c>
      <c r="H279" t="s">
        <v>46</v>
      </c>
      <c r="I279" s="2">
        <v>13.99</v>
      </c>
      <c r="J279">
        <v>0</v>
      </c>
      <c r="K279" s="2">
        <f t="shared" si="8"/>
        <v>0</v>
      </c>
      <c r="L279" t="s">
        <v>37</v>
      </c>
      <c r="M279">
        <v>5</v>
      </c>
      <c r="N279">
        <v>0.18</v>
      </c>
      <c r="O279" t="str">
        <f t="shared" si="9"/>
        <v>0–0.2 hours</v>
      </c>
      <c r="P279" t="s">
        <v>47</v>
      </c>
    </row>
    <row r="280" spans="1:16" x14ac:dyDescent="0.4">
      <c r="A280" t="s">
        <v>321</v>
      </c>
      <c r="B280">
        <v>51</v>
      </c>
      <c r="C280" t="s">
        <v>15</v>
      </c>
      <c r="D280" t="s">
        <v>32</v>
      </c>
      <c r="E280">
        <v>23.55</v>
      </c>
      <c r="F280">
        <v>13</v>
      </c>
      <c r="G280" t="s">
        <v>49</v>
      </c>
      <c r="H280" t="s">
        <v>18</v>
      </c>
      <c r="I280" s="2">
        <v>17.989999999999998</v>
      </c>
      <c r="J280">
        <v>0</v>
      </c>
      <c r="K280" s="2">
        <f t="shared" si="8"/>
        <v>0</v>
      </c>
      <c r="L280" t="s">
        <v>61</v>
      </c>
      <c r="M280">
        <v>2</v>
      </c>
      <c r="N280">
        <v>1.68</v>
      </c>
      <c r="O280" t="str">
        <f t="shared" si="9"/>
        <v>1+ hours</v>
      </c>
      <c r="P280" t="s">
        <v>30</v>
      </c>
    </row>
    <row r="281" spans="1:16" x14ac:dyDescent="0.4">
      <c r="A281" t="s">
        <v>322</v>
      </c>
      <c r="B281">
        <v>46</v>
      </c>
      <c r="C281" t="s">
        <v>27</v>
      </c>
      <c r="D281" t="s">
        <v>22</v>
      </c>
      <c r="E281">
        <v>41.63</v>
      </c>
      <c r="F281">
        <v>46</v>
      </c>
      <c r="G281" t="s">
        <v>49</v>
      </c>
      <c r="H281" t="s">
        <v>57</v>
      </c>
      <c r="I281" s="2">
        <v>13.99</v>
      </c>
      <c r="J281">
        <v>0</v>
      </c>
      <c r="K281" s="2">
        <f t="shared" si="8"/>
        <v>0</v>
      </c>
      <c r="L281" t="s">
        <v>37</v>
      </c>
      <c r="M281">
        <v>4</v>
      </c>
      <c r="N281">
        <v>0.89</v>
      </c>
      <c r="O281" t="str">
        <f t="shared" si="9"/>
        <v>0.8–1 hour</v>
      </c>
      <c r="P281" t="s">
        <v>47</v>
      </c>
    </row>
    <row r="282" spans="1:16" x14ac:dyDescent="0.4">
      <c r="A282" t="s">
        <v>323</v>
      </c>
      <c r="B282">
        <v>35</v>
      </c>
      <c r="C282" t="s">
        <v>41</v>
      </c>
      <c r="D282" t="s">
        <v>32</v>
      </c>
      <c r="E282">
        <v>1.1100000000000001</v>
      </c>
      <c r="F282">
        <v>13</v>
      </c>
      <c r="G282" t="s">
        <v>49</v>
      </c>
      <c r="H282" t="s">
        <v>24</v>
      </c>
      <c r="I282" s="2">
        <v>17.989999999999998</v>
      </c>
      <c r="J282">
        <v>0</v>
      </c>
      <c r="K282" s="2">
        <f t="shared" si="8"/>
        <v>0</v>
      </c>
      <c r="L282" t="s">
        <v>61</v>
      </c>
      <c r="M282">
        <v>4</v>
      </c>
      <c r="N282">
        <v>0.08</v>
      </c>
      <c r="O282" t="str">
        <f t="shared" si="9"/>
        <v>0–0.2 hours</v>
      </c>
      <c r="P282" t="s">
        <v>25</v>
      </c>
    </row>
    <row r="283" spans="1:16" x14ac:dyDescent="0.4">
      <c r="A283" t="s">
        <v>324</v>
      </c>
      <c r="B283">
        <v>50</v>
      </c>
      <c r="C283" t="s">
        <v>27</v>
      </c>
      <c r="D283" t="s">
        <v>32</v>
      </c>
      <c r="E283">
        <v>5.41</v>
      </c>
      <c r="F283">
        <v>35</v>
      </c>
      <c r="G283" t="s">
        <v>70</v>
      </c>
      <c r="H283" t="s">
        <v>55</v>
      </c>
      <c r="I283" s="2">
        <v>17.989999999999998</v>
      </c>
      <c r="J283">
        <v>1</v>
      </c>
      <c r="K283" s="2">
        <f t="shared" si="8"/>
        <v>17.989999999999998</v>
      </c>
      <c r="L283" t="s">
        <v>19</v>
      </c>
      <c r="M283">
        <v>4</v>
      </c>
      <c r="N283">
        <v>0.15</v>
      </c>
      <c r="O283" t="str">
        <f t="shared" si="9"/>
        <v>0–0.2 hours</v>
      </c>
      <c r="P283" t="s">
        <v>20</v>
      </c>
    </row>
    <row r="284" spans="1:16" x14ac:dyDescent="0.4">
      <c r="A284" t="s">
        <v>325</v>
      </c>
      <c r="B284">
        <v>54</v>
      </c>
      <c r="C284" t="s">
        <v>27</v>
      </c>
      <c r="D284" t="s">
        <v>22</v>
      </c>
      <c r="E284">
        <v>11.79</v>
      </c>
      <c r="F284">
        <v>39</v>
      </c>
      <c r="G284" t="s">
        <v>28</v>
      </c>
      <c r="H284" t="s">
        <v>46</v>
      </c>
      <c r="I284" s="2">
        <v>13.99</v>
      </c>
      <c r="J284">
        <v>1</v>
      </c>
      <c r="K284" s="2">
        <f t="shared" si="8"/>
        <v>13.99</v>
      </c>
      <c r="L284" t="s">
        <v>37</v>
      </c>
      <c r="M284">
        <v>2</v>
      </c>
      <c r="N284">
        <v>0.28999999999999998</v>
      </c>
      <c r="O284" t="str">
        <f t="shared" si="9"/>
        <v>0.2–0.4 hours</v>
      </c>
      <c r="P284" t="s">
        <v>52</v>
      </c>
    </row>
    <row r="285" spans="1:16" x14ac:dyDescent="0.4">
      <c r="A285" t="s">
        <v>326</v>
      </c>
      <c r="B285">
        <v>27</v>
      </c>
      <c r="C285" t="s">
        <v>41</v>
      </c>
      <c r="D285" t="s">
        <v>22</v>
      </c>
      <c r="E285">
        <v>0.39</v>
      </c>
      <c r="F285">
        <v>32</v>
      </c>
      <c r="G285" t="s">
        <v>49</v>
      </c>
      <c r="H285" t="s">
        <v>46</v>
      </c>
      <c r="I285" s="2">
        <v>13.99</v>
      </c>
      <c r="J285">
        <v>1</v>
      </c>
      <c r="K285" s="2">
        <f t="shared" si="8"/>
        <v>13.99</v>
      </c>
      <c r="L285" t="s">
        <v>19</v>
      </c>
      <c r="M285">
        <v>4</v>
      </c>
      <c r="N285">
        <v>0.01</v>
      </c>
      <c r="O285" t="str">
        <f t="shared" si="9"/>
        <v>0–0.2 hours</v>
      </c>
      <c r="P285" t="s">
        <v>20</v>
      </c>
    </row>
    <row r="286" spans="1:16" x14ac:dyDescent="0.4">
      <c r="A286" t="s">
        <v>327</v>
      </c>
      <c r="B286">
        <v>18</v>
      </c>
      <c r="C286" t="s">
        <v>41</v>
      </c>
      <c r="D286" t="s">
        <v>32</v>
      </c>
      <c r="E286">
        <v>0.97</v>
      </c>
      <c r="F286">
        <v>9</v>
      </c>
      <c r="G286" t="s">
        <v>17</v>
      </c>
      <c r="H286" t="s">
        <v>57</v>
      </c>
      <c r="I286" s="2">
        <v>17.989999999999998</v>
      </c>
      <c r="J286">
        <v>0</v>
      </c>
      <c r="K286" s="2">
        <f t="shared" si="8"/>
        <v>0</v>
      </c>
      <c r="L286" t="s">
        <v>37</v>
      </c>
      <c r="M286">
        <v>5</v>
      </c>
      <c r="N286">
        <v>0.1</v>
      </c>
      <c r="O286" t="str">
        <f t="shared" si="9"/>
        <v>0–0.2 hours</v>
      </c>
      <c r="P286" t="s">
        <v>25</v>
      </c>
    </row>
    <row r="287" spans="1:16" x14ac:dyDescent="0.4">
      <c r="A287" t="s">
        <v>328</v>
      </c>
      <c r="B287">
        <v>59</v>
      </c>
      <c r="C287" t="s">
        <v>27</v>
      </c>
      <c r="D287" t="s">
        <v>16</v>
      </c>
      <c r="E287">
        <v>4.16</v>
      </c>
      <c r="F287">
        <v>25</v>
      </c>
      <c r="G287" t="s">
        <v>23</v>
      </c>
      <c r="H287" t="s">
        <v>57</v>
      </c>
      <c r="I287" s="2">
        <v>8.99</v>
      </c>
      <c r="J287">
        <v>1</v>
      </c>
      <c r="K287" s="2">
        <f t="shared" si="8"/>
        <v>8.99</v>
      </c>
      <c r="L287" t="s">
        <v>29</v>
      </c>
      <c r="M287">
        <v>2</v>
      </c>
      <c r="N287">
        <v>0.16</v>
      </c>
      <c r="O287" t="str">
        <f t="shared" si="9"/>
        <v>0–0.2 hours</v>
      </c>
      <c r="P287" t="s">
        <v>34</v>
      </c>
    </row>
    <row r="288" spans="1:16" x14ac:dyDescent="0.4">
      <c r="A288" t="s">
        <v>329</v>
      </c>
      <c r="B288">
        <v>37</v>
      </c>
      <c r="C288" t="s">
        <v>41</v>
      </c>
      <c r="D288" t="s">
        <v>32</v>
      </c>
      <c r="E288">
        <v>13.91</v>
      </c>
      <c r="F288">
        <v>27</v>
      </c>
      <c r="G288" t="s">
        <v>28</v>
      </c>
      <c r="H288" t="s">
        <v>46</v>
      </c>
      <c r="I288" s="2">
        <v>17.989999999999998</v>
      </c>
      <c r="J288">
        <v>0</v>
      </c>
      <c r="K288" s="2">
        <f t="shared" si="8"/>
        <v>0</v>
      </c>
      <c r="L288" t="s">
        <v>43</v>
      </c>
      <c r="M288">
        <v>5</v>
      </c>
      <c r="N288">
        <v>0.5</v>
      </c>
      <c r="O288" t="str">
        <f t="shared" si="9"/>
        <v>0.4–0.6 hours</v>
      </c>
      <c r="P288" t="s">
        <v>47</v>
      </c>
    </row>
    <row r="289" spans="1:16" x14ac:dyDescent="0.4">
      <c r="A289" t="s">
        <v>330</v>
      </c>
      <c r="B289">
        <v>44</v>
      </c>
      <c r="C289" t="s">
        <v>27</v>
      </c>
      <c r="D289" t="s">
        <v>32</v>
      </c>
      <c r="E289">
        <v>3.73</v>
      </c>
      <c r="F289">
        <v>49</v>
      </c>
      <c r="G289" t="s">
        <v>33</v>
      </c>
      <c r="H289" t="s">
        <v>18</v>
      </c>
      <c r="I289" s="2">
        <v>17.989999999999998</v>
      </c>
      <c r="J289">
        <v>1</v>
      </c>
      <c r="K289" s="2">
        <f t="shared" si="8"/>
        <v>17.989999999999998</v>
      </c>
      <c r="L289" t="s">
        <v>61</v>
      </c>
      <c r="M289">
        <v>5</v>
      </c>
      <c r="N289">
        <v>7.0000000000000007E-2</v>
      </c>
      <c r="O289" t="str">
        <f t="shared" si="9"/>
        <v>0–0.2 hours</v>
      </c>
      <c r="P289" t="s">
        <v>30</v>
      </c>
    </row>
    <row r="290" spans="1:16" x14ac:dyDescent="0.4">
      <c r="A290" t="s">
        <v>331</v>
      </c>
      <c r="B290">
        <v>28</v>
      </c>
      <c r="C290" t="s">
        <v>41</v>
      </c>
      <c r="D290" t="s">
        <v>22</v>
      </c>
      <c r="E290">
        <v>10.91</v>
      </c>
      <c r="F290">
        <v>16</v>
      </c>
      <c r="G290" t="s">
        <v>70</v>
      </c>
      <c r="H290" t="s">
        <v>57</v>
      </c>
      <c r="I290" s="2">
        <v>13.99</v>
      </c>
      <c r="J290">
        <v>0</v>
      </c>
      <c r="K290" s="2">
        <f t="shared" si="8"/>
        <v>0</v>
      </c>
      <c r="L290" t="s">
        <v>37</v>
      </c>
      <c r="M290">
        <v>4</v>
      </c>
      <c r="N290">
        <v>0.64</v>
      </c>
      <c r="O290" t="str">
        <f t="shared" si="9"/>
        <v>0.6–0.8 hours</v>
      </c>
      <c r="P290" t="s">
        <v>30</v>
      </c>
    </row>
    <row r="291" spans="1:16" x14ac:dyDescent="0.4">
      <c r="A291" t="s">
        <v>332</v>
      </c>
      <c r="B291">
        <v>23</v>
      </c>
      <c r="C291" t="s">
        <v>15</v>
      </c>
      <c r="D291" t="s">
        <v>32</v>
      </c>
      <c r="E291">
        <v>5.56</v>
      </c>
      <c r="F291">
        <v>53</v>
      </c>
      <c r="G291" t="s">
        <v>23</v>
      </c>
      <c r="H291" t="s">
        <v>46</v>
      </c>
      <c r="I291" s="2">
        <v>17.989999999999998</v>
      </c>
      <c r="J291">
        <v>1</v>
      </c>
      <c r="K291" s="2">
        <f t="shared" si="8"/>
        <v>17.989999999999998</v>
      </c>
      <c r="L291" t="s">
        <v>61</v>
      </c>
      <c r="M291">
        <v>1</v>
      </c>
      <c r="N291">
        <v>0.1</v>
      </c>
      <c r="O291" t="str">
        <f t="shared" si="9"/>
        <v>0–0.2 hours</v>
      </c>
      <c r="P291" t="s">
        <v>39</v>
      </c>
    </row>
    <row r="292" spans="1:16" x14ac:dyDescent="0.4">
      <c r="A292" t="s">
        <v>333</v>
      </c>
      <c r="B292">
        <v>58</v>
      </c>
      <c r="C292" t="s">
        <v>15</v>
      </c>
      <c r="D292" t="s">
        <v>32</v>
      </c>
      <c r="E292">
        <v>4.04</v>
      </c>
      <c r="F292">
        <v>19</v>
      </c>
      <c r="G292" t="s">
        <v>28</v>
      </c>
      <c r="H292" t="s">
        <v>24</v>
      </c>
      <c r="I292" s="2">
        <v>17.989999999999998</v>
      </c>
      <c r="J292">
        <v>0</v>
      </c>
      <c r="K292" s="2">
        <f t="shared" si="8"/>
        <v>0</v>
      </c>
      <c r="L292" t="s">
        <v>61</v>
      </c>
      <c r="M292">
        <v>4</v>
      </c>
      <c r="N292">
        <v>0.2</v>
      </c>
      <c r="O292" t="str">
        <f t="shared" si="9"/>
        <v>0–0.2 hours</v>
      </c>
      <c r="P292" t="s">
        <v>39</v>
      </c>
    </row>
    <row r="293" spans="1:16" x14ac:dyDescent="0.4">
      <c r="A293" t="s">
        <v>334</v>
      </c>
      <c r="B293">
        <v>23</v>
      </c>
      <c r="C293" t="s">
        <v>27</v>
      </c>
      <c r="D293" t="s">
        <v>22</v>
      </c>
      <c r="E293">
        <v>0.13</v>
      </c>
      <c r="F293">
        <v>48</v>
      </c>
      <c r="G293" t="s">
        <v>23</v>
      </c>
      <c r="H293" t="s">
        <v>46</v>
      </c>
      <c r="I293" s="2">
        <v>13.99</v>
      </c>
      <c r="J293">
        <v>1</v>
      </c>
      <c r="K293" s="2">
        <f t="shared" si="8"/>
        <v>13.99</v>
      </c>
      <c r="L293" t="s">
        <v>29</v>
      </c>
      <c r="M293">
        <v>5</v>
      </c>
      <c r="N293">
        <v>0</v>
      </c>
      <c r="O293" t="str">
        <f t="shared" si="9"/>
        <v>0–0.2 hours</v>
      </c>
      <c r="P293" t="s">
        <v>25</v>
      </c>
    </row>
    <row r="294" spans="1:16" x14ac:dyDescent="0.4">
      <c r="A294" t="s">
        <v>335</v>
      </c>
      <c r="B294">
        <v>36</v>
      </c>
      <c r="C294" t="s">
        <v>27</v>
      </c>
      <c r="D294" t="s">
        <v>16</v>
      </c>
      <c r="E294">
        <v>20.03</v>
      </c>
      <c r="F294">
        <v>16</v>
      </c>
      <c r="G294" t="s">
        <v>17</v>
      </c>
      <c r="H294" t="s">
        <v>55</v>
      </c>
      <c r="I294" s="2">
        <v>8.99</v>
      </c>
      <c r="J294">
        <v>0</v>
      </c>
      <c r="K294" s="2">
        <f t="shared" si="8"/>
        <v>0</v>
      </c>
      <c r="L294" t="s">
        <v>37</v>
      </c>
      <c r="M294">
        <v>5</v>
      </c>
      <c r="N294">
        <v>1.18</v>
      </c>
      <c r="O294" t="str">
        <f t="shared" si="9"/>
        <v>1+ hours</v>
      </c>
      <c r="P294" t="s">
        <v>47</v>
      </c>
    </row>
    <row r="295" spans="1:16" x14ac:dyDescent="0.4">
      <c r="A295" s="1" t="s">
        <v>336</v>
      </c>
      <c r="B295">
        <v>37</v>
      </c>
      <c r="C295" t="s">
        <v>15</v>
      </c>
      <c r="D295" t="s">
        <v>16</v>
      </c>
      <c r="E295">
        <v>20.45</v>
      </c>
      <c r="F295">
        <v>54</v>
      </c>
      <c r="G295" t="s">
        <v>28</v>
      </c>
      <c r="H295" t="s">
        <v>55</v>
      </c>
      <c r="I295" s="2">
        <v>8.99</v>
      </c>
      <c r="J295">
        <v>0</v>
      </c>
      <c r="K295" s="2">
        <f t="shared" si="8"/>
        <v>0</v>
      </c>
      <c r="L295" t="s">
        <v>37</v>
      </c>
      <c r="M295">
        <v>4</v>
      </c>
      <c r="N295">
        <v>0.37</v>
      </c>
      <c r="O295" t="str">
        <f t="shared" si="9"/>
        <v>0.2–0.4 hours</v>
      </c>
      <c r="P295" t="s">
        <v>20</v>
      </c>
    </row>
    <row r="296" spans="1:16" x14ac:dyDescent="0.4">
      <c r="A296" t="s">
        <v>337</v>
      </c>
      <c r="B296">
        <v>48</v>
      </c>
      <c r="C296" t="s">
        <v>15</v>
      </c>
      <c r="D296" t="s">
        <v>16</v>
      </c>
      <c r="E296">
        <v>4.91</v>
      </c>
      <c r="F296">
        <v>1</v>
      </c>
      <c r="G296" t="s">
        <v>70</v>
      </c>
      <c r="H296" t="s">
        <v>24</v>
      </c>
      <c r="I296" s="2">
        <v>8.99</v>
      </c>
      <c r="J296">
        <v>1</v>
      </c>
      <c r="K296" s="2">
        <f t="shared" si="8"/>
        <v>8.99</v>
      </c>
      <c r="L296" t="s">
        <v>43</v>
      </c>
      <c r="M296">
        <v>1</v>
      </c>
      <c r="N296">
        <v>2.46</v>
      </c>
      <c r="O296" t="str">
        <f t="shared" si="9"/>
        <v>1+ hours</v>
      </c>
      <c r="P296" t="s">
        <v>20</v>
      </c>
    </row>
    <row r="297" spans="1:16" x14ac:dyDescent="0.4">
      <c r="A297" t="s">
        <v>338</v>
      </c>
      <c r="B297">
        <v>23</v>
      </c>
      <c r="C297" t="s">
        <v>41</v>
      </c>
      <c r="D297" t="s">
        <v>22</v>
      </c>
      <c r="E297">
        <v>28.75</v>
      </c>
      <c r="F297">
        <v>20</v>
      </c>
      <c r="G297" t="s">
        <v>28</v>
      </c>
      <c r="H297" t="s">
        <v>18</v>
      </c>
      <c r="I297" s="2">
        <v>13.99</v>
      </c>
      <c r="J297">
        <v>0</v>
      </c>
      <c r="K297" s="2">
        <f t="shared" si="8"/>
        <v>0</v>
      </c>
      <c r="L297" t="s">
        <v>29</v>
      </c>
      <c r="M297">
        <v>2</v>
      </c>
      <c r="N297">
        <v>1.37</v>
      </c>
      <c r="O297" t="str">
        <f t="shared" si="9"/>
        <v>1+ hours</v>
      </c>
      <c r="P297" t="s">
        <v>34</v>
      </c>
    </row>
    <row r="298" spans="1:16" x14ac:dyDescent="0.4">
      <c r="A298" t="s">
        <v>339</v>
      </c>
      <c r="B298">
        <v>35</v>
      </c>
      <c r="C298" t="s">
        <v>15</v>
      </c>
      <c r="D298" t="s">
        <v>16</v>
      </c>
      <c r="E298">
        <v>10.43</v>
      </c>
      <c r="F298">
        <v>46</v>
      </c>
      <c r="G298" t="s">
        <v>33</v>
      </c>
      <c r="H298" t="s">
        <v>24</v>
      </c>
      <c r="I298" s="2">
        <v>8.99</v>
      </c>
      <c r="J298">
        <v>1</v>
      </c>
      <c r="K298" s="2">
        <f t="shared" si="8"/>
        <v>8.99</v>
      </c>
      <c r="L298" t="s">
        <v>61</v>
      </c>
      <c r="M298">
        <v>4</v>
      </c>
      <c r="N298">
        <v>0.22</v>
      </c>
      <c r="O298" t="str">
        <f t="shared" si="9"/>
        <v>0.2–0.4 hours</v>
      </c>
      <c r="P298" t="s">
        <v>25</v>
      </c>
    </row>
    <row r="299" spans="1:16" x14ac:dyDescent="0.4">
      <c r="A299" t="s">
        <v>340</v>
      </c>
      <c r="B299">
        <v>52</v>
      </c>
      <c r="C299" t="s">
        <v>15</v>
      </c>
      <c r="D299" t="s">
        <v>32</v>
      </c>
      <c r="E299">
        <v>11.5</v>
      </c>
      <c r="F299">
        <v>53</v>
      </c>
      <c r="G299" t="s">
        <v>23</v>
      </c>
      <c r="H299" t="s">
        <v>18</v>
      </c>
      <c r="I299" s="2">
        <v>17.989999999999998</v>
      </c>
      <c r="J299">
        <v>1</v>
      </c>
      <c r="K299" s="2">
        <f t="shared" si="8"/>
        <v>17.989999999999998</v>
      </c>
      <c r="L299" t="s">
        <v>29</v>
      </c>
      <c r="M299">
        <v>5</v>
      </c>
      <c r="N299">
        <v>0.21</v>
      </c>
      <c r="O299" t="str">
        <f t="shared" si="9"/>
        <v>0.2–0.4 hours</v>
      </c>
      <c r="P299" t="s">
        <v>52</v>
      </c>
    </row>
    <row r="300" spans="1:16" x14ac:dyDescent="0.4">
      <c r="A300" t="s">
        <v>341</v>
      </c>
      <c r="B300">
        <v>50</v>
      </c>
      <c r="C300" t="s">
        <v>15</v>
      </c>
      <c r="D300" t="s">
        <v>22</v>
      </c>
      <c r="E300">
        <v>1.49</v>
      </c>
      <c r="F300">
        <v>8</v>
      </c>
      <c r="G300" t="s">
        <v>28</v>
      </c>
      <c r="H300" t="s">
        <v>46</v>
      </c>
      <c r="I300" s="2">
        <v>13.99</v>
      </c>
      <c r="J300">
        <v>0</v>
      </c>
      <c r="K300" s="2">
        <f t="shared" si="8"/>
        <v>0</v>
      </c>
      <c r="L300" t="s">
        <v>61</v>
      </c>
      <c r="M300">
        <v>4</v>
      </c>
      <c r="N300">
        <v>0.17</v>
      </c>
      <c r="O300" t="str">
        <f t="shared" si="9"/>
        <v>0–0.2 hours</v>
      </c>
      <c r="P300" t="s">
        <v>52</v>
      </c>
    </row>
    <row r="301" spans="1:16" x14ac:dyDescent="0.4">
      <c r="A301" t="s">
        <v>342</v>
      </c>
      <c r="B301">
        <v>68</v>
      </c>
      <c r="C301" t="s">
        <v>41</v>
      </c>
      <c r="D301" t="s">
        <v>32</v>
      </c>
      <c r="E301">
        <v>17.559999999999999</v>
      </c>
      <c r="F301">
        <v>29</v>
      </c>
      <c r="G301" t="s">
        <v>28</v>
      </c>
      <c r="H301" t="s">
        <v>46</v>
      </c>
      <c r="I301" s="2">
        <v>17.989999999999998</v>
      </c>
      <c r="J301">
        <v>0</v>
      </c>
      <c r="K301" s="2">
        <f t="shared" si="8"/>
        <v>0</v>
      </c>
      <c r="L301" t="s">
        <v>37</v>
      </c>
      <c r="M301">
        <v>4</v>
      </c>
      <c r="N301">
        <v>0.59</v>
      </c>
      <c r="O301" t="str">
        <f t="shared" si="9"/>
        <v>0.4–0.6 hours</v>
      </c>
      <c r="P301" t="s">
        <v>25</v>
      </c>
    </row>
    <row r="302" spans="1:16" x14ac:dyDescent="0.4">
      <c r="A302" t="s">
        <v>343</v>
      </c>
      <c r="B302">
        <v>30</v>
      </c>
      <c r="C302" t="s">
        <v>15</v>
      </c>
      <c r="D302" t="s">
        <v>32</v>
      </c>
      <c r="E302">
        <v>15.15</v>
      </c>
      <c r="F302">
        <v>55</v>
      </c>
      <c r="G302" t="s">
        <v>49</v>
      </c>
      <c r="H302" t="s">
        <v>18</v>
      </c>
      <c r="I302" s="2">
        <v>17.989999999999998</v>
      </c>
      <c r="J302">
        <v>1</v>
      </c>
      <c r="K302" s="2">
        <f t="shared" si="8"/>
        <v>17.989999999999998</v>
      </c>
      <c r="L302" t="s">
        <v>61</v>
      </c>
      <c r="M302">
        <v>3</v>
      </c>
      <c r="N302">
        <v>0.27</v>
      </c>
      <c r="O302" t="str">
        <f t="shared" si="9"/>
        <v>0.2–0.4 hours</v>
      </c>
      <c r="P302" t="s">
        <v>47</v>
      </c>
    </row>
    <row r="303" spans="1:16" x14ac:dyDescent="0.4">
      <c r="A303" t="s">
        <v>344</v>
      </c>
      <c r="B303">
        <v>41</v>
      </c>
      <c r="C303" t="s">
        <v>15</v>
      </c>
      <c r="D303" t="s">
        <v>16</v>
      </c>
      <c r="E303">
        <v>18.510000000000002</v>
      </c>
      <c r="F303">
        <v>8</v>
      </c>
      <c r="G303" t="s">
        <v>28</v>
      </c>
      <c r="H303" t="s">
        <v>24</v>
      </c>
      <c r="I303" s="2">
        <v>8.99</v>
      </c>
      <c r="J303">
        <v>0</v>
      </c>
      <c r="K303" s="2">
        <f t="shared" si="8"/>
        <v>0</v>
      </c>
      <c r="L303" t="s">
        <v>61</v>
      </c>
      <c r="M303">
        <v>2</v>
      </c>
      <c r="N303">
        <v>2.06</v>
      </c>
      <c r="O303" t="str">
        <f t="shared" si="9"/>
        <v>1+ hours</v>
      </c>
      <c r="P303" t="s">
        <v>30</v>
      </c>
    </row>
    <row r="304" spans="1:16" x14ac:dyDescent="0.4">
      <c r="A304" t="s">
        <v>345</v>
      </c>
      <c r="B304">
        <v>56</v>
      </c>
      <c r="C304" t="s">
        <v>15</v>
      </c>
      <c r="D304" t="s">
        <v>16</v>
      </c>
      <c r="E304">
        <v>16.89</v>
      </c>
      <c r="F304">
        <v>38</v>
      </c>
      <c r="G304" t="s">
        <v>23</v>
      </c>
      <c r="H304" t="s">
        <v>18</v>
      </c>
      <c r="I304" s="2">
        <v>8.99</v>
      </c>
      <c r="J304">
        <v>1</v>
      </c>
      <c r="K304" s="2">
        <f t="shared" si="8"/>
        <v>8.99</v>
      </c>
      <c r="L304" t="s">
        <v>37</v>
      </c>
      <c r="M304">
        <v>2</v>
      </c>
      <c r="N304">
        <v>0.43</v>
      </c>
      <c r="O304" t="str">
        <f t="shared" si="9"/>
        <v>0.4–0.6 hours</v>
      </c>
      <c r="P304" t="s">
        <v>34</v>
      </c>
    </row>
    <row r="305" spans="1:16" x14ac:dyDescent="0.4">
      <c r="A305" t="s">
        <v>346</v>
      </c>
      <c r="B305">
        <v>19</v>
      </c>
      <c r="C305" t="s">
        <v>41</v>
      </c>
      <c r="D305" t="s">
        <v>16</v>
      </c>
      <c r="E305">
        <v>0.22</v>
      </c>
      <c r="F305">
        <v>21</v>
      </c>
      <c r="G305" t="s">
        <v>33</v>
      </c>
      <c r="H305" t="s">
        <v>24</v>
      </c>
      <c r="I305" s="2">
        <v>8.99</v>
      </c>
      <c r="J305">
        <v>1</v>
      </c>
      <c r="K305" s="2">
        <f t="shared" si="8"/>
        <v>8.99</v>
      </c>
      <c r="L305" t="s">
        <v>37</v>
      </c>
      <c r="M305">
        <v>4</v>
      </c>
      <c r="N305">
        <v>0.01</v>
      </c>
      <c r="O305" t="str">
        <f t="shared" si="9"/>
        <v>0–0.2 hours</v>
      </c>
      <c r="P305" t="s">
        <v>30</v>
      </c>
    </row>
    <row r="306" spans="1:16" x14ac:dyDescent="0.4">
      <c r="A306" t="s">
        <v>347</v>
      </c>
      <c r="B306">
        <v>32</v>
      </c>
      <c r="C306" t="s">
        <v>27</v>
      </c>
      <c r="D306" t="s">
        <v>22</v>
      </c>
      <c r="E306">
        <v>11.33</v>
      </c>
      <c r="F306">
        <v>42</v>
      </c>
      <c r="G306" t="s">
        <v>23</v>
      </c>
      <c r="H306" t="s">
        <v>24</v>
      </c>
      <c r="I306" s="2">
        <v>13.99</v>
      </c>
      <c r="J306">
        <v>1</v>
      </c>
      <c r="K306" s="2">
        <f t="shared" si="8"/>
        <v>13.99</v>
      </c>
      <c r="L306" t="s">
        <v>61</v>
      </c>
      <c r="M306">
        <v>1</v>
      </c>
      <c r="N306">
        <v>0.26</v>
      </c>
      <c r="O306" t="str">
        <f t="shared" si="9"/>
        <v>0.2–0.4 hours</v>
      </c>
      <c r="P306" t="s">
        <v>25</v>
      </c>
    </row>
    <row r="307" spans="1:16" x14ac:dyDescent="0.4">
      <c r="A307" t="s">
        <v>348</v>
      </c>
      <c r="B307">
        <v>60</v>
      </c>
      <c r="C307" t="s">
        <v>15</v>
      </c>
      <c r="D307" t="s">
        <v>16</v>
      </c>
      <c r="E307">
        <v>7.79</v>
      </c>
      <c r="F307">
        <v>25</v>
      </c>
      <c r="G307" t="s">
        <v>70</v>
      </c>
      <c r="H307" t="s">
        <v>18</v>
      </c>
      <c r="I307" s="2">
        <v>8.99</v>
      </c>
      <c r="J307">
        <v>0</v>
      </c>
      <c r="K307" s="2">
        <f t="shared" si="8"/>
        <v>0</v>
      </c>
      <c r="L307" t="s">
        <v>37</v>
      </c>
      <c r="M307">
        <v>2</v>
      </c>
      <c r="N307">
        <v>0.3</v>
      </c>
      <c r="O307" t="str">
        <f t="shared" si="9"/>
        <v>0.2–0.4 hours</v>
      </c>
      <c r="P307" t="s">
        <v>30</v>
      </c>
    </row>
    <row r="308" spans="1:16" x14ac:dyDescent="0.4">
      <c r="A308" t="s">
        <v>349</v>
      </c>
      <c r="B308">
        <v>52</v>
      </c>
      <c r="C308" t="s">
        <v>41</v>
      </c>
      <c r="D308" t="s">
        <v>16</v>
      </c>
      <c r="E308">
        <v>0.12</v>
      </c>
      <c r="F308">
        <v>25</v>
      </c>
      <c r="G308" t="s">
        <v>49</v>
      </c>
      <c r="H308" t="s">
        <v>24</v>
      </c>
      <c r="I308" s="2">
        <v>8.99</v>
      </c>
      <c r="J308">
        <v>1</v>
      </c>
      <c r="K308" s="2">
        <f t="shared" si="8"/>
        <v>8.99</v>
      </c>
      <c r="L308" t="s">
        <v>19</v>
      </c>
      <c r="M308">
        <v>4</v>
      </c>
      <c r="N308">
        <v>0</v>
      </c>
      <c r="O308" t="str">
        <f t="shared" si="9"/>
        <v>0–0.2 hours</v>
      </c>
      <c r="P308" t="s">
        <v>52</v>
      </c>
    </row>
    <row r="309" spans="1:16" x14ac:dyDescent="0.4">
      <c r="A309" t="s">
        <v>350</v>
      </c>
      <c r="B309">
        <v>70</v>
      </c>
      <c r="C309" t="s">
        <v>27</v>
      </c>
      <c r="D309" t="s">
        <v>32</v>
      </c>
      <c r="E309">
        <v>1.04</v>
      </c>
      <c r="F309">
        <v>37</v>
      </c>
      <c r="G309" t="s">
        <v>49</v>
      </c>
      <c r="H309" t="s">
        <v>57</v>
      </c>
      <c r="I309" s="2">
        <v>17.989999999999998</v>
      </c>
      <c r="J309">
        <v>1</v>
      </c>
      <c r="K309" s="2">
        <f t="shared" si="8"/>
        <v>17.989999999999998</v>
      </c>
      <c r="L309" t="s">
        <v>43</v>
      </c>
      <c r="M309">
        <v>2</v>
      </c>
      <c r="N309">
        <v>0.03</v>
      </c>
      <c r="O309" t="str">
        <f t="shared" si="9"/>
        <v>0–0.2 hours</v>
      </c>
      <c r="P309" t="s">
        <v>34</v>
      </c>
    </row>
    <row r="310" spans="1:16" x14ac:dyDescent="0.4">
      <c r="A310" t="s">
        <v>351</v>
      </c>
      <c r="B310">
        <v>48</v>
      </c>
      <c r="C310" t="s">
        <v>27</v>
      </c>
      <c r="D310" t="s">
        <v>32</v>
      </c>
      <c r="E310">
        <v>16.100000000000001</v>
      </c>
      <c r="F310">
        <v>20</v>
      </c>
      <c r="G310" t="s">
        <v>49</v>
      </c>
      <c r="H310" t="s">
        <v>24</v>
      </c>
      <c r="I310" s="2">
        <v>17.989999999999998</v>
      </c>
      <c r="J310">
        <v>0</v>
      </c>
      <c r="K310" s="2">
        <f t="shared" si="8"/>
        <v>0</v>
      </c>
      <c r="L310" t="s">
        <v>19</v>
      </c>
      <c r="M310">
        <v>4</v>
      </c>
      <c r="N310">
        <v>0.77</v>
      </c>
      <c r="O310" t="str">
        <f t="shared" si="9"/>
        <v>0.6–0.8 hours</v>
      </c>
      <c r="P310" t="s">
        <v>39</v>
      </c>
    </row>
    <row r="311" spans="1:16" x14ac:dyDescent="0.4">
      <c r="A311" t="s">
        <v>352</v>
      </c>
      <c r="B311">
        <v>49</v>
      </c>
      <c r="C311" t="s">
        <v>15</v>
      </c>
      <c r="D311" t="s">
        <v>32</v>
      </c>
      <c r="E311">
        <v>0.65</v>
      </c>
      <c r="F311">
        <v>34</v>
      </c>
      <c r="G311" t="s">
        <v>49</v>
      </c>
      <c r="H311" t="s">
        <v>46</v>
      </c>
      <c r="I311" s="2">
        <v>17.989999999999998</v>
      </c>
      <c r="J311">
        <v>1</v>
      </c>
      <c r="K311" s="2">
        <f t="shared" si="8"/>
        <v>17.989999999999998</v>
      </c>
      <c r="L311" t="s">
        <v>61</v>
      </c>
      <c r="M311">
        <v>3</v>
      </c>
      <c r="N311">
        <v>0.02</v>
      </c>
      <c r="O311" t="str">
        <f t="shared" si="9"/>
        <v>0–0.2 hours</v>
      </c>
      <c r="P311" t="s">
        <v>30</v>
      </c>
    </row>
    <row r="312" spans="1:16" x14ac:dyDescent="0.4">
      <c r="A312" t="s">
        <v>353</v>
      </c>
      <c r="B312">
        <v>52</v>
      </c>
      <c r="C312" t="s">
        <v>27</v>
      </c>
      <c r="D312" t="s">
        <v>16</v>
      </c>
      <c r="E312">
        <v>0.3</v>
      </c>
      <c r="F312">
        <v>21</v>
      </c>
      <c r="G312" t="s">
        <v>23</v>
      </c>
      <c r="H312" t="s">
        <v>24</v>
      </c>
      <c r="I312" s="2">
        <v>8.99</v>
      </c>
      <c r="J312">
        <v>1</v>
      </c>
      <c r="K312" s="2">
        <f t="shared" si="8"/>
        <v>8.99</v>
      </c>
      <c r="L312" t="s">
        <v>19</v>
      </c>
      <c r="M312">
        <v>2</v>
      </c>
      <c r="N312">
        <v>0.01</v>
      </c>
      <c r="O312" t="str">
        <f t="shared" si="9"/>
        <v>0–0.2 hours</v>
      </c>
      <c r="P312" t="s">
        <v>34</v>
      </c>
    </row>
    <row r="313" spans="1:16" x14ac:dyDescent="0.4">
      <c r="A313" t="s">
        <v>354</v>
      </c>
      <c r="B313">
        <v>37</v>
      </c>
      <c r="C313" t="s">
        <v>41</v>
      </c>
      <c r="D313" t="s">
        <v>22</v>
      </c>
      <c r="E313">
        <v>16.010000000000002</v>
      </c>
      <c r="F313">
        <v>11</v>
      </c>
      <c r="G313" t="s">
        <v>23</v>
      </c>
      <c r="H313" t="s">
        <v>46</v>
      </c>
      <c r="I313" s="2">
        <v>13.99</v>
      </c>
      <c r="J313">
        <v>0</v>
      </c>
      <c r="K313" s="2">
        <f t="shared" si="8"/>
        <v>0</v>
      </c>
      <c r="L313" t="s">
        <v>37</v>
      </c>
      <c r="M313">
        <v>4</v>
      </c>
      <c r="N313">
        <v>1.33</v>
      </c>
      <c r="O313" t="str">
        <f t="shared" si="9"/>
        <v>1+ hours</v>
      </c>
      <c r="P313" t="s">
        <v>34</v>
      </c>
    </row>
    <row r="314" spans="1:16" x14ac:dyDescent="0.4">
      <c r="A314" t="s">
        <v>355</v>
      </c>
      <c r="B314">
        <v>39</v>
      </c>
      <c r="C314" t="s">
        <v>27</v>
      </c>
      <c r="D314" t="s">
        <v>16</v>
      </c>
      <c r="E314">
        <v>33.36</v>
      </c>
      <c r="F314">
        <v>37</v>
      </c>
      <c r="G314" t="s">
        <v>49</v>
      </c>
      <c r="H314" t="s">
        <v>18</v>
      </c>
      <c r="I314" s="2">
        <v>8.99</v>
      </c>
      <c r="J314">
        <v>1</v>
      </c>
      <c r="K314" s="2">
        <f t="shared" si="8"/>
        <v>8.99</v>
      </c>
      <c r="L314" t="s">
        <v>29</v>
      </c>
      <c r="M314">
        <v>1</v>
      </c>
      <c r="N314">
        <v>0.88</v>
      </c>
      <c r="O314" t="str">
        <f t="shared" si="9"/>
        <v>0.8–1 hour</v>
      </c>
      <c r="P314" t="s">
        <v>25</v>
      </c>
    </row>
    <row r="315" spans="1:16" x14ac:dyDescent="0.4">
      <c r="A315" t="s">
        <v>356</v>
      </c>
      <c r="B315">
        <v>70</v>
      </c>
      <c r="C315" t="s">
        <v>27</v>
      </c>
      <c r="D315" t="s">
        <v>16</v>
      </c>
      <c r="E315">
        <v>3.99</v>
      </c>
      <c r="F315">
        <v>24</v>
      </c>
      <c r="G315" t="s">
        <v>17</v>
      </c>
      <c r="H315" t="s">
        <v>46</v>
      </c>
      <c r="I315" s="2">
        <v>8.99</v>
      </c>
      <c r="J315">
        <v>1</v>
      </c>
      <c r="K315" s="2">
        <f t="shared" si="8"/>
        <v>8.99</v>
      </c>
      <c r="L315" t="s">
        <v>19</v>
      </c>
      <c r="M315">
        <v>1</v>
      </c>
      <c r="N315">
        <v>0.16</v>
      </c>
      <c r="O315" t="str">
        <f t="shared" si="9"/>
        <v>0–0.2 hours</v>
      </c>
      <c r="P315" t="s">
        <v>34</v>
      </c>
    </row>
    <row r="316" spans="1:16" x14ac:dyDescent="0.4">
      <c r="A316" t="s">
        <v>357</v>
      </c>
      <c r="B316">
        <v>68</v>
      </c>
      <c r="C316" t="s">
        <v>41</v>
      </c>
      <c r="D316" t="s">
        <v>16</v>
      </c>
      <c r="E316">
        <v>17.260000000000002</v>
      </c>
      <c r="F316">
        <v>10</v>
      </c>
      <c r="G316" t="s">
        <v>49</v>
      </c>
      <c r="H316" t="s">
        <v>55</v>
      </c>
      <c r="I316" s="2">
        <v>8.99</v>
      </c>
      <c r="J316">
        <v>0</v>
      </c>
      <c r="K316" s="2">
        <f t="shared" si="8"/>
        <v>0</v>
      </c>
      <c r="L316" t="s">
        <v>61</v>
      </c>
      <c r="M316">
        <v>3</v>
      </c>
      <c r="N316">
        <v>1.57</v>
      </c>
      <c r="O316" t="str">
        <f t="shared" si="9"/>
        <v>1+ hours</v>
      </c>
      <c r="P316" t="s">
        <v>52</v>
      </c>
    </row>
    <row r="317" spans="1:16" x14ac:dyDescent="0.4">
      <c r="A317" t="s">
        <v>358</v>
      </c>
      <c r="B317">
        <v>26</v>
      </c>
      <c r="C317" t="s">
        <v>15</v>
      </c>
      <c r="D317" t="s">
        <v>22</v>
      </c>
      <c r="E317">
        <v>4.6399999999999997</v>
      </c>
      <c r="F317">
        <v>7</v>
      </c>
      <c r="G317" t="s">
        <v>28</v>
      </c>
      <c r="H317" t="s">
        <v>55</v>
      </c>
      <c r="I317" s="2">
        <v>13.99</v>
      </c>
      <c r="J317">
        <v>1</v>
      </c>
      <c r="K317" s="2">
        <f t="shared" si="8"/>
        <v>13.99</v>
      </c>
      <c r="L317" t="s">
        <v>29</v>
      </c>
      <c r="M317">
        <v>1</v>
      </c>
      <c r="N317">
        <v>0.57999999999999996</v>
      </c>
      <c r="O317" t="str">
        <f t="shared" si="9"/>
        <v>0.4–0.6 hours</v>
      </c>
      <c r="P317" t="s">
        <v>47</v>
      </c>
    </row>
    <row r="318" spans="1:16" x14ac:dyDescent="0.4">
      <c r="A318" t="s">
        <v>359</v>
      </c>
      <c r="B318">
        <v>49</v>
      </c>
      <c r="C318" t="s">
        <v>27</v>
      </c>
      <c r="D318" t="s">
        <v>32</v>
      </c>
      <c r="E318">
        <v>5</v>
      </c>
      <c r="F318">
        <v>17</v>
      </c>
      <c r="G318" t="s">
        <v>33</v>
      </c>
      <c r="H318" t="s">
        <v>24</v>
      </c>
      <c r="I318" s="2">
        <v>17.989999999999998</v>
      </c>
      <c r="J318">
        <v>0</v>
      </c>
      <c r="K318" s="2">
        <f t="shared" si="8"/>
        <v>0</v>
      </c>
      <c r="L318" t="s">
        <v>29</v>
      </c>
      <c r="M318">
        <v>1</v>
      </c>
      <c r="N318">
        <v>0.28000000000000003</v>
      </c>
      <c r="O318" t="str">
        <f t="shared" si="9"/>
        <v>0.2–0.4 hours</v>
      </c>
      <c r="P318" t="s">
        <v>30</v>
      </c>
    </row>
    <row r="319" spans="1:16" x14ac:dyDescent="0.4">
      <c r="A319" t="s">
        <v>360</v>
      </c>
      <c r="B319">
        <v>18</v>
      </c>
      <c r="C319" t="s">
        <v>41</v>
      </c>
      <c r="D319" t="s">
        <v>32</v>
      </c>
      <c r="E319">
        <v>12.42</v>
      </c>
      <c r="F319">
        <v>58</v>
      </c>
      <c r="G319" t="s">
        <v>70</v>
      </c>
      <c r="H319" t="s">
        <v>46</v>
      </c>
      <c r="I319" s="2">
        <v>17.989999999999998</v>
      </c>
      <c r="J319">
        <v>1</v>
      </c>
      <c r="K319" s="2">
        <f t="shared" si="8"/>
        <v>17.989999999999998</v>
      </c>
      <c r="L319" t="s">
        <v>37</v>
      </c>
      <c r="M319">
        <v>3</v>
      </c>
      <c r="N319">
        <v>0.21</v>
      </c>
      <c r="O319" t="str">
        <f t="shared" si="9"/>
        <v>0.2–0.4 hours</v>
      </c>
      <c r="P319" t="s">
        <v>34</v>
      </c>
    </row>
    <row r="320" spans="1:16" x14ac:dyDescent="0.4">
      <c r="A320" t="s">
        <v>361</v>
      </c>
      <c r="B320">
        <v>28</v>
      </c>
      <c r="C320" t="s">
        <v>15</v>
      </c>
      <c r="D320" t="s">
        <v>16</v>
      </c>
      <c r="E320">
        <v>16.54</v>
      </c>
      <c r="F320">
        <v>24</v>
      </c>
      <c r="G320" t="s">
        <v>49</v>
      </c>
      <c r="H320" t="s">
        <v>46</v>
      </c>
      <c r="I320" s="2">
        <v>8.99</v>
      </c>
      <c r="J320">
        <v>0</v>
      </c>
      <c r="K320" s="2">
        <f t="shared" si="8"/>
        <v>0</v>
      </c>
      <c r="L320" t="s">
        <v>29</v>
      </c>
      <c r="M320">
        <v>3</v>
      </c>
      <c r="N320">
        <v>0.66</v>
      </c>
      <c r="O320" t="str">
        <f t="shared" si="9"/>
        <v>0.6–0.8 hours</v>
      </c>
      <c r="P320" t="s">
        <v>39</v>
      </c>
    </row>
    <row r="321" spans="1:16" x14ac:dyDescent="0.4">
      <c r="A321" t="s">
        <v>362</v>
      </c>
      <c r="B321">
        <v>57</v>
      </c>
      <c r="C321" t="s">
        <v>27</v>
      </c>
      <c r="D321" t="s">
        <v>32</v>
      </c>
      <c r="E321">
        <v>0.26</v>
      </c>
      <c r="F321">
        <v>28</v>
      </c>
      <c r="G321" t="s">
        <v>23</v>
      </c>
      <c r="H321" t="s">
        <v>57</v>
      </c>
      <c r="I321" s="2">
        <v>17.989999999999998</v>
      </c>
      <c r="J321">
        <v>1</v>
      </c>
      <c r="K321" s="2">
        <f t="shared" si="8"/>
        <v>17.989999999999998</v>
      </c>
      <c r="L321" t="s">
        <v>61</v>
      </c>
      <c r="M321">
        <v>2</v>
      </c>
      <c r="N321">
        <v>0.01</v>
      </c>
      <c r="O321" t="str">
        <f t="shared" si="9"/>
        <v>0–0.2 hours</v>
      </c>
      <c r="P321" t="s">
        <v>20</v>
      </c>
    </row>
    <row r="322" spans="1:16" x14ac:dyDescent="0.4">
      <c r="A322" t="s">
        <v>363</v>
      </c>
      <c r="B322">
        <v>47</v>
      </c>
      <c r="C322" t="s">
        <v>27</v>
      </c>
      <c r="D322" t="s">
        <v>16</v>
      </c>
      <c r="E322">
        <v>17.940000000000001</v>
      </c>
      <c r="F322">
        <v>19</v>
      </c>
      <c r="G322" t="s">
        <v>33</v>
      </c>
      <c r="H322" t="s">
        <v>57</v>
      </c>
      <c r="I322" s="2">
        <v>8.99</v>
      </c>
      <c r="J322">
        <v>0</v>
      </c>
      <c r="K322" s="2">
        <f t="shared" si="8"/>
        <v>0</v>
      </c>
      <c r="L322" t="s">
        <v>43</v>
      </c>
      <c r="M322">
        <v>2</v>
      </c>
      <c r="N322">
        <v>0.9</v>
      </c>
      <c r="O322" t="str">
        <f t="shared" si="9"/>
        <v>0.8–1 hour</v>
      </c>
      <c r="P322" t="s">
        <v>20</v>
      </c>
    </row>
    <row r="323" spans="1:16" x14ac:dyDescent="0.4">
      <c r="A323" t="s">
        <v>364</v>
      </c>
      <c r="B323">
        <v>18</v>
      </c>
      <c r="C323" t="s">
        <v>41</v>
      </c>
      <c r="D323" t="s">
        <v>22</v>
      </c>
      <c r="E323">
        <v>41.28</v>
      </c>
      <c r="F323">
        <v>24</v>
      </c>
      <c r="G323" t="s">
        <v>23</v>
      </c>
      <c r="H323" t="s">
        <v>55</v>
      </c>
      <c r="I323" s="2">
        <v>13.99</v>
      </c>
      <c r="J323">
        <v>0</v>
      </c>
      <c r="K323" s="2">
        <f t="shared" ref="K323:K386" si="10">SUMIF(J323,1,I323)</f>
        <v>0</v>
      </c>
      <c r="L323" t="s">
        <v>37</v>
      </c>
      <c r="M323">
        <v>3</v>
      </c>
      <c r="N323">
        <v>1.65</v>
      </c>
      <c r="O323" t="str">
        <f t="shared" ref="O323:O386" si="11">IF(N323&gt;1,"1+ hours",IF(N323&lt;=0.2,"0–0.2 hours",IF(N323&lt;=0.4,"0.2–0.4 hours",IF(N323&lt;=0.6,"0.4–0.6 hours",IF(N323&lt;=0.8,"0.6–0.8 hours","0.8–1 hour")))))</f>
        <v>1+ hours</v>
      </c>
      <c r="P323" t="s">
        <v>20</v>
      </c>
    </row>
    <row r="324" spans="1:16" x14ac:dyDescent="0.4">
      <c r="A324" t="s">
        <v>365</v>
      </c>
      <c r="B324">
        <v>48</v>
      </c>
      <c r="C324" t="s">
        <v>41</v>
      </c>
      <c r="D324" t="s">
        <v>16</v>
      </c>
      <c r="E324">
        <v>3.34</v>
      </c>
      <c r="F324">
        <v>1</v>
      </c>
      <c r="G324" t="s">
        <v>33</v>
      </c>
      <c r="H324" t="s">
        <v>24</v>
      </c>
      <c r="I324" s="2">
        <v>8.99</v>
      </c>
      <c r="J324">
        <v>1</v>
      </c>
      <c r="K324" s="2">
        <f t="shared" si="10"/>
        <v>8.99</v>
      </c>
      <c r="L324" t="s">
        <v>61</v>
      </c>
      <c r="M324">
        <v>1</v>
      </c>
      <c r="N324">
        <v>1.67</v>
      </c>
      <c r="O324" t="str">
        <f t="shared" si="11"/>
        <v>1+ hours</v>
      </c>
      <c r="P324" t="s">
        <v>47</v>
      </c>
    </row>
    <row r="325" spans="1:16" x14ac:dyDescent="0.4">
      <c r="A325" t="s">
        <v>366</v>
      </c>
      <c r="B325">
        <v>26</v>
      </c>
      <c r="C325" t="s">
        <v>27</v>
      </c>
      <c r="D325" t="s">
        <v>32</v>
      </c>
      <c r="E325">
        <v>3.13</v>
      </c>
      <c r="F325">
        <v>18</v>
      </c>
      <c r="G325" t="s">
        <v>33</v>
      </c>
      <c r="H325" t="s">
        <v>46</v>
      </c>
      <c r="I325" s="2">
        <v>17.989999999999998</v>
      </c>
      <c r="J325">
        <v>0</v>
      </c>
      <c r="K325" s="2">
        <f t="shared" si="10"/>
        <v>0</v>
      </c>
      <c r="L325" t="s">
        <v>43</v>
      </c>
      <c r="M325">
        <v>5</v>
      </c>
      <c r="N325">
        <v>0.16</v>
      </c>
      <c r="O325" t="str">
        <f t="shared" si="11"/>
        <v>0–0.2 hours</v>
      </c>
      <c r="P325" t="s">
        <v>25</v>
      </c>
    </row>
    <row r="326" spans="1:16" x14ac:dyDescent="0.4">
      <c r="A326" t="s">
        <v>367</v>
      </c>
      <c r="B326">
        <v>24</v>
      </c>
      <c r="C326" t="s">
        <v>15</v>
      </c>
      <c r="D326" t="s">
        <v>16</v>
      </c>
      <c r="E326">
        <v>3.02</v>
      </c>
      <c r="F326">
        <v>21</v>
      </c>
      <c r="G326" t="s">
        <v>28</v>
      </c>
      <c r="H326" t="s">
        <v>57</v>
      </c>
      <c r="I326" s="2">
        <v>8.99</v>
      </c>
      <c r="J326">
        <v>1</v>
      </c>
      <c r="K326" s="2">
        <f t="shared" si="10"/>
        <v>8.99</v>
      </c>
      <c r="L326" t="s">
        <v>19</v>
      </c>
      <c r="M326">
        <v>5</v>
      </c>
      <c r="N326">
        <v>0.14000000000000001</v>
      </c>
      <c r="O326" t="str">
        <f t="shared" si="11"/>
        <v>0–0.2 hours</v>
      </c>
      <c r="P326" t="s">
        <v>47</v>
      </c>
    </row>
    <row r="327" spans="1:16" x14ac:dyDescent="0.4">
      <c r="A327" t="s">
        <v>368</v>
      </c>
      <c r="B327">
        <v>40</v>
      </c>
      <c r="C327" t="s">
        <v>15</v>
      </c>
      <c r="D327" t="s">
        <v>22</v>
      </c>
      <c r="E327">
        <v>7.82</v>
      </c>
      <c r="F327">
        <v>8</v>
      </c>
      <c r="G327" t="s">
        <v>70</v>
      </c>
      <c r="H327" t="s">
        <v>57</v>
      </c>
      <c r="I327" s="2">
        <v>13.99</v>
      </c>
      <c r="J327">
        <v>0</v>
      </c>
      <c r="K327" s="2">
        <f t="shared" si="10"/>
        <v>0</v>
      </c>
      <c r="L327" t="s">
        <v>61</v>
      </c>
      <c r="M327">
        <v>2</v>
      </c>
      <c r="N327">
        <v>0.87</v>
      </c>
      <c r="O327" t="str">
        <f t="shared" si="11"/>
        <v>0.8–1 hour</v>
      </c>
      <c r="P327" t="s">
        <v>52</v>
      </c>
    </row>
    <row r="328" spans="1:16" x14ac:dyDescent="0.4">
      <c r="A328" t="s">
        <v>369</v>
      </c>
      <c r="B328">
        <v>50</v>
      </c>
      <c r="C328" t="s">
        <v>27</v>
      </c>
      <c r="D328" t="s">
        <v>16</v>
      </c>
      <c r="E328">
        <v>0.82</v>
      </c>
      <c r="F328">
        <v>1</v>
      </c>
      <c r="G328" t="s">
        <v>70</v>
      </c>
      <c r="H328" t="s">
        <v>24</v>
      </c>
      <c r="I328" s="2">
        <v>8.99</v>
      </c>
      <c r="J328">
        <v>1</v>
      </c>
      <c r="K328" s="2">
        <f t="shared" si="10"/>
        <v>8.99</v>
      </c>
      <c r="L328" t="s">
        <v>43</v>
      </c>
      <c r="M328">
        <v>5</v>
      </c>
      <c r="N328">
        <v>0.41</v>
      </c>
      <c r="O328" t="str">
        <f t="shared" si="11"/>
        <v>0.4–0.6 hours</v>
      </c>
      <c r="P328" t="s">
        <v>30</v>
      </c>
    </row>
    <row r="329" spans="1:16" x14ac:dyDescent="0.4">
      <c r="A329" t="s">
        <v>370</v>
      </c>
      <c r="B329">
        <v>49</v>
      </c>
      <c r="C329" t="s">
        <v>41</v>
      </c>
      <c r="D329" t="s">
        <v>16</v>
      </c>
      <c r="E329">
        <v>13.95</v>
      </c>
      <c r="F329">
        <v>21</v>
      </c>
      <c r="G329" t="s">
        <v>33</v>
      </c>
      <c r="H329" t="s">
        <v>46</v>
      </c>
      <c r="I329" s="2">
        <v>8.99</v>
      </c>
      <c r="J329">
        <v>0</v>
      </c>
      <c r="K329" s="2">
        <f t="shared" si="10"/>
        <v>0</v>
      </c>
      <c r="L329" t="s">
        <v>43</v>
      </c>
      <c r="M329">
        <v>1</v>
      </c>
      <c r="N329">
        <v>0.63</v>
      </c>
      <c r="O329" t="str">
        <f t="shared" si="11"/>
        <v>0.6–0.8 hours</v>
      </c>
      <c r="P329" t="s">
        <v>25</v>
      </c>
    </row>
    <row r="330" spans="1:16" x14ac:dyDescent="0.4">
      <c r="A330" t="s">
        <v>371</v>
      </c>
      <c r="B330">
        <v>55</v>
      </c>
      <c r="C330" t="s">
        <v>27</v>
      </c>
      <c r="D330" t="s">
        <v>32</v>
      </c>
      <c r="E330">
        <v>41.03</v>
      </c>
      <c r="F330">
        <v>45</v>
      </c>
      <c r="G330" t="s">
        <v>17</v>
      </c>
      <c r="H330" t="s">
        <v>46</v>
      </c>
      <c r="I330" s="2">
        <v>17.989999999999998</v>
      </c>
      <c r="J330">
        <v>0</v>
      </c>
      <c r="K330" s="2">
        <f t="shared" si="10"/>
        <v>0</v>
      </c>
      <c r="L330" t="s">
        <v>37</v>
      </c>
      <c r="M330">
        <v>3</v>
      </c>
      <c r="N330">
        <v>0.89</v>
      </c>
      <c r="O330" t="str">
        <f t="shared" si="11"/>
        <v>0.8–1 hour</v>
      </c>
      <c r="P330" t="s">
        <v>52</v>
      </c>
    </row>
    <row r="331" spans="1:16" x14ac:dyDescent="0.4">
      <c r="A331" s="1" t="s">
        <v>372</v>
      </c>
      <c r="B331">
        <v>20</v>
      </c>
      <c r="C331" t="s">
        <v>27</v>
      </c>
      <c r="D331" t="s">
        <v>32</v>
      </c>
      <c r="E331">
        <v>20.62</v>
      </c>
      <c r="F331">
        <v>13</v>
      </c>
      <c r="G331" t="s">
        <v>28</v>
      </c>
      <c r="H331" t="s">
        <v>18</v>
      </c>
      <c r="I331" s="2">
        <v>17.989999999999998</v>
      </c>
      <c r="J331">
        <v>0</v>
      </c>
      <c r="K331" s="2">
        <f t="shared" si="10"/>
        <v>0</v>
      </c>
      <c r="L331" t="s">
        <v>37</v>
      </c>
      <c r="M331">
        <v>4</v>
      </c>
      <c r="N331">
        <v>1.47</v>
      </c>
      <c r="O331" t="str">
        <f t="shared" si="11"/>
        <v>1+ hours</v>
      </c>
      <c r="P331" t="s">
        <v>25</v>
      </c>
    </row>
    <row r="332" spans="1:16" x14ac:dyDescent="0.4">
      <c r="A332" t="s">
        <v>373</v>
      </c>
      <c r="B332">
        <v>31</v>
      </c>
      <c r="C332" t="s">
        <v>15</v>
      </c>
      <c r="D332" t="s">
        <v>16</v>
      </c>
      <c r="E332">
        <v>11.3</v>
      </c>
      <c r="F332">
        <v>37</v>
      </c>
      <c r="G332" t="s">
        <v>49</v>
      </c>
      <c r="H332" t="s">
        <v>24</v>
      </c>
      <c r="I332" s="2">
        <v>8.99</v>
      </c>
      <c r="J332">
        <v>1</v>
      </c>
      <c r="K332" s="2">
        <f t="shared" si="10"/>
        <v>8.99</v>
      </c>
      <c r="L332" t="s">
        <v>43</v>
      </c>
      <c r="M332">
        <v>3</v>
      </c>
      <c r="N332">
        <v>0.3</v>
      </c>
      <c r="O332" t="str">
        <f t="shared" si="11"/>
        <v>0.2–0.4 hours</v>
      </c>
      <c r="P332" t="s">
        <v>39</v>
      </c>
    </row>
    <row r="333" spans="1:16" x14ac:dyDescent="0.4">
      <c r="A333" t="s">
        <v>374</v>
      </c>
      <c r="B333">
        <v>66</v>
      </c>
      <c r="C333" t="s">
        <v>27</v>
      </c>
      <c r="D333" t="s">
        <v>32</v>
      </c>
      <c r="E333">
        <v>5.8</v>
      </c>
      <c r="F333">
        <v>41</v>
      </c>
      <c r="G333" t="s">
        <v>33</v>
      </c>
      <c r="H333" t="s">
        <v>18</v>
      </c>
      <c r="I333" s="2">
        <v>17.989999999999998</v>
      </c>
      <c r="J333">
        <v>1</v>
      </c>
      <c r="K333" s="2">
        <f t="shared" si="10"/>
        <v>17.989999999999998</v>
      </c>
      <c r="L333" t="s">
        <v>43</v>
      </c>
      <c r="M333">
        <v>2</v>
      </c>
      <c r="N333">
        <v>0.14000000000000001</v>
      </c>
      <c r="O333" t="str">
        <f t="shared" si="11"/>
        <v>0–0.2 hours</v>
      </c>
      <c r="P333" t="s">
        <v>52</v>
      </c>
    </row>
    <row r="334" spans="1:16" x14ac:dyDescent="0.4">
      <c r="A334" t="s">
        <v>375</v>
      </c>
      <c r="B334">
        <v>58</v>
      </c>
      <c r="C334" t="s">
        <v>15</v>
      </c>
      <c r="D334" t="s">
        <v>22</v>
      </c>
      <c r="E334">
        <v>24.34</v>
      </c>
      <c r="F334">
        <v>31</v>
      </c>
      <c r="G334" t="s">
        <v>28</v>
      </c>
      <c r="H334" t="s">
        <v>46</v>
      </c>
      <c r="I334" s="2">
        <v>13.99</v>
      </c>
      <c r="J334">
        <v>0</v>
      </c>
      <c r="K334" s="2">
        <f t="shared" si="10"/>
        <v>0</v>
      </c>
      <c r="L334" t="s">
        <v>29</v>
      </c>
      <c r="M334">
        <v>1</v>
      </c>
      <c r="N334">
        <v>0.76</v>
      </c>
      <c r="O334" t="str">
        <f t="shared" si="11"/>
        <v>0.6–0.8 hours</v>
      </c>
      <c r="P334" t="s">
        <v>47</v>
      </c>
    </row>
    <row r="335" spans="1:16" x14ac:dyDescent="0.4">
      <c r="A335" t="s">
        <v>376</v>
      </c>
      <c r="B335">
        <v>54</v>
      </c>
      <c r="C335" t="s">
        <v>15</v>
      </c>
      <c r="D335" t="s">
        <v>16</v>
      </c>
      <c r="E335">
        <v>7.19</v>
      </c>
      <c r="F335">
        <v>56</v>
      </c>
      <c r="G335" t="s">
        <v>70</v>
      </c>
      <c r="H335" t="s">
        <v>55</v>
      </c>
      <c r="I335" s="2">
        <v>8.99</v>
      </c>
      <c r="J335">
        <v>1</v>
      </c>
      <c r="K335" s="2">
        <f t="shared" si="10"/>
        <v>8.99</v>
      </c>
      <c r="L335" t="s">
        <v>19</v>
      </c>
      <c r="M335">
        <v>2</v>
      </c>
      <c r="N335">
        <v>0.13</v>
      </c>
      <c r="O335" t="str">
        <f t="shared" si="11"/>
        <v>0–0.2 hours</v>
      </c>
      <c r="P335" t="s">
        <v>39</v>
      </c>
    </row>
    <row r="336" spans="1:16" x14ac:dyDescent="0.4">
      <c r="A336" t="s">
        <v>377</v>
      </c>
      <c r="B336">
        <v>40</v>
      </c>
      <c r="C336" t="s">
        <v>41</v>
      </c>
      <c r="D336" t="s">
        <v>22</v>
      </c>
      <c r="E336">
        <v>13.33</v>
      </c>
      <c r="F336">
        <v>24</v>
      </c>
      <c r="G336" t="s">
        <v>70</v>
      </c>
      <c r="H336" t="s">
        <v>18</v>
      </c>
      <c r="I336" s="2">
        <v>13.99</v>
      </c>
      <c r="J336">
        <v>0</v>
      </c>
      <c r="K336" s="2">
        <f t="shared" si="10"/>
        <v>0</v>
      </c>
      <c r="L336" t="s">
        <v>29</v>
      </c>
      <c r="M336">
        <v>3</v>
      </c>
      <c r="N336">
        <v>0.53</v>
      </c>
      <c r="O336" t="str">
        <f t="shared" si="11"/>
        <v>0.4–0.6 hours</v>
      </c>
      <c r="P336" t="s">
        <v>39</v>
      </c>
    </row>
    <row r="337" spans="1:16" x14ac:dyDescent="0.4">
      <c r="A337" t="s">
        <v>378</v>
      </c>
      <c r="B337">
        <v>56</v>
      </c>
      <c r="C337" t="s">
        <v>15</v>
      </c>
      <c r="D337" t="s">
        <v>32</v>
      </c>
      <c r="E337">
        <v>1.65</v>
      </c>
      <c r="F337">
        <v>30</v>
      </c>
      <c r="G337" t="s">
        <v>17</v>
      </c>
      <c r="H337" t="s">
        <v>24</v>
      </c>
      <c r="I337" s="2">
        <v>17.989999999999998</v>
      </c>
      <c r="J337">
        <v>1</v>
      </c>
      <c r="K337" s="2">
        <f t="shared" si="10"/>
        <v>17.989999999999998</v>
      </c>
      <c r="L337" t="s">
        <v>19</v>
      </c>
      <c r="M337">
        <v>4</v>
      </c>
      <c r="N337">
        <v>0.05</v>
      </c>
      <c r="O337" t="str">
        <f t="shared" si="11"/>
        <v>0–0.2 hours</v>
      </c>
      <c r="P337" t="s">
        <v>20</v>
      </c>
    </row>
    <row r="338" spans="1:16" x14ac:dyDescent="0.4">
      <c r="A338" t="s">
        <v>379</v>
      </c>
      <c r="B338">
        <v>34</v>
      </c>
      <c r="C338" t="s">
        <v>41</v>
      </c>
      <c r="D338" t="s">
        <v>22</v>
      </c>
      <c r="E338">
        <v>10.55</v>
      </c>
      <c r="F338">
        <v>54</v>
      </c>
      <c r="G338" t="s">
        <v>28</v>
      </c>
      <c r="H338" t="s">
        <v>57</v>
      </c>
      <c r="I338" s="2">
        <v>13.99</v>
      </c>
      <c r="J338">
        <v>0</v>
      </c>
      <c r="K338" s="2">
        <f t="shared" si="10"/>
        <v>0</v>
      </c>
      <c r="L338" t="s">
        <v>43</v>
      </c>
      <c r="M338">
        <v>5</v>
      </c>
      <c r="N338">
        <v>0.19</v>
      </c>
      <c r="O338" t="str">
        <f t="shared" si="11"/>
        <v>0–0.2 hours</v>
      </c>
      <c r="P338" t="s">
        <v>25</v>
      </c>
    </row>
    <row r="339" spans="1:16" x14ac:dyDescent="0.4">
      <c r="A339" t="s">
        <v>380</v>
      </c>
      <c r="B339">
        <v>52</v>
      </c>
      <c r="C339" t="s">
        <v>15</v>
      </c>
      <c r="D339" t="s">
        <v>32</v>
      </c>
      <c r="E339">
        <v>6.19</v>
      </c>
      <c r="F339">
        <v>19</v>
      </c>
      <c r="G339" t="s">
        <v>28</v>
      </c>
      <c r="H339" t="s">
        <v>18</v>
      </c>
      <c r="I339" s="2">
        <v>17.989999999999998</v>
      </c>
      <c r="J339">
        <v>0</v>
      </c>
      <c r="K339" s="2">
        <f t="shared" si="10"/>
        <v>0</v>
      </c>
      <c r="L339" t="s">
        <v>19</v>
      </c>
      <c r="M339">
        <v>3</v>
      </c>
      <c r="N339">
        <v>0.31</v>
      </c>
      <c r="O339" t="str">
        <f t="shared" si="11"/>
        <v>0.2–0.4 hours</v>
      </c>
      <c r="P339" t="s">
        <v>39</v>
      </c>
    </row>
    <row r="340" spans="1:16" x14ac:dyDescent="0.4">
      <c r="A340" t="s">
        <v>381</v>
      </c>
      <c r="B340">
        <v>45</v>
      </c>
      <c r="C340" t="s">
        <v>41</v>
      </c>
      <c r="D340" t="s">
        <v>22</v>
      </c>
      <c r="E340">
        <v>9.8699999999999992</v>
      </c>
      <c r="F340">
        <v>46</v>
      </c>
      <c r="G340" t="s">
        <v>23</v>
      </c>
      <c r="H340" t="s">
        <v>55</v>
      </c>
      <c r="I340" s="2">
        <v>13.99</v>
      </c>
      <c r="J340">
        <v>0</v>
      </c>
      <c r="K340" s="2">
        <f t="shared" si="10"/>
        <v>0</v>
      </c>
      <c r="L340" t="s">
        <v>37</v>
      </c>
      <c r="M340">
        <v>4</v>
      </c>
      <c r="N340">
        <v>0.21</v>
      </c>
      <c r="O340" t="str">
        <f t="shared" si="11"/>
        <v>0.2–0.4 hours</v>
      </c>
      <c r="P340" t="s">
        <v>47</v>
      </c>
    </row>
    <row r="341" spans="1:16" x14ac:dyDescent="0.4">
      <c r="A341" t="s">
        <v>382</v>
      </c>
      <c r="B341">
        <v>66</v>
      </c>
      <c r="C341" t="s">
        <v>15</v>
      </c>
      <c r="D341" t="s">
        <v>32</v>
      </c>
      <c r="E341">
        <v>92.07</v>
      </c>
      <c r="F341">
        <v>58</v>
      </c>
      <c r="G341" t="s">
        <v>70</v>
      </c>
      <c r="H341" t="s">
        <v>24</v>
      </c>
      <c r="I341" s="2">
        <v>17.989999999999998</v>
      </c>
      <c r="J341">
        <v>0</v>
      </c>
      <c r="K341" s="2">
        <f t="shared" si="10"/>
        <v>0</v>
      </c>
      <c r="L341" t="s">
        <v>43</v>
      </c>
      <c r="M341">
        <v>3</v>
      </c>
      <c r="N341">
        <v>1.56</v>
      </c>
      <c r="O341" t="str">
        <f t="shared" si="11"/>
        <v>1+ hours</v>
      </c>
      <c r="P341" t="s">
        <v>47</v>
      </c>
    </row>
    <row r="342" spans="1:16" x14ac:dyDescent="0.4">
      <c r="A342" s="1" t="s">
        <v>383</v>
      </c>
      <c r="B342">
        <v>49</v>
      </c>
      <c r="C342" t="s">
        <v>41</v>
      </c>
      <c r="D342" t="s">
        <v>16</v>
      </c>
      <c r="E342">
        <v>2.89</v>
      </c>
      <c r="F342">
        <v>16</v>
      </c>
      <c r="G342" t="s">
        <v>33</v>
      </c>
      <c r="H342" t="s">
        <v>46</v>
      </c>
      <c r="I342" s="2">
        <v>8.99</v>
      </c>
      <c r="J342">
        <v>1</v>
      </c>
      <c r="K342" s="2">
        <f t="shared" si="10"/>
        <v>8.99</v>
      </c>
      <c r="L342" t="s">
        <v>61</v>
      </c>
      <c r="M342">
        <v>5</v>
      </c>
      <c r="N342">
        <v>0.17</v>
      </c>
      <c r="O342" t="str">
        <f t="shared" si="11"/>
        <v>0–0.2 hours</v>
      </c>
      <c r="P342" t="s">
        <v>30</v>
      </c>
    </row>
    <row r="343" spans="1:16" x14ac:dyDescent="0.4">
      <c r="A343" t="s">
        <v>384</v>
      </c>
      <c r="B343">
        <v>35</v>
      </c>
      <c r="C343" t="s">
        <v>15</v>
      </c>
      <c r="D343" t="s">
        <v>22</v>
      </c>
      <c r="E343">
        <v>0.23</v>
      </c>
      <c r="F343">
        <v>54</v>
      </c>
      <c r="G343" t="s">
        <v>28</v>
      </c>
      <c r="H343" t="s">
        <v>55</v>
      </c>
      <c r="I343" s="2">
        <v>13.99</v>
      </c>
      <c r="J343">
        <v>1</v>
      </c>
      <c r="K343" s="2">
        <f t="shared" si="10"/>
        <v>13.99</v>
      </c>
      <c r="L343" t="s">
        <v>19</v>
      </c>
      <c r="M343">
        <v>5</v>
      </c>
      <c r="N343">
        <v>0</v>
      </c>
      <c r="O343" t="str">
        <f t="shared" si="11"/>
        <v>0–0.2 hours</v>
      </c>
      <c r="P343" t="s">
        <v>30</v>
      </c>
    </row>
    <row r="344" spans="1:16" x14ac:dyDescent="0.4">
      <c r="A344" t="s">
        <v>385</v>
      </c>
      <c r="B344">
        <v>65</v>
      </c>
      <c r="C344" t="s">
        <v>15</v>
      </c>
      <c r="D344" t="s">
        <v>22</v>
      </c>
      <c r="E344">
        <v>0.4</v>
      </c>
      <c r="F344">
        <v>48</v>
      </c>
      <c r="G344" t="s">
        <v>23</v>
      </c>
      <c r="H344" t="s">
        <v>18</v>
      </c>
      <c r="I344" s="2">
        <v>13.99</v>
      </c>
      <c r="J344">
        <v>1</v>
      </c>
      <c r="K344" s="2">
        <f t="shared" si="10"/>
        <v>13.99</v>
      </c>
      <c r="L344" t="s">
        <v>19</v>
      </c>
      <c r="M344">
        <v>5</v>
      </c>
      <c r="N344">
        <v>0.01</v>
      </c>
      <c r="O344" t="str">
        <f t="shared" si="11"/>
        <v>0–0.2 hours</v>
      </c>
      <c r="P344" t="s">
        <v>47</v>
      </c>
    </row>
    <row r="345" spans="1:16" x14ac:dyDescent="0.4">
      <c r="A345" t="s">
        <v>386</v>
      </c>
      <c r="B345">
        <v>64</v>
      </c>
      <c r="C345" t="s">
        <v>15</v>
      </c>
      <c r="D345" t="s">
        <v>16</v>
      </c>
      <c r="E345">
        <v>11.05</v>
      </c>
      <c r="F345">
        <v>12</v>
      </c>
      <c r="G345" t="s">
        <v>17</v>
      </c>
      <c r="H345" t="s">
        <v>46</v>
      </c>
      <c r="I345" s="2">
        <v>8.99</v>
      </c>
      <c r="J345">
        <v>0</v>
      </c>
      <c r="K345" s="2">
        <f t="shared" si="10"/>
        <v>0</v>
      </c>
      <c r="L345" t="s">
        <v>29</v>
      </c>
      <c r="M345">
        <v>5</v>
      </c>
      <c r="N345">
        <v>0.85</v>
      </c>
      <c r="O345" t="str">
        <f t="shared" si="11"/>
        <v>0.8–1 hour</v>
      </c>
      <c r="P345" t="s">
        <v>20</v>
      </c>
    </row>
    <row r="346" spans="1:16" x14ac:dyDescent="0.4">
      <c r="A346" t="s">
        <v>387</v>
      </c>
      <c r="B346">
        <v>61</v>
      </c>
      <c r="C346" t="s">
        <v>41</v>
      </c>
      <c r="D346" t="s">
        <v>32</v>
      </c>
      <c r="E346">
        <v>25.26</v>
      </c>
      <c r="F346">
        <v>7</v>
      </c>
      <c r="G346" t="s">
        <v>70</v>
      </c>
      <c r="H346" t="s">
        <v>57</v>
      </c>
      <c r="I346" s="2">
        <v>17.989999999999998</v>
      </c>
      <c r="J346">
        <v>0</v>
      </c>
      <c r="K346" s="2">
        <f t="shared" si="10"/>
        <v>0</v>
      </c>
      <c r="L346" t="s">
        <v>37</v>
      </c>
      <c r="M346">
        <v>5</v>
      </c>
      <c r="N346">
        <v>3.16</v>
      </c>
      <c r="O346" t="str">
        <f t="shared" si="11"/>
        <v>1+ hours</v>
      </c>
      <c r="P346" t="s">
        <v>34</v>
      </c>
    </row>
    <row r="347" spans="1:16" x14ac:dyDescent="0.4">
      <c r="A347" t="s">
        <v>388</v>
      </c>
      <c r="B347">
        <v>31</v>
      </c>
      <c r="C347" t="s">
        <v>15</v>
      </c>
      <c r="D347" t="s">
        <v>32</v>
      </c>
      <c r="E347">
        <v>14.43</v>
      </c>
      <c r="F347">
        <v>9</v>
      </c>
      <c r="G347" t="s">
        <v>17</v>
      </c>
      <c r="H347" t="s">
        <v>18</v>
      </c>
      <c r="I347" s="2">
        <v>17.989999999999998</v>
      </c>
      <c r="J347">
        <v>0</v>
      </c>
      <c r="K347" s="2">
        <f t="shared" si="10"/>
        <v>0</v>
      </c>
      <c r="L347" t="s">
        <v>61</v>
      </c>
      <c r="M347">
        <v>5</v>
      </c>
      <c r="N347">
        <v>1.44</v>
      </c>
      <c r="O347" t="str">
        <f t="shared" si="11"/>
        <v>1+ hours</v>
      </c>
      <c r="P347" t="s">
        <v>52</v>
      </c>
    </row>
    <row r="348" spans="1:16" x14ac:dyDescent="0.4">
      <c r="A348" t="s">
        <v>389</v>
      </c>
      <c r="B348">
        <v>56</v>
      </c>
      <c r="C348" t="s">
        <v>15</v>
      </c>
      <c r="D348" t="s">
        <v>22</v>
      </c>
      <c r="E348">
        <v>10.6</v>
      </c>
      <c r="F348">
        <v>55</v>
      </c>
      <c r="G348" t="s">
        <v>33</v>
      </c>
      <c r="H348" t="s">
        <v>46</v>
      </c>
      <c r="I348" s="2">
        <v>13.99</v>
      </c>
      <c r="J348">
        <v>1</v>
      </c>
      <c r="K348" s="2">
        <f t="shared" si="10"/>
        <v>13.99</v>
      </c>
      <c r="L348" t="s">
        <v>61</v>
      </c>
      <c r="M348">
        <v>1</v>
      </c>
      <c r="N348">
        <v>0.19</v>
      </c>
      <c r="O348" t="str">
        <f t="shared" si="11"/>
        <v>0–0.2 hours</v>
      </c>
      <c r="P348" t="s">
        <v>25</v>
      </c>
    </row>
    <row r="349" spans="1:16" x14ac:dyDescent="0.4">
      <c r="A349" t="s">
        <v>390</v>
      </c>
      <c r="B349">
        <v>70</v>
      </c>
      <c r="C349" t="s">
        <v>27</v>
      </c>
      <c r="D349" t="s">
        <v>22</v>
      </c>
      <c r="E349">
        <v>2.4</v>
      </c>
      <c r="F349">
        <v>12</v>
      </c>
      <c r="G349" t="s">
        <v>28</v>
      </c>
      <c r="H349" t="s">
        <v>55</v>
      </c>
      <c r="I349" s="2">
        <v>13.99</v>
      </c>
      <c r="J349">
        <v>0</v>
      </c>
      <c r="K349" s="2">
        <f t="shared" si="10"/>
        <v>0</v>
      </c>
      <c r="L349" t="s">
        <v>43</v>
      </c>
      <c r="M349">
        <v>5</v>
      </c>
      <c r="N349">
        <v>0.18</v>
      </c>
      <c r="O349" t="str">
        <f t="shared" si="11"/>
        <v>0–0.2 hours</v>
      </c>
      <c r="P349" t="s">
        <v>47</v>
      </c>
    </row>
    <row r="350" spans="1:16" x14ac:dyDescent="0.4">
      <c r="A350" t="s">
        <v>391</v>
      </c>
      <c r="B350">
        <v>40</v>
      </c>
      <c r="C350" t="s">
        <v>27</v>
      </c>
      <c r="D350" t="s">
        <v>22</v>
      </c>
      <c r="E350">
        <v>7.02</v>
      </c>
      <c r="F350">
        <v>18</v>
      </c>
      <c r="G350" t="s">
        <v>17</v>
      </c>
      <c r="H350" t="s">
        <v>57</v>
      </c>
      <c r="I350" s="2">
        <v>13.99</v>
      </c>
      <c r="J350">
        <v>0</v>
      </c>
      <c r="K350" s="2">
        <f t="shared" si="10"/>
        <v>0</v>
      </c>
      <c r="L350" t="s">
        <v>43</v>
      </c>
      <c r="M350">
        <v>4</v>
      </c>
      <c r="N350">
        <v>0.37</v>
      </c>
      <c r="O350" t="str">
        <f t="shared" si="11"/>
        <v>0.2–0.4 hours</v>
      </c>
      <c r="P350" t="s">
        <v>25</v>
      </c>
    </row>
    <row r="351" spans="1:16" x14ac:dyDescent="0.4">
      <c r="A351" t="s">
        <v>392</v>
      </c>
      <c r="B351">
        <v>63</v>
      </c>
      <c r="C351" t="s">
        <v>41</v>
      </c>
      <c r="D351" t="s">
        <v>22</v>
      </c>
      <c r="E351">
        <v>31.54</v>
      </c>
      <c r="F351">
        <v>44</v>
      </c>
      <c r="G351" t="s">
        <v>70</v>
      </c>
      <c r="H351" t="s">
        <v>18</v>
      </c>
      <c r="I351" s="2">
        <v>13.99</v>
      </c>
      <c r="J351">
        <v>0</v>
      </c>
      <c r="K351" s="2">
        <f t="shared" si="10"/>
        <v>0</v>
      </c>
      <c r="L351" t="s">
        <v>29</v>
      </c>
      <c r="M351">
        <v>5</v>
      </c>
      <c r="N351">
        <v>0.7</v>
      </c>
      <c r="O351" t="str">
        <f t="shared" si="11"/>
        <v>0.6–0.8 hours</v>
      </c>
      <c r="P351" t="s">
        <v>30</v>
      </c>
    </row>
    <row r="352" spans="1:16" x14ac:dyDescent="0.4">
      <c r="A352" t="s">
        <v>393</v>
      </c>
      <c r="B352">
        <v>56</v>
      </c>
      <c r="C352" t="s">
        <v>15</v>
      </c>
      <c r="D352" t="s">
        <v>22</v>
      </c>
      <c r="E352">
        <v>17.440000000000001</v>
      </c>
      <c r="F352">
        <v>11</v>
      </c>
      <c r="G352" t="s">
        <v>33</v>
      </c>
      <c r="H352" t="s">
        <v>18</v>
      </c>
      <c r="I352" s="2">
        <v>13.99</v>
      </c>
      <c r="J352">
        <v>0</v>
      </c>
      <c r="K352" s="2">
        <f t="shared" si="10"/>
        <v>0</v>
      </c>
      <c r="L352" t="s">
        <v>29</v>
      </c>
      <c r="M352">
        <v>1</v>
      </c>
      <c r="N352">
        <v>1.45</v>
      </c>
      <c r="O352" t="str">
        <f t="shared" si="11"/>
        <v>1+ hours</v>
      </c>
      <c r="P352" t="s">
        <v>52</v>
      </c>
    </row>
    <row r="353" spans="1:16" x14ac:dyDescent="0.4">
      <c r="A353" t="s">
        <v>394</v>
      </c>
      <c r="B353">
        <v>64</v>
      </c>
      <c r="C353" t="s">
        <v>41</v>
      </c>
      <c r="D353" t="s">
        <v>16</v>
      </c>
      <c r="E353">
        <v>4.74</v>
      </c>
      <c r="F353">
        <v>39</v>
      </c>
      <c r="G353" t="s">
        <v>23</v>
      </c>
      <c r="H353" t="s">
        <v>24</v>
      </c>
      <c r="I353" s="2">
        <v>8.99</v>
      </c>
      <c r="J353">
        <v>1</v>
      </c>
      <c r="K353" s="2">
        <f t="shared" si="10"/>
        <v>8.99</v>
      </c>
      <c r="L353" t="s">
        <v>29</v>
      </c>
      <c r="M353">
        <v>3</v>
      </c>
      <c r="N353">
        <v>0.12</v>
      </c>
      <c r="O353" t="str">
        <f t="shared" si="11"/>
        <v>0–0.2 hours</v>
      </c>
      <c r="P353" t="s">
        <v>20</v>
      </c>
    </row>
    <row r="354" spans="1:16" x14ac:dyDescent="0.4">
      <c r="A354" t="s">
        <v>395</v>
      </c>
      <c r="B354">
        <v>18</v>
      </c>
      <c r="C354" t="s">
        <v>41</v>
      </c>
      <c r="D354" t="s">
        <v>22</v>
      </c>
      <c r="E354">
        <v>14.18</v>
      </c>
      <c r="F354">
        <v>27</v>
      </c>
      <c r="G354" t="s">
        <v>70</v>
      </c>
      <c r="H354" t="s">
        <v>57</v>
      </c>
      <c r="I354" s="2">
        <v>13.99</v>
      </c>
      <c r="J354">
        <v>0</v>
      </c>
      <c r="K354" s="2">
        <f t="shared" si="10"/>
        <v>0</v>
      </c>
      <c r="L354" t="s">
        <v>29</v>
      </c>
      <c r="M354">
        <v>2</v>
      </c>
      <c r="N354">
        <v>0.51</v>
      </c>
      <c r="O354" t="str">
        <f t="shared" si="11"/>
        <v>0.4–0.6 hours</v>
      </c>
      <c r="P354" t="s">
        <v>30</v>
      </c>
    </row>
    <row r="355" spans="1:16" x14ac:dyDescent="0.4">
      <c r="A355" t="s">
        <v>396</v>
      </c>
      <c r="B355">
        <v>60</v>
      </c>
      <c r="C355" t="s">
        <v>41</v>
      </c>
      <c r="D355" t="s">
        <v>22</v>
      </c>
      <c r="E355">
        <v>7.61</v>
      </c>
      <c r="F355">
        <v>8</v>
      </c>
      <c r="G355" t="s">
        <v>23</v>
      </c>
      <c r="H355" t="s">
        <v>46</v>
      </c>
      <c r="I355" s="2">
        <v>13.99</v>
      </c>
      <c r="J355">
        <v>0</v>
      </c>
      <c r="K355" s="2">
        <f t="shared" si="10"/>
        <v>0</v>
      </c>
      <c r="L355" t="s">
        <v>29</v>
      </c>
      <c r="M355">
        <v>5</v>
      </c>
      <c r="N355">
        <v>0.85</v>
      </c>
      <c r="O355" t="str">
        <f t="shared" si="11"/>
        <v>0.8–1 hour</v>
      </c>
      <c r="P355" t="s">
        <v>34</v>
      </c>
    </row>
    <row r="356" spans="1:16" x14ac:dyDescent="0.4">
      <c r="A356" t="s">
        <v>397</v>
      </c>
      <c r="B356">
        <v>18</v>
      </c>
      <c r="C356" t="s">
        <v>15</v>
      </c>
      <c r="D356" t="s">
        <v>16</v>
      </c>
      <c r="E356">
        <v>0.59</v>
      </c>
      <c r="F356">
        <v>41</v>
      </c>
      <c r="G356" t="s">
        <v>28</v>
      </c>
      <c r="H356" t="s">
        <v>55</v>
      </c>
      <c r="I356" s="2">
        <v>8.99</v>
      </c>
      <c r="J356">
        <v>1</v>
      </c>
      <c r="K356" s="2">
        <f t="shared" si="10"/>
        <v>8.99</v>
      </c>
      <c r="L356" t="s">
        <v>37</v>
      </c>
      <c r="M356">
        <v>5</v>
      </c>
      <c r="N356">
        <v>0.01</v>
      </c>
      <c r="O356" t="str">
        <f t="shared" si="11"/>
        <v>0–0.2 hours</v>
      </c>
      <c r="P356" t="s">
        <v>34</v>
      </c>
    </row>
    <row r="357" spans="1:16" x14ac:dyDescent="0.4">
      <c r="A357" t="s">
        <v>398</v>
      </c>
      <c r="B357">
        <v>32</v>
      </c>
      <c r="C357" t="s">
        <v>41</v>
      </c>
      <c r="D357" t="s">
        <v>22</v>
      </c>
      <c r="E357">
        <v>27.72</v>
      </c>
      <c r="F357">
        <v>58</v>
      </c>
      <c r="G357" t="s">
        <v>70</v>
      </c>
      <c r="H357" t="s">
        <v>46</v>
      </c>
      <c r="I357" s="2">
        <v>13.99</v>
      </c>
      <c r="J357">
        <v>0</v>
      </c>
      <c r="K357" s="2">
        <f t="shared" si="10"/>
        <v>0</v>
      </c>
      <c r="L357" t="s">
        <v>43</v>
      </c>
      <c r="M357">
        <v>3</v>
      </c>
      <c r="N357">
        <v>0.47</v>
      </c>
      <c r="O357" t="str">
        <f t="shared" si="11"/>
        <v>0.4–0.6 hours</v>
      </c>
      <c r="P357" t="s">
        <v>20</v>
      </c>
    </row>
    <row r="358" spans="1:16" x14ac:dyDescent="0.4">
      <c r="A358" t="s">
        <v>399</v>
      </c>
      <c r="B358">
        <v>34</v>
      </c>
      <c r="C358" t="s">
        <v>41</v>
      </c>
      <c r="D358" t="s">
        <v>32</v>
      </c>
      <c r="E358">
        <v>26.06</v>
      </c>
      <c r="F358">
        <v>28</v>
      </c>
      <c r="G358" t="s">
        <v>70</v>
      </c>
      <c r="H358" t="s">
        <v>18</v>
      </c>
      <c r="I358" s="2">
        <v>17.989999999999998</v>
      </c>
      <c r="J358">
        <v>0</v>
      </c>
      <c r="K358" s="2">
        <f t="shared" si="10"/>
        <v>0</v>
      </c>
      <c r="L358" t="s">
        <v>37</v>
      </c>
      <c r="M358">
        <v>4</v>
      </c>
      <c r="N358">
        <v>0.9</v>
      </c>
      <c r="O358" t="str">
        <f t="shared" si="11"/>
        <v>0.8–1 hour</v>
      </c>
      <c r="P358" t="s">
        <v>30</v>
      </c>
    </row>
    <row r="359" spans="1:16" x14ac:dyDescent="0.4">
      <c r="A359" t="s">
        <v>400</v>
      </c>
      <c r="B359">
        <v>64</v>
      </c>
      <c r="C359" t="s">
        <v>27</v>
      </c>
      <c r="D359" t="s">
        <v>22</v>
      </c>
      <c r="E359">
        <v>10.78</v>
      </c>
      <c r="F359">
        <v>10</v>
      </c>
      <c r="G359" t="s">
        <v>33</v>
      </c>
      <c r="H359" t="s">
        <v>24</v>
      </c>
      <c r="I359" s="2">
        <v>13.99</v>
      </c>
      <c r="J359">
        <v>0</v>
      </c>
      <c r="K359" s="2">
        <f t="shared" si="10"/>
        <v>0</v>
      </c>
      <c r="L359" t="s">
        <v>43</v>
      </c>
      <c r="M359">
        <v>3</v>
      </c>
      <c r="N359">
        <v>0.98</v>
      </c>
      <c r="O359" t="str">
        <f t="shared" si="11"/>
        <v>0.8–1 hour</v>
      </c>
      <c r="P359" t="s">
        <v>30</v>
      </c>
    </row>
    <row r="360" spans="1:16" x14ac:dyDescent="0.4">
      <c r="A360" t="s">
        <v>401</v>
      </c>
      <c r="B360">
        <v>22</v>
      </c>
      <c r="C360" t="s">
        <v>27</v>
      </c>
      <c r="D360" t="s">
        <v>22</v>
      </c>
      <c r="E360">
        <v>8.07</v>
      </c>
      <c r="F360">
        <v>36</v>
      </c>
      <c r="G360" t="s">
        <v>49</v>
      </c>
      <c r="H360" t="s">
        <v>46</v>
      </c>
      <c r="I360" s="2">
        <v>13.99</v>
      </c>
      <c r="J360">
        <v>1</v>
      </c>
      <c r="K360" s="2">
        <f t="shared" si="10"/>
        <v>13.99</v>
      </c>
      <c r="L360" t="s">
        <v>29</v>
      </c>
      <c r="M360">
        <v>2</v>
      </c>
      <c r="N360">
        <v>0.22</v>
      </c>
      <c r="O360" t="str">
        <f t="shared" si="11"/>
        <v>0.2–0.4 hours</v>
      </c>
      <c r="P360" t="s">
        <v>30</v>
      </c>
    </row>
    <row r="361" spans="1:16" x14ac:dyDescent="0.4">
      <c r="A361" t="s">
        <v>402</v>
      </c>
      <c r="B361">
        <v>39</v>
      </c>
      <c r="C361" t="s">
        <v>15</v>
      </c>
      <c r="D361" t="s">
        <v>22</v>
      </c>
      <c r="E361">
        <v>5.56</v>
      </c>
      <c r="F361">
        <v>47</v>
      </c>
      <c r="G361" t="s">
        <v>28</v>
      </c>
      <c r="H361" t="s">
        <v>18</v>
      </c>
      <c r="I361" s="2">
        <v>13.99</v>
      </c>
      <c r="J361">
        <v>1</v>
      </c>
      <c r="K361" s="2">
        <f t="shared" si="10"/>
        <v>13.99</v>
      </c>
      <c r="L361" t="s">
        <v>29</v>
      </c>
      <c r="M361">
        <v>5</v>
      </c>
      <c r="N361">
        <v>0.12</v>
      </c>
      <c r="O361" t="str">
        <f t="shared" si="11"/>
        <v>0–0.2 hours</v>
      </c>
      <c r="P361" t="s">
        <v>52</v>
      </c>
    </row>
    <row r="362" spans="1:16" x14ac:dyDescent="0.4">
      <c r="A362" t="s">
        <v>403</v>
      </c>
      <c r="B362">
        <v>59</v>
      </c>
      <c r="C362" t="s">
        <v>15</v>
      </c>
      <c r="D362" t="s">
        <v>16</v>
      </c>
      <c r="E362">
        <v>0.27</v>
      </c>
      <c r="F362">
        <v>44</v>
      </c>
      <c r="G362" t="s">
        <v>70</v>
      </c>
      <c r="H362" t="s">
        <v>46</v>
      </c>
      <c r="I362" s="2">
        <v>8.99</v>
      </c>
      <c r="J362">
        <v>1</v>
      </c>
      <c r="K362" s="2">
        <f t="shared" si="10"/>
        <v>8.99</v>
      </c>
      <c r="L362" t="s">
        <v>43</v>
      </c>
      <c r="M362">
        <v>5</v>
      </c>
      <c r="N362">
        <v>0.01</v>
      </c>
      <c r="O362" t="str">
        <f t="shared" si="11"/>
        <v>0–0.2 hours</v>
      </c>
      <c r="P362" t="s">
        <v>30</v>
      </c>
    </row>
    <row r="363" spans="1:16" x14ac:dyDescent="0.4">
      <c r="A363" t="s">
        <v>404</v>
      </c>
      <c r="B363">
        <v>68</v>
      </c>
      <c r="C363" t="s">
        <v>41</v>
      </c>
      <c r="D363" t="s">
        <v>22</v>
      </c>
      <c r="E363">
        <v>44.63</v>
      </c>
      <c r="F363">
        <v>53</v>
      </c>
      <c r="G363" t="s">
        <v>33</v>
      </c>
      <c r="H363" t="s">
        <v>24</v>
      </c>
      <c r="I363" s="2">
        <v>13.99</v>
      </c>
      <c r="J363">
        <v>0</v>
      </c>
      <c r="K363" s="2">
        <f t="shared" si="10"/>
        <v>0</v>
      </c>
      <c r="L363" t="s">
        <v>61</v>
      </c>
      <c r="M363">
        <v>5</v>
      </c>
      <c r="N363">
        <v>0.83</v>
      </c>
      <c r="O363" t="str">
        <f t="shared" si="11"/>
        <v>0.8–1 hour</v>
      </c>
      <c r="P363" t="s">
        <v>25</v>
      </c>
    </row>
    <row r="364" spans="1:16" x14ac:dyDescent="0.4">
      <c r="A364" t="s">
        <v>405</v>
      </c>
      <c r="B364">
        <v>38</v>
      </c>
      <c r="C364" t="s">
        <v>41</v>
      </c>
      <c r="D364" t="s">
        <v>22</v>
      </c>
      <c r="E364">
        <v>13.61</v>
      </c>
      <c r="F364">
        <v>16</v>
      </c>
      <c r="G364" t="s">
        <v>17</v>
      </c>
      <c r="H364" t="s">
        <v>55</v>
      </c>
      <c r="I364" s="2">
        <v>13.99</v>
      </c>
      <c r="J364">
        <v>0</v>
      </c>
      <c r="K364" s="2">
        <f t="shared" si="10"/>
        <v>0</v>
      </c>
      <c r="L364" t="s">
        <v>43</v>
      </c>
      <c r="M364">
        <v>5</v>
      </c>
      <c r="N364">
        <v>0.8</v>
      </c>
      <c r="O364" t="str">
        <f t="shared" si="11"/>
        <v>0.6–0.8 hours</v>
      </c>
      <c r="P364" t="s">
        <v>34</v>
      </c>
    </row>
    <row r="365" spans="1:16" x14ac:dyDescent="0.4">
      <c r="A365" t="s">
        <v>406</v>
      </c>
      <c r="B365">
        <v>22</v>
      </c>
      <c r="C365" t="s">
        <v>41</v>
      </c>
      <c r="D365" t="s">
        <v>32</v>
      </c>
      <c r="E365">
        <v>13.24</v>
      </c>
      <c r="F365">
        <v>37</v>
      </c>
      <c r="G365" t="s">
        <v>23</v>
      </c>
      <c r="H365" t="s">
        <v>24</v>
      </c>
      <c r="I365" s="2">
        <v>17.989999999999998</v>
      </c>
      <c r="J365">
        <v>0</v>
      </c>
      <c r="K365" s="2">
        <f t="shared" si="10"/>
        <v>0</v>
      </c>
      <c r="L365" t="s">
        <v>61</v>
      </c>
      <c r="M365">
        <v>5</v>
      </c>
      <c r="N365">
        <v>0.35</v>
      </c>
      <c r="O365" t="str">
        <f t="shared" si="11"/>
        <v>0.2–0.4 hours</v>
      </c>
      <c r="P365" t="s">
        <v>34</v>
      </c>
    </row>
    <row r="366" spans="1:16" x14ac:dyDescent="0.4">
      <c r="A366" t="s">
        <v>407</v>
      </c>
      <c r="B366">
        <v>41</v>
      </c>
      <c r="C366" t="s">
        <v>41</v>
      </c>
      <c r="D366" t="s">
        <v>32</v>
      </c>
      <c r="E366">
        <v>4.41</v>
      </c>
      <c r="F366">
        <v>56</v>
      </c>
      <c r="G366" t="s">
        <v>17</v>
      </c>
      <c r="H366" t="s">
        <v>18</v>
      </c>
      <c r="I366" s="2">
        <v>17.989999999999998</v>
      </c>
      <c r="J366">
        <v>1</v>
      </c>
      <c r="K366" s="2">
        <f t="shared" si="10"/>
        <v>17.989999999999998</v>
      </c>
      <c r="L366" t="s">
        <v>19</v>
      </c>
      <c r="M366">
        <v>2</v>
      </c>
      <c r="N366">
        <v>0.08</v>
      </c>
      <c r="O366" t="str">
        <f t="shared" si="11"/>
        <v>0–0.2 hours</v>
      </c>
      <c r="P366" t="s">
        <v>34</v>
      </c>
    </row>
    <row r="367" spans="1:16" x14ac:dyDescent="0.4">
      <c r="A367" t="s">
        <v>408</v>
      </c>
      <c r="B367">
        <v>36</v>
      </c>
      <c r="C367" t="s">
        <v>15</v>
      </c>
      <c r="D367" t="s">
        <v>32</v>
      </c>
      <c r="E367">
        <v>12.92</v>
      </c>
      <c r="F367">
        <v>14</v>
      </c>
      <c r="G367" t="s">
        <v>33</v>
      </c>
      <c r="H367" t="s">
        <v>57</v>
      </c>
      <c r="I367" s="2">
        <v>17.989999999999998</v>
      </c>
      <c r="J367">
        <v>0</v>
      </c>
      <c r="K367" s="2">
        <f t="shared" si="10"/>
        <v>0</v>
      </c>
      <c r="L367" t="s">
        <v>19</v>
      </c>
      <c r="M367">
        <v>5</v>
      </c>
      <c r="N367">
        <v>0.86</v>
      </c>
      <c r="O367" t="str">
        <f t="shared" si="11"/>
        <v>0.8–1 hour</v>
      </c>
      <c r="P367" t="s">
        <v>25</v>
      </c>
    </row>
    <row r="368" spans="1:16" x14ac:dyDescent="0.4">
      <c r="A368" t="s">
        <v>409</v>
      </c>
      <c r="B368">
        <v>30</v>
      </c>
      <c r="C368" t="s">
        <v>41</v>
      </c>
      <c r="D368" t="s">
        <v>22</v>
      </c>
      <c r="E368">
        <v>1.29</v>
      </c>
      <c r="F368">
        <v>4</v>
      </c>
      <c r="G368" t="s">
        <v>17</v>
      </c>
      <c r="H368" t="s">
        <v>18</v>
      </c>
      <c r="I368" s="2">
        <v>13.99</v>
      </c>
      <c r="J368">
        <v>0</v>
      </c>
      <c r="K368" s="2">
        <f t="shared" si="10"/>
        <v>0</v>
      </c>
      <c r="L368" t="s">
        <v>61</v>
      </c>
      <c r="M368">
        <v>5</v>
      </c>
      <c r="N368">
        <v>0.26</v>
      </c>
      <c r="O368" t="str">
        <f t="shared" si="11"/>
        <v>0.2–0.4 hours</v>
      </c>
      <c r="P368" t="s">
        <v>20</v>
      </c>
    </row>
    <row r="369" spans="1:16" x14ac:dyDescent="0.4">
      <c r="A369" t="s">
        <v>410</v>
      </c>
      <c r="B369">
        <v>57</v>
      </c>
      <c r="C369" t="s">
        <v>41</v>
      </c>
      <c r="D369" t="s">
        <v>22</v>
      </c>
      <c r="E369">
        <v>2.31</v>
      </c>
      <c r="F369">
        <v>29</v>
      </c>
      <c r="G369" t="s">
        <v>23</v>
      </c>
      <c r="H369" t="s">
        <v>57</v>
      </c>
      <c r="I369" s="2">
        <v>13.99</v>
      </c>
      <c r="J369">
        <v>1</v>
      </c>
      <c r="K369" s="2">
        <f t="shared" si="10"/>
        <v>13.99</v>
      </c>
      <c r="L369" t="s">
        <v>29</v>
      </c>
      <c r="M369">
        <v>1</v>
      </c>
      <c r="N369">
        <v>0.08</v>
      </c>
      <c r="O369" t="str">
        <f t="shared" si="11"/>
        <v>0–0.2 hours</v>
      </c>
      <c r="P369" t="s">
        <v>25</v>
      </c>
    </row>
    <row r="370" spans="1:16" x14ac:dyDescent="0.4">
      <c r="A370" t="s">
        <v>411</v>
      </c>
      <c r="B370">
        <v>54</v>
      </c>
      <c r="C370" t="s">
        <v>41</v>
      </c>
      <c r="D370" t="s">
        <v>22</v>
      </c>
      <c r="E370">
        <v>8.56</v>
      </c>
      <c r="F370">
        <v>33</v>
      </c>
      <c r="G370" t="s">
        <v>49</v>
      </c>
      <c r="H370" t="s">
        <v>24</v>
      </c>
      <c r="I370" s="2">
        <v>13.99</v>
      </c>
      <c r="J370">
        <v>1</v>
      </c>
      <c r="K370" s="2">
        <f t="shared" si="10"/>
        <v>13.99</v>
      </c>
      <c r="L370" t="s">
        <v>19</v>
      </c>
      <c r="M370">
        <v>4</v>
      </c>
      <c r="N370">
        <v>0.25</v>
      </c>
      <c r="O370" t="str">
        <f t="shared" si="11"/>
        <v>0.2–0.4 hours</v>
      </c>
      <c r="P370" t="s">
        <v>30</v>
      </c>
    </row>
    <row r="371" spans="1:16" x14ac:dyDescent="0.4">
      <c r="A371" t="s">
        <v>412</v>
      </c>
      <c r="B371">
        <v>18</v>
      </c>
      <c r="C371" t="s">
        <v>41</v>
      </c>
      <c r="D371" t="s">
        <v>22</v>
      </c>
      <c r="E371">
        <v>18.75</v>
      </c>
      <c r="F371">
        <v>24</v>
      </c>
      <c r="G371" t="s">
        <v>49</v>
      </c>
      <c r="H371" t="s">
        <v>24</v>
      </c>
      <c r="I371" s="2">
        <v>13.99</v>
      </c>
      <c r="J371">
        <v>0</v>
      </c>
      <c r="K371" s="2">
        <f t="shared" si="10"/>
        <v>0</v>
      </c>
      <c r="L371" t="s">
        <v>43</v>
      </c>
      <c r="M371">
        <v>5</v>
      </c>
      <c r="N371">
        <v>0.75</v>
      </c>
      <c r="O371" t="str">
        <f t="shared" si="11"/>
        <v>0.6–0.8 hours</v>
      </c>
      <c r="P371" t="s">
        <v>25</v>
      </c>
    </row>
    <row r="372" spans="1:16" x14ac:dyDescent="0.4">
      <c r="A372" t="s">
        <v>413</v>
      </c>
      <c r="B372">
        <v>46</v>
      </c>
      <c r="C372" t="s">
        <v>27</v>
      </c>
      <c r="D372" t="s">
        <v>22</v>
      </c>
      <c r="E372">
        <v>0.71</v>
      </c>
      <c r="F372">
        <v>26</v>
      </c>
      <c r="G372" t="s">
        <v>70</v>
      </c>
      <c r="H372" t="s">
        <v>57</v>
      </c>
      <c r="I372" s="2">
        <v>13.99</v>
      </c>
      <c r="J372">
        <v>1</v>
      </c>
      <c r="K372" s="2">
        <f t="shared" si="10"/>
        <v>13.99</v>
      </c>
      <c r="L372" t="s">
        <v>29</v>
      </c>
      <c r="M372">
        <v>5</v>
      </c>
      <c r="N372">
        <v>0.03</v>
      </c>
      <c r="O372" t="str">
        <f t="shared" si="11"/>
        <v>0–0.2 hours</v>
      </c>
      <c r="P372" t="s">
        <v>20</v>
      </c>
    </row>
    <row r="373" spans="1:16" x14ac:dyDescent="0.4">
      <c r="A373" t="s">
        <v>414</v>
      </c>
      <c r="B373">
        <v>38</v>
      </c>
      <c r="C373" t="s">
        <v>41</v>
      </c>
      <c r="D373" t="s">
        <v>22</v>
      </c>
      <c r="E373">
        <v>18.899999999999999</v>
      </c>
      <c r="F373">
        <v>54</v>
      </c>
      <c r="G373" t="s">
        <v>17</v>
      </c>
      <c r="H373" t="s">
        <v>57</v>
      </c>
      <c r="I373" s="2">
        <v>13.99</v>
      </c>
      <c r="J373">
        <v>1</v>
      </c>
      <c r="K373" s="2">
        <f t="shared" si="10"/>
        <v>13.99</v>
      </c>
      <c r="L373" t="s">
        <v>19</v>
      </c>
      <c r="M373">
        <v>4</v>
      </c>
      <c r="N373">
        <v>0.34</v>
      </c>
      <c r="O373" t="str">
        <f t="shared" si="11"/>
        <v>0.2–0.4 hours</v>
      </c>
      <c r="P373" t="s">
        <v>34</v>
      </c>
    </row>
    <row r="374" spans="1:16" x14ac:dyDescent="0.4">
      <c r="A374" t="s">
        <v>415</v>
      </c>
      <c r="B374">
        <v>48</v>
      </c>
      <c r="C374" t="s">
        <v>41</v>
      </c>
      <c r="D374" t="s">
        <v>16</v>
      </c>
      <c r="E374">
        <v>6.52</v>
      </c>
      <c r="F374">
        <v>34</v>
      </c>
      <c r="G374" t="s">
        <v>70</v>
      </c>
      <c r="H374" t="s">
        <v>57</v>
      </c>
      <c r="I374" s="2">
        <v>8.99</v>
      </c>
      <c r="J374">
        <v>1</v>
      </c>
      <c r="K374" s="2">
        <f t="shared" si="10"/>
        <v>8.99</v>
      </c>
      <c r="L374" t="s">
        <v>43</v>
      </c>
      <c r="M374">
        <v>4</v>
      </c>
      <c r="N374">
        <v>0.19</v>
      </c>
      <c r="O374" t="str">
        <f t="shared" si="11"/>
        <v>0–0.2 hours</v>
      </c>
      <c r="P374" t="s">
        <v>47</v>
      </c>
    </row>
    <row r="375" spans="1:16" x14ac:dyDescent="0.4">
      <c r="A375" t="s">
        <v>416</v>
      </c>
      <c r="B375">
        <v>25</v>
      </c>
      <c r="C375" t="s">
        <v>41</v>
      </c>
      <c r="D375" t="s">
        <v>32</v>
      </c>
      <c r="E375">
        <v>23.81</v>
      </c>
      <c r="F375">
        <v>59</v>
      </c>
      <c r="G375" t="s">
        <v>49</v>
      </c>
      <c r="H375" t="s">
        <v>46</v>
      </c>
      <c r="I375" s="2">
        <v>17.989999999999998</v>
      </c>
      <c r="J375">
        <v>0</v>
      </c>
      <c r="K375" s="2">
        <f t="shared" si="10"/>
        <v>0</v>
      </c>
      <c r="L375" t="s">
        <v>37</v>
      </c>
      <c r="M375">
        <v>3</v>
      </c>
      <c r="N375">
        <v>0.4</v>
      </c>
      <c r="O375" t="str">
        <f t="shared" si="11"/>
        <v>0.2–0.4 hours</v>
      </c>
      <c r="P375" t="s">
        <v>47</v>
      </c>
    </row>
    <row r="376" spans="1:16" x14ac:dyDescent="0.4">
      <c r="A376" t="s">
        <v>417</v>
      </c>
      <c r="B376">
        <v>31</v>
      </c>
      <c r="C376" t="s">
        <v>15</v>
      </c>
      <c r="D376" t="s">
        <v>32</v>
      </c>
      <c r="E376">
        <v>2.4700000000000002</v>
      </c>
      <c r="F376">
        <v>33</v>
      </c>
      <c r="G376" t="s">
        <v>70</v>
      </c>
      <c r="H376" t="s">
        <v>24</v>
      </c>
      <c r="I376" s="2">
        <v>17.989999999999998</v>
      </c>
      <c r="J376">
        <v>1</v>
      </c>
      <c r="K376" s="2">
        <f t="shared" si="10"/>
        <v>17.989999999999998</v>
      </c>
      <c r="L376" t="s">
        <v>43</v>
      </c>
      <c r="M376">
        <v>2</v>
      </c>
      <c r="N376">
        <v>7.0000000000000007E-2</v>
      </c>
      <c r="O376" t="str">
        <f t="shared" si="11"/>
        <v>0–0.2 hours</v>
      </c>
      <c r="P376" t="s">
        <v>25</v>
      </c>
    </row>
    <row r="377" spans="1:16" x14ac:dyDescent="0.4">
      <c r="A377" t="s">
        <v>418</v>
      </c>
      <c r="B377">
        <v>37</v>
      </c>
      <c r="C377" t="s">
        <v>27</v>
      </c>
      <c r="D377" t="s">
        <v>16</v>
      </c>
      <c r="E377">
        <v>7.59</v>
      </c>
      <c r="F377">
        <v>5</v>
      </c>
      <c r="G377" t="s">
        <v>23</v>
      </c>
      <c r="H377" t="s">
        <v>55</v>
      </c>
      <c r="I377" s="2">
        <v>8.99</v>
      </c>
      <c r="J377">
        <v>0</v>
      </c>
      <c r="K377" s="2">
        <f t="shared" si="10"/>
        <v>0</v>
      </c>
      <c r="L377" t="s">
        <v>29</v>
      </c>
      <c r="M377">
        <v>2</v>
      </c>
      <c r="N377">
        <v>1.26</v>
      </c>
      <c r="O377" t="str">
        <f t="shared" si="11"/>
        <v>1+ hours</v>
      </c>
      <c r="P377" t="s">
        <v>30</v>
      </c>
    </row>
    <row r="378" spans="1:16" x14ac:dyDescent="0.4">
      <c r="A378" t="s">
        <v>419</v>
      </c>
      <c r="B378">
        <v>57</v>
      </c>
      <c r="C378" t="s">
        <v>15</v>
      </c>
      <c r="D378" t="s">
        <v>16</v>
      </c>
      <c r="E378">
        <v>9.8800000000000008</v>
      </c>
      <c r="F378">
        <v>44</v>
      </c>
      <c r="G378" t="s">
        <v>23</v>
      </c>
      <c r="H378" t="s">
        <v>24</v>
      </c>
      <c r="I378" s="2">
        <v>8.99</v>
      </c>
      <c r="J378">
        <v>1</v>
      </c>
      <c r="K378" s="2">
        <f t="shared" si="10"/>
        <v>8.99</v>
      </c>
      <c r="L378" t="s">
        <v>37</v>
      </c>
      <c r="M378">
        <v>3</v>
      </c>
      <c r="N378">
        <v>0.22</v>
      </c>
      <c r="O378" t="str">
        <f t="shared" si="11"/>
        <v>0.2–0.4 hours</v>
      </c>
      <c r="P378" t="s">
        <v>20</v>
      </c>
    </row>
    <row r="379" spans="1:16" x14ac:dyDescent="0.4">
      <c r="A379" t="s">
        <v>420</v>
      </c>
      <c r="B379">
        <v>70</v>
      </c>
      <c r="C379" t="s">
        <v>15</v>
      </c>
      <c r="D379" t="s">
        <v>22</v>
      </c>
      <c r="E379">
        <v>21.33</v>
      </c>
      <c r="F379">
        <v>47</v>
      </c>
      <c r="G379" t="s">
        <v>23</v>
      </c>
      <c r="H379" t="s">
        <v>57</v>
      </c>
      <c r="I379" s="2">
        <v>13.99</v>
      </c>
      <c r="J379">
        <v>0</v>
      </c>
      <c r="K379" s="2">
        <f t="shared" si="10"/>
        <v>0</v>
      </c>
      <c r="L379" t="s">
        <v>37</v>
      </c>
      <c r="M379">
        <v>1</v>
      </c>
      <c r="N379">
        <v>0.44</v>
      </c>
      <c r="O379" t="str">
        <f t="shared" si="11"/>
        <v>0.4–0.6 hours</v>
      </c>
      <c r="P379" t="s">
        <v>25</v>
      </c>
    </row>
    <row r="380" spans="1:16" x14ac:dyDescent="0.4">
      <c r="A380" t="s">
        <v>421</v>
      </c>
      <c r="B380">
        <v>65</v>
      </c>
      <c r="C380" t="s">
        <v>41</v>
      </c>
      <c r="D380" t="s">
        <v>16</v>
      </c>
      <c r="E380">
        <v>4.2</v>
      </c>
      <c r="F380">
        <v>54</v>
      </c>
      <c r="G380" t="s">
        <v>70</v>
      </c>
      <c r="H380" t="s">
        <v>24</v>
      </c>
      <c r="I380" s="2">
        <v>8.99</v>
      </c>
      <c r="J380">
        <v>1</v>
      </c>
      <c r="K380" s="2">
        <f t="shared" si="10"/>
        <v>8.99</v>
      </c>
      <c r="L380" t="s">
        <v>29</v>
      </c>
      <c r="M380">
        <v>4</v>
      </c>
      <c r="N380">
        <v>0.08</v>
      </c>
      <c r="O380" t="str">
        <f t="shared" si="11"/>
        <v>0–0.2 hours</v>
      </c>
      <c r="P380" t="s">
        <v>52</v>
      </c>
    </row>
    <row r="381" spans="1:16" x14ac:dyDescent="0.4">
      <c r="A381" t="s">
        <v>422</v>
      </c>
      <c r="B381">
        <v>44</v>
      </c>
      <c r="C381" t="s">
        <v>41</v>
      </c>
      <c r="D381" t="s">
        <v>32</v>
      </c>
      <c r="E381">
        <v>2.5099999999999998</v>
      </c>
      <c r="F381">
        <v>30</v>
      </c>
      <c r="G381" t="s">
        <v>23</v>
      </c>
      <c r="H381" t="s">
        <v>24</v>
      </c>
      <c r="I381" s="2">
        <v>17.989999999999998</v>
      </c>
      <c r="J381">
        <v>0</v>
      </c>
      <c r="K381" s="2">
        <f t="shared" si="10"/>
        <v>0</v>
      </c>
      <c r="L381" t="s">
        <v>37</v>
      </c>
      <c r="M381">
        <v>4</v>
      </c>
      <c r="N381">
        <v>0.08</v>
      </c>
      <c r="O381" t="str">
        <f t="shared" si="11"/>
        <v>0–0.2 hours</v>
      </c>
      <c r="P381" t="s">
        <v>25</v>
      </c>
    </row>
    <row r="382" spans="1:16" x14ac:dyDescent="0.4">
      <c r="A382" t="s">
        <v>423</v>
      </c>
      <c r="B382">
        <v>47</v>
      </c>
      <c r="C382" t="s">
        <v>27</v>
      </c>
      <c r="D382" t="s">
        <v>32</v>
      </c>
      <c r="E382">
        <v>11.36</v>
      </c>
      <c r="F382">
        <v>13</v>
      </c>
      <c r="G382" t="s">
        <v>49</v>
      </c>
      <c r="H382" t="s">
        <v>24</v>
      </c>
      <c r="I382" s="2">
        <v>17.989999999999998</v>
      </c>
      <c r="J382">
        <v>0</v>
      </c>
      <c r="K382" s="2">
        <f t="shared" si="10"/>
        <v>0</v>
      </c>
      <c r="L382" t="s">
        <v>19</v>
      </c>
      <c r="M382">
        <v>1</v>
      </c>
      <c r="N382">
        <v>0.81</v>
      </c>
      <c r="O382" t="str">
        <f t="shared" si="11"/>
        <v>0.8–1 hour</v>
      </c>
      <c r="P382" t="s">
        <v>34</v>
      </c>
    </row>
    <row r="383" spans="1:16" x14ac:dyDescent="0.4">
      <c r="A383" t="s">
        <v>424</v>
      </c>
      <c r="B383">
        <v>70</v>
      </c>
      <c r="C383" t="s">
        <v>15</v>
      </c>
      <c r="D383" t="s">
        <v>32</v>
      </c>
      <c r="E383">
        <v>13.24</v>
      </c>
      <c r="F383">
        <v>1</v>
      </c>
      <c r="G383" t="s">
        <v>17</v>
      </c>
      <c r="H383" t="s">
        <v>18</v>
      </c>
      <c r="I383" s="2">
        <v>17.989999999999998</v>
      </c>
      <c r="J383">
        <v>0</v>
      </c>
      <c r="K383" s="2">
        <f t="shared" si="10"/>
        <v>0</v>
      </c>
      <c r="L383" t="s">
        <v>19</v>
      </c>
      <c r="M383">
        <v>5</v>
      </c>
      <c r="N383">
        <v>6.62</v>
      </c>
      <c r="O383" t="str">
        <f t="shared" si="11"/>
        <v>1+ hours</v>
      </c>
      <c r="P383" t="s">
        <v>30</v>
      </c>
    </row>
    <row r="384" spans="1:16" x14ac:dyDescent="0.4">
      <c r="A384" t="s">
        <v>425</v>
      </c>
      <c r="B384">
        <v>55</v>
      </c>
      <c r="C384" t="s">
        <v>41</v>
      </c>
      <c r="D384" t="s">
        <v>22</v>
      </c>
      <c r="E384">
        <v>7.78</v>
      </c>
      <c r="F384">
        <v>7</v>
      </c>
      <c r="G384" t="s">
        <v>28</v>
      </c>
      <c r="H384" t="s">
        <v>24</v>
      </c>
      <c r="I384" s="2">
        <v>13.99</v>
      </c>
      <c r="J384">
        <v>0</v>
      </c>
      <c r="K384" s="2">
        <f t="shared" si="10"/>
        <v>0</v>
      </c>
      <c r="L384" t="s">
        <v>43</v>
      </c>
      <c r="M384">
        <v>3</v>
      </c>
      <c r="N384">
        <v>0.97</v>
      </c>
      <c r="O384" t="str">
        <f t="shared" si="11"/>
        <v>0.8–1 hour</v>
      </c>
      <c r="P384" t="s">
        <v>30</v>
      </c>
    </row>
    <row r="385" spans="1:16" x14ac:dyDescent="0.4">
      <c r="A385" t="s">
        <v>426</v>
      </c>
      <c r="B385">
        <v>46</v>
      </c>
      <c r="C385" t="s">
        <v>41</v>
      </c>
      <c r="D385" t="s">
        <v>32</v>
      </c>
      <c r="E385">
        <v>3.18</v>
      </c>
      <c r="F385">
        <v>11</v>
      </c>
      <c r="G385" t="s">
        <v>70</v>
      </c>
      <c r="H385" t="s">
        <v>18</v>
      </c>
      <c r="I385" s="2">
        <v>17.989999999999998</v>
      </c>
      <c r="J385">
        <v>1</v>
      </c>
      <c r="K385" s="2">
        <f t="shared" si="10"/>
        <v>17.989999999999998</v>
      </c>
      <c r="L385" t="s">
        <v>29</v>
      </c>
      <c r="M385">
        <v>4</v>
      </c>
      <c r="N385">
        <v>0.27</v>
      </c>
      <c r="O385" t="str">
        <f t="shared" si="11"/>
        <v>0.2–0.4 hours</v>
      </c>
      <c r="P385" t="s">
        <v>25</v>
      </c>
    </row>
    <row r="386" spans="1:16" x14ac:dyDescent="0.4">
      <c r="A386" t="s">
        <v>427</v>
      </c>
      <c r="B386">
        <v>68</v>
      </c>
      <c r="C386" t="s">
        <v>15</v>
      </c>
      <c r="D386" t="s">
        <v>32</v>
      </c>
      <c r="E386">
        <v>4.12</v>
      </c>
      <c r="F386">
        <v>31</v>
      </c>
      <c r="G386" t="s">
        <v>23</v>
      </c>
      <c r="H386" t="s">
        <v>18</v>
      </c>
      <c r="I386" s="2">
        <v>17.989999999999998</v>
      </c>
      <c r="J386">
        <v>1</v>
      </c>
      <c r="K386" s="2">
        <f t="shared" si="10"/>
        <v>17.989999999999998</v>
      </c>
      <c r="L386" t="s">
        <v>61</v>
      </c>
      <c r="M386">
        <v>5</v>
      </c>
      <c r="N386">
        <v>0.13</v>
      </c>
      <c r="O386" t="str">
        <f t="shared" si="11"/>
        <v>0–0.2 hours</v>
      </c>
      <c r="P386" t="s">
        <v>30</v>
      </c>
    </row>
    <row r="387" spans="1:16" x14ac:dyDescent="0.4">
      <c r="A387" t="s">
        <v>428</v>
      </c>
      <c r="B387">
        <v>36</v>
      </c>
      <c r="C387" t="s">
        <v>15</v>
      </c>
      <c r="D387" t="s">
        <v>16</v>
      </c>
      <c r="E387">
        <v>29.27</v>
      </c>
      <c r="F387">
        <v>35</v>
      </c>
      <c r="G387" t="s">
        <v>23</v>
      </c>
      <c r="H387" t="s">
        <v>18</v>
      </c>
      <c r="I387" s="2">
        <v>8.99</v>
      </c>
      <c r="J387">
        <v>0</v>
      </c>
      <c r="K387" s="2">
        <f t="shared" ref="K387:K450" si="12">SUMIF(J387,1,I387)</f>
        <v>0</v>
      </c>
      <c r="L387" t="s">
        <v>19</v>
      </c>
      <c r="M387">
        <v>4</v>
      </c>
      <c r="N387">
        <v>0.81</v>
      </c>
      <c r="O387" t="str">
        <f t="shared" ref="O387:O450" si="13">IF(N387&gt;1,"1+ hours",IF(N387&lt;=0.2,"0–0.2 hours",IF(N387&lt;=0.4,"0.2–0.4 hours",IF(N387&lt;=0.6,"0.4–0.6 hours",IF(N387&lt;=0.8,"0.6–0.8 hours","0.8–1 hour")))))</f>
        <v>0.8–1 hour</v>
      </c>
      <c r="P387" t="s">
        <v>39</v>
      </c>
    </row>
    <row r="388" spans="1:16" x14ac:dyDescent="0.4">
      <c r="A388" t="s">
        <v>429</v>
      </c>
      <c r="B388">
        <v>65</v>
      </c>
      <c r="C388" t="s">
        <v>27</v>
      </c>
      <c r="D388" t="s">
        <v>32</v>
      </c>
      <c r="E388">
        <v>14.47</v>
      </c>
      <c r="F388">
        <v>31</v>
      </c>
      <c r="G388" t="s">
        <v>49</v>
      </c>
      <c r="H388" t="s">
        <v>18</v>
      </c>
      <c r="I388" s="2">
        <v>17.989999999999998</v>
      </c>
      <c r="J388">
        <v>0</v>
      </c>
      <c r="K388" s="2">
        <f t="shared" si="12"/>
        <v>0</v>
      </c>
      <c r="L388" t="s">
        <v>37</v>
      </c>
      <c r="M388">
        <v>5</v>
      </c>
      <c r="N388">
        <v>0.45</v>
      </c>
      <c r="O388" t="str">
        <f t="shared" si="13"/>
        <v>0.4–0.6 hours</v>
      </c>
      <c r="P388" t="s">
        <v>30</v>
      </c>
    </row>
    <row r="389" spans="1:16" x14ac:dyDescent="0.4">
      <c r="A389" t="s">
        <v>430</v>
      </c>
      <c r="B389">
        <v>50</v>
      </c>
      <c r="C389" t="s">
        <v>15</v>
      </c>
      <c r="D389" t="s">
        <v>32</v>
      </c>
      <c r="E389">
        <v>13.98</v>
      </c>
      <c r="F389">
        <v>56</v>
      </c>
      <c r="G389" t="s">
        <v>33</v>
      </c>
      <c r="H389" t="s">
        <v>24</v>
      </c>
      <c r="I389" s="2">
        <v>17.989999999999998</v>
      </c>
      <c r="J389">
        <v>1</v>
      </c>
      <c r="K389" s="2">
        <f t="shared" si="12"/>
        <v>17.989999999999998</v>
      </c>
      <c r="L389" t="s">
        <v>29</v>
      </c>
      <c r="M389">
        <v>4</v>
      </c>
      <c r="N389">
        <v>0.25</v>
      </c>
      <c r="O389" t="str">
        <f t="shared" si="13"/>
        <v>0.2–0.4 hours</v>
      </c>
      <c r="P389" t="s">
        <v>34</v>
      </c>
    </row>
    <row r="390" spans="1:16" x14ac:dyDescent="0.4">
      <c r="A390" t="s">
        <v>431</v>
      </c>
      <c r="B390">
        <v>38</v>
      </c>
      <c r="C390" t="s">
        <v>15</v>
      </c>
      <c r="D390" t="s">
        <v>16</v>
      </c>
      <c r="E390">
        <v>14.43</v>
      </c>
      <c r="F390">
        <v>16</v>
      </c>
      <c r="G390" t="s">
        <v>49</v>
      </c>
      <c r="H390" t="s">
        <v>57</v>
      </c>
      <c r="I390" s="2">
        <v>8.99</v>
      </c>
      <c r="J390">
        <v>0</v>
      </c>
      <c r="K390" s="2">
        <f t="shared" si="12"/>
        <v>0</v>
      </c>
      <c r="L390" t="s">
        <v>61</v>
      </c>
      <c r="M390">
        <v>1</v>
      </c>
      <c r="N390">
        <v>0.85</v>
      </c>
      <c r="O390" t="str">
        <f t="shared" si="13"/>
        <v>0.8–1 hour</v>
      </c>
      <c r="P390" t="s">
        <v>52</v>
      </c>
    </row>
    <row r="391" spans="1:16" x14ac:dyDescent="0.4">
      <c r="A391" t="s">
        <v>432</v>
      </c>
      <c r="B391">
        <v>26</v>
      </c>
      <c r="C391" t="s">
        <v>27</v>
      </c>
      <c r="D391" t="s">
        <v>32</v>
      </c>
      <c r="E391">
        <v>13.59</v>
      </c>
      <c r="F391">
        <v>51</v>
      </c>
      <c r="G391" t="s">
        <v>33</v>
      </c>
      <c r="H391" t="s">
        <v>24</v>
      </c>
      <c r="I391" s="2">
        <v>17.989999999999998</v>
      </c>
      <c r="J391">
        <v>1</v>
      </c>
      <c r="K391" s="2">
        <f t="shared" si="12"/>
        <v>17.989999999999998</v>
      </c>
      <c r="L391" t="s">
        <v>29</v>
      </c>
      <c r="M391">
        <v>2</v>
      </c>
      <c r="N391">
        <v>0.26</v>
      </c>
      <c r="O391" t="str">
        <f t="shared" si="13"/>
        <v>0.2–0.4 hours</v>
      </c>
      <c r="P391" t="s">
        <v>30</v>
      </c>
    </row>
    <row r="392" spans="1:16" x14ac:dyDescent="0.4">
      <c r="A392" t="s">
        <v>433</v>
      </c>
      <c r="B392">
        <v>45</v>
      </c>
      <c r="C392" t="s">
        <v>41</v>
      </c>
      <c r="D392" t="s">
        <v>16</v>
      </c>
      <c r="E392">
        <v>4.59</v>
      </c>
      <c r="F392">
        <v>47</v>
      </c>
      <c r="G392" t="s">
        <v>28</v>
      </c>
      <c r="H392" t="s">
        <v>46</v>
      </c>
      <c r="I392" s="2">
        <v>8.99</v>
      </c>
      <c r="J392">
        <v>1</v>
      </c>
      <c r="K392" s="2">
        <f t="shared" si="12"/>
        <v>8.99</v>
      </c>
      <c r="L392" t="s">
        <v>19</v>
      </c>
      <c r="M392">
        <v>1</v>
      </c>
      <c r="N392">
        <v>0.1</v>
      </c>
      <c r="O392" t="str">
        <f t="shared" si="13"/>
        <v>0–0.2 hours</v>
      </c>
      <c r="P392" t="s">
        <v>25</v>
      </c>
    </row>
    <row r="393" spans="1:16" x14ac:dyDescent="0.4">
      <c r="A393" t="s">
        <v>434</v>
      </c>
      <c r="B393">
        <v>38</v>
      </c>
      <c r="C393" t="s">
        <v>15</v>
      </c>
      <c r="D393" t="s">
        <v>32</v>
      </c>
      <c r="E393">
        <v>1.81</v>
      </c>
      <c r="F393">
        <v>22</v>
      </c>
      <c r="G393" t="s">
        <v>28</v>
      </c>
      <c r="H393" t="s">
        <v>46</v>
      </c>
      <c r="I393" s="2">
        <v>17.989999999999998</v>
      </c>
      <c r="J393">
        <v>1</v>
      </c>
      <c r="K393" s="2">
        <f t="shared" si="12"/>
        <v>17.989999999999998</v>
      </c>
      <c r="L393" t="s">
        <v>19</v>
      </c>
      <c r="M393">
        <v>4</v>
      </c>
      <c r="N393">
        <v>0.08</v>
      </c>
      <c r="O393" t="str">
        <f t="shared" si="13"/>
        <v>0–0.2 hours</v>
      </c>
      <c r="P393" t="s">
        <v>20</v>
      </c>
    </row>
    <row r="394" spans="1:16" x14ac:dyDescent="0.4">
      <c r="A394" t="s">
        <v>435</v>
      </c>
      <c r="B394">
        <v>41</v>
      </c>
      <c r="C394" t="s">
        <v>15</v>
      </c>
      <c r="D394" t="s">
        <v>16</v>
      </c>
      <c r="E394">
        <v>12.04</v>
      </c>
      <c r="F394">
        <v>32</v>
      </c>
      <c r="G394" t="s">
        <v>33</v>
      </c>
      <c r="H394" t="s">
        <v>55</v>
      </c>
      <c r="I394" s="2">
        <v>8.99</v>
      </c>
      <c r="J394">
        <v>1</v>
      </c>
      <c r="K394" s="2">
        <f t="shared" si="12"/>
        <v>8.99</v>
      </c>
      <c r="L394" t="s">
        <v>61</v>
      </c>
      <c r="M394">
        <v>1</v>
      </c>
      <c r="N394">
        <v>0.36</v>
      </c>
      <c r="O394" t="str">
        <f t="shared" si="13"/>
        <v>0.2–0.4 hours</v>
      </c>
      <c r="P394" t="s">
        <v>30</v>
      </c>
    </row>
    <row r="395" spans="1:16" x14ac:dyDescent="0.4">
      <c r="A395" t="s">
        <v>436</v>
      </c>
      <c r="B395">
        <v>70</v>
      </c>
      <c r="C395" t="s">
        <v>15</v>
      </c>
      <c r="D395" t="s">
        <v>22</v>
      </c>
      <c r="E395">
        <v>4.6900000000000004</v>
      </c>
      <c r="F395">
        <v>32</v>
      </c>
      <c r="G395" t="s">
        <v>28</v>
      </c>
      <c r="H395" t="s">
        <v>18</v>
      </c>
      <c r="I395" s="2">
        <v>13.99</v>
      </c>
      <c r="J395">
        <v>1</v>
      </c>
      <c r="K395" s="2">
        <f t="shared" si="12"/>
        <v>13.99</v>
      </c>
      <c r="L395" t="s">
        <v>37</v>
      </c>
      <c r="M395">
        <v>3</v>
      </c>
      <c r="N395">
        <v>0.14000000000000001</v>
      </c>
      <c r="O395" t="str">
        <f t="shared" si="13"/>
        <v>0–0.2 hours</v>
      </c>
      <c r="P395" t="s">
        <v>52</v>
      </c>
    </row>
    <row r="396" spans="1:16" x14ac:dyDescent="0.4">
      <c r="A396" t="s">
        <v>437</v>
      </c>
      <c r="B396">
        <v>43</v>
      </c>
      <c r="C396" t="s">
        <v>27</v>
      </c>
      <c r="D396" t="s">
        <v>32</v>
      </c>
      <c r="E396">
        <v>12.37</v>
      </c>
      <c r="F396">
        <v>37</v>
      </c>
      <c r="G396" t="s">
        <v>23</v>
      </c>
      <c r="H396" t="s">
        <v>55</v>
      </c>
      <c r="I396" s="2">
        <v>17.989999999999998</v>
      </c>
      <c r="J396">
        <v>1</v>
      </c>
      <c r="K396" s="2">
        <f t="shared" si="12"/>
        <v>17.989999999999998</v>
      </c>
      <c r="L396" t="s">
        <v>29</v>
      </c>
      <c r="M396">
        <v>3</v>
      </c>
      <c r="N396">
        <v>0.33</v>
      </c>
      <c r="O396" t="str">
        <f t="shared" si="13"/>
        <v>0.2–0.4 hours</v>
      </c>
      <c r="P396" t="s">
        <v>39</v>
      </c>
    </row>
    <row r="397" spans="1:16" x14ac:dyDescent="0.4">
      <c r="A397" t="s">
        <v>438</v>
      </c>
      <c r="B397">
        <v>42</v>
      </c>
      <c r="C397" t="s">
        <v>27</v>
      </c>
      <c r="D397" t="s">
        <v>16</v>
      </c>
      <c r="E397">
        <v>7.27</v>
      </c>
      <c r="F397">
        <v>7</v>
      </c>
      <c r="G397" t="s">
        <v>17</v>
      </c>
      <c r="H397" t="s">
        <v>46</v>
      </c>
      <c r="I397" s="2">
        <v>8.99</v>
      </c>
      <c r="J397">
        <v>0</v>
      </c>
      <c r="K397" s="2">
        <f t="shared" si="12"/>
        <v>0</v>
      </c>
      <c r="L397" t="s">
        <v>29</v>
      </c>
      <c r="M397">
        <v>2</v>
      </c>
      <c r="N397">
        <v>0.91</v>
      </c>
      <c r="O397" t="str">
        <f t="shared" si="13"/>
        <v>0.8–1 hour</v>
      </c>
      <c r="P397" t="s">
        <v>39</v>
      </c>
    </row>
    <row r="398" spans="1:16" x14ac:dyDescent="0.4">
      <c r="A398" t="s">
        <v>439</v>
      </c>
      <c r="B398">
        <v>48</v>
      </c>
      <c r="C398" t="s">
        <v>15</v>
      </c>
      <c r="D398" t="s">
        <v>32</v>
      </c>
      <c r="E398">
        <v>26.34</v>
      </c>
      <c r="F398">
        <v>40</v>
      </c>
      <c r="G398" t="s">
        <v>17</v>
      </c>
      <c r="H398" t="s">
        <v>18</v>
      </c>
      <c r="I398" s="2">
        <v>17.989999999999998</v>
      </c>
      <c r="J398">
        <v>0</v>
      </c>
      <c r="K398" s="2">
        <f t="shared" si="12"/>
        <v>0</v>
      </c>
      <c r="L398" t="s">
        <v>29</v>
      </c>
      <c r="M398">
        <v>2</v>
      </c>
      <c r="N398">
        <v>0.64</v>
      </c>
      <c r="O398" t="str">
        <f t="shared" si="13"/>
        <v>0.6–0.8 hours</v>
      </c>
      <c r="P398" t="s">
        <v>39</v>
      </c>
    </row>
    <row r="399" spans="1:16" x14ac:dyDescent="0.4">
      <c r="A399" t="s">
        <v>440</v>
      </c>
      <c r="B399">
        <v>67</v>
      </c>
      <c r="C399" t="s">
        <v>41</v>
      </c>
      <c r="D399" t="s">
        <v>22</v>
      </c>
      <c r="E399">
        <v>19.48</v>
      </c>
      <c r="F399">
        <v>25</v>
      </c>
      <c r="G399" t="s">
        <v>70</v>
      </c>
      <c r="H399" t="s">
        <v>24</v>
      </c>
      <c r="I399" s="2">
        <v>13.99</v>
      </c>
      <c r="J399">
        <v>0</v>
      </c>
      <c r="K399" s="2">
        <f t="shared" si="12"/>
        <v>0</v>
      </c>
      <c r="L399" t="s">
        <v>37</v>
      </c>
      <c r="M399">
        <v>2</v>
      </c>
      <c r="N399">
        <v>0.75</v>
      </c>
      <c r="O399" t="str">
        <f t="shared" si="13"/>
        <v>0.6–0.8 hours</v>
      </c>
      <c r="P399" t="s">
        <v>30</v>
      </c>
    </row>
    <row r="400" spans="1:16" x14ac:dyDescent="0.4">
      <c r="A400" t="s">
        <v>441</v>
      </c>
      <c r="B400">
        <v>22</v>
      </c>
      <c r="C400" t="s">
        <v>15</v>
      </c>
      <c r="D400" t="s">
        <v>22</v>
      </c>
      <c r="E400">
        <v>1.04</v>
      </c>
      <c r="F400">
        <v>56</v>
      </c>
      <c r="G400" t="s">
        <v>17</v>
      </c>
      <c r="H400" t="s">
        <v>55</v>
      </c>
      <c r="I400" s="2">
        <v>13.99</v>
      </c>
      <c r="J400">
        <v>1</v>
      </c>
      <c r="K400" s="2">
        <f t="shared" si="12"/>
        <v>13.99</v>
      </c>
      <c r="L400" t="s">
        <v>43</v>
      </c>
      <c r="M400">
        <v>3</v>
      </c>
      <c r="N400">
        <v>0.02</v>
      </c>
      <c r="O400" t="str">
        <f t="shared" si="13"/>
        <v>0–0.2 hours</v>
      </c>
      <c r="P400" t="s">
        <v>47</v>
      </c>
    </row>
    <row r="401" spans="1:16" x14ac:dyDescent="0.4">
      <c r="A401" t="s">
        <v>442</v>
      </c>
      <c r="B401">
        <v>33</v>
      </c>
      <c r="C401" t="s">
        <v>15</v>
      </c>
      <c r="D401" t="s">
        <v>22</v>
      </c>
      <c r="E401">
        <v>59.71</v>
      </c>
      <c r="F401">
        <v>55</v>
      </c>
      <c r="G401" t="s">
        <v>28</v>
      </c>
      <c r="H401" t="s">
        <v>55</v>
      </c>
      <c r="I401" s="2">
        <v>13.99</v>
      </c>
      <c r="J401">
        <v>0</v>
      </c>
      <c r="K401" s="2">
        <f t="shared" si="12"/>
        <v>0</v>
      </c>
      <c r="L401" t="s">
        <v>61</v>
      </c>
      <c r="M401">
        <v>5</v>
      </c>
      <c r="N401">
        <v>1.07</v>
      </c>
      <c r="O401" t="str">
        <f t="shared" si="13"/>
        <v>1+ hours</v>
      </c>
      <c r="P401" t="s">
        <v>52</v>
      </c>
    </row>
    <row r="402" spans="1:16" x14ac:dyDescent="0.4">
      <c r="A402" t="s">
        <v>443</v>
      </c>
      <c r="B402">
        <v>66</v>
      </c>
      <c r="C402" t="s">
        <v>27</v>
      </c>
      <c r="D402" t="s">
        <v>32</v>
      </c>
      <c r="E402">
        <v>16.22</v>
      </c>
      <c r="F402">
        <v>0</v>
      </c>
      <c r="G402" t="s">
        <v>23</v>
      </c>
      <c r="H402" t="s">
        <v>18</v>
      </c>
      <c r="I402" s="2">
        <v>17.989999999999998</v>
      </c>
      <c r="J402">
        <v>0</v>
      </c>
      <c r="K402" s="2">
        <f t="shared" si="12"/>
        <v>0</v>
      </c>
      <c r="L402" t="s">
        <v>19</v>
      </c>
      <c r="M402">
        <v>2</v>
      </c>
      <c r="N402">
        <v>16.22</v>
      </c>
      <c r="O402" t="str">
        <f t="shared" si="13"/>
        <v>1+ hours</v>
      </c>
      <c r="P402" t="s">
        <v>30</v>
      </c>
    </row>
    <row r="403" spans="1:16" x14ac:dyDescent="0.4">
      <c r="A403" t="s">
        <v>444</v>
      </c>
      <c r="B403">
        <v>58</v>
      </c>
      <c r="C403" t="s">
        <v>27</v>
      </c>
      <c r="D403" t="s">
        <v>22</v>
      </c>
      <c r="E403">
        <v>4.3899999999999997</v>
      </c>
      <c r="F403">
        <v>11</v>
      </c>
      <c r="G403" t="s">
        <v>49</v>
      </c>
      <c r="H403" t="s">
        <v>24</v>
      </c>
      <c r="I403" s="2">
        <v>13.99</v>
      </c>
      <c r="J403">
        <v>0</v>
      </c>
      <c r="K403" s="2">
        <f t="shared" si="12"/>
        <v>0</v>
      </c>
      <c r="L403" t="s">
        <v>37</v>
      </c>
      <c r="M403">
        <v>5</v>
      </c>
      <c r="N403">
        <v>0.37</v>
      </c>
      <c r="O403" t="str">
        <f t="shared" si="13"/>
        <v>0.2–0.4 hours</v>
      </c>
      <c r="P403" t="s">
        <v>39</v>
      </c>
    </row>
    <row r="404" spans="1:16" x14ac:dyDescent="0.4">
      <c r="A404" t="s">
        <v>445</v>
      </c>
      <c r="B404">
        <v>20</v>
      </c>
      <c r="C404" t="s">
        <v>27</v>
      </c>
      <c r="D404" t="s">
        <v>22</v>
      </c>
      <c r="E404">
        <v>13.2</v>
      </c>
      <c r="F404">
        <v>56</v>
      </c>
      <c r="G404" t="s">
        <v>28</v>
      </c>
      <c r="H404" t="s">
        <v>24</v>
      </c>
      <c r="I404" s="2">
        <v>13.99</v>
      </c>
      <c r="J404">
        <v>1</v>
      </c>
      <c r="K404" s="2">
        <f t="shared" si="12"/>
        <v>13.99</v>
      </c>
      <c r="L404" t="s">
        <v>37</v>
      </c>
      <c r="M404">
        <v>2</v>
      </c>
      <c r="N404">
        <v>0.23</v>
      </c>
      <c r="O404" t="str">
        <f t="shared" si="13"/>
        <v>0.2–0.4 hours</v>
      </c>
      <c r="P404" t="s">
        <v>39</v>
      </c>
    </row>
    <row r="405" spans="1:16" x14ac:dyDescent="0.4">
      <c r="A405" t="s">
        <v>446</v>
      </c>
      <c r="B405">
        <v>49</v>
      </c>
      <c r="C405" t="s">
        <v>27</v>
      </c>
      <c r="D405" t="s">
        <v>32</v>
      </c>
      <c r="E405">
        <v>20.88</v>
      </c>
      <c r="F405">
        <v>41</v>
      </c>
      <c r="G405" t="s">
        <v>49</v>
      </c>
      <c r="H405" t="s">
        <v>18</v>
      </c>
      <c r="I405" s="2">
        <v>17.989999999999998</v>
      </c>
      <c r="J405">
        <v>0</v>
      </c>
      <c r="K405" s="2">
        <f t="shared" si="12"/>
        <v>0</v>
      </c>
      <c r="L405" t="s">
        <v>29</v>
      </c>
      <c r="M405">
        <v>3</v>
      </c>
      <c r="N405">
        <v>0.5</v>
      </c>
      <c r="O405" t="str">
        <f t="shared" si="13"/>
        <v>0.4–0.6 hours</v>
      </c>
      <c r="P405" t="s">
        <v>34</v>
      </c>
    </row>
    <row r="406" spans="1:16" x14ac:dyDescent="0.4">
      <c r="A406" t="s">
        <v>447</v>
      </c>
      <c r="B406">
        <v>50</v>
      </c>
      <c r="C406" t="s">
        <v>15</v>
      </c>
      <c r="D406" t="s">
        <v>16</v>
      </c>
      <c r="E406">
        <v>7.35</v>
      </c>
      <c r="F406">
        <v>26</v>
      </c>
      <c r="G406" t="s">
        <v>70</v>
      </c>
      <c r="H406" t="s">
        <v>46</v>
      </c>
      <c r="I406" s="2">
        <v>8.99</v>
      </c>
      <c r="J406">
        <v>0</v>
      </c>
      <c r="K406" s="2">
        <f t="shared" si="12"/>
        <v>0</v>
      </c>
      <c r="L406" t="s">
        <v>37</v>
      </c>
      <c r="M406">
        <v>3</v>
      </c>
      <c r="N406">
        <v>0.27</v>
      </c>
      <c r="O406" t="str">
        <f t="shared" si="13"/>
        <v>0.2–0.4 hours</v>
      </c>
      <c r="P406" t="s">
        <v>30</v>
      </c>
    </row>
    <row r="407" spans="1:16" x14ac:dyDescent="0.4">
      <c r="A407" t="s">
        <v>448</v>
      </c>
      <c r="B407">
        <v>43</v>
      </c>
      <c r="C407" t="s">
        <v>15</v>
      </c>
      <c r="D407" t="s">
        <v>32</v>
      </c>
      <c r="E407">
        <v>86.73</v>
      </c>
      <c r="F407">
        <v>26</v>
      </c>
      <c r="G407" t="s">
        <v>17</v>
      </c>
      <c r="H407" t="s">
        <v>18</v>
      </c>
      <c r="I407" s="2">
        <v>17.989999999999998</v>
      </c>
      <c r="J407">
        <v>0</v>
      </c>
      <c r="K407" s="2">
        <f t="shared" si="12"/>
        <v>0</v>
      </c>
      <c r="L407" t="s">
        <v>37</v>
      </c>
      <c r="M407">
        <v>3</v>
      </c>
      <c r="N407">
        <v>3.21</v>
      </c>
      <c r="O407" t="str">
        <f t="shared" si="13"/>
        <v>1+ hours</v>
      </c>
      <c r="P407" t="s">
        <v>39</v>
      </c>
    </row>
    <row r="408" spans="1:16" x14ac:dyDescent="0.4">
      <c r="A408" t="s">
        <v>449</v>
      </c>
      <c r="B408">
        <v>65</v>
      </c>
      <c r="C408" t="s">
        <v>15</v>
      </c>
      <c r="D408" t="s">
        <v>16</v>
      </c>
      <c r="E408">
        <v>3.9</v>
      </c>
      <c r="F408">
        <v>14</v>
      </c>
      <c r="G408" t="s">
        <v>23</v>
      </c>
      <c r="H408" t="s">
        <v>24</v>
      </c>
      <c r="I408" s="2">
        <v>8.99</v>
      </c>
      <c r="J408">
        <v>1</v>
      </c>
      <c r="K408" s="2">
        <f t="shared" si="12"/>
        <v>8.99</v>
      </c>
      <c r="L408" t="s">
        <v>37</v>
      </c>
      <c r="M408">
        <v>4</v>
      </c>
      <c r="N408">
        <v>0.26</v>
      </c>
      <c r="O408" t="str">
        <f t="shared" si="13"/>
        <v>0.2–0.4 hours</v>
      </c>
      <c r="P408" t="s">
        <v>25</v>
      </c>
    </row>
    <row r="409" spans="1:16" x14ac:dyDescent="0.4">
      <c r="A409" t="s">
        <v>450</v>
      </c>
      <c r="B409">
        <v>61</v>
      </c>
      <c r="C409" t="s">
        <v>41</v>
      </c>
      <c r="D409" t="s">
        <v>32</v>
      </c>
      <c r="E409">
        <v>0.42</v>
      </c>
      <c r="F409">
        <v>51</v>
      </c>
      <c r="G409" t="s">
        <v>23</v>
      </c>
      <c r="H409" t="s">
        <v>18</v>
      </c>
      <c r="I409" s="2">
        <v>17.989999999999998</v>
      </c>
      <c r="J409">
        <v>1</v>
      </c>
      <c r="K409" s="2">
        <f t="shared" si="12"/>
        <v>17.989999999999998</v>
      </c>
      <c r="L409" t="s">
        <v>19</v>
      </c>
      <c r="M409">
        <v>3</v>
      </c>
      <c r="N409">
        <v>0.01</v>
      </c>
      <c r="O409" t="str">
        <f t="shared" si="13"/>
        <v>0–0.2 hours</v>
      </c>
      <c r="P409" t="s">
        <v>30</v>
      </c>
    </row>
    <row r="410" spans="1:16" x14ac:dyDescent="0.4">
      <c r="A410" t="s">
        <v>451</v>
      </c>
      <c r="B410">
        <v>32</v>
      </c>
      <c r="C410" t="s">
        <v>27</v>
      </c>
      <c r="D410" t="s">
        <v>22</v>
      </c>
      <c r="E410">
        <v>6.93</v>
      </c>
      <c r="F410">
        <v>34</v>
      </c>
      <c r="G410" t="s">
        <v>49</v>
      </c>
      <c r="H410" t="s">
        <v>24</v>
      </c>
      <c r="I410" s="2">
        <v>13.99</v>
      </c>
      <c r="J410">
        <v>1</v>
      </c>
      <c r="K410" s="2">
        <f t="shared" si="12"/>
        <v>13.99</v>
      </c>
      <c r="L410" t="s">
        <v>29</v>
      </c>
      <c r="M410">
        <v>3</v>
      </c>
      <c r="N410">
        <v>0.2</v>
      </c>
      <c r="O410" t="str">
        <f t="shared" si="13"/>
        <v>0–0.2 hours</v>
      </c>
      <c r="P410" t="s">
        <v>47</v>
      </c>
    </row>
    <row r="411" spans="1:16" x14ac:dyDescent="0.4">
      <c r="A411" t="s">
        <v>452</v>
      </c>
      <c r="B411">
        <v>31</v>
      </c>
      <c r="C411" t="s">
        <v>41</v>
      </c>
      <c r="D411" t="s">
        <v>16</v>
      </c>
      <c r="E411">
        <v>5.18</v>
      </c>
      <c r="F411">
        <v>36</v>
      </c>
      <c r="G411" t="s">
        <v>33</v>
      </c>
      <c r="H411" t="s">
        <v>57</v>
      </c>
      <c r="I411" s="2">
        <v>8.99</v>
      </c>
      <c r="J411">
        <v>1</v>
      </c>
      <c r="K411" s="2">
        <f t="shared" si="12"/>
        <v>8.99</v>
      </c>
      <c r="L411" t="s">
        <v>61</v>
      </c>
      <c r="M411">
        <v>1</v>
      </c>
      <c r="N411">
        <v>0.14000000000000001</v>
      </c>
      <c r="O411" t="str">
        <f t="shared" si="13"/>
        <v>0–0.2 hours</v>
      </c>
      <c r="P411" t="s">
        <v>34</v>
      </c>
    </row>
    <row r="412" spans="1:16" x14ac:dyDescent="0.4">
      <c r="A412" t="s">
        <v>453</v>
      </c>
      <c r="B412">
        <v>42</v>
      </c>
      <c r="C412" t="s">
        <v>41</v>
      </c>
      <c r="D412" t="s">
        <v>32</v>
      </c>
      <c r="E412">
        <v>8.3699999999999992</v>
      </c>
      <c r="F412">
        <v>21</v>
      </c>
      <c r="G412" t="s">
        <v>23</v>
      </c>
      <c r="H412" t="s">
        <v>57</v>
      </c>
      <c r="I412" s="2">
        <v>17.989999999999998</v>
      </c>
      <c r="J412">
        <v>0</v>
      </c>
      <c r="K412" s="2">
        <f t="shared" si="12"/>
        <v>0</v>
      </c>
      <c r="L412" t="s">
        <v>29</v>
      </c>
      <c r="M412">
        <v>3</v>
      </c>
      <c r="N412">
        <v>0.38</v>
      </c>
      <c r="O412" t="str">
        <f t="shared" si="13"/>
        <v>0.2–0.4 hours</v>
      </c>
      <c r="P412" t="s">
        <v>52</v>
      </c>
    </row>
    <row r="413" spans="1:16" x14ac:dyDescent="0.4">
      <c r="A413" t="s">
        <v>454</v>
      </c>
      <c r="B413">
        <v>69</v>
      </c>
      <c r="C413" t="s">
        <v>15</v>
      </c>
      <c r="D413" t="s">
        <v>32</v>
      </c>
      <c r="E413">
        <v>38.020000000000003</v>
      </c>
      <c r="F413">
        <v>30</v>
      </c>
      <c r="G413" t="s">
        <v>23</v>
      </c>
      <c r="H413" t="s">
        <v>57</v>
      </c>
      <c r="I413" s="2">
        <v>17.989999999999998</v>
      </c>
      <c r="J413">
        <v>0</v>
      </c>
      <c r="K413" s="2">
        <f t="shared" si="12"/>
        <v>0</v>
      </c>
      <c r="L413" t="s">
        <v>37</v>
      </c>
      <c r="M413">
        <v>3</v>
      </c>
      <c r="N413">
        <v>1.23</v>
      </c>
      <c r="O413" t="str">
        <f t="shared" si="13"/>
        <v>1+ hours</v>
      </c>
      <c r="P413" t="s">
        <v>47</v>
      </c>
    </row>
    <row r="414" spans="1:16" x14ac:dyDescent="0.4">
      <c r="A414" t="s">
        <v>455</v>
      </c>
      <c r="B414">
        <v>65</v>
      </c>
      <c r="C414" t="s">
        <v>27</v>
      </c>
      <c r="D414" t="s">
        <v>32</v>
      </c>
      <c r="E414">
        <v>52.33</v>
      </c>
      <c r="F414">
        <v>24</v>
      </c>
      <c r="G414" t="s">
        <v>23</v>
      </c>
      <c r="H414" t="s">
        <v>57</v>
      </c>
      <c r="I414" s="2">
        <v>17.989999999999998</v>
      </c>
      <c r="J414">
        <v>0</v>
      </c>
      <c r="K414" s="2">
        <f t="shared" si="12"/>
        <v>0</v>
      </c>
      <c r="L414" t="s">
        <v>19</v>
      </c>
      <c r="M414">
        <v>5</v>
      </c>
      <c r="N414">
        <v>2.09</v>
      </c>
      <c r="O414" t="str">
        <f t="shared" si="13"/>
        <v>1+ hours</v>
      </c>
      <c r="P414" t="s">
        <v>20</v>
      </c>
    </row>
    <row r="415" spans="1:16" x14ac:dyDescent="0.4">
      <c r="A415" t="s">
        <v>456</v>
      </c>
      <c r="B415">
        <v>44</v>
      </c>
      <c r="C415" t="s">
        <v>41</v>
      </c>
      <c r="D415" t="s">
        <v>32</v>
      </c>
      <c r="E415">
        <v>1.83</v>
      </c>
      <c r="F415">
        <v>25</v>
      </c>
      <c r="G415" t="s">
        <v>17</v>
      </c>
      <c r="H415" t="s">
        <v>18</v>
      </c>
      <c r="I415" s="2">
        <v>17.989999999999998</v>
      </c>
      <c r="J415">
        <v>0</v>
      </c>
      <c r="K415" s="2">
        <f t="shared" si="12"/>
        <v>0</v>
      </c>
      <c r="L415" t="s">
        <v>43</v>
      </c>
      <c r="M415">
        <v>5</v>
      </c>
      <c r="N415">
        <v>7.0000000000000007E-2</v>
      </c>
      <c r="O415" t="str">
        <f t="shared" si="13"/>
        <v>0–0.2 hours</v>
      </c>
      <c r="P415" t="s">
        <v>47</v>
      </c>
    </row>
    <row r="416" spans="1:16" x14ac:dyDescent="0.4">
      <c r="A416" t="s">
        <v>457</v>
      </c>
      <c r="B416">
        <v>58</v>
      </c>
      <c r="C416" t="s">
        <v>27</v>
      </c>
      <c r="D416" t="s">
        <v>16</v>
      </c>
      <c r="E416">
        <v>0.51</v>
      </c>
      <c r="F416">
        <v>12</v>
      </c>
      <c r="G416" t="s">
        <v>28</v>
      </c>
      <c r="H416" t="s">
        <v>57</v>
      </c>
      <c r="I416" s="2">
        <v>8.99</v>
      </c>
      <c r="J416">
        <v>1</v>
      </c>
      <c r="K416" s="2">
        <f t="shared" si="12"/>
        <v>8.99</v>
      </c>
      <c r="L416" t="s">
        <v>43</v>
      </c>
      <c r="M416">
        <v>1</v>
      </c>
      <c r="N416">
        <v>0.04</v>
      </c>
      <c r="O416" t="str">
        <f t="shared" si="13"/>
        <v>0–0.2 hours</v>
      </c>
      <c r="P416" t="s">
        <v>20</v>
      </c>
    </row>
    <row r="417" spans="1:16" x14ac:dyDescent="0.4">
      <c r="A417" t="s">
        <v>458</v>
      </c>
      <c r="B417">
        <v>56</v>
      </c>
      <c r="C417" t="s">
        <v>27</v>
      </c>
      <c r="D417" t="s">
        <v>16</v>
      </c>
      <c r="E417">
        <v>8.5399999999999991</v>
      </c>
      <c r="F417">
        <v>16</v>
      </c>
      <c r="G417" t="s">
        <v>33</v>
      </c>
      <c r="H417" t="s">
        <v>57</v>
      </c>
      <c r="I417" s="2">
        <v>8.99</v>
      </c>
      <c r="J417">
        <v>0</v>
      </c>
      <c r="K417" s="2">
        <f t="shared" si="12"/>
        <v>0</v>
      </c>
      <c r="L417" t="s">
        <v>29</v>
      </c>
      <c r="M417">
        <v>5</v>
      </c>
      <c r="N417">
        <v>0.5</v>
      </c>
      <c r="O417" t="str">
        <f t="shared" si="13"/>
        <v>0.4–0.6 hours</v>
      </c>
      <c r="P417" t="s">
        <v>20</v>
      </c>
    </row>
    <row r="418" spans="1:16" x14ac:dyDescent="0.4">
      <c r="A418" t="s">
        <v>459</v>
      </c>
      <c r="B418">
        <v>40</v>
      </c>
      <c r="C418" t="s">
        <v>27</v>
      </c>
      <c r="D418" t="s">
        <v>32</v>
      </c>
      <c r="E418">
        <v>8.64</v>
      </c>
      <c r="F418">
        <v>35</v>
      </c>
      <c r="G418" t="s">
        <v>49</v>
      </c>
      <c r="H418" t="s">
        <v>46</v>
      </c>
      <c r="I418" s="2">
        <v>17.989999999999998</v>
      </c>
      <c r="J418">
        <v>0</v>
      </c>
      <c r="K418" s="2">
        <f t="shared" si="12"/>
        <v>0</v>
      </c>
      <c r="L418" t="s">
        <v>37</v>
      </c>
      <c r="M418">
        <v>5</v>
      </c>
      <c r="N418">
        <v>0.24</v>
      </c>
      <c r="O418" t="str">
        <f t="shared" si="13"/>
        <v>0.2–0.4 hours</v>
      </c>
      <c r="P418" t="s">
        <v>39</v>
      </c>
    </row>
    <row r="419" spans="1:16" x14ac:dyDescent="0.4">
      <c r="A419" t="s">
        <v>460</v>
      </c>
      <c r="B419">
        <v>25</v>
      </c>
      <c r="C419" t="s">
        <v>27</v>
      </c>
      <c r="D419" t="s">
        <v>32</v>
      </c>
      <c r="E419">
        <v>6.38</v>
      </c>
      <c r="F419">
        <v>23</v>
      </c>
      <c r="G419" t="s">
        <v>49</v>
      </c>
      <c r="H419" t="s">
        <v>18</v>
      </c>
      <c r="I419" s="2">
        <v>17.989999999999998</v>
      </c>
      <c r="J419">
        <v>0</v>
      </c>
      <c r="K419" s="2">
        <f t="shared" si="12"/>
        <v>0</v>
      </c>
      <c r="L419" t="s">
        <v>19</v>
      </c>
      <c r="M419">
        <v>5</v>
      </c>
      <c r="N419">
        <v>0.27</v>
      </c>
      <c r="O419" t="str">
        <f t="shared" si="13"/>
        <v>0.2–0.4 hours</v>
      </c>
      <c r="P419" t="s">
        <v>30</v>
      </c>
    </row>
    <row r="420" spans="1:16" x14ac:dyDescent="0.4">
      <c r="A420" t="s">
        <v>461</v>
      </c>
      <c r="B420">
        <v>28</v>
      </c>
      <c r="C420" t="s">
        <v>15</v>
      </c>
      <c r="D420" t="s">
        <v>32</v>
      </c>
      <c r="E420">
        <v>7.1</v>
      </c>
      <c r="F420">
        <v>11</v>
      </c>
      <c r="G420" t="s">
        <v>70</v>
      </c>
      <c r="H420" t="s">
        <v>46</v>
      </c>
      <c r="I420" s="2">
        <v>17.989999999999998</v>
      </c>
      <c r="J420">
        <v>0</v>
      </c>
      <c r="K420" s="2">
        <f t="shared" si="12"/>
        <v>0</v>
      </c>
      <c r="L420" t="s">
        <v>29</v>
      </c>
      <c r="M420">
        <v>3</v>
      </c>
      <c r="N420">
        <v>0.59</v>
      </c>
      <c r="O420" t="str">
        <f t="shared" si="13"/>
        <v>0.4–0.6 hours</v>
      </c>
      <c r="P420" t="s">
        <v>34</v>
      </c>
    </row>
    <row r="421" spans="1:16" x14ac:dyDescent="0.4">
      <c r="A421" t="s">
        <v>462</v>
      </c>
      <c r="B421">
        <v>36</v>
      </c>
      <c r="C421" t="s">
        <v>41</v>
      </c>
      <c r="D421" t="s">
        <v>32</v>
      </c>
      <c r="E421">
        <v>11.31</v>
      </c>
      <c r="F421">
        <v>7</v>
      </c>
      <c r="G421" t="s">
        <v>70</v>
      </c>
      <c r="H421" t="s">
        <v>18</v>
      </c>
      <c r="I421" s="2">
        <v>17.989999999999998</v>
      </c>
      <c r="J421">
        <v>0</v>
      </c>
      <c r="K421" s="2">
        <f t="shared" si="12"/>
        <v>0</v>
      </c>
      <c r="L421" t="s">
        <v>43</v>
      </c>
      <c r="M421">
        <v>3</v>
      </c>
      <c r="N421">
        <v>1.41</v>
      </c>
      <c r="O421" t="str">
        <f t="shared" si="13"/>
        <v>1+ hours</v>
      </c>
      <c r="P421" t="s">
        <v>20</v>
      </c>
    </row>
    <row r="422" spans="1:16" x14ac:dyDescent="0.4">
      <c r="A422" t="s">
        <v>463</v>
      </c>
      <c r="B422">
        <v>33</v>
      </c>
      <c r="C422" t="s">
        <v>15</v>
      </c>
      <c r="D422" t="s">
        <v>16</v>
      </c>
      <c r="E422">
        <v>3.84</v>
      </c>
      <c r="F422">
        <v>28</v>
      </c>
      <c r="G422" t="s">
        <v>49</v>
      </c>
      <c r="H422" t="s">
        <v>24</v>
      </c>
      <c r="I422" s="2">
        <v>8.99</v>
      </c>
      <c r="J422">
        <v>1</v>
      </c>
      <c r="K422" s="2">
        <f t="shared" si="12"/>
        <v>8.99</v>
      </c>
      <c r="L422" t="s">
        <v>61</v>
      </c>
      <c r="M422">
        <v>3</v>
      </c>
      <c r="N422">
        <v>0.13</v>
      </c>
      <c r="O422" t="str">
        <f t="shared" si="13"/>
        <v>0–0.2 hours</v>
      </c>
      <c r="P422" t="s">
        <v>34</v>
      </c>
    </row>
    <row r="423" spans="1:16" x14ac:dyDescent="0.4">
      <c r="A423" t="s">
        <v>464</v>
      </c>
      <c r="B423">
        <v>21</v>
      </c>
      <c r="C423" t="s">
        <v>41</v>
      </c>
      <c r="D423" t="s">
        <v>22</v>
      </c>
      <c r="E423">
        <v>10.63</v>
      </c>
      <c r="F423">
        <v>4</v>
      </c>
      <c r="G423" t="s">
        <v>33</v>
      </c>
      <c r="H423" t="s">
        <v>57</v>
      </c>
      <c r="I423" s="2">
        <v>13.99</v>
      </c>
      <c r="J423">
        <v>0</v>
      </c>
      <c r="K423" s="2">
        <f t="shared" si="12"/>
        <v>0</v>
      </c>
      <c r="L423" t="s">
        <v>19</v>
      </c>
      <c r="M423">
        <v>1</v>
      </c>
      <c r="N423">
        <v>2.13</v>
      </c>
      <c r="O423" t="str">
        <f t="shared" si="13"/>
        <v>1+ hours</v>
      </c>
      <c r="P423" t="s">
        <v>47</v>
      </c>
    </row>
    <row r="424" spans="1:16" x14ac:dyDescent="0.4">
      <c r="A424" t="s">
        <v>465</v>
      </c>
      <c r="B424">
        <v>24</v>
      </c>
      <c r="C424" t="s">
        <v>27</v>
      </c>
      <c r="D424" t="s">
        <v>22</v>
      </c>
      <c r="E424">
        <v>0.02</v>
      </c>
      <c r="F424">
        <v>35</v>
      </c>
      <c r="G424" t="s">
        <v>17</v>
      </c>
      <c r="H424" t="s">
        <v>57</v>
      </c>
      <c r="I424" s="2">
        <v>13.99</v>
      </c>
      <c r="J424">
        <v>1</v>
      </c>
      <c r="K424" s="2">
        <f t="shared" si="12"/>
        <v>13.99</v>
      </c>
      <c r="L424" t="s">
        <v>43</v>
      </c>
      <c r="M424">
        <v>3</v>
      </c>
      <c r="N424">
        <v>0</v>
      </c>
      <c r="O424" t="str">
        <f t="shared" si="13"/>
        <v>0–0.2 hours</v>
      </c>
      <c r="P424" t="s">
        <v>52</v>
      </c>
    </row>
    <row r="425" spans="1:16" x14ac:dyDescent="0.4">
      <c r="A425" t="s">
        <v>466</v>
      </c>
      <c r="B425">
        <v>68</v>
      </c>
      <c r="C425" t="s">
        <v>27</v>
      </c>
      <c r="D425" t="s">
        <v>32</v>
      </c>
      <c r="E425">
        <v>9.66</v>
      </c>
      <c r="F425">
        <v>27</v>
      </c>
      <c r="G425" t="s">
        <v>17</v>
      </c>
      <c r="H425" t="s">
        <v>18</v>
      </c>
      <c r="I425" s="2">
        <v>17.989999999999998</v>
      </c>
      <c r="J425">
        <v>0</v>
      </c>
      <c r="K425" s="2">
        <f t="shared" si="12"/>
        <v>0</v>
      </c>
      <c r="L425" t="s">
        <v>61</v>
      </c>
      <c r="M425">
        <v>5</v>
      </c>
      <c r="N425">
        <v>0.35</v>
      </c>
      <c r="O425" t="str">
        <f t="shared" si="13"/>
        <v>0.2–0.4 hours</v>
      </c>
      <c r="P425" t="s">
        <v>25</v>
      </c>
    </row>
    <row r="426" spans="1:16" x14ac:dyDescent="0.4">
      <c r="A426" t="s">
        <v>467</v>
      </c>
      <c r="B426">
        <v>70</v>
      </c>
      <c r="C426" t="s">
        <v>27</v>
      </c>
      <c r="D426" t="s">
        <v>32</v>
      </c>
      <c r="E426">
        <v>0.36</v>
      </c>
      <c r="F426">
        <v>15</v>
      </c>
      <c r="G426" t="s">
        <v>33</v>
      </c>
      <c r="H426" t="s">
        <v>18</v>
      </c>
      <c r="I426" s="2">
        <v>17.989999999999998</v>
      </c>
      <c r="J426">
        <v>1</v>
      </c>
      <c r="K426" s="2">
        <f t="shared" si="12"/>
        <v>17.989999999999998</v>
      </c>
      <c r="L426" t="s">
        <v>19</v>
      </c>
      <c r="M426">
        <v>5</v>
      </c>
      <c r="N426">
        <v>0.02</v>
      </c>
      <c r="O426" t="str">
        <f t="shared" si="13"/>
        <v>0–0.2 hours</v>
      </c>
      <c r="P426" t="s">
        <v>25</v>
      </c>
    </row>
    <row r="427" spans="1:16" x14ac:dyDescent="0.4">
      <c r="A427" t="s">
        <v>468</v>
      </c>
      <c r="B427">
        <v>68</v>
      </c>
      <c r="C427" t="s">
        <v>41</v>
      </c>
      <c r="D427" t="s">
        <v>16</v>
      </c>
      <c r="E427">
        <v>7.63</v>
      </c>
      <c r="F427">
        <v>23</v>
      </c>
      <c r="G427" t="s">
        <v>70</v>
      </c>
      <c r="H427" t="s">
        <v>57</v>
      </c>
      <c r="I427" s="2">
        <v>8.99</v>
      </c>
      <c r="J427">
        <v>0</v>
      </c>
      <c r="K427" s="2">
        <f t="shared" si="12"/>
        <v>0</v>
      </c>
      <c r="L427" t="s">
        <v>37</v>
      </c>
      <c r="M427">
        <v>4</v>
      </c>
      <c r="N427">
        <v>0.32</v>
      </c>
      <c r="O427" t="str">
        <f t="shared" si="13"/>
        <v>0.2–0.4 hours</v>
      </c>
      <c r="P427" t="s">
        <v>30</v>
      </c>
    </row>
    <row r="428" spans="1:16" x14ac:dyDescent="0.4">
      <c r="A428" t="s">
        <v>469</v>
      </c>
      <c r="B428">
        <v>41</v>
      </c>
      <c r="C428" t="s">
        <v>27</v>
      </c>
      <c r="D428" t="s">
        <v>22</v>
      </c>
      <c r="E428">
        <v>6.47</v>
      </c>
      <c r="F428">
        <v>32</v>
      </c>
      <c r="G428" t="s">
        <v>17</v>
      </c>
      <c r="H428" t="s">
        <v>18</v>
      </c>
      <c r="I428" s="2">
        <v>13.99</v>
      </c>
      <c r="J428">
        <v>1</v>
      </c>
      <c r="K428" s="2">
        <f t="shared" si="12"/>
        <v>13.99</v>
      </c>
      <c r="L428" t="s">
        <v>19</v>
      </c>
      <c r="M428">
        <v>4</v>
      </c>
      <c r="N428">
        <v>0.2</v>
      </c>
      <c r="O428" t="str">
        <f t="shared" si="13"/>
        <v>0–0.2 hours</v>
      </c>
      <c r="P428" t="s">
        <v>30</v>
      </c>
    </row>
    <row r="429" spans="1:16" x14ac:dyDescent="0.4">
      <c r="A429" t="s">
        <v>470</v>
      </c>
      <c r="B429">
        <v>58</v>
      </c>
      <c r="C429" t="s">
        <v>15</v>
      </c>
      <c r="D429" t="s">
        <v>32</v>
      </c>
      <c r="E429">
        <v>26.32</v>
      </c>
      <c r="F429">
        <v>18</v>
      </c>
      <c r="G429" t="s">
        <v>28</v>
      </c>
      <c r="H429" t="s">
        <v>24</v>
      </c>
      <c r="I429" s="2">
        <v>17.989999999999998</v>
      </c>
      <c r="J429">
        <v>0</v>
      </c>
      <c r="K429" s="2">
        <f t="shared" si="12"/>
        <v>0</v>
      </c>
      <c r="L429" t="s">
        <v>43</v>
      </c>
      <c r="M429">
        <v>4</v>
      </c>
      <c r="N429">
        <v>1.39</v>
      </c>
      <c r="O429" t="str">
        <f t="shared" si="13"/>
        <v>1+ hours</v>
      </c>
      <c r="P429" t="s">
        <v>52</v>
      </c>
    </row>
    <row r="430" spans="1:16" x14ac:dyDescent="0.4">
      <c r="A430" t="s">
        <v>471</v>
      </c>
      <c r="B430">
        <v>38</v>
      </c>
      <c r="C430" t="s">
        <v>27</v>
      </c>
      <c r="D430" t="s">
        <v>22</v>
      </c>
      <c r="E430">
        <v>7.34</v>
      </c>
      <c r="F430">
        <v>56</v>
      </c>
      <c r="G430" t="s">
        <v>23</v>
      </c>
      <c r="H430" t="s">
        <v>18</v>
      </c>
      <c r="I430" s="2">
        <v>13.99</v>
      </c>
      <c r="J430">
        <v>1</v>
      </c>
      <c r="K430" s="2">
        <f t="shared" si="12"/>
        <v>13.99</v>
      </c>
      <c r="L430" t="s">
        <v>19</v>
      </c>
      <c r="M430">
        <v>4</v>
      </c>
      <c r="N430">
        <v>0.13</v>
      </c>
      <c r="O430" t="str">
        <f t="shared" si="13"/>
        <v>0–0.2 hours</v>
      </c>
      <c r="P430" t="s">
        <v>39</v>
      </c>
    </row>
    <row r="431" spans="1:16" x14ac:dyDescent="0.4">
      <c r="A431" t="s">
        <v>472</v>
      </c>
      <c r="B431">
        <v>33</v>
      </c>
      <c r="C431" t="s">
        <v>41</v>
      </c>
      <c r="D431" t="s">
        <v>16</v>
      </c>
      <c r="E431">
        <v>8.19</v>
      </c>
      <c r="F431">
        <v>53</v>
      </c>
      <c r="G431" t="s">
        <v>23</v>
      </c>
      <c r="H431" t="s">
        <v>18</v>
      </c>
      <c r="I431" s="2">
        <v>8.99</v>
      </c>
      <c r="J431">
        <v>1</v>
      </c>
      <c r="K431" s="2">
        <f t="shared" si="12"/>
        <v>8.99</v>
      </c>
      <c r="L431" t="s">
        <v>61</v>
      </c>
      <c r="M431">
        <v>1</v>
      </c>
      <c r="N431">
        <v>0.15</v>
      </c>
      <c r="O431" t="str">
        <f t="shared" si="13"/>
        <v>0–0.2 hours</v>
      </c>
      <c r="P431" t="s">
        <v>47</v>
      </c>
    </row>
    <row r="432" spans="1:16" x14ac:dyDescent="0.4">
      <c r="A432" t="s">
        <v>473</v>
      </c>
      <c r="B432">
        <v>19</v>
      </c>
      <c r="C432" t="s">
        <v>27</v>
      </c>
      <c r="D432" t="s">
        <v>32</v>
      </c>
      <c r="E432">
        <v>11.05</v>
      </c>
      <c r="F432">
        <v>5</v>
      </c>
      <c r="G432" t="s">
        <v>33</v>
      </c>
      <c r="H432" t="s">
        <v>18</v>
      </c>
      <c r="I432" s="2">
        <v>17.989999999999998</v>
      </c>
      <c r="J432">
        <v>0</v>
      </c>
      <c r="K432" s="2">
        <f t="shared" si="12"/>
        <v>0</v>
      </c>
      <c r="L432" t="s">
        <v>19</v>
      </c>
      <c r="M432">
        <v>1</v>
      </c>
      <c r="N432">
        <v>1.84</v>
      </c>
      <c r="O432" t="str">
        <f t="shared" si="13"/>
        <v>1+ hours</v>
      </c>
      <c r="P432" t="s">
        <v>39</v>
      </c>
    </row>
    <row r="433" spans="1:16" x14ac:dyDescent="0.4">
      <c r="A433" t="s">
        <v>474</v>
      </c>
      <c r="B433">
        <v>65</v>
      </c>
      <c r="C433" t="s">
        <v>15</v>
      </c>
      <c r="D433" t="s">
        <v>16</v>
      </c>
      <c r="E433">
        <v>1.05</v>
      </c>
      <c r="F433">
        <v>51</v>
      </c>
      <c r="G433" t="s">
        <v>17</v>
      </c>
      <c r="H433" t="s">
        <v>24</v>
      </c>
      <c r="I433" s="2">
        <v>8.99</v>
      </c>
      <c r="J433">
        <v>1</v>
      </c>
      <c r="K433" s="2">
        <f t="shared" si="12"/>
        <v>8.99</v>
      </c>
      <c r="L433" t="s">
        <v>19</v>
      </c>
      <c r="M433">
        <v>2</v>
      </c>
      <c r="N433">
        <v>0.02</v>
      </c>
      <c r="O433" t="str">
        <f t="shared" si="13"/>
        <v>0–0.2 hours</v>
      </c>
      <c r="P433" t="s">
        <v>25</v>
      </c>
    </row>
    <row r="434" spans="1:16" x14ac:dyDescent="0.4">
      <c r="A434" t="s">
        <v>475</v>
      </c>
      <c r="B434">
        <v>66</v>
      </c>
      <c r="C434" t="s">
        <v>41</v>
      </c>
      <c r="D434" t="s">
        <v>22</v>
      </c>
      <c r="E434">
        <v>27.5</v>
      </c>
      <c r="F434">
        <v>32</v>
      </c>
      <c r="G434" t="s">
        <v>17</v>
      </c>
      <c r="H434" t="s">
        <v>24</v>
      </c>
      <c r="I434" s="2">
        <v>13.99</v>
      </c>
      <c r="J434">
        <v>0</v>
      </c>
      <c r="K434" s="2">
        <f t="shared" si="12"/>
        <v>0</v>
      </c>
      <c r="L434" t="s">
        <v>19</v>
      </c>
      <c r="M434">
        <v>3</v>
      </c>
      <c r="N434">
        <v>0.83</v>
      </c>
      <c r="O434" t="str">
        <f t="shared" si="13"/>
        <v>0.8–1 hour</v>
      </c>
      <c r="P434" t="s">
        <v>39</v>
      </c>
    </row>
    <row r="435" spans="1:16" x14ac:dyDescent="0.4">
      <c r="A435" t="s">
        <v>476</v>
      </c>
      <c r="B435">
        <v>28</v>
      </c>
      <c r="C435" t="s">
        <v>41</v>
      </c>
      <c r="D435" t="s">
        <v>16</v>
      </c>
      <c r="E435">
        <v>9.85</v>
      </c>
      <c r="F435">
        <v>46</v>
      </c>
      <c r="G435" t="s">
        <v>70</v>
      </c>
      <c r="H435" t="s">
        <v>55</v>
      </c>
      <c r="I435" s="2">
        <v>8.99</v>
      </c>
      <c r="J435">
        <v>1</v>
      </c>
      <c r="K435" s="2">
        <f t="shared" si="12"/>
        <v>8.99</v>
      </c>
      <c r="L435" t="s">
        <v>19</v>
      </c>
      <c r="M435">
        <v>5</v>
      </c>
      <c r="N435">
        <v>0.21</v>
      </c>
      <c r="O435" t="str">
        <f t="shared" si="13"/>
        <v>0.2–0.4 hours</v>
      </c>
      <c r="P435" t="s">
        <v>30</v>
      </c>
    </row>
    <row r="436" spans="1:16" x14ac:dyDescent="0.4">
      <c r="A436" t="s">
        <v>477</v>
      </c>
      <c r="B436">
        <v>66</v>
      </c>
      <c r="C436" t="s">
        <v>27</v>
      </c>
      <c r="D436" t="s">
        <v>32</v>
      </c>
      <c r="E436">
        <v>5.22</v>
      </c>
      <c r="F436">
        <v>28</v>
      </c>
      <c r="G436" t="s">
        <v>28</v>
      </c>
      <c r="H436" t="s">
        <v>55</v>
      </c>
      <c r="I436" s="2">
        <v>17.989999999999998</v>
      </c>
      <c r="J436">
        <v>0</v>
      </c>
      <c r="K436" s="2">
        <f t="shared" si="12"/>
        <v>0</v>
      </c>
      <c r="L436" t="s">
        <v>29</v>
      </c>
      <c r="M436">
        <v>5</v>
      </c>
      <c r="N436">
        <v>0.18</v>
      </c>
      <c r="O436" t="str">
        <f t="shared" si="13"/>
        <v>0–0.2 hours</v>
      </c>
      <c r="P436" t="s">
        <v>20</v>
      </c>
    </row>
    <row r="437" spans="1:16" x14ac:dyDescent="0.4">
      <c r="A437" t="s">
        <v>478</v>
      </c>
      <c r="B437">
        <v>21</v>
      </c>
      <c r="C437" t="s">
        <v>27</v>
      </c>
      <c r="D437" t="s">
        <v>16</v>
      </c>
      <c r="E437">
        <v>19.14</v>
      </c>
      <c r="F437">
        <v>28</v>
      </c>
      <c r="G437" t="s">
        <v>70</v>
      </c>
      <c r="H437" t="s">
        <v>55</v>
      </c>
      <c r="I437" s="2">
        <v>8.99</v>
      </c>
      <c r="J437">
        <v>0</v>
      </c>
      <c r="K437" s="2">
        <f t="shared" si="12"/>
        <v>0</v>
      </c>
      <c r="L437" t="s">
        <v>29</v>
      </c>
      <c r="M437">
        <v>2</v>
      </c>
      <c r="N437">
        <v>0.66</v>
      </c>
      <c r="O437" t="str">
        <f t="shared" si="13"/>
        <v>0.6–0.8 hours</v>
      </c>
      <c r="P437" t="s">
        <v>47</v>
      </c>
    </row>
    <row r="438" spans="1:16" x14ac:dyDescent="0.4">
      <c r="A438" t="s">
        <v>479</v>
      </c>
      <c r="B438">
        <v>23</v>
      </c>
      <c r="C438" t="s">
        <v>15</v>
      </c>
      <c r="D438" t="s">
        <v>16</v>
      </c>
      <c r="E438">
        <v>10.73</v>
      </c>
      <c r="F438">
        <v>35</v>
      </c>
      <c r="G438" t="s">
        <v>23</v>
      </c>
      <c r="H438" t="s">
        <v>57</v>
      </c>
      <c r="I438" s="2">
        <v>8.99</v>
      </c>
      <c r="J438">
        <v>1</v>
      </c>
      <c r="K438" s="2">
        <f t="shared" si="12"/>
        <v>8.99</v>
      </c>
      <c r="L438" t="s">
        <v>61</v>
      </c>
      <c r="M438">
        <v>5</v>
      </c>
      <c r="N438">
        <v>0.3</v>
      </c>
      <c r="O438" t="str">
        <f t="shared" si="13"/>
        <v>0.2–0.4 hours</v>
      </c>
      <c r="P438" t="s">
        <v>47</v>
      </c>
    </row>
    <row r="439" spans="1:16" x14ac:dyDescent="0.4">
      <c r="A439" t="s">
        <v>480</v>
      </c>
      <c r="B439">
        <v>30</v>
      </c>
      <c r="C439" t="s">
        <v>41</v>
      </c>
      <c r="D439" t="s">
        <v>22</v>
      </c>
      <c r="E439">
        <v>5.0999999999999996</v>
      </c>
      <c r="F439">
        <v>9</v>
      </c>
      <c r="G439" t="s">
        <v>70</v>
      </c>
      <c r="H439" t="s">
        <v>18</v>
      </c>
      <c r="I439" s="2">
        <v>13.99</v>
      </c>
      <c r="J439">
        <v>0</v>
      </c>
      <c r="K439" s="2">
        <f t="shared" si="12"/>
        <v>0</v>
      </c>
      <c r="L439" t="s">
        <v>43</v>
      </c>
      <c r="M439">
        <v>5</v>
      </c>
      <c r="N439">
        <v>0.51</v>
      </c>
      <c r="O439" t="str">
        <f t="shared" si="13"/>
        <v>0.4–0.6 hours</v>
      </c>
      <c r="P439" t="s">
        <v>47</v>
      </c>
    </row>
    <row r="440" spans="1:16" x14ac:dyDescent="0.4">
      <c r="A440" t="s">
        <v>481</v>
      </c>
      <c r="B440">
        <v>36</v>
      </c>
      <c r="C440" t="s">
        <v>15</v>
      </c>
      <c r="D440" t="s">
        <v>16</v>
      </c>
      <c r="E440">
        <v>16.649999999999999</v>
      </c>
      <c r="F440">
        <v>36</v>
      </c>
      <c r="G440" t="s">
        <v>33</v>
      </c>
      <c r="H440" t="s">
        <v>57</v>
      </c>
      <c r="I440" s="2">
        <v>8.99</v>
      </c>
      <c r="J440">
        <v>1</v>
      </c>
      <c r="K440" s="2">
        <f t="shared" si="12"/>
        <v>8.99</v>
      </c>
      <c r="L440" t="s">
        <v>37</v>
      </c>
      <c r="M440">
        <v>2</v>
      </c>
      <c r="N440">
        <v>0.45</v>
      </c>
      <c r="O440" t="str">
        <f t="shared" si="13"/>
        <v>0.4–0.6 hours</v>
      </c>
      <c r="P440" t="s">
        <v>52</v>
      </c>
    </row>
    <row r="441" spans="1:16" x14ac:dyDescent="0.4">
      <c r="A441" t="s">
        <v>482</v>
      </c>
      <c r="B441">
        <v>32</v>
      </c>
      <c r="C441" t="s">
        <v>15</v>
      </c>
      <c r="D441" t="s">
        <v>32</v>
      </c>
      <c r="E441">
        <v>45.98</v>
      </c>
      <c r="F441">
        <v>45</v>
      </c>
      <c r="G441" t="s">
        <v>28</v>
      </c>
      <c r="H441" t="s">
        <v>55</v>
      </c>
      <c r="I441" s="2">
        <v>17.989999999999998</v>
      </c>
      <c r="J441">
        <v>0</v>
      </c>
      <c r="K441" s="2">
        <f t="shared" si="12"/>
        <v>0</v>
      </c>
      <c r="L441" t="s">
        <v>29</v>
      </c>
      <c r="M441">
        <v>1</v>
      </c>
      <c r="N441">
        <v>1</v>
      </c>
      <c r="O441" t="str">
        <f t="shared" si="13"/>
        <v>0.8–1 hour</v>
      </c>
      <c r="P441" t="s">
        <v>47</v>
      </c>
    </row>
    <row r="442" spans="1:16" x14ac:dyDescent="0.4">
      <c r="A442" t="s">
        <v>483</v>
      </c>
      <c r="B442">
        <v>18</v>
      </c>
      <c r="C442" t="s">
        <v>41</v>
      </c>
      <c r="D442" t="s">
        <v>22</v>
      </c>
      <c r="E442">
        <v>20.65</v>
      </c>
      <c r="F442">
        <v>19</v>
      </c>
      <c r="G442" t="s">
        <v>70</v>
      </c>
      <c r="H442" t="s">
        <v>57</v>
      </c>
      <c r="I442" s="2">
        <v>13.99</v>
      </c>
      <c r="J442">
        <v>0</v>
      </c>
      <c r="K442" s="2">
        <f t="shared" si="12"/>
        <v>0</v>
      </c>
      <c r="L442" t="s">
        <v>29</v>
      </c>
      <c r="M442">
        <v>4</v>
      </c>
      <c r="N442">
        <v>1.03</v>
      </c>
      <c r="O442" t="str">
        <f t="shared" si="13"/>
        <v>1+ hours</v>
      </c>
      <c r="P442" t="s">
        <v>25</v>
      </c>
    </row>
    <row r="443" spans="1:16" x14ac:dyDescent="0.4">
      <c r="A443" t="s">
        <v>484</v>
      </c>
      <c r="B443">
        <v>40</v>
      </c>
      <c r="C443" t="s">
        <v>41</v>
      </c>
      <c r="D443" t="s">
        <v>16</v>
      </c>
      <c r="E443">
        <v>10.98</v>
      </c>
      <c r="F443">
        <v>28</v>
      </c>
      <c r="G443" t="s">
        <v>49</v>
      </c>
      <c r="H443" t="s">
        <v>24</v>
      </c>
      <c r="I443" s="2">
        <v>8.99</v>
      </c>
      <c r="J443">
        <v>1</v>
      </c>
      <c r="K443" s="2">
        <f t="shared" si="12"/>
        <v>8.99</v>
      </c>
      <c r="L443" t="s">
        <v>37</v>
      </c>
      <c r="M443">
        <v>1</v>
      </c>
      <c r="N443">
        <v>0.38</v>
      </c>
      <c r="O443" t="str">
        <f t="shared" si="13"/>
        <v>0.2–0.4 hours</v>
      </c>
      <c r="P443" t="s">
        <v>20</v>
      </c>
    </row>
    <row r="444" spans="1:16" x14ac:dyDescent="0.4">
      <c r="A444" t="s">
        <v>485</v>
      </c>
      <c r="B444">
        <v>28</v>
      </c>
      <c r="C444" t="s">
        <v>41</v>
      </c>
      <c r="D444" t="s">
        <v>22</v>
      </c>
      <c r="E444">
        <v>1.78</v>
      </c>
      <c r="F444">
        <v>35</v>
      </c>
      <c r="G444" t="s">
        <v>49</v>
      </c>
      <c r="H444" t="s">
        <v>24</v>
      </c>
      <c r="I444" s="2">
        <v>13.99</v>
      </c>
      <c r="J444">
        <v>1</v>
      </c>
      <c r="K444" s="2">
        <f t="shared" si="12"/>
        <v>13.99</v>
      </c>
      <c r="L444" t="s">
        <v>37</v>
      </c>
      <c r="M444">
        <v>3</v>
      </c>
      <c r="N444">
        <v>0.05</v>
      </c>
      <c r="O444" t="str">
        <f t="shared" si="13"/>
        <v>0–0.2 hours</v>
      </c>
      <c r="P444" t="s">
        <v>20</v>
      </c>
    </row>
    <row r="445" spans="1:16" x14ac:dyDescent="0.4">
      <c r="A445" t="s">
        <v>486</v>
      </c>
      <c r="B445">
        <v>32</v>
      </c>
      <c r="C445" t="s">
        <v>41</v>
      </c>
      <c r="D445" t="s">
        <v>32</v>
      </c>
      <c r="E445">
        <v>4.1100000000000003</v>
      </c>
      <c r="F445">
        <v>45</v>
      </c>
      <c r="G445" t="s">
        <v>28</v>
      </c>
      <c r="H445" t="s">
        <v>46</v>
      </c>
      <c r="I445" s="2">
        <v>17.989999999999998</v>
      </c>
      <c r="J445">
        <v>1</v>
      </c>
      <c r="K445" s="2">
        <f t="shared" si="12"/>
        <v>17.989999999999998</v>
      </c>
      <c r="L445" t="s">
        <v>61</v>
      </c>
      <c r="M445">
        <v>5</v>
      </c>
      <c r="N445">
        <v>0.09</v>
      </c>
      <c r="O445" t="str">
        <f t="shared" si="13"/>
        <v>0–0.2 hours</v>
      </c>
      <c r="P445" t="s">
        <v>20</v>
      </c>
    </row>
    <row r="446" spans="1:16" x14ac:dyDescent="0.4">
      <c r="A446" t="s">
        <v>487</v>
      </c>
      <c r="B446">
        <v>20</v>
      </c>
      <c r="C446" t="s">
        <v>15</v>
      </c>
      <c r="D446" t="s">
        <v>22</v>
      </c>
      <c r="E446">
        <v>21.21</v>
      </c>
      <c r="F446">
        <v>0</v>
      </c>
      <c r="G446" t="s">
        <v>70</v>
      </c>
      <c r="H446" t="s">
        <v>24</v>
      </c>
      <c r="I446" s="2">
        <v>13.99</v>
      </c>
      <c r="J446">
        <v>0</v>
      </c>
      <c r="K446" s="2">
        <f t="shared" si="12"/>
        <v>0</v>
      </c>
      <c r="L446" t="s">
        <v>29</v>
      </c>
      <c r="M446">
        <v>2</v>
      </c>
      <c r="N446">
        <v>21.21</v>
      </c>
      <c r="O446" t="str">
        <f t="shared" si="13"/>
        <v>1+ hours</v>
      </c>
      <c r="P446" t="s">
        <v>30</v>
      </c>
    </row>
    <row r="447" spans="1:16" x14ac:dyDescent="0.4">
      <c r="A447" t="s">
        <v>488</v>
      </c>
      <c r="B447">
        <v>67</v>
      </c>
      <c r="C447" t="s">
        <v>27</v>
      </c>
      <c r="D447" t="s">
        <v>32</v>
      </c>
      <c r="E447">
        <v>15.45</v>
      </c>
      <c r="F447">
        <v>46</v>
      </c>
      <c r="G447" t="s">
        <v>17</v>
      </c>
      <c r="H447" t="s">
        <v>55</v>
      </c>
      <c r="I447" s="2">
        <v>17.989999999999998</v>
      </c>
      <c r="J447">
        <v>1</v>
      </c>
      <c r="K447" s="2">
        <f t="shared" si="12"/>
        <v>17.989999999999998</v>
      </c>
      <c r="L447" t="s">
        <v>19</v>
      </c>
      <c r="M447">
        <v>5</v>
      </c>
      <c r="N447">
        <v>0.33</v>
      </c>
      <c r="O447" t="str">
        <f t="shared" si="13"/>
        <v>0.2–0.4 hours</v>
      </c>
      <c r="P447" t="s">
        <v>47</v>
      </c>
    </row>
    <row r="448" spans="1:16" x14ac:dyDescent="0.4">
      <c r="A448" t="s">
        <v>489</v>
      </c>
      <c r="B448">
        <v>31</v>
      </c>
      <c r="C448" t="s">
        <v>41</v>
      </c>
      <c r="D448" t="s">
        <v>32</v>
      </c>
      <c r="E448">
        <v>12</v>
      </c>
      <c r="F448">
        <v>2</v>
      </c>
      <c r="G448" t="s">
        <v>23</v>
      </c>
      <c r="H448" t="s">
        <v>24</v>
      </c>
      <c r="I448" s="2">
        <v>17.989999999999998</v>
      </c>
      <c r="J448">
        <v>0</v>
      </c>
      <c r="K448" s="2">
        <f t="shared" si="12"/>
        <v>0</v>
      </c>
      <c r="L448" t="s">
        <v>61</v>
      </c>
      <c r="M448">
        <v>2</v>
      </c>
      <c r="N448">
        <v>4</v>
      </c>
      <c r="O448" t="str">
        <f t="shared" si="13"/>
        <v>1+ hours</v>
      </c>
      <c r="P448" t="s">
        <v>47</v>
      </c>
    </row>
    <row r="449" spans="1:16" x14ac:dyDescent="0.4">
      <c r="A449" t="s">
        <v>490</v>
      </c>
      <c r="B449">
        <v>19</v>
      </c>
      <c r="C449" t="s">
        <v>15</v>
      </c>
      <c r="D449" t="s">
        <v>32</v>
      </c>
      <c r="E449">
        <v>1.44</v>
      </c>
      <c r="F449">
        <v>40</v>
      </c>
      <c r="G449" t="s">
        <v>49</v>
      </c>
      <c r="H449" t="s">
        <v>18</v>
      </c>
      <c r="I449" s="2">
        <v>17.989999999999998</v>
      </c>
      <c r="J449">
        <v>1</v>
      </c>
      <c r="K449" s="2">
        <f t="shared" si="12"/>
        <v>17.989999999999998</v>
      </c>
      <c r="L449" t="s">
        <v>19</v>
      </c>
      <c r="M449">
        <v>5</v>
      </c>
      <c r="N449">
        <v>0.04</v>
      </c>
      <c r="O449" t="str">
        <f t="shared" si="13"/>
        <v>0–0.2 hours</v>
      </c>
      <c r="P449" t="s">
        <v>47</v>
      </c>
    </row>
    <row r="450" spans="1:16" x14ac:dyDescent="0.4">
      <c r="A450" t="s">
        <v>491</v>
      </c>
      <c r="B450">
        <v>47</v>
      </c>
      <c r="C450" t="s">
        <v>15</v>
      </c>
      <c r="D450" t="s">
        <v>22</v>
      </c>
      <c r="E450">
        <v>8.67</v>
      </c>
      <c r="F450">
        <v>41</v>
      </c>
      <c r="G450" t="s">
        <v>70</v>
      </c>
      <c r="H450" t="s">
        <v>46</v>
      </c>
      <c r="I450" s="2">
        <v>13.99</v>
      </c>
      <c r="J450">
        <v>1</v>
      </c>
      <c r="K450" s="2">
        <f t="shared" si="12"/>
        <v>13.99</v>
      </c>
      <c r="L450" t="s">
        <v>43</v>
      </c>
      <c r="M450">
        <v>2</v>
      </c>
      <c r="N450">
        <v>0.21</v>
      </c>
      <c r="O450" t="str">
        <f t="shared" si="13"/>
        <v>0.2–0.4 hours</v>
      </c>
      <c r="P450" t="s">
        <v>25</v>
      </c>
    </row>
    <row r="451" spans="1:16" x14ac:dyDescent="0.4">
      <c r="A451" t="s">
        <v>492</v>
      </c>
      <c r="B451">
        <v>28</v>
      </c>
      <c r="C451" t="s">
        <v>27</v>
      </c>
      <c r="D451" t="s">
        <v>32</v>
      </c>
      <c r="E451">
        <v>27.06</v>
      </c>
      <c r="F451">
        <v>55</v>
      </c>
      <c r="G451" t="s">
        <v>70</v>
      </c>
      <c r="H451" t="s">
        <v>57</v>
      </c>
      <c r="I451" s="2">
        <v>17.989999999999998</v>
      </c>
      <c r="J451">
        <v>0</v>
      </c>
      <c r="K451" s="2">
        <f t="shared" ref="K451:K514" si="14">SUMIF(J451,1,I451)</f>
        <v>0</v>
      </c>
      <c r="L451" t="s">
        <v>37</v>
      </c>
      <c r="M451">
        <v>4</v>
      </c>
      <c r="N451">
        <v>0.48</v>
      </c>
      <c r="O451" t="str">
        <f t="shared" ref="O451:O514" si="15">IF(N451&gt;1,"1+ hours",IF(N451&lt;=0.2,"0–0.2 hours",IF(N451&lt;=0.4,"0.2–0.4 hours",IF(N451&lt;=0.6,"0.4–0.6 hours",IF(N451&lt;=0.8,"0.6–0.8 hours","0.8–1 hour")))))</f>
        <v>0.4–0.6 hours</v>
      </c>
      <c r="P451" t="s">
        <v>20</v>
      </c>
    </row>
    <row r="452" spans="1:16" x14ac:dyDescent="0.4">
      <c r="A452" t="s">
        <v>493</v>
      </c>
      <c r="B452">
        <v>22</v>
      </c>
      <c r="C452" t="s">
        <v>27</v>
      </c>
      <c r="D452" t="s">
        <v>32</v>
      </c>
      <c r="E452">
        <v>7.24</v>
      </c>
      <c r="F452">
        <v>30</v>
      </c>
      <c r="G452" t="s">
        <v>33</v>
      </c>
      <c r="H452" t="s">
        <v>57</v>
      </c>
      <c r="I452" s="2">
        <v>17.989999999999998</v>
      </c>
      <c r="J452">
        <v>0</v>
      </c>
      <c r="K452" s="2">
        <f t="shared" si="14"/>
        <v>0</v>
      </c>
      <c r="L452" t="s">
        <v>43</v>
      </c>
      <c r="M452">
        <v>2</v>
      </c>
      <c r="N452">
        <v>0.23</v>
      </c>
      <c r="O452" t="str">
        <f t="shared" si="15"/>
        <v>0.2–0.4 hours</v>
      </c>
      <c r="P452" t="s">
        <v>39</v>
      </c>
    </row>
    <row r="453" spans="1:16" x14ac:dyDescent="0.4">
      <c r="A453" t="s">
        <v>494</v>
      </c>
      <c r="B453">
        <v>29</v>
      </c>
      <c r="C453" t="s">
        <v>41</v>
      </c>
      <c r="D453" t="s">
        <v>32</v>
      </c>
      <c r="E453">
        <v>63.39</v>
      </c>
      <c r="F453">
        <v>37</v>
      </c>
      <c r="G453" t="s">
        <v>70</v>
      </c>
      <c r="H453" t="s">
        <v>57</v>
      </c>
      <c r="I453" s="2">
        <v>17.989999999999998</v>
      </c>
      <c r="J453">
        <v>0</v>
      </c>
      <c r="K453" s="2">
        <f t="shared" si="14"/>
        <v>0</v>
      </c>
      <c r="L453" t="s">
        <v>19</v>
      </c>
      <c r="M453">
        <v>4</v>
      </c>
      <c r="N453">
        <v>1.67</v>
      </c>
      <c r="O453" t="str">
        <f t="shared" si="15"/>
        <v>1+ hours</v>
      </c>
      <c r="P453" t="s">
        <v>47</v>
      </c>
    </row>
    <row r="454" spans="1:16" x14ac:dyDescent="0.4">
      <c r="A454" t="s">
        <v>495</v>
      </c>
      <c r="B454">
        <v>63</v>
      </c>
      <c r="C454" t="s">
        <v>41</v>
      </c>
      <c r="D454" t="s">
        <v>16</v>
      </c>
      <c r="E454">
        <v>1.44</v>
      </c>
      <c r="F454">
        <v>26</v>
      </c>
      <c r="G454" t="s">
        <v>23</v>
      </c>
      <c r="H454" t="s">
        <v>24</v>
      </c>
      <c r="I454" s="2">
        <v>8.99</v>
      </c>
      <c r="J454">
        <v>1</v>
      </c>
      <c r="K454" s="2">
        <f t="shared" si="14"/>
        <v>8.99</v>
      </c>
      <c r="L454" t="s">
        <v>37</v>
      </c>
      <c r="M454">
        <v>1</v>
      </c>
      <c r="N454">
        <v>0.05</v>
      </c>
      <c r="O454" t="str">
        <f t="shared" si="15"/>
        <v>0–0.2 hours</v>
      </c>
      <c r="P454" t="s">
        <v>52</v>
      </c>
    </row>
    <row r="455" spans="1:16" x14ac:dyDescent="0.4">
      <c r="A455" t="s">
        <v>496</v>
      </c>
      <c r="B455">
        <v>42</v>
      </c>
      <c r="C455" t="s">
        <v>15</v>
      </c>
      <c r="D455" t="s">
        <v>32</v>
      </c>
      <c r="E455">
        <v>4.26</v>
      </c>
      <c r="F455">
        <v>6</v>
      </c>
      <c r="G455" t="s">
        <v>70</v>
      </c>
      <c r="H455" t="s">
        <v>57</v>
      </c>
      <c r="I455" s="2">
        <v>17.989999999999998</v>
      </c>
      <c r="J455">
        <v>0</v>
      </c>
      <c r="K455" s="2">
        <f t="shared" si="14"/>
        <v>0</v>
      </c>
      <c r="L455" t="s">
        <v>29</v>
      </c>
      <c r="M455">
        <v>5</v>
      </c>
      <c r="N455">
        <v>0.61</v>
      </c>
      <c r="O455" t="str">
        <f t="shared" si="15"/>
        <v>0.6–0.8 hours</v>
      </c>
      <c r="P455" t="s">
        <v>34</v>
      </c>
    </row>
    <row r="456" spans="1:16" x14ac:dyDescent="0.4">
      <c r="A456" t="s">
        <v>497</v>
      </c>
      <c r="B456">
        <v>68</v>
      </c>
      <c r="C456" t="s">
        <v>27</v>
      </c>
      <c r="D456" t="s">
        <v>22</v>
      </c>
      <c r="E456">
        <v>15.06</v>
      </c>
      <c r="F456">
        <v>20</v>
      </c>
      <c r="G456" t="s">
        <v>70</v>
      </c>
      <c r="H456" t="s">
        <v>24</v>
      </c>
      <c r="I456" s="2">
        <v>13.99</v>
      </c>
      <c r="J456">
        <v>0</v>
      </c>
      <c r="K456" s="2">
        <f t="shared" si="14"/>
        <v>0</v>
      </c>
      <c r="L456" t="s">
        <v>19</v>
      </c>
      <c r="M456">
        <v>1</v>
      </c>
      <c r="N456">
        <v>0.72</v>
      </c>
      <c r="O456" t="str">
        <f t="shared" si="15"/>
        <v>0.6–0.8 hours</v>
      </c>
      <c r="P456" t="s">
        <v>39</v>
      </c>
    </row>
    <row r="457" spans="1:16" x14ac:dyDescent="0.4">
      <c r="A457" t="s">
        <v>498</v>
      </c>
      <c r="B457">
        <v>48</v>
      </c>
      <c r="C457" t="s">
        <v>41</v>
      </c>
      <c r="D457" t="s">
        <v>22</v>
      </c>
      <c r="E457">
        <v>29.96</v>
      </c>
      <c r="F457">
        <v>44</v>
      </c>
      <c r="G457" t="s">
        <v>23</v>
      </c>
      <c r="H457" t="s">
        <v>46</v>
      </c>
      <c r="I457" s="2">
        <v>13.99</v>
      </c>
      <c r="J457">
        <v>0</v>
      </c>
      <c r="K457" s="2">
        <f t="shared" si="14"/>
        <v>0</v>
      </c>
      <c r="L457" t="s">
        <v>29</v>
      </c>
      <c r="M457">
        <v>5</v>
      </c>
      <c r="N457">
        <v>0.67</v>
      </c>
      <c r="O457" t="str">
        <f t="shared" si="15"/>
        <v>0.6–0.8 hours</v>
      </c>
      <c r="P457" t="s">
        <v>25</v>
      </c>
    </row>
    <row r="458" spans="1:16" x14ac:dyDescent="0.4">
      <c r="A458" t="s">
        <v>499</v>
      </c>
      <c r="B458">
        <v>45</v>
      </c>
      <c r="C458" t="s">
        <v>27</v>
      </c>
      <c r="D458" t="s">
        <v>32</v>
      </c>
      <c r="E458">
        <v>8.0500000000000007</v>
      </c>
      <c r="F458">
        <v>54</v>
      </c>
      <c r="G458" t="s">
        <v>17</v>
      </c>
      <c r="H458" t="s">
        <v>18</v>
      </c>
      <c r="I458" s="2">
        <v>17.989999999999998</v>
      </c>
      <c r="J458">
        <v>1</v>
      </c>
      <c r="K458" s="2">
        <f t="shared" si="14"/>
        <v>17.989999999999998</v>
      </c>
      <c r="L458" t="s">
        <v>29</v>
      </c>
      <c r="M458">
        <v>3</v>
      </c>
      <c r="N458">
        <v>0.15</v>
      </c>
      <c r="O458" t="str">
        <f t="shared" si="15"/>
        <v>0–0.2 hours</v>
      </c>
      <c r="P458" t="s">
        <v>20</v>
      </c>
    </row>
    <row r="459" spans="1:16" x14ac:dyDescent="0.4">
      <c r="A459" t="s">
        <v>500</v>
      </c>
      <c r="B459">
        <v>57</v>
      </c>
      <c r="C459" t="s">
        <v>41</v>
      </c>
      <c r="D459" t="s">
        <v>22</v>
      </c>
      <c r="E459">
        <v>3.51</v>
      </c>
      <c r="F459">
        <v>50</v>
      </c>
      <c r="G459" t="s">
        <v>33</v>
      </c>
      <c r="H459" t="s">
        <v>46</v>
      </c>
      <c r="I459" s="2">
        <v>13.99</v>
      </c>
      <c r="J459">
        <v>1</v>
      </c>
      <c r="K459" s="2">
        <f t="shared" si="14"/>
        <v>13.99</v>
      </c>
      <c r="L459" t="s">
        <v>61</v>
      </c>
      <c r="M459">
        <v>1</v>
      </c>
      <c r="N459">
        <v>7.0000000000000007E-2</v>
      </c>
      <c r="O459" t="str">
        <f t="shared" si="15"/>
        <v>0–0.2 hours</v>
      </c>
      <c r="P459" t="s">
        <v>52</v>
      </c>
    </row>
    <row r="460" spans="1:16" x14ac:dyDescent="0.4">
      <c r="A460" s="1" t="s">
        <v>501</v>
      </c>
      <c r="B460">
        <v>63</v>
      </c>
      <c r="C460" t="s">
        <v>41</v>
      </c>
      <c r="D460" t="s">
        <v>16</v>
      </c>
      <c r="E460">
        <v>2.5099999999999998</v>
      </c>
      <c r="F460">
        <v>31</v>
      </c>
      <c r="G460" t="s">
        <v>23</v>
      </c>
      <c r="H460" t="s">
        <v>46</v>
      </c>
      <c r="I460" s="2">
        <v>8.99</v>
      </c>
      <c r="J460">
        <v>1</v>
      </c>
      <c r="K460" s="2">
        <f t="shared" si="14"/>
        <v>8.99</v>
      </c>
      <c r="L460" t="s">
        <v>37</v>
      </c>
      <c r="M460">
        <v>3</v>
      </c>
      <c r="N460">
        <v>0.08</v>
      </c>
      <c r="O460" t="str">
        <f t="shared" si="15"/>
        <v>0–0.2 hours</v>
      </c>
      <c r="P460" t="s">
        <v>47</v>
      </c>
    </row>
    <row r="461" spans="1:16" x14ac:dyDescent="0.4">
      <c r="A461" t="s">
        <v>502</v>
      </c>
      <c r="B461">
        <v>32</v>
      </c>
      <c r="C461" t="s">
        <v>27</v>
      </c>
      <c r="D461" t="s">
        <v>32</v>
      </c>
      <c r="E461">
        <v>1.8</v>
      </c>
      <c r="F461">
        <v>32</v>
      </c>
      <c r="G461" t="s">
        <v>49</v>
      </c>
      <c r="H461" t="s">
        <v>24</v>
      </c>
      <c r="I461" s="2">
        <v>17.989999999999998</v>
      </c>
      <c r="J461">
        <v>1</v>
      </c>
      <c r="K461" s="2">
        <f t="shared" si="14"/>
        <v>17.989999999999998</v>
      </c>
      <c r="L461" t="s">
        <v>43</v>
      </c>
      <c r="M461">
        <v>2</v>
      </c>
      <c r="N461">
        <v>0.05</v>
      </c>
      <c r="O461" t="str">
        <f t="shared" si="15"/>
        <v>0–0.2 hours</v>
      </c>
      <c r="P461" t="s">
        <v>39</v>
      </c>
    </row>
    <row r="462" spans="1:16" x14ac:dyDescent="0.4">
      <c r="A462" t="s">
        <v>503</v>
      </c>
      <c r="B462">
        <v>70</v>
      </c>
      <c r="C462" t="s">
        <v>41</v>
      </c>
      <c r="D462" t="s">
        <v>22</v>
      </c>
      <c r="E462">
        <v>28.32</v>
      </c>
      <c r="F462">
        <v>3</v>
      </c>
      <c r="G462" t="s">
        <v>28</v>
      </c>
      <c r="H462" t="s">
        <v>57</v>
      </c>
      <c r="I462" s="2">
        <v>13.99</v>
      </c>
      <c r="J462">
        <v>0</v>
      </c>
      <c r="K462" s="2">
        <f t="shared" si="14"/>
        <v>0</v>
      </c>
      <c r="L462" t="s">
        <v>37</v>
      </c>
      <c r="M462">
        <v>3</v>
      </c>
      <c r="N462">
        <v>7.08</v>
      </c>
      <c r="O462" t="str">
        <f t="shared" si="15"/>
        <v>1+ hours</v>
      </c>
      <c r="P462" t="s">
        <v>20</v>
      </c>
    </row>
    <row r="463" spans="1:16" x14ac:dyDescent="0.4">
      <c r="A463" t="s">
        <v>504</v>
      </c>
      <c r="B463">
        <v>48</v>
      </c>
      <c r="C463" t="s">
        <v>27</v>
      </c>
      <c r="D463" t="s">
        <v>22</v>
      </c>
      <c r="E463">
        <v>4.1900000000000004</v>
      </c>
      <c r="F463">
        <v>0</v>
      </c>
      <c r="G463" t="s">
        <v>23</v>
      </c>
      <c r="H463" t="s">
        <v>57</v>
      </c>
      <c r="I463" s="2">
        <v>13.99</v>
      </c>
      <c r="J463">
        <v>0</v>
      </c>
      <c r="K463" s="2">
        <f t="shared" si="14"/>
        <v>0</v>
      </c>
      <c r="L463" t="s">
        <v>19</v>
      </c>
      <c r="M463">
        <v>2</v>
      </c>
      <c r="N463">
        <v>4.1900000000000004</v>
      </c>
      <c r="O463" t="str">
        <f t="shared" si="15"/>
        <v>1+ hours</v>
      </c>
      <c r="P463" t="s">
        <v>52</v>
      </c>
    </row>
    <row r="464" spans="1:16" x14ac:dyDescent="0.4">
      <c r="A464" t="s">
        <v>505</v>
      </c>
      <c r="B464">
        <v>66</v>
      </c>
      <c r="C464" t="s">
        <v>15</v>
      </c>
      <c r="D464" t="s">
        <v>22</v>
      </c>
      <c r="E464">
        <v>0.76</v>
      </c>
      <c r="F464">
        <v>44</v>
      </c>
      <c r="G464" t="s">
        <v>23</v>
      </c>
      <c r="H464" t="s">
        <v>57</v>
      </c>
      <c r="I464" s="2">
        <v>13.99</v>
      </c>
      <c r="J464">
        <v>1</v>
      </c>
      <c r="K464" s="2">
        <f t="shared" si="14"/>
        <v>13.99</v>
      </c>
      <c r="L464" t="s">
        <v>19</v>
      </c>
      <c r="M464">
        <v>2</v>
      </c>
      <c r="N464">
        <v>0.02</v>
      </c>
      <c r="O464" t="str">
        <f t="shared" si="15"/>
        <v>0–0.2 hours</v>
      </c>
      <c r="P464" t="s">
        <v>20</v>
      </c>
    </row>
    <row r="465" spans="1:16" x14ac:dyDescent="0.4">
      <c r="A465" t="s">
        <v>506</v>
      </c>
      <c r="B465">
        <v>38</v>
      </c>
      <c r="C465" t="s">
        <v>41</v>
      </c>
      <c r="D465" t="s">
        <v>22</v>
      </c>
      <c r="E465">
        <v>0.61</v>
      </c>
      <c r="F465">
        <v>9</v>
      </c>
      <c r="G465" t="s">
        <v>70</v>
      </c>
      <c r="H465" t="s">
        <v>24</v>
      </c>
      <c r="I465" s="2">
        <v>13.99</v>
      </c>
      <c r="J465">
        <v>0</v>
      </c>
      <c r="K465" s="2">
        <f t="shared" si="14"/>
        <v>0</v>
      </c>
      <c r="L465" t="s">
        <v>61</v>
      </c>
      <c r="M465">
        <v>4</v>
      </c>
      <c r="N465">
        <v>0.06</v>
      </c>
      <c r="O465" t="str">
        <f t="shared" si="15"/>
        <v>0–0.2 hours</v>
      </c>
      <c r="P465" t="s">
        <v>52</v>
      </c>
    </row>
    <row r="466" spans="1:16" x14ac:dyDescent="0.4">
      <c r="A466" t="s">
        <v>507</v>
      </c>
      <c r="B466">
        <v>67</v>
      </c>
      <c r="C466" t="s">
        <v>27</v>
      </c>
      <c r="D466" t="s">
        <v>32</v>
      </c>
      <c r="E466">
        <v>27.79</v>
      </c>
      <c r="F466">
        <v>28</v>
      </c>
      <c r="G466" t="s">
        <v>33</v>
      </c>
      <c r="H466" t="s">
        <v>18</v>
      </c>
      <c r="I466" s="2">
        <v>17.989999999999998</v>
      </c>
      <c r="J466">
        <v>0</v>
      </c>
      <c r="K466" s="2">
        <f t="shared" si="14"/>
        <v>0</v>
      </c>
      <c r="L466" t="s">
        <v>29</v>
      </c>
      <c r="M466">
        <v>4</v>
      </c>
      <c r="N466">
        <v>0.96</v>
      </c>
      <c r="O466" t="str">
        <f t="shared" si="15"/>
        <v>0.8–1 hour</v>
      </c>
      <c r="P466" t="s">
        <v>20</v>
      </c>
    </row>
    <row r="467" spans="1:16" x14ac:dyDescent="0.4">
      <c r="A467" t="s">
        <v>508</v>
      </c>
      <c r="B467">
        <v>61</v>
      </c>
      <c r="C467" t="s">
        <v>27</v>
      </c>
      <c r="D467" t="s">
        <v>32</v>
      </c>
      <c r="E467">
        <v>16.13</v>
      </c>
      <c r="F467">
        <v>21</v>
      </c>
      <c r="G467" t="s">
        <v>23</v>
      </c>
      <c r="H467" t="s">
        <v>57</v>
      </c>
      <c r="I467" s="2">
        <v>17.989999999999998</v>
      </c>
      <c r="J467">
        <v>0</v>
      </c>
      <c r="K467" s="2">
        <f t="shared" si="14"/>
        <v>0</v>
      </c>
      <c r="L467" t="s">
        <v>29</v>
      </c>
      <c r="M467">
        <v>3</v>
      </c>
      <c r="N467">
        <v>0.73</v>
      </c>
      <c r="O467" t="str">
        <f t="shared" si="15"/>
        <v>0.6–0.8 hours</v>
      </c>
      <c r="P467" t="s">
        <v>52</v>
      </c>
    </row>
    <row r="468" spans="1:16" x14ac:dyDescent="0.4">
      <c r="A468" t="s">
        <v>509</v>
      </c>
      <c r="B468">
        <v>32</v>
      </c>
      <c r="C468" t="s">
        <v>15</v>
      </c>
      <c r="D468" t="s">
        <v>32</v>
      </c>
      <c r="E468">
        <v>24.87</v>
      </c>
      <c r="F468">
        <v>41</v>
      </c>
      <c r="G468" t="s">
        <v>70</v>
      </c>
      <c r="H468" t="s">
        <v>57</v>
      </c>
      <c r="I468" s="2">
        <v>17.989999999999998</v>
      </c>
      <c r="J468">
        <v>0</v>
      </c>
      <c r="K468" s="2">
        <f t="shared" si="14"/>
        <v>0</v>
      </c>
      <c r="L468" t="s">
        <v>19</v>
      </c>
      <c r="M468">
        <v>5</v>
      </c>
      <c r="N468">
        <v>0.59</v>
      </c>
      <c r="O468" t="str">
        <f t="shared" si="15"/>
        <v>0.4–0.6 hours</v>
      </c>
      <c r="P468" t="s">
        <v>25</v>
      </c>
    </row>
    <row r="469" spans="1:16" x14ac:dyDescent="0.4">
      <c r="A469" t="s">
        <v>510</v>
      </c>
      <c r="B469">
        <v>23</v>
      </c>
      <c r="C469" t="s">
        <v>27</v>
      </c>
      <c r="D469" t="s">
        <v>22</v>
      </c>
      <c r="E469">
        <v>29.18</v>
      </c>
      <c r="F469">
        <v>36</v>
      </c>
      <c r="G469" t="s">
        <v>33</v>
      </c>
      <c r="H469" t="s">
        <v>18</v>
      </c>
      <c r="I469" s="2">
        <v>13.99</v>
      </c>
      <c r="J469">
        <v>0</v>
      </c>
      <c r="K469" s="2">
        <f t="shared" si="14"/>
        <v>0</v>
      </c>
      <c r="L469" t="s">
        <v>37</v>
      </c>
      <c r="M469">
        <v>1</v>
      </c>
      <c r="N469">
        <v>0.79</v>
      </c>
      <c r="O469" t="str">
        <f t="shared" si="15"/>
        <v>0.6–0.8 hours</v>
      </c>
      <c r="P469" t="s">
        <v>52</v>
      </c>
    </row>
    <row r="470" spans="1:16" x14ac:dyDescent="0.4">
      <c r="A470" t="s">
        <v>511</v>
      </c>
      <c r="B470">
        <v>30</v>
      </c>
      <c r="C470" t="s">
        <v>15</v>
      </c>
      <c r="D470" t="s">
        <v>32</v>
      </c>
      <c r="E470">
        <v>11.65</v>
      </c>
      <c r="F470">
        <v>21</v>
      </c>
      <c r="G470" t="s">
        <v>17</v>
      </c>
      <c r="H470" t="s">
        <v>46</v>
      </c>
      <c r="I470" s="2">
        <v>17.989999999999998</v>
      </c>
      <c r="J470">
        <v>0</v>
      </c>
      <c r="K470" s="2">
        <f t="shared" si="14"/>
        <v>0</v>
      </c>
      <c r="L470" t="s">
        <v>61</v>
      </c>
      <c r="M470">
        <v>5</v>
      </c>
      <c r="N470">
        <v>0.53</v>
      </c>
      <c r="O470" t="str">
        <f t="shared" si="15"/>
        <v>0.4–0.6 hours</v>
      </c>
      <c r="P470" t="s">
        <v>39</v>
      </c>
    </row>
    <row r="471" spans="1:16" x14ac:dyDescent="0.4">
      <c r="A471" t="s">
        <v>512</v>
      </c>
      <c r="B471">
        <v>23</v>
      </c>
      <c r="C471" t="s">
        <v>41</v>
      </c>
      <c r="D471" t="s">
        <v>32</v>
      </c>
      <c r="E471">
        <v>6.55</v>
      </c>
      <c r="F471">
        <v>27</v>
      </c>
      <c r="G471" t="s">
        <v>33</v>
      </c>
      <c r="H471" t="s">
        <v>46</v>
      </c>
      <c r="I471" s="2">
        <v>17.989999999999998</v>
      </c>
      <c r="J471">
        <v>0</v>
      </c>
      <c r="K471" s="2">
        <f t="shared" si="14"/>
        <v>0</v>
      </c>
      <c r="L471" t="s">
        <v>43</v>
      </c>
      <c r="M471">
        <v>3</v>
      </c>
      <c r="N471">
        <v>0.23</v>
      </c>
      <c r="O471" t="str">
        <f t="shared" si="15"/>
        <v>0.2–0.4 hours</v>
      </c>
      <c r="P471" t="s">
        <v>39</v>
      </c>
    </row>
    <row r="472" spans="1:16" x14ac:dyDescent="0.4">
      <c r="A472" t="s">
        <v>513</v>
      </c>
      <c r="B472">
        <v>20</v>
      </c>
      <c r="C472" t="s">
        <v>15</v>
      </c>
      <c r="D472" t="s">
        <v>22</v>
      </c>
      <c r="E472">
        <v>0.52</v>
      </c>
      <c r="F472">
        <v>29</v>
      </c>
      <c r="G472" t="s">
        <v>28</v>
      </c>
      <c r="H472" t="s">
        <v>18</v>
      </c>
      <c r="I472" s="2">
        <v>13.99</v>
      </c>
      <c r="J472">
        <v>1</v>
      </c>
      <c r="K472" s="2">
        <f t="shared" si="14"/>
        <v>13.99</v>
      </c>
      <c r="L472" t="s">
        <v>37</v>
      </c>
      <c r="M472">
        <v>1</v>
      </c>
      <c r="N472">
        <v>0.02</v>
      </c>
      <c r="O472" t="str">
        <f t="shared" si="15"/>
        <v>0–0.2 hours</v>
      </c>
      <c r="P472" t="s">
        <v>39</v>
      </c>
    </row>
    <row r="473" spans="1:16" x14ac:dyDescent="0.4">
      <c r="A473" t="s">
        <v>514</v>
      </c>
      <c r="B473">
        <v>40</v>
      </c>
      <c r="C473" t="s">
        <v>27</v>
      </c>
      <c r="D473" t="s">
        <v>16</v>
      </c>
      <c r="E473">
        <v>7.31</v>
      </c>
      <c r="F473">
        <v>3</v>
      </c>
      <c r="G473" t="s">
        <v>17</v>
      </c>
      <c r="H473" t="s">
        <v>57</v>
      </c>
      <c r="I473" s="2">
        <v>8.99</v>
      </c>
      <c r="J473">
        <v>0</v>
      </c>
      <c r="K473" s="2">
        <f t="shared" si="14"/>
        <v>0</v>
      </c>
      <c r="L473" t="s">
        <v>37</v>
      </c>
      <c r="M473">
        <v>1</v>
      </c>
      <c r="N473">
        <v>1.83</v>
      </c>
      <c r="O473" t="str">
        <f t="shared" si="15"/>
        <v>1+ hours</v>
      </c>
      <c r="P473" t="s">
        <v>20</v>
      </c>
    </row>
    <row r="474" spans="1:16" x14ac:dyDescent="0.4">
      <c r="A474" t="s">
        <v>515</v>
      </c>
      <c r="B474">
        <v>28</v>
      </c>
      <c r="C474" t="s">
        <v>27</v>
      </c>
      <c r="D474" t="s">
        <v>16</v>
      </c>
      <c r="E474">
        <v>35.03</v>
      </c>
      <c r="F474">
        <v>37</v>
      </c>
      <c r="G474" t="s">
        <v>28</v>
      </c>
      <c r="H474" t="s">
        <v>55</v>
      </c>
      <c r="I474" s="2">
        <v>8.99</v>
      </c>
      <c r="J474">
        <v>0</v>
      </c>
      <c r="K474" s="2">
        <f t="shared" si="14"/>
        <v>0</v>
      </c>
      <c r="L474" t="s">
        <v>61</v>
      </c>
      <c r="M474">
        <v>4</v>
      </c>
      <c r="N474">
        <v>0.92</v>
      </c>
      <c r="O474" t="str">
        <f t="shared" si="15"/>
        <v>0.8–1 hour</v>
      </c>
      <c r="P474" t="s">
        <v>47</v>
      </c>
    </row>
    <row r="475" spans="1:16" x14ac:dyDescent="0.4">
      <c r="A475" t="s">
        <v>516</v>
      </c>
      <c r="B475">
        <v>24</v>
      </c>
      <c r="C475" t="s">
        <v>27</v>
      </c>
      <c r="D475" t="s">
        <v>16</v>
      </c>
      <c r="E475">
        <v>9.0299999999999994</v>
      </c>
      <c r="F475">
        <v>52</v>
      </c>
      <c r="G475" t="s">
        <v>49</v>
      </c>
      <c r="H475" t="s">
        <v>24</v>
      </c>
      <c r="I475" s="2">
        <v>8.99</v>
      </c>
      <c r="J475">
        <v>1</v>
      </c>
      <c r="K475" s="2">
        <f t="shared" si="14"/>
        <v>8.99</v>
      </c>
      <c r="L475" t="s">
        <v>29</v>
      </c>
      <c r="M475">
        <v>1</v>
      </c>
      <c r="N475">
        <v>0.17</v>
      </c>
      <c r="O475" t="str">
        <f t="shared" si="15"/>
        <v>0–0.2 hours</v>
      </c>
      <c r="P475" t="s">
        <v>52</v>
      </c>
    </row>
    <row r="476" spans="1:16" x14ac:dyDescent="0.4">
      <c r="A476" t="s">
        <v>517</v>
      </c>
      <c r="B476">
        <v>54</v>
      </c>
      <c r="C476" t="s">
        <v>15</v>
      </c>
      <c r="D476" t="s">
        <v>32</v>
      </c>
      <c r="E476">
        <v>14.2</v>
      </c>
      <c r="F476">
        <v>6</v>
      </c>
      <c r="G476" t="s">
        <v>23</v>
      </c>
      <c r="H476" t="s">
        <v>46</v>
      </c>
      <c r="I476" s="2">
        <v>17.989999999999998</v>
      </c>
      <c r="J476">
        <v>0</v>
      </c>
      <c r="K476" s="2">
        <f t="shared" si="14"/>
        <v>0</v>
      </c>
      <c r="L476" t="s">
        <v>29</v>
      </c>
      <c r="M476">
        <v>5</v>
      </c>
      <c r="N476">
        <v>2.0299999999999998</v>
      </c>
      <c r="O476" t="str">
        <f t="shared" si="15"/>
        <v>1+ hours</v>
      </c>
      <c r="P476" t="s">
        <v>39</v>
      </c>
    </row>
    <row r="477" spans="1:16" x14ac:dyDescent="0.4">
      <c r="A477" t="s">
        <v>518</v>
      </c>
      <c r="B477">
        <v>25</v>
      </c>
      <c r="C477" t="s">
        <v>27</v>
      </c>
      <c r="D477" t="s">
        <v>22</v>
      </c>
      <c r="E477">
        <v>8.01</v>
      </c>
      <c r="F477">
        <v>20</v>
      </c>
      <c r="G477" t="s">
        <v>49</v>
      </c>
      <c r="H477" t="s">
        <v>46</v>
      </c>
      <c r="I477" s="2">
        <v>13.99</v>
      </c>
      <c r="J477">
        <v>0</v>
      </c>
      <c r="K477" s="2">
        <f t="shared" si="14"/>
        <v>0</v>
      </c>
      <c r="L477" t="s">
        <v>61</v>
      </c>
      <c r="M477">
        <v>4</v>
      </c>
      <c r="N477">
        <v>0.38</v>
      </c>
      <c r="O477" t="str">
        <f t="shared" si="15"/>
        <v>0.2–0.4 hours</v>
      </c>
      <c r="P477" t="s">
        <v>25</v>
      </c>
    </row>
    <row r="478" spans="1:16" x14ac:dyDescent="0.4">
      <c r="A478" t="s">
        <v>519</v>
      </c>
      <c r="B478">
        <v>35</v>
      </c>
      <c r="C478" t="s">
        <v>15</v>
      </c>
      <c r="D478" t="s">
        <v>16</v>
      </c>
      <c r="E478">
        <v>9.58</v>
      </c>
      <c r="F478">
        <v>13</v>
      </c>
      <c r="G478" t="s">
        <v>70</v>
      </c>
      <c r="H478" t="s">
        <v>24</v>
      </c>
      <c r="I478" s="2">
        <v>8.99</v>
      </c>
      <c r="J478">
        <v>0</v>
      </c>
      <c r="K478" s="2">
        <f t="shared" si="14"/>
        <v>0</v>
      </c>
      <c r="L478" t="s">
        <v>37</v>
      </c>
      <c r="M478">
        <v>1</v>
      </c>
      <c r="N478">
        <v>0.68</v>
      </c>
      <c r="O478" t="str">
        <f t="shared" si="15"/>
        <v>0.6–0.8 hours</v>
      </c>
      <c r="P478" t="s">
        <v>34</v>
      </c>
    </row>
    <row r="479" spans="1:16" x14ac:dyDescent="0.4">
      <c r="A479" t="s">
        <v>520</v>
      </c>
      <c r="B479">
        <v>30</v>
      </c>
      <c r="C479" t="s">
        <v>27</v>
      </c>
      <c r="D479" t="s">
        <v>16</v>
      </c>
      <c r="E479">
        <v>0.36</v>
      </c>
      <c r="F479">
        <v>60</v>
      </c>
      <c r="G479" t="s">
        <v>17</v>
      </c>
      <c r="H479" t="s">
        <v>46</v>
      </c>
      <c r="I479" s="2">
        <v>8.99</v>
      </c>
      <c r="J479">
        <v>1</v>
      </c>
      <c r="K479" s="2">
        <f t="shared" si="14"/>
        <v>8.99</v>
      </c>
      <c r="L479" t="s">
        <v>37</v>
      </c>
      <c r="M479">
        <v>3</v>
      </c>
      <c r="N479">
        <v>0.01</v>
      </c>
      <c r="O479" t="str">
        <f t="shared" si="15"/>
        <v>0–0.2 hours</v>
      </c>
      <c r="P479" t="s">
        <v>30</v>
      </c>
    </row>
    <row r="480" spans="1:16" x14ac:dyDescent="0.4">
      <c r="A480" t="s">
        <v>521</v>
      </c>
      <c r="B480">
        <v>36</v>
      </c>
      <c r="C480" t="s">
        <v>27</v>
      </c>
      <c r="D480" t="s">
        <v>16</v>
      </c>
      <c r="E480">
        <v>22.91</v>
      </c>
      <c r="F480">
        <v>0</v>
      </c>
      <c r="G480" t="s">
        <v>28</v>
      </c>
      <c r="H480" t="s">
        <v>18</v>
      </c>
      <c r="I480" s="2">
        <v>8.99</v>
      </c>
      <c r="J480">
        <v>0</v>
      </c>
      <c r="K480" s="2">
        <f t="shared" si="14"/>
        <v>0</v>
      </c>
      <c r="L480" t="s">
        <v>29</v>
      </c>
      <c r="M480">
        <v>1</v>
      </c>
      <c r="N480">
        <v>22.91</v>
      </c>
      <c r="O480" t="str">
        <f t="shared" si="15"/>
        <v>1+ hours</v>
      </c>
      <c r="P480" t="s">
        <v>30</v>
      </c>
    </row>
    <row r="481" spans="1:16" x14ac:dyDescent="0.4">
      <c r="A481" t="s">
        <v>522</v>
      </c>
      <c r="B481">
        <v>68</v>
      </c>
      <c r="C481" t="s">
        <v>27</v>
      </c>
      <c r="D481" t="s">
        <v>22</v>
      </c>
      <c r="E481">
        <v>18.489999999999998</v>
      </c>
      <c r="F481">
        <v>11</v>
      </c>
      <c r="G481" t="s">
        <v>49</v>
      </c>
      <c r="H481" t="s">
        <v>24</v>
      </c>
      <c r="I481" s="2">
        <v>13.99</v>
      </c>
      <c r="J481">
        <v>0</v>
      </c>
      <c r="K481" s="2">
        <f t="shared" si="14"/>
        <v>0</v>
      </c>
      <c r="L481" t="s">
        <v>19</v>
      </c>
      <c r="M481">
        <v>1</v>
      </c>
      <c r="N481">
        <v>1.54</v>
      </c>
      <c r="O481" t="str">
        <f t="shared" si="15"/>
        <v>1+ hours</v>
      </c>
      <c r="P481" t="s">
        <v>30</v>
      </c>
    </row>
    <row r="482" spans="1:16" x14ac:dyDescent="0.4">
      <c r="A482" t="s">
        <v>523</v>
      </c>
      <c r="B482">
        <v>29</v>
      </c>
      <c r="C482" t="s">
        <v>15</v>
      </c>
      <c r="D482" t="s">
        <v>16</v>
      </c>
      <c r="E482">
        <v>4.67</v>
      </c>
      <c r="F482">
        <v>5</v>
      </c>
      <c r="G482" t="s">
        <v>49</v>
      </c>
      <c r="H482" t="s">
        <v>46</v>
      </c>
      <c r="I482" s="2">
        <v>8.99</v>
      </c>
      <c r="J482">
        <v>0</v>
      </c>
      <c r="K482" s="2">
        <f t="shared" si="14"/>
        <v>0</v>
      </c>
      <c r="L482" t="s">
        <v>43</v>
      </c>
      <c r="M482">
        <v>3</v>
      </c>
      <c r="N482">
        <v>0.78</v>
      </c>
      <c r="O482" t="str">
        <f t="shared" si="15"/>
        <v>0.6–0.8 hours</v>
      </c>
      <c r="P482" t="s">
        <v>25</v>
      </c>
    </row>
    <row r="483" spans="1:16" x14ac:dyDescent="0.4">
      <c r="A483" t="s">
        <v>524</v>
      </c>
      <c r="B483">
        <v>39</v>
      </c>
      <c r="C483" t="s">
        <v>27</v>
      </c>
      <c r="D483" t="s">
        <v>32</v>
      </c>
      <c r="E483">
        <v>17.14</v>
      </c>
      <c r="F483">
        <v>3</v>
      </c>
      <c r="G483" t="s">
        <v>28</v>
      </c>
      <c r="H483" t="s">
        <v>24</v>
      </c>
      <c r="I483" s="2">
        <v>17.989999999999998</v>
      </c>
      <c r="J483">
        <v>0</v>
      </c>
      <c r="K483" s="2">
        <f t="shared" si="14"/>
        <v>0</v>
      </c>
      <c r="L483" t="s">
        <v>61</v>
      </c>
      <c r="M483">
        <v>5</v>
      </c>
      <c r="N483">
        <v>4.29</v>
      </c>
      <c r="O483" t="str">
        <f t="shared" si="15"/>
        <v>1+ hours</v>
      </c>
      <c r="P483" t="s">
        <v>47</v>
      </c>
    </row>
    <row r="484" spans="1:16" x14ac:dyDescent="0.4">
      <c r="A484" t="s">
        <v>525</v>
      </c>
      <c r="B484">
        <v>61</v>
      </c>
      <c r="C484" t="s">
        <v>27</v>
      </c>
      <c r="D484" t="s">
        <v>32</v>
      </c>
      <c r="E484">
        <v>26.79</v>
      </c>
      <c r="F484">
        <v>34</v>
      </c>
      <c r="G484" t="s">
        <v>17</v>
      </c>
      <c r="H484" t="s">
        <v>18</v>
      </c>
      <c r="I484" s="2">
        <v>17.989999999999998</v>
      </c>
      <c r="J484">
        <v>0</v>
      </c>
      <c r="K484" s="2">
        <f t="shared" si="14"/>
        <v>0</v>
      </c>
      <c r="L484" t="s">
        <v>61</v>
      </c>
      <c r="M484">
        <v>4</v>
      </c>
      <c r="N484">
        <v>0.77</v>
      </c>
      <c r="O484" t="str">
        <f t="shared" si="15"/>
        <v>0.6–0.8 hours</v>
      </c>
      <c r="P484" t="s">
        <v>25</v>
      </c>
    </row>
    <row r="485" spans="1:16" x14ac:dyDescent="0.4">
      <c r="A485" t="s">
        <v>526</v>
      </c>
      <c r="B485">
        <v>56</v>
      </c>
      <c r="C485" t="s">
        <v>27</v>
      </c>
      <c r="D485" t="s">
        <v>16</v>
      </c>
      <c r="E485">
        <v>0.97</v>
      </c>
      <c r="F485">
        <v>33</v>
      </c>
      <c r="G485" t="s">
        <v>28</v>
      </c>
      <c r="H485" t="s">
        <v>24</v>
      </c>
      <c r="I485" s="2">
        <v>8.99</v>
      </c>
      <c r="J485">
        <v>1</v>
      </c>
      <c r="K485" s="2">
        <f t="shared" si="14"/>
        <v>8.99</v>
      </c>
      <c r="L485" t="s">
        <v>37</v>
      </c>
      <c r="M485">
        <v>4</v>
      </c>
      <c r="N485">
        <v>0.03</v>
      </c>
      <c r="O485" t="str">
        <f t="shared" si="15"/>
        <v>0–0.2 hours</v>
      </c>
      <c r="P485" t="s">
        <v>34</v>
      </c>
    </row>
    <row r="486" spans="1:16" x14ac:dyDescent="0.4">
      <c r="A486" t="s">
        <v>527</v>
      </c>
      <c r="B486">
        <v>61</v>
      </c>
      <c r="C486" t="s">
        <v>15</v>
      </c>
      <c r="D486" t="s">
        <v>32</v>
      </c>
      <c r="E486">
        <v>0.25</v>
      </c>
      <c r="F486">
        <v>1</v>
      </c>
      <c r="G486" t="s">
        <v>70</v>
      </c>
      <c r="H486" t="s">
        <v>55</v>
      </c>
      <c r="I486" s="2">
        <v>17.989999999999998</v>
      </c>
      <c r="J486">
        <v>0</v>
      </c>
      <c r="K486" s="2">
        <f t="shared" si="14"/>
        <v>0</v>
      </c>
      <c r="L486" t="s">
        <v>43</v>
      </c>
      <c r="M486">
        <v>2</v>
      </c>
      <c r="N486">
        <v>0.12</v>
      </c>
      <c r="O486" t="str">
        <f t="shared" si="15"/>
        <v>0–0.2 hours</v>
      </c>
      <c r="P486" t="s">
        <v>25</v>
      </c>
    </row>
    <row r="487" spans="1:16" x14ac:dyDescent="0.4">
      <c r="A487" t="s">
        <v>528</v>
      </c>
      <c r="B487">
        <v>22</v>
      </c>
      <c r="C487" t="s">
        <v>15</v>
      </c>
      <c r="D487" t="s">
        <v>16</v>
      </c>
      <c r="E487">
        <v>13.16</v>
      </c>
      <c r="F487">
        <v>6</v>
      </c>
      <c r="G487" t="s">
        <v>23</v>
      </c>
      <c r="H487" t="s">
        <v>57</v>
      </c>
      <c r="I487" s="2">
        <v>8.99</v>
      </c>
      <c r="J487">
        <v>0</v>
      </c>
      <c r="K487" s="2">
        <f t="shared" si="14"/>
        <v>0</v>
      </c>
      <c r="L487" t="s">
        <v>37</v>
      </c>
      <c r="M487">
        <v>4</v>
      </c>
      <c r="N487">
        <v>1.88</v>
      </c>
      <c r="O487" t="str">
        <f t="shared" si="15"/>
        <v>1+ hours</v>
      </c>
      <c r="P487" t="s">
        <v>47</v>
      </c>
    </row>
    <row r="488" spans="1:16" x14ac:dyDescent="0.4">
      <c r="A488" t="s">
        <v>529</v>
      </c>
      <c r="B488">
        <v>49</v>
      </c>
      <c r="C488" t="s">
        <v>27</v>
      </c>
      <c r="D488" t="s">
        <v>16</v>
      </c>
      <c r="E488">
        <v>4.49</v>
      </c>
      <c r="F488">
        <v>57</v>
      </c>
      <c r="G488" t="s">
        <v>49</v>
      </c>
      <c r="H488" t="s">
        <v>57</v>
      </c>
      <c r="I488" s="2">
        <v>8.99</v>
      </c>
      <c r="J488">
        <v>1</v>
      </c>
      <c r="K488" s="2">
        <f t="shared" si="14"/>
        <v>8.99</v>
      </c>
      <c r="L488" t="s">
        <v>29</v>
      </c>
      <c r="M488">
        <v>5</v>
      </c>
      <c r="N488">
        <v>0.08</v>
      </c>
      <c r="O488" t="str">
        <f t="shared" si="15"/>
        <v>0–0.2 hours</v>
      </c>
      <c r="P488" t="s">
        <v>52</v>
      </c>
    </row>
    <row r="489" spans="1:16" x14ac:dyDescent="0.4">
      <c r="A489" t="s">
        <v>530</v>
      </c>
      <c r="B489">
        <v>21</v>
      </c>
      <c r="C489" t="s">
        <v>15</v>
      </c>
      <c r="D489" t="s">
        <v>32</v>
      </c>
      <c r="E489">
        <v>6.28</v>
      </c>
      <c r="F489">
        <v>3</v>
      </c>
      <c r="G489" t="s">
        <v>49</v>
      </c>
      <c r="H489" t="s">
        <v>46</v>
      </c>
      <c r="I489" s="2">
        <v>17.989999999999998</v>
      </c>
      <c r="J489">
        <v>0</v>
      </c>
      <c r="K489" s="2">
        <f t="shared" si="14"/>
        <v>0</v>
      </c>
      <c r="L489" t="s">
        <v>29</v>
      </c>
      <c r="M489">
        <v>4</v>
      </c>
      <c r="N489">
        <v>1.57</v>
      </c>
      <c r="O489" t="str">
        <f t="shared" si="15"/>
        <v>1+ hours</v>
      </c>
      <c r="P489" t="s">
        <v>52</v>
      </c>
    </row>
    <row r="490" spans="1:16" x14ac:dyDescent="0.4">
      <c r="A490" t="s">
        <v>531</v>
      </c>
      <c r="B490">
        <v>58</v>
      </c>
      <c r="C490" t="s">
        <v>27</v>
      </c>
      <c r="D490" t="s">
        <v>16</v>
      </c>
      <c r="E490">
        <v>16.809999999999999</v>
      </c>
      <c r="F490">
        <v>1</v>
      </c>
      <c r="G490" t="s">
        <v>23</v>
      </c>
      <c r="H490" t="s">
        <v>18</v>
      </c>
      <c r="I490" s="2">
        <v>8.99</v>
      </c>
      <c r="J490">
        <v>0</v>
      </c>
      <c r="K490" s="2">
        <f t="shared" si="14"/>
        <v>0</v>
      </c>
      <c r="L490" t="s">
        <v>19</v>
      </c>
      <c r="M490">
        <v>2</v>
      </c>
      <c r="N490">
        <v>8.4</v>
      </c>
      <c r="O490" t="str">
        <f t="shared" si="15"/>
        <v>1+ hours</v>
      </c>
      <c r="P490" t="s">
        <v>34</v>
      </c>
    </row>
    <row r="491" spans="1:16" x14ac:dyDescent="0.4">
      <c r="A491" t="s">
        <v>532</v>
      </c>
      <c r="B491">
        <v>59</v>
      </c>
      <c r="C491" t="s">
        <v>15</v>
      </c>
      <c r="D491" t="s">
        <v>32</v>
      </c>
      <c r="E491">
        <v>28.38</v>
      </c>
      <c r="F491">
        <v>52</v>
      </c>
      <c r="G491" t="s">
        <v>17</v>
      </c>
      <c r="H491" t="s">
        <v>57</v>
      </c>
      <c r="I491" s="2">
        <v>17.989999999999998</v>
      </c>
      <c r="J491">
        <v>0</v>
      </c>
      <c r="K491" s="2">
        <f t="shared" si="14"/>
        <v>0</v>
      </c>
      <c r="L491" t="s">
        <v>43</v>
      </c>
      <c r="M491">
        <v>4</v>
      </c>
      <c r="N491">
        <v>0.54</v>
      </c>
      <c r="O491" t="str">
        <f t="shared" si="15"/>
        <v>0.4–0.6 hours</v>
      </c>
      <c r="P491" t="s">
        <v>30</v>
      </c>
    </row>
    <row r="492" spans="1:16" x14ac:dyDescent="0.4">
      <c r="A492" t="s">
        <v>533</v>
      </c>
      <c r="B492">
        <v>32</v>
      </c>
      <c r="C492" t="s">
        <v>41</v>
      </c>
      <c r="D492" t="s">
        <v>16</v>
      </c>
      <c r="E492">
        <v>3.87</v>
      </c>
      <c r="F492">
        <v>32</v>
      </c>
      <c r="G492" t="s">
        <v>49</v>
      </c>
      <c r="H492" t="s">
        <v>18</v>
      </c>
      <c r="I492" s="2">
        <v>8.99</v>
      </c>
      <c r="J492">
        <v>1</v>
      </c>
      <c r="K492" s="2">
        <f t="shared" si="14"/>
        <v>8.99</v>
      </c>
      <c r="L492" t="s">
        <v>61</v>
      </c>
      <c r="M492">
        <v>2</v>
      </c>
      <c r="N492">
        <v>0.12</v>
      </c>
      <c r="O492" t="str">
        <f t="shared" si="15"/>
        <v>0–0.2 hours</v>
      </c>
      <c r="P492" t="s">
        <v>30</v>
      </c>
    </row>
    <row r="493" spans="1:16" x14ac:dyDescent="0.4">
      <c r="A493" t="s">
        <v>534</v>
      </c>
      <c r="B493">
        <v>56</v>
      </c>
      <c r="C493" t="s">
        <v>15</v>
      </c>
      <c r="D493" t="s">
        <v>32</v>
      </c>
      <c r="E493">
        <v>1.28</v>
      </c>
      <c r="F493">
        <v>22</v>
      </c>
      <c r="G493" t="s">
        <v>17</v>
      </c>
      <c r="H493" t="s">
        <v>55</v>
      </c>
      <c r="I493" s="2">
        <v>17.989999999999998</v>
      </c>
      <c r="J493">
        <v>0</v>
      </c>
      <c r="K493" s="2">
        <f t="shared" si="14"/>
        <v>0</v>
      </c>
      <c r="L493" t="s">
        <v>43</v>
      </c>
      <c r="M493">
        <v>5</v>
      </c>
      <c r="N493">
        <v>0.06</v>
      </c>
      <c r="O493" t="str">
        <f t="shared" si="15"/>
        <v>0–0.2 hours</v>
      </c>
      <c r="P493" t="s">
        <v>20</v>
      </c>
    </row>
    <row r="494" spans="1:16" x14ac:dyDescent="0.4">
      <c r="A494" t="s">
        <v>535</v>
      </c>
      <c r="B494">
        <v>45</v>
      </c>
      <c r="C494" t="s">
        <v>41</v>
      </c>
      <c r="D494" t="s">
        <v>32</v>
      </c>
      <c r="E494">
        <v>3.31</v>
      </c>
      <c r="F494">
        <v>34</v>
      </c>
      <c r="G494" t="s">
        <v>33</v>
      </c>
      <c r="H494" t="s">
        <v>57</v>
      </c>
      <c r="I494" s="2">
        <v>17.989999999999998</v>
      </c>
      <c r="J494">
        <v>1</v>
      </c>
      <c r="K494" s="2">
        <f t="shared" si="14"/>
        <v>17.989999999999998</v>
      </c>
      <c r="L494" t="s">
        <v>19</v>
      </c>
      <c r="M494">
        <v>2</v>
      </c>
      <c r="N494">
        <v>0.09</v>
      </c>
      <c r="O494" t="str">
        <f t="shared" si="15"/>
        <v>0–0.2 hours</v>
      </c>
      <c r="P494" t="s">
        <v>30</v>
      </c>
    </row>
    <row r="495" spans="1:16" x14ac:dyDescent="0.4">
      <c r="A495" t="s">
        <v>536</v>
      </c>
      <c r="B495">
        <v>66</v>
      </c>
      <c r="C495" t="s">
        <v>41</v>
      </c>
      <c r="D495" t="s">
        <v>32</v>
      </c>
      <c r="E495">
        <v>22.68</v>
      </c>
      <c r="F495">
        <v>50</v>
      </c>
      <c r="G495" t="s">
        <v>23</v>
      </c>
      <c r="H495" t="s">
        <v>46</v>
      </c>
      <c r="I495" s="2">
        <v>17.989999999999998</v>
      </c>
      <c r="J495">
        <v>0</v>
      </c>
      <c r="K495" s="2">
        <f t="shared" si="14"/>
        <v>0</v>
      </c>
      <c r="L495" t="s">
        <v>43</v>
      </c>
      <c r="M495">
        <v>4</v>
      </c>
      <c r="N495">
        <v>0.44</v>
      </c>
      <c r="O495" t="str">
        <f t="shared" si="15"/>
        <v>0.4–0.6 hours</v>
      </c>
      <c r="P495" t="s">
        <v>52</v>
      </c>
    </row>
    <row r="496" spans="1:16" x14ac:dyDescent="0.4">
      <c r="A496" t="s">
        <v>537</v>
      </c>
      <c r="B496">
        <v>33</v>
      </c>
      <c r="C496" t="s">
        <v>27</v>
      </c>
      <c r="D496" t="s">
        <v>32</v>
      </c>
      <c r="E496">
        <v>11.02</v>
      </c>
      <c r="F496">
        <v>22</v>
      </c>
      <c r="G496" t="s">
        <v>17</v>
      </c>
      <c r="H496" t="s">
        <v>18</v>
      </c>
      <c r="I496" s="2">
        <v>17.989999999999998</v>
      </c>
      <c r="J496">
        <v>0</v>
      </c>
      <c r="K496" s="2">
        <f t="shared" si="14"/>
        <v>0</v>
      </c>
      <c r="L496" t="s">
        <v>19</v>
      </c>
      <c r="M496">
        <v>4</v>
      </c>
      <c r="N496">
        <v>0.48</v>
      </c>
      <c r="O496" t="str">
        <f t="shared" si="15"/>
        <v>0.4–0.6 hours</v>
      </c>
      <c r="P496" t="s">
        <v>30</v>
      </c>
    </row>
    <row r="497" spans="1:16" x14ac:dyDescent="0.4">
      <c r="A497" t="s">
        <v>538</v>
      </c>
      <c r="B497">
        <v>36</v>
      </c>
      <c r="C497" t="s">
        <v>15</v>
      </c>
      <c r="D497" t="s">
        <v>32</v>
      </c>
      <c r="E497">
        <v>23.5</v>
      </c>
      <c r="F497">
        <v>1</v>
      </c>
      <c r="G497" t="s">
        <v>33</v>
      </c>
      <c r="H497" t="s">
        <v>46</v>
      </c>
      <c r="I497" s="2">
        <v>17.989999999999998</v>
      </c>
      <c r="J497">
        <v>0</v>
      </c>
      <c r="K497" s="2">
        <f t="shared" si="14"/>
        <v>0</v>
      </c>
      <c r="L497" t="s">
        <v>43</v>
      </c>
      <c r="M497">
        <v>1</v>
      </c>
      <c r="N497">
        <v>11.75</v>
      </c>
      <c r="O497" t="str">
        <f t="shared" si="15"/>
        <v>1+ hours</v>
      </c>
      <c r="P497" t="s">
        <v>20</v>
      </c>
    </row>
    <row r="498" spans="1:16" x14ac:dyDescent="0.4">
      <c r="A498" t="s">
        <v>539</v>
      </c>
      <c r="B498">
        <v>54</v>
      </c>
      <c r="C498" t="s">
        <v>41</v>
      </c>
      <c r="D498" t="s">
        <v>16</v>
      </c>
      <c r="E498">
        <v>5.47</v>
      </c>
      <c r="F498">
        <v>36</v>
      </c>
      <c r="G498" t="s">
        <v>49</v>
      </c>
      <c r="H498" t="s">
        <v>24</v>
      </c>
      <c r="I498" s="2">
        <v>8.99</v>
      </c>
      <c r="J498">
        <v>1</v>
      </c>
      <c r="K498" s="2">
        <f t="shared" si="14"/>
        <v>8.99</v>
      </c>
      <c r="L498" t="s">
        <v>61</v>
      </c>
      <c r="M498">
        <v>1</v>
      </c>
      <c r="N498">
        <v>0.15</v>
      </c>
      <c r="O498" t="str">
        <f t="shared" si="15"/>
        <v>0–0.2 hours</v>
      </c>
      <c r="P498" t="s">
        <v>47</v>
      </c>
    </row>
    <row r="499" spans="1:16" x14ac:dyDescent="0.4">
      <c r="A499" t="s">
        <v>540</v>
      </c>
      <c r="B499">
        <v>61</v>
      </c>
      <c r="C499" t="s">
        <v>41</v>
      </c>
      <c r="D499" t="s">
        <v>22</v>
      </c>
      <c r="E499">
        <v>21.36</v>
      </c>
      <c r="F499">
        <v>39</v>
      </c>
      <c r="G499" t="s">
        <v>28</v>
      </c>
      <c r="H499" t="s">
        <v>57</v>
      </c>
      <c r="I499" s="2">
        <v>13.99</v>
      </c>
      <c r="J499">
        <v>0</v>
      </c>
      <c r="K499" s="2">
        <f t="shared" si="14"/>
        <v>0</v>
      </c>
      <c r="L499" t="s">
        <v>37</v>
      </c>
      <c r="M499">
        <v>3</v>
      </c>
      <c r="N499">
        <v>0.53</v>
      </c>
      <c r="O499" t="str">
        <f t="shared" si="15"/>
        <v>0.4–0.6 hours</v>
      </c>
      <c r="P499" t="s">
        <v>47</v>
      </c>
    </row>
    <row r="500" spans="1:16" x14ac:dyDescent="0.4">
      <c r="A500" t="s">
        <v>541</v>
      </c>
      <c r="B500">
        <v>53</v>
      </c>
      <c r="C500" t="s">
        <v>41</v>
      </c>
      <c r="D500" t="s">
        <v>22</v>
      </c>
      <c r="E500">
        <v>16.62</v>
      </c>
      <c r="F500">
        <v>44</v>
      </c>
      <c r="G500" t="s">
        <v>17</v>
      </c>
      <c r="H500" t="s">
        <v>18</v>
      </c>
      <c r="I500" s="2">
        <v>13.99</v>
      </c>
      <c r="J500">
        <v>0</v>
      </c>
      <c r="K500" s="2">
        <f t="shared" si="14"/>
        <v>0</v>
      </c>
      <c r="L500" t="s">
        <v>43</v>
      </c>
      <c r="M500">
        <v>5</v>
      </c>
      <c r="N500">
        <v>0.37</v>
      </c>
      <c r="O500" t="str">
        <f t="shared" si="15"/>
        <v>0.2–0.4 hours</v>
      </c>
      <c r="P500" t="s">
        <v>30</v>
      </c>
    </row>
    <row r="501" spans="1:16" x14ac:dyDescent="0.4">
      <c r="A501" t="s">
        <v>542</v>
      </c>
      <c r="B501">
        <v>55</v>
      </c>
      <c r="C501" t="s">
        <v>27</v>
      </c>
      <c r="D501" t="s">
        <v>22</v>
      </c>
      <c r="E501">
        <v>8.26</v>
      </c>
      <c r="F501">
        <v>32</v>
      </c>
      <c r="G501" t="s">
        <v>17</v>
      </c>
      <c r="H501" t="s">
        <v>46</v>
      </c>
      <c r="I501" s="2">
        <v>13.99</v>
      </c>
      <c r="J501">
        <v>0</v>
      </c>
      <c r="K501" s="2">
        <f t="shared" si="14"/>
        <v>0</v>
      </c>
      <c r="L501" t="s">
        <v>43</v>
      </c>
      <c r="M501">
        <v>4</v>
      </c>
      <c r="N501">
        <v>0.25</v>
      </c>
      <c r="O501" t="str">
        <f t="shared" si="15"/>
        <v>0.2–0.4 hours</v>
      </c>
      <c r="P501" t="s">
        <v>30</v>
      </c>
    </row>
    <row r="502" spans="1:16" x14ac:dyDescent="0.4">
      <c r="A502" t="s">
        <v>543</v>
      </c>
      <c r="B502">
        <v>42</v>
      </c>
      <c r="C502" t="s">
        <v>27</v>
      </c>
      <c r="D502" t="s">
        <v>16</v>
      </c>
      <c r="E502">
        <v>8.5</v>
      </c>
      <c r="F502">
        <v>32</v>
      </c>
      <c r="G502" t="s">
        <v>28</v>
      </c>
      <c r="H502" t="s">
        <v>55</v>
      </c>
      <c r="I502" s="2">
        <v>8.99</v>
      </c>
      <c r="J502">
        <v>1</v>
      </c>
      <c r="K502" s="2">
        <f t="shared" si="14"/>
        <v>8.99</v>
      </c>
      <c r="L502" t="s">
        <v>43</v>
      </c>
      <c r="M502">
        <v>2</v>
      </c>
      <c r="N502">
        <v>0.26</v>
      </c>
      <c r="O502" t="str">
        <f t="shared" si="15"/>
        <v>0.2–0.4 hours</v>
      </c>
      <c r="P502" t="s">
        <v>47</v>
      </c>
    </row>
    <row r="503" spans="1:16" x14ac:dyDescent="0.4">
      <c r="A503" t="s">
        <v>544</v>
      </c>
      <c r="B503">
        <v>22</v>
      </c>
      <c r="C503" t="s">
        <v>41</v>
      </c>
      <c r="D503" t="s">
        <v>32</v>
      </c>
      <c r="E503">
        <v>8.84</v>
      </c>
      <c r="F503">
        <v>52</v>
      </c>
      <c r="G503" t="s">
        <v>23</v>
      </c>
      <c r="H503" t="s">
        <v>55</v>
      </c>
      <c r="I503" s="2">
        <v>17.989999999999998</v>
      </c>
      <c r="J503">
        <v>1</v>
      </c>
      <c r="K503" s="2">
        <f t="shared" si="14"/>
        <v>17.989999999999998</v>
      </c>
      <c r="L503" t="s">
        <v>61</v>
      </c>
      <c r="M503">
        <v>2</v>
      </c>
      <c r="N503">
        <v>0.17</v>
      </c>
      <c r="O503" t="str">
        <f t="shared" si="15"/>
        <v>0–0.2 hours</v>
      </c>
      <c r="P503" t="s">
        <v>47</v>
      </c>
    </row>
    <row r="504" spans="1:16" x14ac:dyDescent="0.4">
      <c r="A504" t="s">
        <v>545</v>
      </c>
      <c r="B504">
        <v>19</v>
      </c>
      <c r="C504" t="s">
        <v>27</v>
      </c>
      <c r="D504" t="s">
        <v>32</v>
      </c>
      <c r="E504">
        <v>6.49</v>
      </c>
      <c r="F504">
        <v>34</v>
      </c>
      <c r="G504" t="s">
        <v>70</v>
      </c>
      <c r="H504" t="s">
        <v>57</v>
      </c>
      <c r="I504" s="2">
        <v>17.989999999999998</v>
      </c>
      <c r="J504">
        <v>1</v>
      </c>
      <c r="K504" s="2">
        <f t="shared" si="14"/>
        <v>17.989999999999998</v>
      </c>
      <c r="L504" t="s">
        <v>19</v>
      </c>
      <c r="M504">
        <v>1</v>
      </c>
      <c r="N504">
        <v>0.19</v>
      </c>
      <c r="O504" t="str">
        <f t="shared" si="15"/>
        <v>0–0.2 hours</v>
      </c>
      <c r="P504" t="s">
        <v>39</v>
      </c>
    </row>
    <row r="505" spans="1:16" x14ac:dyDescent="0.4">
      <c r="A505" t="s">
        <v>546</v>
      </c>
      <c r="B505">
        <v>20</v>
      </c>
      <c r="C505" t="s">
        <v>41</v>
      </c>
      <c r="D505" t="s">
        <v>22</v>
      </c>
      <c r="E505">
        <v>8.4700000000000006</v>
      </c>
      <c r="F505">
        <v>53</v>
      </c>
      <c r="G505" t="s">
        <v>70</v>
      </c>
      <c r="H505" t="s">
        <v>18</v>
      </c>
      <c r="I505" s="2">
        <v>13.99</v>
      </c>
      <c r="J505">
        <v>1</v>
      </c>
      <c r="K505" s="2">
        <f t="shared" si="14"/>
        <v>13.99</v>
      </c>
      <c r="L505" t="s">
        <v>19</v>
      </c>
      <c r="M505">
        <v>2</v>
      </c>
      <c r="N505">
        <v>0.16</v>
      </c>
      <c r="O505" t="str">
        <f t="shared" si="15"/>
        <v>0–0.2 hours</v>
      </c>
      <c r="P505" t="s">
        <v>34</v>
      </c>
    </row>
    <row r="506" spans="1:16" x14ac:dyDescent="0.4">
      <c r="A506" t="s">
        <v>547</v>
      </c>
      <c r="B506">
        <v>36</v>
      </c>
      <c r="C506" t="s">
        <v>15</v>
      </c>
      <c r="D506" t="s">
        <v>22</v>
      </c>
      <c r="E506">
        <v>31.46</v>
      </c>
      <c r="F506">
        <v>47</v>
      </c>
      <c r="G506" t="s">
        <v>33</v>
      </c>
      <c r="H506" t="s">
        <v>55</v>
      </c>
      <c r="I506" s="2">
        <v>13.99</v>
      </c>
      <c r="J506">
        <v>0</v>
      </c>
      <c r="K506" s="2">
        <f t="shared" si="14"/>
        <v>0</v>
      </c>
      <c r="L506" t="s">
        <v>43</v>
      </c>
      <c r="M506">
        <v>3</v>
      </c>
      <c r="N506">
        <v>0.66</v>
      </c>
      <c r="O506" t="str">
        <f t="shared" si="15"/>
        <v>0.6–0.8 hours</v>
      </c>
      <c r="P506" t="s">
        <v>47</v>
      </c>
    </row>
    <row r="507" spans="1:16" x14ac:dyDescent="0.4">
      <c r="A507" t="s">
        <v>548</v>
      </c>
      <c r="B507">
        <v>40</v>
      </c>
      <c r="C507" t="s">
        <v>41</v>
      </c>
      <c r="D507" t="s">
        <v>22</v>
      </c>
      <c r="E507">
        <v>13.4</v>
      </c>
      <c r="F507">
        <v>49</v>
      </c>
      <c r="G507" t="s">
        <v>17</v>
      </c>
      <c r="H507" t="s">
        <v>24</v>
      </c>
      <c r="I507" s="2">
        <v>13.99</v>
      </c>
      <c r="J507">
        <v>1</v>
      </c>
      <c r="K507" s="2">
        <f t="shared" si="14"/>
        <v>13.99</v>
      </c>
      <c r="L507" t="s">
        <v>29</v>
      </c>
      <c r="M507">
        <v>1</v>
      </c>
      <c r="N507">
        <v>0.27</v>
      </c>
      <c r="O507" t="str">
        <f t="shared" si="15"/>
        <v>0.2–0.4 hours</v>
      </c>
      <c r="P507" t="s">
        <v>52</v>
      </c>
    </row>
    <row r="508" spans="1:16" x14ac:dyDescent="0.4">
      <c r="A508" t="s">
        <v>549</v>
      </c>
      <c r="B508">
        <v>37</v>
      </c>
      <c r="C508" t="s">
        <v>27</v>
      </c>
      <c r="D508" t="s">
        <v>16</v>
      </c>
      <c r="E508">
        <v>7.36</v>
      </c>
      <c r="F508">
        <v>38</v>
      </c>
      <c r="G508" t="s">
        <v>33</v>
      </c>
      <c r="H508" t="s">
        <v>46</v>
      </c>
      <c r="I508" s="2">
        <v>8.99</v>
      </c>
      <c r="J508">
        <v>1</v>
      </c>
      <c r="K508" s="2">
        <f t="shared" si="14"/>
        <v>8.99</v>
      </c>
      <c r="L508" t="s">
        <v>37</v>
      </c>
      <c r="M508">
        <v>2</v>
      </c>
      <c r="N508">
        <v>0.19</v>
      </c>
      <c r="O508" t="str">
        <f t="shared" si="15"/>
        <v>0–0.2 hours</v>
      </c>
      <c r="P508" t="s">
        <v>39</v>
      </c>
    </row>
    <row r="509" spans="1:16" x14ac:dyDescent="0.4">
      <c r="A509" t="s">
        <v>550</v>
      </c>
      <c r="B509">
        <v>21</v>
      </c>
      <c r="C509" t="s">
        <v>41</v>
      </c>
      <c r="D509" t="s">
        <v>16</v>
      </c>
      <c r="E509">
        <v>5.0999999999999996</v>
      </c>
      <c r="F509">
        <v>53</v>
      </c>
      <c r="G509" t="s">
        <v>23</v>
      </c>
      <c r="H509" t="s">
        <v>57</v>
      </c>
      <c r="I509" s="2">
        <v>8.99</v>
      </c>
      <c r="J509">
        <v>1</v>
      </c>
      <c r="K509" s="2">
        <f t="shared" si="14"/>
        <v>8.99</v>
      </c>
      <c r="L509" t="s">
        <v>43</v>
      </c>
      <c r="M509">
        <v>3</v>
      </c>
      <c r="N509">
        <v>0.09</v>
      </c>
      <c r="O509" t="str">
        <f t="shared" si="15"/>
        <v>0–0.2 hours</v>
      </c>
      <c r="P509" t="s">
        <v>52</v>
      </c>
    </row>
    <row r="510" spans="1:16" x14ac:dyDescent="0.4">
      <c r="A510" t="s">
        <v>551</v>
      </c>
      <c r="B510">
        <v>20</v>
      </c>
      <c r="C510" t="s">
        <v>27</v>
      </c>
      <c r="D510" t="s">
        <v>32</v>
      </c>
      <c r="E510">
        <v>4.3899999999999997</v>
      </c>
      <c r="F510">
        <v>33</v>
      </c>
      <c r="G510" t="s">
        <v>33</v>
      </c>
      <c r="H510" t="s">
        <v>24</v>
      </c>
      <c r="I510" s="2">
        <v>17.989999999999998</v>
      </c>
      <c r="J510">
        <v>1</v>
      </c>
      <c r="K510" s="2">
        <f t="shared" si="14"/>
        <v>17.989999999999998</v>
      </c>
      <c r="L510" t="s">
        <v>19</v>
      </c>
      <c r="M510">
        <v>1</v>
      </c>
      <c r="N510">
        <v>0.13</v>
      </c>
      <c r="O510" t="str">
        <f t="shared" si="15"/>
        <v>0–0.2 hours</v>
      </c>
      <c r="P510" t="s">
        <v>34</v>
      </c>
    </row>
    <row r="511" spans="1:16" x14ac:dyDescent="0.4">
      <c r="A511" t="s">
        <v>552</v>
      </c>
      <c r="B511">
        <v>35</v>
      </c>
      <c r="C511" t="s">
        <v>27</v>
      </c>
      <c r="D511" t="s">
        <v>22</v>
      </c>
      <c r="E511">
        <v>8.39</v>
      </c>
      <c r="F511">
        <v>0</v>
      </c>
      <c r="G511" t="s">
        <v>17</v>
      </c>
      <c r="H511" t="s">
        <v>18</v>
      </c>
      <c r="I511" s="2">
        <v>13.99</v>
      </c>
      <c r="J511">
        <v>0</v>
      </c>
      <c r="K511" s="2">
        <f t="shared" si="14"/>
        <v>0</v>
      </c>
      <c r="L511" t="s">
        <v>61</v>
      </c>
      <c r="M511">
        <v>2</v>
      </c>
      <c r="N511">
        <v>8.39</v>
      </c>
      <c r="O511" t="str">
        <f t="shared" si="15"/>
        <v>1+ hours</v>
      </c>
      <c r="P511" t="s">
        <v>47</v>
      </c>
    </row>
    <row r="512" spans="1:16" x14ac:dyDescent="0.4">
      <c r="A512" t="s">
        <v>553</v>
      </c>
      <c r="B512">
        <v>31</v>
      </c>
      <c r="C512" t="s">
        <v>15</v>
      </c>
      <c r="D512" t="s">
        <v>16</v>
      </c>
      <c r="E512">
        <v>5.12</v>
      </c>
      <c r="F512">
        <v>12</v>
      </c>
      <c r="G512" t="s">
        <v>70</v>
      </c>
      <c r="H512" t="s">
        <v>18</v>
      </c>
      <c r="I512" s="2">
        <v>8.99</v>
      </c>
      <c r="J512">
        <v>0</v>
      </c>
      <c r="K512" s="2">
        <f t="shared" si="14"/>
        <v>0</v>
      </c>
      <c r="L512" t="s">
        <v>37</v>
      </c>
      <c r="M512">
        <v>5</v>
      </c>
      <c r="N512">
        <v>0.39</v>
      </c>
      <c r="O512" t="str">
        <f t="shared" si="15"/>
        <v>0.2–0.4 hours</v>
      </c>
      <c r="P512" t="s">
        <v>20</v>
      </c>
    </row>
    <row r="513" spans="1:16" x14ac:dyDescent="0.4">
      <c r="A513" t="s">
        <v>554</v>
      </c>
      <c r="B513">
        <v>63</v>
      </c>
      <c r="C513" t="s">
        <v>27</v>
      </c>
      <c r="D513" t="s">
        <v>22</v>
      </c>
      <c r="E513">
        <v>1.33</v>
      </c>
      <c r="F513">
        <v>29</v>
      </c>
      <c r="G513" t="s">
        <v>28</v>
      </c>
      <c r="H513" t="s">
        <v>46</v>
      </c>
      <c r="I513" s="2">
        <v>13.99</v>
      </c>
      <c r="J513">
        <v>1</v>
      </c>
      <c r="K513" s="2">
        <f t="shared" si="14"/>
        <v>13.99</v>
      </c>
      <c r="L513" t="s">
        <v>61</v>
      </c>
      <c r="M513">
        <v>3</v>
      </c>
      <c r="N513">
        <v>0.04</v>
      </c>
      <c r="O513" t="str">
        <f t="shared" si="15"/>
        <v>0–0.2 hours</v>
      </c>
      <c r="P513" t="s">
        <v>34</v>
      </c>
    </row>
    <row r="514" spans="1:16" x14ac:dyDescent="0.4">
      <c r="A514" t="s">
        <v>555</v>
      </c>
      <c r="B514">
        <v>21</v>
      </c>
      <c r="C514" t="s">
        <v>27</v>
      </c>
      <c r="D514" t="s">
        <v>22</v>
      </c>
      <c r="E514">
        <v>3.88</v>
      </c>
      <c r="F514">
        <v>0</v>
      </c>
      <c r="G514" t="s">
        <v>17</v>
      </c>
      <c r="H514" t="s">
        <v>24</v>
      </c>
      <c r="I514" s="2">
        <v>13.99</v>
      </c>
      <c r="J514">
        <v>0</v>
      </c>
      <c r="K514" s="2">
        <f t="shared" si="14"/>
        <v>0</v>
      </c>
      <c r="L514" t="s">
        <v>29</v>
      </c>
      <c r="M514">
        <v>1</v>
      </c>
      <c r="N514">
        <v>3.88</v>
      </c>
      <c r="O514" t="str">
        <f t="shared" si="15"/>
        <v>1+ hours</v>
      </c>
      <c r="P514" t="s">
        <v>20</v>
      </c>
    </row>
    <row r="515" spans="1:16" x14ac:dyDescent="0.4">
      <c r="A515" t="s">
        <v>556</v>
      </c>
      <c r="B515">
        <v>28</v>
      </c>
      <c r="C515" t="s">
        <v>41</v>
      </c>
      <c r="D515" t="s">
        <v>22</v>
      </c>
      <c r="E515">
        <v>19.03</v>
      </c>
      <c r="F515">
        <v>17</v>
      </c>
      <c r="G515" t="s">
        <v>23</v>
      </c>
      <c r="H515" t="s">
        <v>46</v>
      </c>
      <c r="I515" s="2">
        <v>13.99</v>
      </c>
      <c r="J515">
        <v>0</v>
      </c>
      <c r="K515" s="2">
        <f t="shared" ref="K515:K578" si="16">SUMIF(J515,1,I515)</f>
        <v>0</v>
      </c>
      <c r="L515" t="s">
        <v>19</v>
      </c>
      <c r="M515">
        <v>2</v>
      </c>
      <c r="N515">
        <v>1.06</v>
      </c>
      <c r="O515" t="str">
        <f t="shared" ref="O515:O578" si="17">IF(N515&gt;1,"1+ hours",IF(N515&lt;=0.2,"0–0.2 hours",IF(N515&lt;=0.4,"0.2–0.4 hours",IF(N515&lt;=0.6,"0.4–0.6 hours",IF(N515&lt;=0.8,"0.6–0.8 hours","0.8–1 hour")))))</f>
        <v>1+ hours</v>
      </c>
      <c r="P515" t="s">
        <v>30</v>
      </c>
    </row>
    <row r="516" spans="1:16" x14ac:dyDescent="0.4">
      <c r="A516" t="s">
        <v>557</v>
      </c>
      <c r="B516">
        <v>61</v>
      </c>
      <c r="C516" t="s">
        <v>15</v>
      </c>
      <c r="D516" t="s">
        <v>22</v>
      </c>
      <c r="E516">
        <v>4.08</v>
      </c>
      <c r="F516">
        <v>35</v>
      </c>
      <c r="G516" t="s">
        <v>33</v>
      </c>
      <c r="H516" t="s">
        <v>24</v>
      </c>
      <c r="I516" s="2">
        <v>13.99</v>
      </c>
      <c r="J516">
        <v>1</v>
      </c>
      <c r="K516" s="2">
        <f t="shared" si="16"/>
        <v>13.99</v>
      </c>
      <c r="L516" t="s">
        <v>19</v>
      </c>
      <c r="M516">
        <v>3</v>
      </c>
      <c r="N516">
        <v>0.11</v>
      </c>
      <c r="O516" t="str">
        <f t="shared" si="17"/>
        <v>0–0.2 hours</v>
      </c>
      <c r="P516" t="s">
        <v>25</v>
      </c>
    </row>
    <row r="517" spans="1:16" x14ac:dyDescent="0.4">
      <c r="A517" t="s">
        <v>558</v>
      </c>
      <c r="B517">
        <v>62</v>
      </c>
      <c r="C517" t="s">
        <v>15</v>
      </c>
      <c r="D517" t="s">
        <v>32</v>
      </c>
      <c r="E517">
        <v>4.3099999999999996</v>
      </c>
      <c r="F517">
        <v>47</v>
      </c>
      <c r="G517" t="s">
        <v>28</v>
      </c>
      <c r="H517" t="s">
        <v>24</v>
      </c>
      <c r="I517" s="2">
        <v>17.989999999999998</v>
      </c>
      <c r="J517">
        <v>1</v>
      </c>
      <c r="K517" s="2">
        <f t="shared" si="16"/>
        <v>17.989999999999998</v>
      </c>
      <c r="L517" t="s">
        <v>37</v>
      </c>
      <c r="M517">
        <v>5</v>
      </c>
      <c r="N517">
        <v>0.09</v>
      </c>
      <c r="O517" t="str">
        <f t="shared" si="17"/>
        <v>0–0.2 hours</v>
      </c>
      <c r="P517" t="s">
        <v>20</v>
      </c>
    </row>
    <row r="518" spans="1:16" x14ac:dyDescent="0.4">
      <c r="A518" t="s">
        <v>559</v>
      </c>
      <c r="B518">
        <v>38</v>
      </c>
      <c r="C518" t="s">
        <v>27</v>
      </c>
      <c r="D518" t="s">
        <v>32</v>
      </c>
      <c r="E518">
        <v>1.18</v>
      </c>
      <c r="F518">
        <v>4</v>
      </c>
      <c r="G518" t="s">
        <v>17</v>
      </c>
      <c r="H518" t="s">
        <v>24</v>
      </c>
      <c r="I518" s="2">
        <v>17.989999999999998</v>
      </c>
      <c r="J518">
        <v>0</v>
      </c>
      <c r="K518" s="2">
        <f t="shared" si="16"/>
        <v>0</v>
      </c>
      <c r="L518" t="s">
        <v>37</v>
      </c>
      <c r="M518">
        <v>3</v>
      </c>
      <c r="N518">
        <v>0.24</v>
      </c>
      <c r="O518" t="str">
        <f t="shared" si="17"/>
        <v>0.2–0.4 hours</v>
      </c>
      <c r="P518" t="s">
        <v>20</v>
      </c>
    </row>
    <row r="519" spans="1:16" x14ac:dyDescent="0.4">
      <c r="A519" t="s">
        <v>560</v>
      </c>
      <c r="B519">
        <v>33</v>
      </c>
      <c r="C519" t="s">
        <v>15</v>
      </c>
      <c r="D519" t="s">
        <v>32</v>
      </c>
      <c r="E519">
        <v>1.81</v>
      </c>
      <c r="F519">
        <v>20</v>
      </c>
      <c r="G519" t="s">
        <v>70</v>
      </c>
      <c r="H519" t="s">
        <v>57</v>
      </c>
      <c r="I519" s="2">
        <v>17.989999999999998</v>
      </c>
      <c r="J519">
        <v>1</v>
      </c>
      <c r="K519" s="2">
        <f t="shared" si="16"/>
        <v>17.989999999999998</v>
      </c>
      <c r="L519" t="s">
        <v>29</v>
      </c>
      <c r="M519">
        <v>2</v>
      </c>
      <c r="N519">
        <v>0.09</v>
      </c>
      <c r="O519" t="str">
        <f t="shared" si="17"/>
        <v>0–0.2 hours</v>
      </c>
      <c r="P519" t="s">
        <v>47</v>
      </c>
    </row>
    <row r="520" spans="1:16" x14ac:dyDescent="0.4">
      <c r="A520" t="s">
        <v>561</v>
      </c>
      <c r="B520">
        <v>49</v>
      </c>
      <c r="C520" t="s">
        <v>27</v>
      </c>
      <c r="D520" t="s">
        <v>22</v>
      </c>
      <c r="E520">
        <v>11.06</v>
      </c>
      <c r="F520">
        <v>50</v>
      </c>
      <c r="G520" t="s">
        <v>23</v>
      </c>
      <c r="H520" t="s">
        <v>57</v>
      </c>
      <c r="I520" s="2">
        <v>13.99</v>
      </c>
      <c r="J520">
        <v>1</v>
      </c>
      <c r="K520" s="2">
        <f t="shared" si="16"/>
        <v>13.99</v>
      </c>
      <c r="L520" t="s">
        <v>43</v>
      </c>
      <c r="M520">
        <v>3</v>
      </c>
      <c r="N520">
        <v>0.22</v>
      </c>
      <c r="O520" t="str">
        <f t="shared" si="17"/>
        <v>0.2–0.4 hours</v>
      </c>
      <c r="P520" t="s">
        <v>52</v>
      </c>
    </row>
    <row r="521" spans="1:16" x14ac:dyDescent="0.4">
      <c r="A521" t="s">
        <v>562</v>
      </c>
      <c r="B521">
        <v>26</v>
      </c>
      <c r="C521" t="s">
        <v>15</v>
      </c>
      <c r="D521" t="s">
        <v>16</v>
      </c>
      <c r="E521">
        <v>0.06</v>
      </c>
      <c r="F521">
        <v>2</v>
      </c>
      <c r="G521" t="s">
        <v>49</v>
      </c>
      <c r="H521" t="s">
        <v>18</v>
      </c>
      <c r="I521" s="2">
        <v>8.99</v>
      </c>
      <c r="J521">
        <v>1</v>
      </c>
      <c r="K521" s="2">
        <f t="shared" si="16"/>
        <v>8.99</v>
      </c>
      <c r="L521" t="s">
        <v>61</v>
      </c>
      <c r="M521">
        <v>4</v>
      </c>
      <c r="N521">
        <v>0.02</v>
      </c>
      <c r="O521" t="str">
        <f t="shared" si="17"/>
        <v>0–0.2 hours</v>
      </c>
      <c r="P521" t="s">
        <v>20</v>
      </c>
    </row>
    <row r="522" spans="1:16" x14ac:dyDescent="0.4">
      <c r="A522" t="s">
        <v>563</v>
      </c>
      <c r="B522">
        <v>70</v>
      </c>
      <c r="C522" t="s">
        <v>15</v>
      </c>
      <c r="D522" t="s">
        <v>32</v>
      </c>
      <c r="E522">
        <v>22.22</v>
      </c>
      <c r="F522">
        <v>5</v>
      </c>
      <c r="G522" t="s">
        <v>23</v>
      </c>
      <c r="H522" t="s">
        <v>18</v>
      </c>
      <c r="I522" s="2">
        <v>17.989999999999998</v>
      </c>
      <c r="J522">
        <v>0</v>
      </c>
      <c r="K522" s="2">
        <f t="shared" si="16"/>
        <v>0</v>
      </c>
      <c r="L522" t="s">
        <v>61</v>
      </c>
      <c r="M522">
        <v>2</v>
      </c>
      <c r="N522">
        <v>3.7</v>
      </c>
      <c r="O522" t="str">
        <f t="shared" si="17"/>
        <v>1+ hours</v>
      </c>
      <c r="P522" t="s">
        <v>39</v>
      </c>
    </row>
    <row r="523" spans="1:16" x14ac:dyDescent="0.4">
      <c r="A523" t="s">
        <v>564</v>
      </c>
      <c r="B523">
        <v>39</v>
      </c>
      <c r="C523" t="s">
        <v>41</v>
      </c>
      <c r="D523" t="s">
        <v>22</v>
      </c>
      <c r="E523">
        <v>8.99</v>
      </c>
      <c r="F523">
        <v>32</v>
      </c>
      <c r="G523" t="s">
        <v>28</v>
      </c>
      <c r="H523" t="s">
        <v>18</v>
      </c>
      <c r="I523" s="2">
        <v>13.99</v>
      </c>
      <c r="J523">
        <v>1</v>
      </c>
      <c r="K523" s="2">
        <f t="shared" si="16"/>
        <v>13.99</v>
      </c>
      <c r="L523" t="s">
        <v>19</v>
      </c>
      <c r="M523">
        <v>3</v>
      </c>
      <c r="N523">
        <v>0.27</v>
      </c>
      <c r="O523" t="str">
        <f t="shared" si="17"/>
        <v>0.2–0.4 hours</v>
      </c>
      <c r="P523" t="s">
        <v>52</v>
      </c>
    </row>
    <row r="524" spans="1:16" x14ac:dyDescent="0.4">
      <c r="A524" t="s">
        <v>565</v>
      </c>
      <c r="B524">
        <v>28</v>
      </c>
      <c r="C524" t="s">
        <v>41</v>
      </c>
      <c r="D524" t="s">
        <v>22</v>
      </c>
      <c r="E524">
        <v>20.309999999999999</v>
      </c>
      <c r="F524">
        <v>40</v>
      </c>
      <c r="G524" t="s">
        <v>33</v>
      </c>
      <c r="H524" t="s">
        <v>46</v>
      </c>
      <c r="I524" s="2">
        <v>13.99</v>
      </c>
      <c r="J524">
        <v>0</v>
      </c>
      <c r="K524" s="2">
        <f t="shared" si="16"/>
        <v>0</v>
      </c>
      <c r="L524" t="s">
        <v>19</v>
      </c>
      <c r="M524">
        <v>1</v>
      </c>
      <c r="N524">
        <v>0.5</v>
      </c>
      <c r="O524" t="str">
        <f t="shared" si="17"/>
        <v>0.4–0.6 hours</v>
      </c>
      <c r="P524" t="s">
        <v>20</v>
      </c>
    </row>
    <row r="525" spans="1:16" x14ac:dyDescent="0.4">
      <c r="A525" t="s">
        <v>566</v>
      </c>
      <c r="B525">
        <v>61</v>
      </c>
      <c r="C525" t="s">
        <v>15</v>
      </c>
      <c r="D525" t="s">
        <v>16</v>
      </c>
      <c r="E525">
        <v>0.65</v>
      </c>
      <c r="F525">
        <v>24</v>
      </c>
      <c r="G525" t="s">
        <v>33</v>
      </c>
      <c r="H525" t="s">
        <v>57</v>
      </c>
      <c r="I525" s="2">
        <v>8.99</v>
      </c>
      <c r="J525">
        <v>1</v>
      </c>
      <c r="K525" s="2">
        <f t="shared" si="16"/>
        <v>8.99</v>
      </c>
      <c r="L525" t="s">
        <v>37</v>
      </c>
      <c r="M525">
        <v>5</v>
      </c>
      <c r="N525">
        <v>0.03</v>
      </c>
      <c r="O525" t="str">
        <f t="shared" si="17"/>
        <v>0–0.2 hours</v>
      </c>
      <c r="P525" t="s">
        <v>34</v>
      </c>
    </row>
    <row r="526" spans="1:16" x14ac:dyDescent="0.4">
      <c r="A526" t="s">
        <v>567</v>
      </c>
      <c r="B526">
        <v>44</v>
      </c>
      <c r="C526" t="s">
        <v>27</v>
      </c>
      <c r="D526" t="s">
        <v>16</v>
      </c>
      <c r="E526">
        <v>55.55</v>
      </c>
      <c r="F526">
        <v>17</v>
      </c>
      <c r="G526" t="s">
        <v>17</v>
      </c>
      <c r="H526" t="s">
        <v>55</v>
      </c>
      <c r="I526" s="2">
        <v>8.99</v>
      </c>
      <c r="J526">
        <v>0</v>
      </c>
      <c r="K526" s="2">
        <f t="shared" si="16"/>
        <v>0</v>
      </c>
      <c r="L526" t="s">
        <v>37</v>
      </c>
      <c r="M526">
        <v>2</v>
      </c>
      <c r="N526">
        <v>3.09</v>
      </c>
      <c r="O526" t="str">
        <f t="shared" si="17"/>
        <v>1+ hours</v>
      </c>
      <c r="P526" t="s">
        <v>39</v>
      </c>
    </row>
    <row r="527" spans="1:16" x14ac:dyDescent="0.4">
      <c r="A527" t="s">
        <v>568</v>
      </c>
      <c r="B527">
        <v>30</v>
      </c>
      <c r="C527" t="s">
        <v>41</v>
      </c>
      <c r="D527" t="s">
        <v>32</v>
      </c>
      <c r="E527">
        <v>13.28</v>
      </c>
      <c r="F527">
        <v>44</v>
      </c>
      <c r="G527" t="s">
        <v>49</v>
      </c>
      <c r="H527" t="s">
        <v>24</v>
      </c>
      <c r="I527" s="2">
        <v>17.989999999999998</v>
      </c>
      <c r="J527">
        <v>0</v>
      </c>
      <c r="K527" s="2">
        <f t="shared" si="16"/>
        <v>0</v>
      </c>
      <c r="L527" t="s">
        <v>43</v>
      </c>
      <c r="M527">
        <v>4</v>
      </c>
      <c r="N527">
        <v>0.3</v>
      </c>
      <c r="O527" t="str">
        <f t="shared" si="17"/>
        <v>0.2–0.4 hours</v>
      </c>
      <c r="P527" t="s">
        <v>39</v>
      </c>
    </row>
    <row r="528" spans="1:16" x14ac:dyDescent="0.4">
      <c r="A528" t="s">
        <v>569</v>
      </c>
      <c r="B528">
        <v>61</v>
      </c>
      <c r="C528" t="s">
        <v>27</v>
      </c>
      <c r="D528" t="s">
        <v>32</v>
      </c>
      <c r="E528">
        <v>7.11</v>
      </c>
      <c r="F528">
        <v>33</v>
      </c>
      <c r="G528" t="s">
        <v>33</v>
      </c>
      <c r="H528" t="s">
        <v>18</v>
      </c>
      <c r="I528" s="2">
        <v>17.989999999999998</v>
      </c>
      <c r="J528">
        <v>1</v>
      </c>
      <c r="K528" s="2">
        <f t="shared" si="16"/>
        <v>17.989999999999998</v>
      </c>
      <c r="L528" t="s">
        <v>43</v>
      </c>
      <c r="M528">
        <v>3</v>
      </c>
      <c r="N528">
        <v>0.21</v>
      </c>
      <c r="O528" t="str">
        <f t="shared" si="17"/>
        <v>0.2–0.4 hours</v>
      </c>
      <c r="P528" t="s">
        <v>34</v>
      </c>
    </row>
    <row r="529" spans="1:16" x14ac:dyDescent="0.4">
      <c r="A529" t="s">
        <v>570</v>
      </c>
      <c r="B529">
        <v>27</v>
      </c>
      <c r="C529" t="s">
        <v>41</v>
      </c>
      <c r="D529" t="s">
        <v>22</v>
      </c>
      <c r="E529">
        <v>20.21</v>
      </c>
      <c r="F529">
        <v>57</v>
      </c>
      <c r="G529" t="s">
        <v>33</v>
      </c>
      <c r="H529" t="s">
        <v>57</v>
      </c>
      <c r="I529" s="2">
        <v>13.99</v>
      </c>
      <c r="J529">
        <v>0</v>
      </c>
      <c r="K529" s="2">
        <f t="shared" si="16"/>
        <v>0</v>
      </c>
      <c r="L529" t="s">
        <v>29</v>
      </c>
      <c r="M529">
        <v>2</v>
      </c>
      <c r="N529">
        <v>0.35</v>
      </c>
      <c r="O529" t="str">
        <f t="shared" si="17"/>
        <v>0.2–0.4 hours</v>
      </c>
      <c r="P529" t="s">
        <v>34</v>
      </c>
    </row>
    <row r="530" spans="1:16" x14ac:dyDescent="0.4">
      <c r="A530" t="s">
        <v>571</v>
      </c>
      <c r="B530">
        <v>43</v>
      </c>
      <c r="C530" t="s">
        <v>41</v>
      </c>
      <c r="D530" t="s">
        <v>32</v>
      </c>
      <c r="E530">
        <v>4.6399999999999997</v>
      </c>
      <c r="F530">
        <v>7</v>
      </c>
      <c r="G530" t="s">
        <v>33</v>
      </c>
      <c r="H530" t="s">
        <v>57</v>
      </c>
      <c r="I530" s="2">
        <v>17.989999999999998</v>
      </c>
      <c r="J530">
        <v>0</v>
      </c>
      <c r="K530" s="2">
        <f t="shared" si="16"/>
        <v>0</v>
      </c>
      <c r="L530" t="s">
        <v>37</v>
      </c>
      <c r="M530">
        <v>5</v>
      </c>
      <c r="N530">
        <v>0.57999999999999996</v>
      </c>
      <c r="O530" t="str">
        <f t="shared" si="17"/>
        <v>0.4–0.6 hours</v>
      </c>
      <c r="P530" t="s">
        <v>52</v>
      </c>
    </row>
    <row r="531" spans="1:16" x14ac:dyDescent="0.4">
      <c r="A531" t="s">
        <v>572</v>
      </c>
      <c r="B531">
        <v>31</v>
      </c>
      <c r="C531" t="s">
        <v>27</v>
      </c>
      <c r="D531" t="s">
        <v>32</v>
      </c>
      <c r="E531">
        <v>2.08</v>
      </c>
      <c r="F531">
        <v>8</v>
      </c>
      <c r="G531" t="s">
        <v>49</v>
      </c>
      <c r="H531" t="s">
        <v>55</v>
      </c>
      <c r="I531" s="2">
        <v>17.989999999999998</v>
      </c>
      <c r="J531">
        <v>1</v>
      </c>
      <c r="K531" s="2">
        <f t="shared" si="16"/>
        <v>17.989999999999998</v>
      </c>
      <c r="L531" t="s">
        <v>61</v>
      </c>
      <c r="M531">
        <v>3</v>
      </c>
      <c r="N531">
        <v>0.23</v>
      </c>
      <c r="O531" t="str">
        <f t="shared" si="17"/>
        <v>0.2–0.4 hours</v>
      </c>
      <c r="P531" t="s">
        <v>39</v>
      </c>
    </row>
    <row r="532" spans="1:16" x14ac:dyDescent="0.4">
      <c r="A532" t="s">
        <v>573</v>
      </c>
      <c r="B532">
        <v>59</v>
      </c>
      <c r="C532" t="s">
        <v>15</v>
      </c>
      <c r="D532" t="s">
        <v>22</v>
      </c>
      <c r="E532">
        <v>25.47</v>
      </c>
      <c r="F532">
        <v>32</v>
      </c>
      <c r="G532" t="s">
        <v>70</v>
      </c>
      <c r="H532" t="s">
        <v>55</v>
      </c>
      <c r="I532" s="2">
        <v>13.99</v>
      </c>
      <c r="J532">
        <v>0</v>
      </c>
      <c r="K532" s="2">
        <f t="shared" si="16"/>
        <v>0</v>
      </c>
      <c r="L532" t="s">
        <v>37</v>
      </c>
      <c r="M532">
        <v>4</v>
      </c>
      <c r="N532">
        <v>0.77</v>
      </c>
      <c r="O532" t="str">
        <f t="shared" si="17"/>
        <v>0.6–0.8 hours</v>
      </c>
      <c r="P532" t="s">
        <v>25</v>
      </c>
    </row>
    <row r="533" spans="1:16" x14ac:dyDescent="0.4">
      <c r="A533" t="s">
        <v>574</v>
      </c>
      <c r="B533">
        <v>27</v>
      </c>
      <c r="C533" t="s">
        <v>15</v>
      </c>
      <c r="D533" t="s">
        <v>32</v>
      </c>
      <c r="E533">
        <v>4.0199999999999996</v>
      </c>
      <c r="F533">
        <v>41</v>
      </c>
      <c r="G533" t="s">
        <v>49</v>
      </c>
      <c r="H533" t="s">
        <v>24</v>
      </c>
      <c r="I533" s="2">
        <v>17.989999999999998</v>
      </c>
      <c r="J533">
        <v>1</v>
      </c>
      <c r="K533" s="2">
        <f t="shared" si="16"/>
        <v>17.989999999999998</v>
      </c>
      <c r="L533" t="s">
        <v>61</v>
      </c>
      <c r="M533">
        <v>1</v>
      </c>
      <c r="N533">
        <v>0.1</v>
      </c>
      <c r="O533" t="str">
        <f t="shared" si="17"/>
        <v>0–0.2 hours</v>
      </c>
      <c r="P533" t="s">
        <v>52</v>
      </c>
    </row>
    <row r="534" spans="1:16" x14ac:dyDescent="0.4">
      <c r="A534" t="s">
        <v>575</v>
      </c>
      <c r="B534">
        <v>29</v>
      </c>
      <c r="C534" t="s">
        <v>15</v>
      </c>
      <c r="D534" t="s">
        <v>22</v>
      </c>
      <c r="E534">
        <v>31.52</v>
      </c>
      <c r="F534">
        <v>12</v>
      </c>
      <c r="G534" t="s">
        <v>23</v>
      </c>
      <c r="H534" t="s">
        <v>57</v>
      </c>
      <c r="I534" s="2">
        <v>13.99</v>
      </c>
      <c r="J534">
        <v>0</v>
      </c>
      <c r="K534" s="2">
        <f t="shared" si="16"/>
        <v>0</v>
      </c>
      <c r="L534" t="s">
        <v>37</v>
      </c>
      <c r="M534">
        <v>3</v>
      </c>
      <c r="N534">
        <v>2.42</v>
      </c>
      <c r="O534" t="str">
        <f t="shared" si="17"/>
        <v>1+ hours</v>
      </c>
      <c r="P534" t="s">
        <v>30</v>
      </c>
    </row>
    <row r="535" spans="1:16" x14ac:dyDescent="0.4">
      <c r="A535" t="s">
        <v>576</v>
      </c>
      <c r="B535">
        <v>61</v>
      </c>
      <c r="C535" t="s">
        <v>27</v>
      </c>
      <c r="D535" t="s">
        <v>22</v>
      </c>
      <c r="E535">
        <v>0.76</v>
      </c>
      <c r="F535">
        <v>22</v>
      </c>
      <c r="G535" t="s">
        <v>17</v>
      </c>
      <c r="H535" t="s">
        <v>18</v>
      </c>
      <c r="I535" s="2">
        <v>13.99</v>
      </c>
      <c r="J535">
        <v>0</v>
      </c>
      <c r="K535" s="2">
        <f t="shared" si="16"/>
        <v>0</v>
      </c>
      <c r="L535" t="s">
        <v>37</v>
      </c>
      <c r="M535">
        <v>5</v>
      </c>
      <c r="N535">
        <v>0.03</v>
      </c>
      <c r="O535" t="str">
        <f t="shared" si="17"/>
        <v>0–0.2 hours</v>
      </c>
      <c r="P535" t="s">
        <v>30</v>
      </c>
    </row>
    <row r="536" spans="1:16" x14ac:dyDescent="0.4">
      <c r="A536" t="s">
        <v>577</v>
      </c>
      <c r="B536">
        <v>62</v>
      </c>
      <c r="C536" t="s">
        <v>41</v>
      </c>
      <c r="D536" t="s">
        <v>16</v>
      </c>
      <c r="E536">
        <v>6.84</v>
      </c>
      <c r="F536">
        <v>3</v>
      </c>
      <c r="G536" t="s">
        <v>17</v>
      </c>
      <c r="H536" t="s">
        <v>55</v>
      </c>
      <c r="I536" s="2">
        <v>8.99</v>
      </c>
      <c r="J536">
        <v>0</v>
      </c>
      <c r="K536" s="2">
        <f t="shared" si="16"/>
        <v>0</v>
      </c>
      <c r="L536" t="s">
        <v>29</v>
      </c>
      <c r="M536">
        <v>2</v>
      </c>
      <c r="N536">
        <v>1.71</v>
      </c>
      <c r="O536" t="str">
        <f t="shared" si="17"/>
        <v>1+ hours</v>
      </c>
      <c r="P536" t="s">
        <v>47</v>
      </c>
    </row>
    <row r="537" spans="1:16" x14ac:dyDescent="0.4">
      <c r="A537" t="s">
        <v>578</v>
      </c>
      <c r="B537">
        <v>56</v>
      </c>
      <c r="C537" t="s">
        <v>15</v>
      </c>
      <c r="D537" t="s">
        <v>16</v>
      </c>
      <c r="E537">
        <v>1.72</v>
      </c>
      <c r="F537">
        <v>10</v>
      </c>
      <c r="G537" t="s">
        <v>70</v>
      </c>
      <c r="H537" t="s">
        <v>24</v>
      </c>
      <c r="I537" s="2">
        <v>8.99</v>
      </c>
      <c r="J537">
        <v>1</v>
      </c>
      <c r="K537" s="2">
        <f t="shared" si="16"/>
        <v>8.99</v>
      </c>
      <c r="L537" t="s">
        <v>37</v>
      </c>
      <c r="M537">
        <v>2</v>
      </c>
      <c r="N537">
        <v>0.16</v>
      </c>
      <c r="O537" t="str">
        <f t="shared" si="17"/>
        <v>0–0.2 hours</v>
      </c>
      <c r="P537" t="s">
        <v>34</v>
      </c>
    </row>
    <row r="538" spans="1:16" x14ac:dyDescent="0.4">
      <c r="A538" t="s">
        <v>579</v>
      </c>
      <c r="B538">
        <v>59</v>
      </c>
      <c r="C538" t="s">
        <v>27</v>
      </c>
      <c r="D538" t="s">
        <v>22</v>
      </c>
      <c r="E538">
        <v>19.34</v>
      </c>
      <c r="F538">
        <v>25</v>
      </c>
      <c r="G538" t="s">
        <v>70</v>
      </c>
      <c r="H538" t="s">
        <v>18</v>
      </c>
      <c r="I538" s="2">
        <v>13.99</v>
      </c>
      <c r="J538">
        <v>0</v>
      </c>
      <c r="K538" s="2">
        <f t="shared" si="16"/>
        <v>0</v>
      </c>
      <c r="L538" t="s">
        <v>29</v>
      </c>
      <c r="M538">
        <v>3</v>
      </c>
      <c r="N538">
        <v>0.74</v>
      </c>
      <c r="O538" t="str">
        <f t="shared" si="17"/>
        <v>0.6–0.8 hours</v>
      </c>
      <c r="P538" t="s">
        <v>25</v>
      </c>
    </row>
    <row r="539" spans="1:16" x14ac:dyDescent="0.4">
      <c r="A539" t="s">
        <v>580</v>
      </c>
      <c r="B539">
        <v>33</v>
      </c>
      <c r="C539" t="s">
        <v>27</v>
      </c>
      <c r="D539" t="s">
        <v>22</v>
      </c>
      <c r="E539">
        <v>1.33</v>
      </c>
      <c r="F539">
        <v>3</v>
      </c>
      <c r="G539" t="s">
        <v>17</v>
      </c>
      <c r="H539" t="s">
        <v>57</v>
      </c>
      <c r="I539" s="2">
        <v>13.99</v>
      </c>
      <c r="J539">
        <v>0</v>
      </c>
      <c r="K539" s="2">
        <f t="shared" si="16"/>
        <v>0</v>
      </c>
      <c r="L539" t="s">
        <v>43</v>
      </c>
      <c r="M539">
        <v>5</v>
      </c>
      <c r="N539">
        <v>0.33</v>
      </c>
      <c r="O539" t="str">
        <f t="shared" si="17"/>
        <v>0.2–0.4 hours</v>
      </c>
      <c r="P539" t="s">
        <v>52</v>
      </c>
    </row>
    <row r="540" spans="1:16" x14ac:dyDescent="0.4">
      <c r="A540" t="s">
        <v>581</v>
      </c>
      <c r="B540">
        <v>41</v>
      </c>
      <c r="C540" t="s">
        <v>27</v>
      </c>
      <c r="D540" t="s">
        <v>22</v>
      </c>
      <c r="E540">
        <v>23.03</v>
      </c>
      <c r="F540">
        <v>50</v>
      </c>
      <c r="G540" t="s">
        <v>23</v>
      </c>
      <c r="H540" t="s">
        <v>18</v>
      </c>
      <c r="I540" s="2">
        <v>13.99</v>
      </c>
      <c r="J540">
        <v>0</v>
      </c>
      <c r="K540" s="2">
        <f t="shared" si="16"/>
        <v>0</v>
      </c>
      <c r="L540" t="s">
        <v>61</v>
      </c>
      <c r="M540">
        <v>3</v>
      </c>
      <c r="N540">
        <v>0.45</v>
      </c>
      <c r="O540" t="str">
        <f t="shared" si="17"/>
        <v>0.4–0.6 hours</v>
      </c>
      <c r="P540" t="s">
        <v>30</v>
      </c>
    </row>
    <row r="541" spans="1:16" x14ac:dyDescent="0.4">
      <c r="A541" t="s">
        <v>582</v>
      </c>
      <c r="B541">
        <v>54</v>
      </c>
      <c r="C541" t="s">
        <v>27</v>
      </c>
      <c r="D541" t="s">
        <v>22</v>
      </c>
      <c r="E541">
        <v>21.67</v>
      </c>
      <c r="F541">
        <v>18</v>
      </c>
      <c r="G541" t="s">
        <v>17</v>
      </c>
      <c r="H541" t="s">
        <v>18</v>
      </c>
      <c r="I541" s="2">
        <v>13.99</v>
      </c>
      <c r="J541">
        <v>0</v>
      </c>
      <c r="K541" s="2">
        <f t="shared" si="16"/>
        <v>0</v>
      </c>
      <c r="L541" t="s">
        <v>19</v>
      </c>
      <c r="M541">
        <v>3</v>
      </c>
      <c r="N541">
        <v>1.1399999999999999</v>
      </c>
      <c r="O541" t="str">
        <f t="shared" si="17"/>
        <v>1+ hours</v>
      </c>
      <c r="P541" t="s">
        <v>39</v>
      </c>
    </row>
    <row r="542" spans="1:16" x14ac:dyDescent="0.4">
      <c r="A542" t="s">
        <v>583</v>
      </c>
      <c r="B542">
        <v>34</v>
      </c>
      <c r="C542" t="s">
        <v>27</v>
      </c>
      <c r="D542" t="s">
        <v>16</v>
      </c>
      <c r="E542">
        <v>27.09</v>
      </c>
      <c r="F542">
        <v>9</v>
      </c>
      <c r="G542" t="s">
        <v>33</v>
      </c>
      <c r="H542" t="s">
        <v>18</v>
      </c>
      <c r="I542" s="2">
        <v>8.99</v>
      </c>
      <c r="J542">
        <v>0</v>
      </c>
      <c r="K542" s="2">
        <f t="shared" si="16"/>
        <v>0</v>
      </c>
      <c r="L542" t="s">
        <v>37</v>
      </c>
      <c r="M542">
        <v>1</v>
      </c>
      <c r="N542">
        <v>2.71</v>
      </c>
      <c r="O542" t="str">
        <f t="shared" si="17"/>
        <v>1+ hours</v>
      </c>
      <c r="P542" t="s">
        <v>52</v>
      </c>
    </row>
    <row r="543" spans="1:16" x14ac:dyDescent="0.4">
      <c r="A543" t="s">
        <v>584</v>
      </c>
      <c r="B543">
        <v>41</v>
      </c>
      <c r="C543" t="s">
        <v>41</v>
      </c>
      <c r="D543" t="s">
        <v>32</v>
      </c>
      <c r="E543">
        <v>22.75</v>
      </c>
      <c r="F543">
        <v>22</v>
      </c>
      <c r="G543" t="s">
        <v>23</v>
      </c>
      <c r="H543" t="s">
        <v>18</v>
      </c>
      <c r="I543" s="2">
        <v>17.989999999999998</v>
      </c>
      <c r="J543">
        <v>0</v>
      </c>
      <c r="K543" s="2">
        <f t="shared" si="16"/>
        <v>0</v>
      </c>
      <c r="L543" t="s">
        <v>19</v>
      </c>
      <c r="M543">
        <v>2</v>
      </c>
      <c r="N543">
        <v>0.99</v>
      </c>
      <c r="O543" t="str">
        <f t="shared" si="17"/>
        <v>0.8–1 hour</v>
      </c>
      <c r="P543" t="s">
        <v>34</v>
      </c>
    </row>
    <row r="544" spans="1:16" x14ac:dyDescent="0.4">
      <c r="A544" t="s">
        <v>585</v>
      </c>
      <c r="B544">
        <v>38</v>
      </c>
      <c r="C544" t="s">
        <v>15</v>
      </c>
      <c r="D544" t="s">
        <v>16</v>
      </c>
      <c r="E544">
        <v>4.55</v>
      </c>
      <c r="F544">
        <v>18</v>
      </c>
      <c r="G544" t="s">
        <v>17</v>
      </c>
      <c r="H544" t="s">
        <v>18</v>
      </c>
      <c r="I544" s="2">
        <v>8.99</v>
      </c>
      <c r="J544">
        <v>1</v>
      </c>
      <c r="K544" s="2">
        <f t="shared" si="16"/>
        <v>8.99</v>
      </c>
      <c r="L544" t="s">
        <v>61</v>
      </c>
      <c r="M544">
        <v>5</v>
      </c>
      <c r="N544">
        <v>0.24</v>
      </c>
      <c r="O544" t="str">
        <f t="shared" si="17"/>
        <v>0.2–0.4 hours</v>
      </c>
      <c r="P544" t="s">
        <v>30</v>
      </c>
    </row>
    <row r="545" spans="1:16" x14ac:dyDescent="0.4">
      <c r="A545" t="s">
        <v>586</v>
      </c>
      <c r="B545">
        <v>42</v>
      </c>
      <c r="C545" t="s">
        <v>41</v>
      </c>
      <c r="D545" t="s">
        <v>16</v>
      </c>
      <c r="E545">
        <v>0.79</v>
      </c>
      <c r="F545">
        <v>18</v>
      </c>
      <c r="G545" t="s">
        <v>49</v>
      </c>
      <c r="H545" t="s">
        <v>46</v>
      </c>
      <c r="I545" s="2">
        <v>8.99</v>
      </c>
      <c r="J545">
        <v>1</v>
      </c>
      <c r="K545" s="2">
        <f t="shared" si="16"/>
        <v>8.99</v>
      </c>
      <c r="L545" t="s">
        <v>43</v>
      </c>
      <c r="M545">
        <v>4</v>
      </c>
      <c r="N545">
        <v>0.04</v>
      </c>
      <c r="O545" t="str">
        <f t="shared" si="17"/>
        <v>0–0.2 hours</v>
      </c>
      <c r="P545" t="s">
        <v>20</v>
      </c>
    </row>
    <row r="546" spans="1:16" x14ac:dyDescent="0.4">
      <c r="A546" t="s">
        <v>587</v>
      </c>
      <c r="B546">
        <v>45</v>
      </c>
      <c r="C546" t="s">
        <v>27</v>
      </c>
      <c r="D546" t="s">
        <v>32</v>
      </c>
      <c r="E546">
        <v>0.91</v>
      </c>
      <c r="F546">
        <v>7</v>
      </c>
      <c r="G546" t="s">
        <v>49</v>
      </c>
      <c r="H546" t="s">
        <v>24</v>
      </c>
      <c r="I546" s="2">
        <v>17.989999999999998</v>
      </c>
      <c r="J546">
        <v>1</v>
      </c>
      <c r="K546" s="2">
        <f t="shared" si="16"/>
        <v>17.989999999999998</v>
      </c>
      <c r="L546" t="s">
        <v>29</v>
      </c>
      <c r="M546">
        <v>5</v>
      </c>
      <c r="N546">
        <v>0.11</v>
      </c>
      <c r="O546" t="str">
        <f t="shared" si="17"/>
        <v>0–0.2 hours</v>
      </c>
      <c r="P546" t="s">
        <v>34</v>
      </c>
    </row>
    <row r="547" spans="1:16" x14ac:dyDescent="0.4">
      <c r="A547" t="s">
        <v>588</v>
      </c>
      <c r="B547">
        <v>66</v>
      </c>
      <c r="C547" t="s">
        <v>27</v>
      </c>
      <c r="D547" t="s">
        <v>22</v>
      </c>
      <c r="E547">
        <v>4.63</v>
      </c>
      <c r="F547">
        <v>26</v>
      </c>
      <c r="G547" t="s">
        <v>23</v>
      </c>
      <c r="H547" t="s">
        <v>57</v>
      </c>
      <c r="I547" s="2">
        <v>13.99</v>
      </c>
      <c r="J547">
        <v>0</v>
      </c>
      <c r="K547" s="2">
        <f t="shared" si="16"/>
        <v>0</v>
      </c>
      <c r="L547" t="s">
        <v>43</v>
      </c>
      <c r="M547">
        <v>5</v>
      </c>
      <c r="N547">
        <v>0.17</v>
      </c>
      <c r="O547" t="str">
        <f t="shared" si="17"/>
        <v>0–0.2 hours</v>
      </c>
      <c r="P547" t="s">
        <v>20</v>
      </c>
    </row>
    <row r="548" spans="1:16" x14ac:dyDescent="0.4">
      <c r="A548" t="s">
        <v>589</v>
      </c>
      <c r="B548">
        <v>31</v>
      </c>
      <c r="C548" t="s">
        <v>15</v>
      </c>
      <c r="D548" t="s">
        <v>16</v>
      </c>
      <c r="E548">
        <v>5.4</v>
      </c>
      <c r="F548">
        <v>4</v>
      </c>
      <c r="G548" t="s">
        <v>23</v>
      </c>
      <c r="H548" t="s">
        <v>55</v>
      </c>
      <c r="I548" s="2">
        <v>8.99</v>
      </c>
      <c r="J548">
        <v>0</v>
      </c>
      <c r="K548" s="2">
        <f t="shared" si="16"/>
        <v>0</v>
      </c>
      <c r="L548" t="s">
        <v>61</v>
      </c>
      <c r="M548">
        <v>5</v>
      </c>
      <c r="N548">
        <v>1.08</v>
      </c>
      <c r="O548" t="str">
        <f t="shared" si="17"/>
        <v>1+ hours</v>
      </c>
      <c r="P548" t="s">
        <v>39</v>
      </c>
    </row>
    <row r="549" spans="1:16" x14ac:dyDescent="0.4">
      <c r="A549" t="s">
        <v>590</v>
      </c>
      <c r="B549">
        <v>64</v>
      </c>
      <c r="C549" t="s">
        <v>27</v>
      </c>
      <c r="D549" t="s">
        <v>32</v>
      </c>
      <c r="E549">
        <v>18.21</v>
      </c>
      <c r="F549">
        <v>21</v>
      </c>
      <c r="G549" t="s">
        <v>23</v>
      </c>
      <c r="H549" t="s">
        <v>55</v>
      </c>
      <c r="I549" s="2">
        <v>17.989999999999998</v>
      </c>
      <c r="J549">
        <v>0</v>
      </c>
      <c r="K549" s="2">
        <f t="shared" si="16"/>
        <v>0</v>
      </c>
      <c r="L549" t="s">
        <v>43</v>
      </c>
      <c r="M549">
        <v>4</v>
      </c>
      <c r="N549">
        <v>0.83</v>
      </c>
      <c r="O549" t="str">
        <f t="shared" si="17"/>
        <v>0.8–1 hour</v>
      </c>
      <c r="P549" t="s">
        <v>30</v>
      </c>
    </row>
    <row r="550" spans="1:16" x14ac:dyDescent="0.4">
      <c r="A550" t="s">
        <v>591</v>
      </c>
      <c r="B550">
        <v>37</v>
      </c>
      <c r="C550" t="s">
        <v>15</v>
      </c>
      <c r="D550" t="s">
        <v>32</v>
      </c>
      <c r="E550">
        <v>1.99</v>
      </c>
      <c r="F550">
        <v>13</v>
      </c>
      <c r="G550" t="s">
        <v>28</v>
      </c>
      <c r="H550" t="s">
        <v>57</v>
      </c>
      <c r="I550" s="2">
        <v>17.989999999999998</v>
      </c>
      <c r="J550">
        <v>0</v>
      </c>
      <c r="K550" s="2">
        <f t="shared" si="16"/>
        <v>0</v>
      </c>
      <c r="L550" t="s">
        <v>37</v>
      </c>
      <c r="M550">
        <v>4</v>
      </c>
      <c r="N550">
        <v>0.14000000000000001</v>
      </c>
      <c r="O550" t="str">
        <f t="shared" si="17"/>
        <v>0–0.2 hours</v>
      </c>
      <c r="P550" t="s">
        <v>34</v>
      </c>
    </row>
    <row r="551" spans="1:16" x14ac:dyDescent="0.4">
      <c r="A551" t="s">
        <v>592</v>
      </c>
      <c r="B551">
        <v>60</v>
      </c>
      <c r="C551" t="s">
        <v>27</v>
      </c>
      <c r="D551" t="s">
        <v>32</v>
      </c>
      <c r="E551">
        <v>5.68</v>
      </c>
      <c r="F551">
        <v>30</v>
      </c>
      <c r="G551" t="s">
        <v>33</v>
      </c>
      <c r="H551" t="s">
        <v>46</v>
      </c>
      <c r="I551" s="2">
        <v>17.989999999999998</v>
      </c>
      <c r="J551">
        <v>0</v>
      </c>
      <c r="K551" s="2">
        <f t="shared" si="16"/>
        <v>0</v>
      </c>
      <c r="L551" t="s">
        <v>37</v>
      </c>
      <c r="M551">
        <v>3</v>
      </c>
      <c r="N551">
        <v>0.18</v>
      </c>
      <c r="O551" t="str">
        <f t="shared" si="17"/>
        <v>0–0.2 hours</v>
      </c>
      <c r="P551" t="s">
        <v>39</v>
      </c>
    </row>
    <row r="552" spans="1:16" x14ac:dyDescent="0.4">
      <c r="A552" t="s">
        <v>593</v>
      </c>
      <c r="B552">
        <v>51</v>
      </c>
      <c r="C552" t="s">
        <v>41</v>
      </c>
      <c r="D552" t="s">
        <v>22</v>
      </c>
      <c r="E552">
        <v>41.24</v>
      </c>
      <c r="F552">
        <v>38</v>
      </c>
      <c r="G552" t="s">
        <v>70</v>
      </c>
      <c r="H552" t="s">
        <v>24</v>
      </c>
      <c r="I552" s="2">
        <v>13.99</v>
      </c>
      <c r="J552">
        <v>0</v>
      </c>
      <c r="K552" s="2">
        <f t="shared" si="16"/>
        <v>0</v>
      </c>
      <c r="L552" t="s">
        <v>61</v>
      </c>
      <c r="M552">
        <v>5</v>
      </c>
      <c r="N552">
        <v>1.06</v>
      </c>
      <c r="O552" t="str">
        <f t="shared" si="17"/>
        <v>1+ hours</v>
      </c>
      <c r="P552" t="s">
        <v>47</v>
      </c>
    </row>
    <row r="553" spans="1:16" x14ac:dyDescent="0.4">
      <c r="A553" t="s">
        <v>594</v>
      </c>
      <c r="B553">
        <v>18</v>
      </c>
      <c r="C553" t="s">
        <v>41</v>
      </c>
      <c r="D553" t="s">
        <v>22</v>
      </c>
      <c r="E553">
        <v>7.4</v>
      </c>
      <c r="F553">
        <v>18</v>
      </c>
      <c r="G553" t="s">
        <v>70</v>
      </c>
      <c r="H553" t="s">
        <v>24</v>
      </c>
      <c r="I553" s="2">
        <v>13.99</v>
      </c>
      <c r="J553">
        <v>0</v>
      </c>
      <c r="K553" s="2">
        <f t="shared" si="16"/>
        <v>0</v>
      </c>
      <c r="L553" t="s">
        <v>61</v>
      </c>
      <c r="M553">
        <v>2</v>
      </c>
      <c r="N553">
        <v>0.39</v>
      </c>
      <c r="O553" t="str">
        <f t="shared" si="17"/>
        <v>0.2–0.4 hours</v>
      </c>
      <c r="P553" t="s">
        <v>39</v>
      </c>
    </row>
    <row r="554" spans="1:16" x14ac:dyDescent="0.4">
      <c r="A554" t="s">
        <v>595</v>
      </c>
      <c r="B554">
        <v>45</v>
      </c>
      <c r="C554" t="s">
        <v>41</v>
      </c>
      <c r="D554" t="s">
        <v>22</v>
      </c>
      <c r="E554">
        <v>13.13</v>
      </c>
      <c r="F554">
        <v>5</v>
      </c>
      <c r="G554" t="s">
        <v>28</v>
      </c>
      <c r="H554" t="s">
        <v>55</v>
      </c>
      <c r="I554" s="2">
        <v>13.99</v>
      </c>
      <c r="J554">
        <v>0</v>
      </c>
      <c r="K554" s="2">
        <f t="shared" si="16"/>
        <v>0</v>
      </c>
      <c r="L554" t="s">
        <v>29</v>
      </c>
      <c r="M554">
        <v>5</v>
      </c>
      <c r="N554">
        <v>2.19</v>
      </c>
      <c r="O554" t="str">
        <f t="shared" si="17"/>
        <v>1+ hours</v>
      </c>
      <c r="P554" t="s">
        <v>30</v>
      </c>
    </row>
    <row r="555" spans="1:16" x14ac:dyDescent="0.4">
      <c r="A555" t="s">
        <v>596</v>
      </c>
      <c r="B555">
        <v>69</v>
      </c>
      <c r="C555" t="s">
        <v>15</v>
      </c>
      <c r="D555" t="s">
        <v>16</v>
      </c>
      <c r="E555">
        <v>21.91</v>
      </c>
      <c r="F555">
        <v>24</v>
      </c>
      <c r="G555" t="s">
        <v>28</v>
      </c>
      <c r="H555" t="s">
        <v>55</v>
      </c>
      <c r="I555" s="2">
        <v>8.99</v>
      </c>
      <c r="J555">
        <v>0</v>
      </c>
      <c r="K555" s="2">
        <f t="shared" si="16"/>
        <v>0</v>
      </c>
      <c r="L555" t="s">
        <v>37</v>
      </c>
      <c r="M555">
        <v>5</v>
      </c>
      <c r="N555">
        <v>0.88</v>
      </c>
      <c r="O555" t="str">
        <f t="shared" si="17"/>
        <v>0.8–1 hour</v>
      </c>
      <c r="P555" t="s">
        <v>20</v>
      </c>
    </row>
    <row r="556" spans="1:16" x14ac:dyDescent="0.4">
      <c r="A556" t="s">
        <v>597</v>
      </c>
      <c r="B556">
        <v>67</v>
      </c>
      <c r="C556" t="s">
        <v>41</v>
      </c>
      <c r="D556" t="s">
        <v>22</v>
      </c>
      <c r="E556">
        <v>9.57</v>
      </c>
      <c r="F556">
        <v>5</v>
      </c>
      <c r="G556" t="s">
        <v>23</v>
      </c>
      <c r="H556" t="s">
        <v>24</v>
      </c>
      <c r="I556" s="2">
        <v>13.99</v>
      </c>
      <c r="J556">
        <v>0</v>
      </c>
      <c r="K556" s="2">
        <f t="shared" si="16"/>
        <v>0</v>
      </c>
      <c r="L556" t="s">
        <v>29</v>
      </c>
      <c r="M556">
        <v>5</v>
      </c>
      <c r="N556">
        <v>1.59</v>
      </c>
      <c r="O556" t="str">
        <f t="shared" si="17"/>
        <v>1+ hours</v>
      </c>
      <c r="P556" t="s">
        <v>20</v>
      </c>
    </row>
    <row r="557" spans="1:16" x14ac:dyDescent="0.4">
      <c r="A557" t="s">
        <v>598</v>
      </c>
      <c r="B557">
        <v>44</v>
      </c>
      <c r="C557" t="s">
        <v>27</v>
      </c>
      <c r="D557" t="s">
        <v>22</v>
      </c>
      <c r="E557">
        <v>0.78</v>
      </c>
      <c r="F557">
        <v>3</v>
      </c>
      <c r="G557" t="s">
        <v>70</v>
      </c>
      <c r="H557" t="s">
        <v>24</v>
      </c>
      <c r="I557" s="2">
        <v>13.99</v>
      </c>
      <c r="J557">
        <v>0</v>
      </c>
      <c r="K557" s="2">
        <f t="shared" si="16"/>
        <v>0</v>
      </c>
      <c r="L557" t="s">
        <v>61</v>
      </c>
      <c r="M557">
        <v>3</v>
      </c>
      <c r="N557">
        <v>0.2</v>
      </c>
      <c r="O557" t="str">
        <f t="shared" si="17"/>
        <v>0–0.2 hours</v>
      </c>
      <c r="P557" t="s">
        <v>30</v>
      </c>
    </row>
    <row r="558" spans="1:16" x14ac:dyDescent="0.4">
      <c r="A558" t="s">
        <v>599</v>
      </c>
      <c r="B558">
        <v>43</v>
      </c>
      <c r="C558" t="s">
        <v>41</v>
      </c>
      <c r="D558" t="s">
        <v>22</v>
      </c>
      <c r="E558">
        <v>31.73</v>
      </c>
      <c r="F558">
        <v>34</v>
      </c>
      <c r="G558" t="s">
        <v>28</v>
      </c>
      <c r="H558" t="s">
        <v>18</v>
      </c>
      <c r="I558" s="2">
        <v>13.99</v>
      </c>
      <c r="J558">
        <v>0</v>
      </c>
      <c r="K558" s="2">
        <f t="shared" si="16"/>
        <v>0</v>
      </c>
      <c r="L558" t="s">
        <v>61</v>
      </c>
      <c r="M558">
        <v>3</v>
      </c>
      <c r="N558">
        <v>0.91</v>
      </c>
      <c r="O558" t="str">
        <f t="shared" si="17"/>
        <v>0.8–1 hour</v>
      </c>
      <c r="P558" t="s">
        <v>34</v>
      </c>
    </row>
    <row r="559" spans="1:16" x14ac:dyDescent="0.4">
      <c r="A559" t="s">
        <v>600</v>
      </c>
      <c r="B559">
        <v>49</v>
      </c>
      <c r="C559" t="s">
        <v>27</v>
      </c>
      <c r="D559" t="s">
        <v>32</v>
      </c>
      <c r="E559">
        <v>4.26</v>
      </c>
      <c r="F559">
        <v>40</v>
      </c>
      <c r="G559" t="s">
        <v>17</v>
      </c>
      <c r="H559" t="s">
        <v>24</v>
      </c>
      <c r="I559" s="2">
        <v>17.989999999999998</v>
      </c>
      <c r="J559">
        <v>1</v>
      </c>
      <c r="K559" s="2">
        <f t="shared" si="16"/>
        <v>17.989999999999998</v>
      </c>
      <c r="L559" t="s">
        <v>61</v>
      </c>
      <c r="M559">
        <v>3</v>
      </c>
      <c r="N559">
        <v>0.1</v>
      </c>
      <c r="O559" t="str">
        <f t="shared" si="17"/>
        <v>0–0.2 hours</v>
      </c>
      <c r="P559" t="s">
        <v>47</v>
      </c>
    </row>
    <row r="560" spans="1:16" x14ac:dyDescent="0.4">
      <c r="A560" t="s">
        <v>601</v>
      </c>
      <c r="B560">
        <v>57</v>
      </c>
      <c r="C560" t="s">
        <v>27</v>
      </c>
      <c r="D560" t="s">
        <v>32</v>
      </c>
      <c r="E560">
        <v>21.15</v>
      </c>
      <c r="F560">
        <v>43</v>
      </c>
      <c r="G560" t="s">
        <v>49</v>
      </c>
      <c r="H560" t="s">
        <v>46</v>
      </c>
      <c r="I560" s="2">
        <v>17.989999999999998</v>
      </c>
      <c r="J560">
        <v>0</v>
      </c>
      <c r="K560" s="2">
        <f t="shared" si="16"/>
        <v>0</v>
      </c>
      <c r="L560" t="s">
        <v>61</v>
      </c>
      <c r="M560">
        <v>2</v>
      </c>
      <c r="N560">
        <v>0.48</v>
      </c>
      <c r="O560" t="str">
        <f t="shared" si="17"/>
        <v>0.4–0.6 hours</v>
      </c>
      <c r="P560" t="s">
        <v>47</v>
      </c>
    </row>
    <row r="561" spans="1:16" x14ac:dyDescent="0.4">
      <c r="A561" t="s">
        <v>602</v>
      </c>
      <c r="B561">
        <v>59</v>
      </c>
      <c r="C561" t="s">
        <v>27</v>
      </c>
      <c r="D561" t="s">
        <v>22</v>
      </c>
      <c r="E561">
        <v>9.77</v>
      </c>
      <c r="F561">
        <v>5</v>
      </c>
      <c r="G561" t="s">
        <v>17</v>
      </c>
      <c r="H561" t="s">
        <v>18</v>
      </c>
      <c r="I561" s="2">
        <v>13.99</v>
      </c>
      <c r="J561">
        <v>0</v>
      </c>
      <c r="K561" s="2">
        <f t="shared" si="16"/>
        <v>0</v>
      </c>
      <c r="L561" t="s">
        <v>29</v>
      </c>
      <c r="M561">
        <v>4</v>
      </c>
      <c r="N561">
        <v>1.63</v>
      </c>
      <c r="O561" t="str">
        <f t="shared" si="17"/>
        <v>1+ hours</v>
      </c>
      <c r="P561" t="s">
        <v>47</v>
      </c>
    </row>
    <row r="562" spans="1:16" x14ac:dyDescent="0.4">
      <c r="A562" t="s">
        <v>603</v>
      </c>
      <c r="B562">
        <v>28</v>
      </c>
      <c r="C562" t="s">
        <v>27</v>
      </c>
      <c r="D562" t="s">
        <v>32</v>
      </c>
      <c r="E562">
        <v>3.02</v>
      </c>
      <c r="F562">
        <v>4</v>
      </c>
      <c r="G562" t="s">
        <v>17</v>
      </c>
      <c r="H562" t="s">
        <v>55</v>
      </c>
      <c r="I562" s="2">
        <v>17.989999999999998</v>
      </c>
      <c r="J562">
        <v>0</v>
      </c>
      <c r="K562" s="2">
        <f t="shared" si="16"/>
        <v>0</v>
      </c>
      <c r="L562" t="s">
        <v>37</v>
      </c>
      <c r="M562">
        <v>2</v>
      </c>
      <c r="N562">
        <v>0.6</v>
      </c>
      <c r="O562" t="str">
        <f t="shared" si="17"/>
        <v>0.4–0.6 hours</v>
      </c>
      <c r="P562" t="s">
        <v>20</v>
      </c>
    </row>
    <row r="563" spans="1:16" x14ac:dyDescent="0.4">
      <c r="A563" t="s">
        <v>604</v>
      </c>
      <c r="B563">
        <v>58</v>
      </c>
      <c r="C563" t="s">
        <v>15</v>
      </c>
      <c r="D563" t="s">
        <v>32</v>
      </c>
      <c r="E563">
        <v>1.05</v>
      </c>
      <c r="F563">
        <v>58</v>
      </c>
      <c r="G563" t="s">
        <v>49</v>
      </c>
      <c r="H563" t="s">
        <v>46</v>
      </c>
      <c r="I563" s="2">
        <v>17.989999999999998</v>
      </c>
      <c r="J563">
        <v>1</v>
      </c>
      <c r="K563" s="2">
        <f t="shared" si="16"/>
        <v>17.989999999999998</v>
      </c>
      <c r="L563" t="s">
        <v>29</v>
      </c>
      <c r="M563">
        <v>1</v>
      </c>
      <c r="N563">
        <v>0.02</v>
      </c>
      <c r="O563" t="str">
        <f t="shared" si="17"/>
        <v>0–0.2 hours</v>
      </c>
      <c r="P563" t="s">
        <v>47</v>
      </c>
    </row>
    <row r="564" spans="1:16" x14ac:dyDescent="0.4">
      <c r="A564" t="s">
        <v>605</v>
      </c>
      <c r="B564">
        <v>47</v>
      </c>
      <c r="C564" t="s">
        <v>27</v>
      </c>
      <c r="D564" t="s">
        <v>16</v>
      </c>
      <c r="E564">
        <v>8.2200000000000006</v>
      </c>
      <c r="F564">
        <v>4</v>
      </c>
      <c r="G564" t="s">
        <v>17</v>
      </c>
      <c r="H564" t="s">
        <v>18</v>
      </c>
      <c r="I564" s="2">
        <v>8.99</v>
      </c>
      <c r="J564">
        <v>0</v>
      </c>
      <c r="K564" s="2">
        <f t="shared" si="16"/>
        <v>0</v>
      </c>
      <c r="L564" t="s">
        <v>19</v>
      </c>
      <c r="M564">
        <v>2</v>
      </c>
      <c r="N564">
        <v>1.64</v>
      </c>
      <c r="O564" t="str">
        <f t="shared" si="17"/>
        <v>1+ hours</v>
      </c>
      <c r="P564" t="s">
        <v>20</v>
      </c>
    </row>
    <row r="565" spans="1:16" x14ac:dyDescent="0.4">
      <c r="A565" t="s">
        <v>606</v>
      </c>
      <c r="B565">
        <v>22</v>
      </c>
      <c r="C565" t="s">
        <v>27</v>
      </c>
      <c r="D565" t="s">
        <v>32</v>
      </c>
      <c r="E565">
        <v>0.97</v>
      </c>
      <c r="F565">
        <v>13</v>
      </c>
      <c r="G565" t="s">
        <v>33</v>
      </c>
      <c r="H565" t="s">
        <v>46</v>
      </c>
      <c r="I565" s="2">
        <v>17.989999999999998</v>
      </c>
      <c r="J565">
        <v>1</v>
      </c>
      <c r="K565" s="2">
        <f t="shared" si="16"/>
        <v>17.989999999999998</v>
      </c>
      <c r="L565" t="s">
        <v>43</v>
      </c>
      <c r="M565">
        <v>2</v>
      </c>
      <c r="N565">
        <v>7.0000000000000007E-2</v>
      </c>
      <c r="O565" t="str">
        <f t="shared" si="17"/>
        <v>0–0.2 hours</v>
      </c>
      <c r="P565" t="s">
        <v>20</v>
      </c>
    </row>
    <row r="566" spans="1:16" x14ac:dyDescent="0.4">
      <c r="A566" t="s">
        <v>607</v>
      </c>
      <c r="B566">
        <v>44</v>
      </c>
      <c r="C566" t="s">
        <v>15</v>
      </c>
      <c r="D566" t="s">
        <v>32</v>
      </c>
      <c r="E566">
        <v>1.41</v>
      </c>
      <c r="F566">
        <v>33</v>
      </c>
      <c r="G566" t="s">
        <v>49</v>
      </c>
      <c r="H566" t="s">
        <v>46</v>
      </c>
      <c r="I566" s="2">
        <v>17.989999999999998</v>
      </c>
      <c r="J566">
        <v>1</v>
      </c>
      <c r="K566" s="2">
        <f t="shared" si="16"/>
        <v>17.989999999999998</v>
      </c>
      <c r="L566" t="s">
        <v>61</v>
      </c>
      <c r="M566">
        <v>1</v>
      </c>
      <c r="N566">
        <v>0.04</v>
      </c>
      <c r="O566" t="str">
        <f t="shared" si="17"/>
        <v>0–0.2 hours</v>
      </c>
      <c r="P566" t="s">
        <v>52</v>
      </c>
    </row>
    <row r="567" spans="1:16" x14ac:dyDescent="0.4">
      <c r="A567" t="s">
        <v>608</v>
      </c>
      <c r="B567">
        <v>22</v>
      </c>
      <c r="C567" t="s">
        <v>15</v>
      </c>
      <c r="D567" t="s">
        <v>22</v>
      </c>
      <c r="E567">
        <v>46.56</v>
      </c>
      <c r="F567">
        <v>3</v>
      </c>
      <c r="G567" t="s">
        <v>23</v>
      </c>
      <c r="H567" t="s">
        <v>24</v>
      </c>
      <c r="I567" s="2">
        <v>13.99</v>
      </c>
      <c r="J567">
        <v>0</v>
      </c>
      <c r="K567" s="2">
        <f t="shared" si="16"/>
        <v>0</v>
      </c>
      <c r="L567" t="s">
        <v>43</v>
      </c>
      <c r="M567">
        <v>3</v>
      </c>
      <c r="N567">
        <v>11.64</v>
      </c>
      <c r="O567" t="str">
        <f t="shared" si="17"/>
        <v>1+ hours</v>
      </c>
      <c r="P567" t="s">
        <v>47</v>
      </c>
    </row>
    <row r="568" spans="1:16" x14ac:dyDescent="0.4">
      <c r="A568" t="s">
        <v>609</v>
      </c>
      <c r="B568">
        <v>22</v>
      </c>
      <c r="C568" t="s">
        <v>15</v>
      </c>
      <c r="D568" t="s">
        <v>22</v>
      </c>
      <c r="E568">
        <v>12.77</v>
      </c>
      <c r="F568">
        <v>33</v>
      </c>
      <c r="G568" t="s">
        <v>70</v>
      </c>
      <c r="H568" t="s">
        <v>55</v>
      </c>
      <c r="I568" s="2">
        <v>13.99</v>
      </c>
      <c r="J568">
        <v>1</v>
      </c>
      <c r="K568" s="2">
        <f t="shared" si="16"/>
        <v>13.99</v>
      </c>
      <c r="L568" t="s">
        <v>61</v>
      </c>
      <c r="M568">
        <v>2</v>
      </c>
      <c r="N568">
        <v>0.38</v>
      </c>
      <c r="O568" t="str">
        <f t="shared" si="17"/>
        <v>0.2–0.4 hours</v>
      </c>
      <c r="P568" t="s">
        <v>25</v>
      </c>
    </row>
    <row r="569" spans="1:16" x14ac:dyDescent="0.4">
      <c r="A569" t="s">
        <v>610</v>
      </c>
      <c r="B569">
        <v>62</v>
      </c>
      <c r="C569" t="s">
        <v>41</v>
      </c>
      <c r="D569" t="s">
        <v>16</v>
      </c>
      <c r="E569">
        <v>12.66</v>
      </c>
      <c r="F569">
        <v>42</v>
      </c>
      <c r="G569" t="s">
        <v>28</v>
      </c>
      <c r="H569" t="s">
        <v>18</v>
      </c>
      <c r="I569" s="2">
        <v>8.99</v>
      </c>
      <c r="J569">
        <v>1</v>
      </c>
      <c r="K569" s="2">
        <f t="shared" si="16"/>
        <v>8.99</v>
      </c>
      <c r="L569" t="s">
        <v>37</v>
      </c>
      <c r="M569">
        <v>2</v>
      </c>
      <c r="N569">
        <v>0.28999999999999998</v>
      </c>
      <c r="O569" t="str">
        <f t="shared" si="17"/>
        <v>0.2–0.4 hours</v>
      </c>
      <c r="P569" t="s">
        <v>20</v>
      </c>
    </row>
    <row r="570" spans="1:16" x14ac:dyDescent="0.4">
      <c r="A570" t="s">
        <v>611</v>
      </c>
      <c r="B570">
        <v>67</v>
      </c>
      <c r="C570" t="s">
        <v>41</v>
      </c>
      <c r="D570" t="s">
        <v>22</v>
      </c>
      <c r="E570">
        <v>12.02</v>
      </c>
      <c r="F570">
        <v>20</v>
      </c>
      <c r="G570" t="s">
        <v>28</v>
      </c>
      <c r="H570" t="s">
        <v>18</v>
      </c>
      <c r="I570" s="2">
        <v>13.99</v>
      </c>
      <c r="J570">
        <v>0</v>
      </c>
      <c r="K570" s="2">
        <f t="shared" si="16"/>
        <v>0</v>
      </c>
      <c r="L570" t="s">
        <v>61</v>
      </c>
      <c r="M570">
        <v>1</v>
      </c>
      <c r="N570">
        <v>0.56999999999999995</v>
      </c>
      <c r="O570" t="str">
        <f t="shared" si="17"/>
        <v>0.4–0.6 hours</v>
      </c>
      <c r="P570" t="s">
        <v>25</v>
      </c>
    </row>
    <row r="571" spans="1:16" x14ac:dyDescent="0.4">
      <c r="A571" t="s">
        <v>612</v>
      </c>
      <c r="B571">
        <v>44</v>
      </c>
      <c r="C571" t="s">
        <v>41</v>
      </c>
      <c r="D571" t="s">
        <v>16</v>
      </c>
      <c r="E571">
        <v>6.67</v>
      </c>
      <c r="F571">
        <v>25</v>
      </c>
      <c r="G571" t="s">
        <v>17</v>
      </c>
      <c r="H571" t="s">
        <v>57</v>
      </c>
      <c r="I571" s="2">
        <v>8.99</v>
      </c>
      <c r="J571">
        <v>0</v>
      </c>
      <c r="K571" s="2">
        <f t="shared" si="16"/>
        <v>0</v>
      </c>
      <c r="L571" t="s">
        <v>29</v>
      </c>
      <c r="M571">
        <v>5</v>
      </c>
      <c r="N571">
        <v>0.26</v>
      </c>
      <c r="O571" t="str">
        <f t="shared" si="17"/>
        <v>0.2–0.4 hours</v>
      </c>
      <c r="P571" t="s">
        <v>30</v>
      </c>
    </row>
    <row r="572" spans="1:16" x14ac:dyDescent="0.4">
      <c r="A572" t="s">
        <v>613</v>
      </c>
      <c r="B572">
        <v>58</v>
      </c>
      <c r="C572" t="s">
        <v>41</v>
      </c>
      <c r="D572" t="s">
        <v>22</v>
      </c>
      <c r="E572">
        <v>7.36</v>
      </c>
      <c r="F572">
        <v>18</v>
      </c>
      <c r="G572" t="s">
        <v>33</v>
      </c>
      <c r="H572" t="s">
        <v>46</v>
      </c>
      <c r="I572" s="2">
        <v>13.99</v>
      </c>
      <c r="J572">
        <v>0</v>
      </c>
      <c r="K572" s="2">
        <f t="shared" si="16"/>
        <v>0</v>
      </c>
      <c r="L572" t="s">
        <v>19</v>
      </c>
      <c r="M572">
        <v>4</v>
      </c>
      <c r="N572">
        <v>0.39</v>
      </c>
      <c r="O572" t="str">
        <f t="shared" si="17"/>
        <v>0.2–0.4 hours</v>
      </c>
      <c r="P572" t="s">
        <v>39</v>
      </c>
    </row>
    <row r="573" spans="1:16" x14ac:dyDescent="0.4">
      <c r="A573" t="s">
        <v>614</v>
      </c>
      <c r="B573">
        <v>50</v>
      </c>
      <c r="C573" t="s">
        <v>41</v>
      </c>
      <c r="D573" t="s">
        <v>16</v>
      </c>
      <c r="E573">
        <v>3.28</v>
      </c>
      <c r="F573">
        <v>59</v>
      </c>
      <c r="G573" t="s">
        <v>17</v>
      </c>
      <c r="H573" t="s">
        <v>57</v>
      </c>
      <c r="I573" s="2">
        <v>8.99</v>
      </c>
      <c r="J573">
        <v>1</v>
      </c>
      <c r="K573" s="2">
        <f t="shared" si="16"/>
        <v>8.99</v>
      </c>
      <c r="L573" t="s">
        <v>19</v>
      </c>
      <c r="M573">
        <v>3</v>
      </c>
      <c r="N573">
        <v>0.05</v>
      </c>
      <c r="O573" t="str">
        <f t="shared" si="17"/>
        <v>0–0.2 hours</v>
      </c>
      <c r="P573" t="s">
        <v>52</v>
      </c>
    </row>
    <row r="574" spans="1:16" x14ac:dyDescent="0.4">
      <c r="A574" t="s">
        <v>615</v>
      </c>
      <c r="B574">
        <v>69</v>
      </c>
      <c r="C574" t="s">
        <v>27</v>
      </c>
      <c r="D574" t="s">
        <v>32</v>
      </c>
      <c r="E574">
        <v>3.94</v>
      </c>
      <c r="F574">
        <v>38</v>
      </c>
      <c r="G574" t="s">
        <v>33</v>
      </c>
      <c r="H574" t="s">
        <v>46</v>
      </c>
      <c r="I574" s="2">
        <v>17.989999999999998</v>
      </c>
      <c r="J574">
        <v>1</v>
      </c>
      <c r="K574" s="2">
        <f t="shared" si="16"/>
        <v>17.989999999999998</v>
      </c>
      <c r="L574" t="s">
        <v>43</v>
      </c>
      <c r="M574">
        <v>2</v>
      </c>
      <c r="N574">
        <v>0.1</v>
      </c>
      <c r="O574" t="str">
        <f t="shared" si="17"/>
        <v>0–0.2 hours</v>
      </c>
      <c r="P574" t="s">
        <v>25</v>
      </c>
    </row>
    <row r="575" spans="1:16" x14ac:dyDescent="0.4">
      <c r="A575" t="s">
        <v>616</v>
      </c>
      <c r="B575">
        <v>70</v>
      </c>
      <c r="C575" t="s">
        <v>15</v>
      </c>
      <c r="D575" t="s">
        <v>22</v>
      </c>
      <c r="E575">
        <v>9.1</v>
      </c>
      <c r="F575">
        <v>16</v>
      </c>
      <c r="G575" t="s">
        <v>23</v>
      </c>
      <c r="H575" t="s">
        <v>57</v>
      </c>
      <c r="I575" s="2">
        <v>13.99</v>
      </c>
      <c r="J575">
        <v>0</v>
      </c>
      <c r="K575" s="2">
        <f t="shared" si="16"/>
        <v>0</v>
      </c>
      <c r="L575" t="s">
        <v>19</v>
      </c>
      <c r="M575">
        <v>2</v>
      </c>
      <c r="N575">
        <v>0.54</v>
      </c>
      <c r="O575" t="str">
        <f t="shared" si="17"/>
        <v>0.4–0.6 hours</v>
      </c>
      <c r="P575" t="s">
        <v>25</v>
      </c>
    </row>
    <row r="576" spans="1:16" x14ac:dyDescent="0.4">
      <c r="A576" t="s">
        <v>617</v>
      </c>
      <c r="B576">
        <v>50</v>
      </c>
      <c r="C576" t="s">
        <v>41</v>
      </c>
      <c r="D576" t="s">
        <v>32</v>
      </c>
      <c r="E576">
        <v>4.2699999999999996</v>
      </c>
      <c r="F576">
        <v>50</v>
      </c>
      <c r="G576" t="s">
        <v>28</v>
      </c>
      <c r="H576" t="s">
        <v>24</v>
      </c>
      <c r="I576" s="2">
        <v>17.989999999999998</v>
      </c>
      <c r="J576">
        <v>1</v>
      </c>
      <c r="K576" s="2">
        <f t="shared" si="16"/>
        <v>17.989999999999998</v>
      </c>
      <c r="L576" t="s">
        <v>61</v>
      </c>
      <c r="M576">
        <v>3</v>
      </c>
      <c r="N576">
        <v>0.08</v>
      </c>
      <c r="O576" t="str">
        <f t="shared" si="17"/>
        <v>0–0.2 hours</v>
      </c>
      <c r="P576" t="s">
        <v>52</v>
      </c>
    </row>
    <row r="577" spans="1:16" x14ac:dyDescent="0.4">
      <c r="A577" t="s">
        <v>618</v>
      </c>
      <c r="B577">
        <v>66</v>
      </c>
      <c r="C577" t="s">
        <v>41</v>
      </c>
      <c r="D577" t="s">
        <v>32</v>
      </c>
      <c r="E577">
        <v>9.17</v>
      </c>
      <c r="F577">
        <v>28</v>
      </c>
      <c r="G577" t="s">
        <v>28</v>
      </c>
      <c r="H577" t="s">
        <v>46</v>
      </c>
      <c r="I577" s="2">
        <v>17.989999999999998</v>
      </c>
      <c r="J577">
        <v>0</v>
      </c>
      <c r="K577" s="2">
        <f t="shared" si="16"/>
        <v>0</v>
      </c>
      <c r="L577" t="s">
        <v>37</v>
      </c>
      <c r="M577">
        <v>2</v>
      </c>
      <c r="N577">
        <v>0.32</v>
      </c>
      <c r="O577" t="str">
        <f t="shared" si="17"/>
        <v>0.2–0.4 hours</v>
      </c>
      <c r="P577" t="s">
        <v>34</v>
      </c>
    </row>
    <row r="578" spans="1:16" x14ac:dyDescent="0.4">
      <c r="A578" t="s">
        <v>619</v>
      </c>
      <c r="B578">
        <v>59</v>
      </c>
      <c r="C578" t="s">
        <v>27</v>
      </c>
      <c r="D578" t="s">
        <v>22</v>
      </c>
      <c r="E578">
        <v>26.45</v>
      </c>
      <c r="F578">
        <v>55</v>
      </c>
      <c r="G578" t="s">
        <v>33</v>
      </c>
      <c r="H578" t="s">
        <v>46</v>
      </c>
      <c r="I578" s="2">
        <v>13.99</v>
      </c>
      <c r="J578">
        <v>0</v>
      </c>
      <c r="K578" s="2">
        <f t="shared" si="16"/>
        <v>0</v>
      </c>
      <c r="L578" t="s">
        <v>43</v>
      </c>
      <c r="M578">
        <v>4</v>
      </c>
      <c r="N578">
        <v>0.47</v>
      </c>
      <c r="O578" t="str">
        <f t="shared" si="17"/>
        <v>0.4–0.6 hours</v>
      </c>
      <c r="P578" t="s">
        <v>47</v>
      </c>
    </row>
    <row r="579" spans="1:16" x14ac:dyDescent="0.4">
      <c r="A579" t="s">
        <v>620</v>
      </c>
      <c r="B579">
        <v>62</v>
      </c>
      <c r="C579" t="s">
        <v>15</v>
      </c>
      <c r="D579" t="s">
        <v>32</v>
      </c>
      <c r="E579">
        <v>7.16</v>
      </c>
      <c r="F579">
        <v>5</v>
      </c>
      <c r="G579" t="s">
        <v>70</v>
      </c>
      <c r="H579" t="s">
        <v>55</v>
      </c>
      <c r="I579" s="2">
        <v>17.989999999999998</v>
      </c>
      <c r="J579">
        <v>0</v>
      </c>
      <c r="K579" s="2">
        <f t="shared" ref="K579:K642" si="18">SUMIF(J579,1,I579)</f>
        <v>0</v>
      </c>
      <c r="L579" t="s">
        <v>19</v>
      </c>
      <c r="M579">
        <v>5</v>
      </c>
      <c r="N579">
        <v>1.19</v>
      </c>
      <c r="O579" t="str">
        <f t="shared" ref="O579:O642" si="19">IF(N579&gt;1,"1+ hours",IF(N579&lt;=0.2,"0–0.2 hours",IF(N579&lt;=0.4,"0.2–0.4 hours",IF(N579&lt;=0.6,"0.4–0.6 hours",IF(N579&lt;=0.8,"0.6–0.8 hours","0.8–1 hour")))))</f>
        <v>1+ hours</v>
      </c>
      <c r="P579" t="s">
        <v>39</v>
      </c>
    </row>
    <row r="580" spans="1:16" x14ac:dyDescent="0.4">
      <c r="A580" t="s">
        <v>621</v>
      </c>
      <c r="B580">
        <v>51</v>
      </c>
      <c r="C580" t="s">
        <v>27</v>
      </c>
      <c r="D580" t="s">
        <v>16</v>
      </c>
      <c r="E580">
        <v>4.74</v>
      </c>
      <c r="F580">
        <v>27</v>
      </c>
      <c r="G580" t="s">
        <v>17</v>
      </c>
      <c r="H580" t="s">
        <v>57</v>
      </c>
      <c r="I580" s="2">
        <v>8.99</v>
      </c>
      <c r="J580">
        <v>1</v>
      </c>
      <c r="K580" s="2">
        <f t="shared" si="18"/>
        <v>8.99</v>
      </c>
      <c r="L580" t="s">
        <v>43</v>
      </c>
      <c r="M580">
        <v>3</v>
      </c>
      <c r="N580">
        <v>0.17</v>
      </c>
      <c r="O580" t="str">
        <f t="shared" si="19"/>
        <v>0–0.2 hours</v>
      </c>
      <c r="P580" t="s">
        <v>30</v>
      </c>
    </row>
    <row r="581" spans="1:16" x14ac:dyDescent="0.4">
      <c r="A581" t="s">
        <v>622</v>
      </c>
      <c r="B581">
        <v>51</v>
      </c>
      <c r="C581" t="s">
        <v>27</v>
      </c>
      <c r="D581" t="s">
        <v>16</v>
      </c>
      <c r="E581">
        <v>23.59</v>
      </c>
      <c r="F581">
        <v>9</v>
      </c>
      <c r="G581" t="s">
        <v>49</v>
      </c>
      <c r="H581" t="s">
        <v>18</v>
      </c>
      <c r="I581" s="2">
        <v>8.99</v>
      </c>
      <c r="J581">
        <v>0</v>
      </c>
      <c r="K581" s="2">
        <f t="shared" si="18"/>
        <v>0</v>
      </c>
      <c r="L581" t="s">
        <v>37</v>
      </c>
      <c r="M581">
        <v>3</v>
      </c>
      <c r="N581">
        <v>2.36</v>
      </c>
      <c r="O581" t="str">
        <f t="shared" si="19"/>
        <v>1+ hours</v>
      </c>
      <c r="P581" t="s">
        <v>52</v>
      </c>
    </row>
    <row r="582" spans="1:16" x14ac:dyDescent="0.4">
      <c r="A582" t="s">
        <v>623</v>
      </c>
      <c r="B582">
        <v>44</v>
      </c>
      <c r="C582" t="s">
        <v>41</v>
      </c>
      <c r="D582" t="s">
        <v>32</v>
      </c>
      <c r="E582">
        <v>18.920000000000002</v>
      </c>
      <c r="F582">
        <v>0</v>
      </c>
      <c r="G582" t="s">
        <v>33</v>
      </c>
      <c r="H582" t="s">
        <v>57</v>
      </c>
      <c r="I582" s="2">
        <v>17.989999999999998</v>
      </c>
      <c r="J582">
        <v>0</v>
      </c>
      <c r="K582" s="2">
        <f t="shared" si="18"/>
        <v>0</v>
      </c>
      <c r="L582" t="s">
        <v>29</v>
      </c>
      <c r="M582">
        <v>4</v>
      </c>
      <c r="N582">
        <v>18.920000000000002</v>
      </c>
      <c r="O582" t="str">
        <f t="shared" si="19"/>
        <v>1+ hours</v>
      </c>
      <c r="P582" t="s">
        <v>39</v>
      </c>
    </row>
    <row r="583" spans="1:16" x14ac:dyDescent="0.4">
      <c r="A583" t="s">
        <v>624</v>
      </c>
      <c r="B583">
        <v>53</v>
      </c>
      <c r="C583" t="s">
        <v>41</v>
      </c>
      <c r="D583" t="s">
        <v>32</v>
      </c>
      <c r="E583">
        <v>0.77</v>
      </c>
      <c r="F583">
        <v>21</v>
      </c>
      <c r="G583" t="s">
        <v>49</v>
      </c>
      <c r="H583" t="s">
        <v>46</v>
      </c>
      <c r="I583" s="2">
        <v>17.989999999999998</v>
      </c>
      <c r="J583">
        <v>1</v>
      </c>
      <c r="K583" s="2">
        <f t="shared" si="18"/>
        <v>17.989999999999998</v>
      </c>
      <c r="L583" t="s">
        <v>29</v>
      </c>
      <c r="M583">
        <v>3</v>
      </c>
      <c r="N583">
        <v>0.04</v>
      </c>
      <c r="O583" t="str">
        <f t="shared" si="19"/>
        <v>0–0.2 hours</v>
      </c>
      <c r="P583" t="s">
        <v>25</v>
      </c>
    </row>
    <row r="584" spans="1:16" x14ac:dyDescent="0.4">
      <c r="A584" t="s">
        <v>625</v>
      </c>
      <c r="B584">
        <v>31</v>
      </c>
      <c r="C584" t="s">
        <v>27</v>
      </c>
      <c r="D584" t="s">
        <v>22</v>
      </c>
      <c r="E584">
        <v>0.96</v>
      </c>
      <c r="F584">
        <v>55</v>
      </c>
      <c r="G584" t="s">
        <v>70</v>
      </c>
      <c r="H584" t="s">
        <v>46</v>
      </c>
      <c r="I584" s="2">
        <v>13.99</v>
      </c>
      <c r="J584">
        <v>1</v>
      </c>
      <c r="K584" s="2">
        <f t="shared" si="18"/>
        <v>13.99</v>
      </c>
      <c r="L584" t="s">
        <v>29</v>
      </c>
      <c r="M584">
        <v>3</v>
      </c>
      <c r="N584">
        <v>0.02</v>
      </c>
      <c r="O584" t="str">
        <f t="shared" si="19"/>
        <v>0–0.2 hours</v>
      </c>
      <c r="P584" t="s">
        <v>20</v>
      </c>
    </row>
    <row r="585" spans="1:16" x14ac:dyDescent="0.4">
      <c r="A585" t="s">
        <v>626</v>
      </c>
      <c r="B585">
        <v>41</v>
      </c>
      <c r="C585" t="s">
        <v>27</v>
      </c>
      <c r="D585" t="s">
        <v>16</v>
      </c>
      <c r="E585">
        <v>40.64</v>
      </c>
      <c r="F585">
        <v>31</v>
      </c>
      <c r="G585" t="s">
        <v>17</v>
      </c>
      <c r="H585" t="s">
        <v>46</v>
      </c>
      <c r="I585" s="2">
        <v>8.99</v>
      </c>
      <c r="J585">
        <v>0</v>
      </c>
      <c r="K585" s="2">
        <f t="shared" si="18"/>
        <v>0</v>
      </c>
      <c r="L585" t="s">
        <v>19</v>
      </c>
      <c r="M585">
        <v>2</v>
      </c>
      <c r="N585">
        <v>1.27</v>
      </c>
      <c r="O585" t="str">
        <f t="shared" si="19"/>
        <v>1+ hours</v>
      </c>
      <c r="P585" t="s">
        <v>20</v>
      </c>
    </row>
    <row r="586" spans="1:16" x14ac:dyDescent="0.4">
      <c r="A586" t="s">
        <v>627</v>
      </c>
      <c r="B586">
        <v>49</v>
      </c>
      <c r="C586" t="s">
        <v>27</v>
      </c>
      <c r="D586" t="s">
        <v>22</v>
      </c>
      <c r="E586">
        <v>0.59</v>
      </c>
      <c r="F586">
        <v>4</v>
      </c>
      <c r="G586" t="s">
        <v>17</v>
      </c>
      <c r="H586" t="s">
        <v>55</v>
      </c>
      <c r="I586" s="2">
        <v>13.99</v>
      </c>
      <c r="J586">
        <v>1</v>
      </c>
      <c r="K586" s="2">
        <f t="shared" si="18"/>
        <v>13.99</v>
      </c>
      <c r="L586" t="s">
        <v>61</v>
      </c>
      <c r="M586">
        <v>1</v>
      </c>
      <c r="N586">
        <v>0.12</v>
      </c>
      <c r="O586" t="str">
        <f t="shared" si="19"/>
        <v>0–0.2 hours</v>
      </c>
      <c r="P586" t="s">
        <v>47</v>
      </c>
    </row>
    <row r="587" spans="1:16" x14ac:dyDescent="0.4">
      <c r="A587" t="s">
        <v>628</v>
      </c>
      <c r="B587">
        <v>30</v>
      </c>
      <c r="C587" t="s">
        <v>27</v>
      </c>
      <c r="D587" t="s">
        <v>16</v>
      </c>
      <c r="E587">
        <v>17.02</v>
      </c>
      <c r="F587">
        <v>29</v>
      </c>
      <c r="G587" t="s">
        <v>17</v>
      </c>
      <c r="H587" t="s">
        <v>55</v>
      </c>
      <c r="I587" s="2">
        <v>8.99</v>
      </c>
      <c r="J587">
        <v>0</v>
      </c>
      <c r="K587" s="2">
        <f t="shared" si="18"/>
        <v>0</v>
      </c>
      <c r="L587" t="s">
        <v>19</v>
      </c>
      <c r="M587">
        <v>3</v>
      </c>
      <c r="N587">
        <v>0.56999999999999995</v>
      </c>
      <c r="O587" t="str">
        <f t="shared" si="19"/>
        <v>0.4–0.6 hours</v>
      </c>
      <c r="P587" t="s">
        <v>47</v>
      </c>
    </row>
    <row r="588" spans="1:16" x14ac:dyDescent="0.4">
      <c r="A588" t="s">
        <v>629</v>
      </c>
      <c r="B588">
        <v>22</v>
      </c>
      <c r="C588" t="s">
        <v>15</v>
      </c>
      <c r="D588" t="s">
        <v>32</v>
      </c>
      <c r="E588">
        <v>2.61</v>
      </c>
      <c r="F588">
        <v>10</v>
      </c>
      <c r="G588" t="s">
        <v>23</v>
      </c>
      <c r="H588" t="s">
        <v>18</v>
      </c>
      <c r="I588" s="2">
        <v>17.989999999999998</v>
      </c>
      <c r="J588">
        <v>0</v>
      </c>
      <c r="K588" s="2">
        <f t="shared" si="18"/>
        <v>0</v>
      </c>
      <c r="L588" t="s">
        <v>43</v>
      </c>
      <c r="M588">
        <v>4</v>
      </c>
      <c r="N588">
        <v>0.24</v>
      </c>
      <c r="O588" t="str">
        <f t="shared" si="19"/>
        <v>0.2–0.4 hours</v>
      </c>
      <c r="P588" t="s">
        <v>25</v>
      </c>
    </row>
    <row r="589" spans="1:16" x14ac:dyDescent="0.4">
      <c r="A589" t="s">
        <v>630</v>
      </c>
      <c r="B589">
        <v>53</v>
      </c>
      <c r="C589" t="s">
        <v>15</v>
      </c>
      <c r="D589" t="s">
        <v>16</v>
      </c>
      <c r="E589">
        <v>23.5</v>
      </c>
      <c r="F589">
        <v>20</v>
      </c>
      <c r="G589" t="s">
        <v>49</v>
      </c>
      <c r="H589" t="s">
        <v>24</v>
      </c>
      <c r="I589" s="2">
        <v>8.99</v>
      </c>
      <c r="J589">
        <v>0</v>
      </c>
      <c r="K589" s="2">
        <f t="shared" si="18"/>
        <v>0</v>
      </c>
      <c r="L589" t="s">
        <v>19</v>
      </c>
      <c r="M589">
        <v>4</v>
      </c>
      <c r="N589">
        <v>1.1200000000000001</v>
      </c>
      <c r="O589" t="str">
        <f t="shared" si="19"/>
        <v>1+ hours</v>
      </c>
      <c r="P589" t="s">
        <v>52</v>
      </c>
    </row>
    <row r="590" spans="1:16" x14ac:dyDescent="0.4">
      <c r="A590" t="s">
        <v>631</v>
      </c>
      <c r="B590">
        <v>24</v>
      </c>
      <c r="C590" t="s">
        <v>27</v>
      </c>
      <c r="D590" t="s">
        <v>16</v>
      </c>
      <c r="E590">
        <v>7.5</v>
      </c>
      <c r="F590">
        <v>4</v>
      </c>
      <c r="G590" t="s">
        <v>49</v>
      </c>
      <c r="H590" t="s">
        <v>57</v>
      </c>
      <c r="I590" s="2">
        <v>8.99</v>
      </c>
      <c r="J590">
        <v>0</v>
      </c>
      <c r="K590" s="2">
        <f t="shared" si="18"/>
        <v>0</v>
      </c>
      <c r="L590" t="s">
        <v>37</v>
      </c>
      <c r="M590">
        <v>2</v>
      </c>
      <c r="N590">
        <v>1.5</v>
      </c>
      <c r="O590" t="str">
        <f t="shared" si="19"/>
        <v>1+ hours</v>
      </c>
      <c r="P590" t="s">
        <v>39</v>
      </c>
    </row>
    <row r="591" spans="1:16" x14ac:dyDescent="0.4">
      <c r="A591" t="s">
        <v>632</v>
      </c>
      <c r="B591">
        <v>62</v>
      </c>
      <c r="C591" t="s">
        <v>15</v>
      </c>
      <c r="D591" t="s">
        <v>22</v>
      </c>
      <c r="E591">
        <v>23.97</v>
      </c>
      <c r="F591">
        <v>60</v>
      </c>
      <c r="G591" t="s">
        <v>17</v>
      </c>
      <c r="H591" t="s">
        <v>55</v>
      </c>
      <c r="I591" s="2">
        <v>13.99</v>
      </c>
      <c r="J591">
        <v>1</v>
      </c>
      <c r="K591" s="2">
        <f t="shared" si="18"/>
        <v>13.99</v>
      </c>
      <c r="L591" t="s">
        <v>29</v>
      </c>
      <c r="M591">
        <v>1</v>
      </c>
      <c r="N591">
        <v>0.39</v>
      </c>
      <c r="O591" t="str">
        <f t="shared" si="19"/>
        <v>0.2–0.4 hours</v>
      </c>
      <c r="P591" t="s">
        <v>34</v>
      </c>
    </row>
    <row r="592" spans="1:16" x14ac:dyDescent="0.4">
      <c r="A592" t="s">
        <v>633</v>
      </c>
      <c r="B592">
        <v>43</v>
      </c>
      <c r="C592" t="s">
        <v>41</v>
      </c>
      <c r="D592" t="s">
        <v>16</v>
      </c>
      <c r="E592">
        <v>9.58</v>
      </c>
      <c r="F592">
        <v>13</v>
      </c>
      <c r="G592" t="s">
        <v>33</v>
      </c>
      <c r="H592" t="s">
        <v>55</v>
      </c>
      <c r="I592" s="2">
        <v>8.99</v>
      </c>
      <c r="J592">
        <v>0</v>
      </c>
      <c r="K592" s="2">
        <f t="shared" si="18"/>
        <v>0</v>
      </c>
      <c r="L592" t="s">
        <v>37</v>
      </c>
      <c r="M592">
        <v>4</v>
      </c>
      <c r="N592">
        <v>0.68</v>
      </c>
      <c r="O592" t="str">
        <f t="shared" si="19"/>
        <v>0.6–0.8 hours</v>
      </c>
      <c r="P592" t="s">
        <v>30</v>
      </c>
    </row>
    <row r="593" spans="1:16" x14ac:dyDescent="0.4">
      <c r="A593" t="s">
        <v>634</v>
      </c>
      <c r="B593">
        <v>47</v>
      </c>
      <c r="C593" t="s">
        <v>41</v>
      </c>
      <c r="D593" t="s">
        <v>32</v>
      </c>
      <c r="E593">
        <v>19.68</v>
      </c>
      <c r="F593">
        <v>59</v>
      </c>
      <c r="G593" t="s">
        <v>49</v>
      </c>
      <c r="H593" t="s">
        <v>55</v>
      </c>
      <c r="I593" s="2">
        <v>17.989999999999998</v>
      </c>
      <c r="J593">
        <v>1</v>
      </c>
      <c r="K593" s="2">
        <f t="shared" si="18"/>
        <v>17.989999999999998</v>
      </c>
      <c r="L593" t="s">
        <v>29</v>
      </c>
      <c r="M593">
        <v>2</v>
      </c>
      <c r="N593">
        <v>0.33</v>
      </c>
      <c r="O593" t="str">
        <f t="shared" si="19"/>
        <v>0.2–0.4 hours</v>
      </c>
      <c r="P593" t="s">
        <v>34</v>
      </c>
    </row>
    <row r="594" spans="1:16" x14ac:dyDescent="0.4">
      <c r="A594" t="s">
        <v>635</v>
      </c>
      <c r="B594">
        <v>57</v>
      </c>
      <c r="C594" t="s">
        <v>27</v>
      </c>
      <c r="D594" t="s">
        <v>16</v>
      </c>
      <c r="E594">
        <v>6.14</v>
      </c>
      <c r="F594">
        <v>29</v>
      </c>
      <c r="G594" t="s">
        <v>49</v>
      </c>
      <c r="H594" t="s">
        <v>55</v>
      </c>
      <c r="I594" s="2">
        <v>8.99</v>
      </c>
      <c r="J594">
        <v>0</v>
      </c>
      <c r="K594" s="2">
        <f t="shared" si="18"/>
        <v>0</v>
      </c>
      <c r="L594" t="s">
        <v>43</v>
      </c>
      <c r="M594">
        <v>2</v>
      </c>
      <c r="N594">
        <v>0.2</v>
      </c>
      <c r="O594" t="str">
        <f t="shared" si="19"/>
        <v>0–0.2 hours</v>
      </c>
      <c r="P594" t="s">
        <v>52</v>
      </c>
    </row>
    <row r="595" spans="1:16" x14ac:dyDescent="0.4">
      <c r="A595" t="s">
        <v>636</v>
      </c>
      <c r="B595">
        <v>56</v>
      </c>
      <c r="C595" t="s">
        <v>15</v>
      </c>
      <c r="D595" t="s">
        <v>32</v>
      </c>
      <c r="E595">
        <v>13.15</v>
      </c>
      <c r="F595">
        <v>6</v>
      </c>
      <c r="G595" t="s">
        <v>17</v>
      </c>
      <c r="H595" t="s">
        <v>24</v>
      </c>
      <c r="I595" s="2">
        <v>17.989999999999998</v>
      </c>
      <c r="J595">
        <v>0</v>
      </c>
      <c r="K595" s="2">
        <f t="shared" si="18"/>
        <v>0</v>
      </c>
      <c r="L595" t="s">
        <v>61</v>
      </c>
      <c r="M595">
        <v>2</v>
      </c>
      <c r="N595">
        <v>1.88</v>
      </c>
      <c r="O595" t="str">
        <f t="shared" si="19"/>
        <v>1+ hours</v>
      </c>
      <c r="P595" t="s">
        <v>34</v>
      </c>
    </row>
    <row r="596" spans="1:16" x14ac:dyDescent="0.4">
      <c r="A596" t="s">
        <v>637</v>
      </c>
      <c r="B596">
        <v>62</v>
      </c>
      <c r="C596" t="s">
        <v>27</v>
      </c>
      <c r="D596" t="s">
        <v>32</v>
      </c>
      <c r="E596">
        <v>4.34</v>
      </c>
      <c r="F596">
        <v>45</v>
      </c>
      <c r="G596" t="s">
        <v>17</v>
      </c>
      <c r="H596" t="s">
        <v>55</v>
      </c>
      <c r="I596" s="2">
        <v>17.989999999999998</v>
      </c>
      <c r="J596">
        <v>1</v>
      </c>
      <c r="K596" s="2">
        <f t="shared" si="18"/>
        <v>17.989999999999998</v>
      </c>
      <c r="L596" t="s">
        <v>19</v>
      </c>
      <c r="M596">
        <v>3</v>
      </c>
      <c r="N596">
        <v>0.09</v>
      </c>
      <c r="O596" t="str">
        <f t="shared" si="19"/>
        <v>0–0.2 hours</v>
      </c>
      <c r="P596" t="s">
        <v>30</v>
      </c>
    </row>
    <row r="597" spans="1:16" x14ac:dyDescent="0.4">
      <c r="A597" t="s">
        <v>638</v>
      </c>
      <c r="B597">
        <v>44</v>
      </c>
      <c r="C597" t="s">
        <v>41</v>
      </c>
      <c r="D597" t="s">
        <v>32</v>
      </c>
      <c r="E597">
        <v>3.95</v>
      </c>
      <c r="F597">
        <v>26</v>
      </c>
      <c r="G597" t="s">
        <v>28</v>
      </c>
      <c r="H597" t="s">
        <v>55</v>
      </c>
      <c r="I597" s="2">
        <v>17.989999999999998</v>
      </c>
      <c r="J597">
        <v>1</v>
      </c>
      <c r="K597" s="2">
        <f t="shared" si="18"/>
        <v>17.989999999999998</v>
      </c>
      <c r="L597" t="s">
        <v>19</v>
      </c>
      <c r="M597">
        <v>4</v>
      </c>
      <c r="N597">
        <v>0.15</v>
      </c>
      <c r="O597" t="str">
        <f t="shared" si="19"/>
        <v>0–0.2 hours</v>
      </c>
      <c r="P597" t="s">
        <v>20</v>
      </c>
    </row>
    <row r="598" spans="1:16" x14ac:dyDescent="0.4">
      <c r="A598" t="s">
        <v>639</v>
      </c>
      <c r="B598">
        <v>45</v>
      </c>
      <c r="C598" t="s">
        <v>41</v>
      </c>
      <c r="D598" t="s">
        <v>16</v>
      </c>
      <c r="E598">
        <v>2.73</v>
      </c>
      <c r="F598">
        <v>27</v>
      </c>
      <c r="G598" t="s">
        <v>28</v>
      </c>
      <c r="H598" t="s">
        <v>24</v>
      </c>
      <c r="I598" s="2">
        <v>8.99</v>
      </c>
      <c r="J598">
        <v>1</v>
      </c>
      <c r="K598" s="2">
        <f t="shared" si="18"/>
        <v>8.99</v>
      </c>
      <c r="L598" t="s">
        <v>37</v>
      </c>
      <c r="M598">
        <v>3</v>
      </c>
      <c r="N598">
        <v>0.1</v>
      </c>
      <c r="O598" t="str">
        <f t="shared" si="19"/>
        <v>0–0.2 hours</v>
      </c>
      <c r="P598" t="s">
        <v>30</v>
      </c>
    </row>
    <row r="599" spans="1:16" x14ac:dyDescent="0.4">
      <c r="A599" t="s">
        <v>640</v>
      </c>
      <c r="B599">
        <v>20</v>
      </c>
      <c r="C599" t="s">
        <v>41</v>
      </c>
      <c r="D599" t="s">
        <v>16</v>
      </c>
      <c r="E599">
        <v>0.67</v>
      </c>
      <c r="F599">
        <v>59</v>
      </c>
      <c r="G599" t="s">
        <v>70</v>
      </c>
      <c r="H599" t="s">
        <v>18</v>
      </c>
      <c r="I599" s="2">
        <v>8.99</v>
      </c>
      <c r="J599">
        <v>1</v>
      </c>
      <c r="K599" s="2">
        <f t="shared" si="18"/>
        <v>8.99</v>
      </c>
      <c r="L599" t="s">
        <v>43</v>
      </c>
      <c r="M599">
        <v>4</v>
      </c>
      <c r="N599">
        <v>0.01</v>
      </c>
      <c r="O599" t="str">
        <f t="shared" si="19"/>
        <v>0–0.2 hours</v>
      </c>
      <c r="P599" t="s">
        <v>34</v>
      </c>
    </row>
    <row r="600" spans="1:16" x14ac:dyDescent="0.4">
      <c r="A600" t="s">
        <v>641</v>
      </c>
      <c r="B600">
        <v>44</v>
      </c>
      <c r="C600" t="s">
        <v>27</v>
      </c>
      <c r="D600" t="s">
        <v>16</v>
      </c>
      <c r="E600">
        <v>6.71</v>
      </c>
      <c r="F600">
        <v>40</v>
      </c>
      <c r="G600" t="s">
        <v>28</v>
      </c>
      <c r="H600" t="s">
        <v>24</v>
      </c>
      <c r="I600" s="2">
        <v>8.99</v>
      </c>
      <c r="J600">
        <v>1</v>
      </c>
      <c r="K600" s="2">
        <f t="shared" si="18"/>
        <v>8.99</v>
      </c>
      <c r="L600" t="s">
        <v>29</v>
      </c>
      <c r="M600">
        <v>1</v>
      </c>
      <c r="N600">
        <v>0.16</v>
      </c>
      <c r="O600" t="str">
        <f t="shared" si="19"/>
        <v>0–0.2 hours</v>
      </c>
      <c r="P600" t="s">
        <v>25</v>
      </c>
    </row>
    <row r="601" spans="1:16" x14ac:dyDescent="0.4">
      <c r="A601" t="s">
        <v>642</v>
      </c>
      <c r="B601">
        <v>36</v>
      </c>
      <c r="C601" t="s">
        <v>27</v>
      </c>
      <c r="D601" t="s">
        <v>16</v>
      </c>
      <c r="E601">
        <v>14.33</v>
      </c>
      <c r="F601">
        <v>44</v>
      </c>
      <c r="G601" t="s">
        <v>49</v>
      </c>
      <c r="H601" t="s">
        <v>46</v>
      </c>
      <c r="I601" s="2">
        <v>8.99</v>
      </c>
      <c r="J601">
        <v>1</v>
      </c>
      <c r="K601" s="2">
        <f t="shared" si="18"/>
        <v>8.99</v>
      </c>
      <c r="L601" t="s">
        <v>19</v>
      </c>
      <c r="M601">
        <v>2</v>
      </c>
      <c r="N601">
        <v>0.32</v>
      </c>
      <c r="O601" t="str">
        <f t="shared" si="19"/>
        <v>0.2–0.4 hours</v>
      </c>
      <c r="P601" t="s">
        <v>30</v>
      </c>
    </row>
    <row r="602" spans="1:16" x14ac:dyDescent="0.4">
      <c r="A602" t="s">
        <v>643</v>
      </c>
      <c r="B602">
        <v>55</v>
      </c>
      <c r="C602" t="s">
        <v>15</v>
      </c>
      <c r="D602" t="s">
        <v>22</v>
      </c>
      <c r="E602">
        <v>11.62</v>
      </c>
      <c r="F602">
        <v>51</v>
      </c>
      <c r="G602" t="s">
        <v>49</v>
      </c>
      <c r="H602" t="s">
        <v>55</v>
      </c>
      <c r="I602" s="2">
        <v>13.99</v>
      </c>
      <c r="J602">
        <v>0</v>
      </c>
      <c r="K602" s="2">
        <f t="shared" si="18"/>
        <v>0</v>
      </c>
      <c r="L602" t="s">
        <v>43</v>
      </c>
      <c r="M602">
        <v>4</v>
      </c>
      <c r="N602">
        <v>0.22</v>
      </c>
      <c r="O602" t="str">
        <f t="shared" si="19"/>
        <v>0.2–0.4 hours</v>
      </c>
      <c r="P602" t="s">
        <v>52</v>
      </c>
    </row>
    <row r="603" spans="1:16" x14ac:dyDescent="0.4">
      <c r="A603" t="s">
        <v>644</v>
      </c>
      <c r="B603">
        <v>35</v>
      </c>
      <c r="C603" t="s">
        <v>41</v>
      </c>
      <c r="D603" t="s">
        <v>22</v>
      </c>
      <c r="E603">
        <v>16.34</v>
      </c>
      <c r="F603">
        <v>39</v>
      </c>
      <c r="G603" t="s">
        <v>28</v>
      </c>
      <c r="H603" t="s">
        <v>55</v>
      </c>
      <c r="I603" s="2">
        <v>13.99</v>
      </c>
      <c r="J603">
        <v>1</v>
      </c>
      <c r="K603" s="2">
        <f t="shared" si="18"/>
        <v>13.99</v>
      </c>
      <c r="L603" t="s">
        <v>19</v>
      </c>
      <c r="M603">
        <v>2</v>
      </c>
      <c r="N603">
        <v>0.41</v>
      </c>
      <c r="O603" t="str">
        <f t="shared" si="19"/>
        <v>0.4–0.6 hours</v>
      </c>
      <c r="P603" t="s">
        <v>52</v>
      </c>
    </row>
    <row r="604" spans="1:16" x14ac:dyDescent="0.4">
      <c r="A604" t="s">
        <v>645</v>
      </c>
      <c r="B604">
        <v>53</v>
      </c>
      <c r="C604" t="s">
        <v>41</v>
      </c>
      <c r="D604" t="s">
        <v>32</v>
      </c>
      <c r="E604">
        <v>16.53</v>
      </c>
      <c r="F604">
        <v>43</v>
      </c>
      <c r="G604" t="s">
        <v>23</v>
      </c>
      <c r="H604" t="s">
        <v>24</v>
      </c>
      <c r="I604" s="2">
        <v>17.989999999999998</v>
      </c>
      <c r="J604">
        <v>1</v>
      </c>
      <c r="K604" s="2">
        <f t="shared" si="18"/>
        <v>17.989999999999998</v>
      </c>
      <c r="L604" t="s">
        <v>19</v>
      </c>
      <c r="M604">
        <v>1</v>
      </c>
      <c r="N604">
        <v>0.38</v>
      </c>
      <c r="O604" t="str">
        <f t="shared" si="19"/>
        <v>0.2–0.4 hours</v>
      </c>
      <c r="P604" t="s">
        <v>39</v>
      </c>
    </row>
    <row r="605" spans="1:16" x14ac:dyDescent="0.4">
      <c r="A605" t="s">
        <v>646</v>
      </c>
      <c r="B605">
        <v>42</v>
      </c>
      <c r="C605" t="s">
        <v>15</v>
      </c>
      <c r="D605" t="s">
        <v>22</v>
      </c>
      <c r="E605">
        <v>0.68</v>
      </c>
      <c r="F605">
        <v>50</v>
      </c>
      <c r="G605" t="s">
        <v>17</v>
      </c>
      <c r="H605" t="s">
        <v>24</v>
      </c>
      <c r="I605" s="2">
        <v>13.99</v>
      </c>
      <c r="J605">
        <v>1</v>
      </c>
      <c r="K605" s="2">
        <f t="shared" si="18"/>
        <v>13.99</v>
      </c>
      <c r="L605" t="s">
        <v>19</v>
      </c>
      <c r="M605">
        <v>4</v>
      </c>
      <c r="N605">
        <v>0.01</v>
      </c>
      <c r="O605" t="str">
        <f t="shared" si="19"/>
        <v>0–0.2 hours</v>
      </c>
      <c r="P605" t="s">
        <v>25</v>
      </c>
    </row>
    <row r="606" spans="1:16" x14ac:dyDescent="0.4">
      <c r="A606" t="s">
        <v>647</v>
      </c>
      <c r="B606">
        <v>60</v>
      </c>
      <c r="C606" t="s">
        <v>41</v>
      </c>
      <c r="D606" t="s">
        <v>16</v>
      </c>
      <c r="E606">
        <v>20.83</v>
      </c>
      <c r="F606">
        <v>43</v>
      </c>
      <c r="G606" t="s">
        <v>23</v>
      </c>
      <c r="H606" t="s">
        <v>24</v>
      </c>
      <c r="I606" s="2">
        <v>8.99</v>
      </c>
      <c r="J606">
        <v>1</v>
      </c>
      <c r="K606" s="2">
        <f t="shared" si="18"/>
        <v>8.99</v>
      </c>
      <c r="L606" t="s">
        <v>19</v>
      </c>
      <c r="M606">
        <v>5</v>
      </c>
      <c r="N606">
        <v>0.47</v>
      </c>
      <c r="O606" t="str">
        <f t="shared" si="19"/>
        <v>0.4–0.6 hours</v>
      </c>
      <c r="P606" t="s">
        <v>52</v>
      </c>
    </row>
    <row r="607" spans="1:16" x14ac:dyDescent="0.4">
      <c r="A607" t="s">
        <v>648</v>
      </c>
      <c r="B607">
        <v>53</v>
      </c>
      <c r="C607" t="s">
        <v>15</v>
      </c>
      <c r="D607" t="s">
        <v>22</v>
      </c>
      <c r="E607">
        <v>7.0000000000000007E-2</v>
      </c>
      <c r="F607">
        <v>50</v>
      </c>
      <c r="G607" t="s">
        <v>70</v>
      </c>
      <c r="H607" t="s">
        <v>55</v>
      </c>
      <c r="I607" s="2">
        <v>13.99</v>
      </c>
      <c r="J607">
        <v>1</v>
      </c>
      <c r="K607" s="2">
        <f t="shared" si="18"/>
        <v>13.99</v>
      </c>
      <c r="L607" t="s">
        <v>43</v>
      </c>
      <c r="M607">
        <v>3</v>
      </c>
      <c r="N607">
        <v>0</v>
      </c>
      <c r="O607" t="str">
        <f t="shared" si="19"/>
        <v>0–0.2 hours</v>
      </c>
      <c r="P607" t="s">
        <v>20</v>
      </c>
    </row>
    <row r="608" spans="1:16" x14ac:dyDescent="0.4">
      <c r="A608" t="s">
        <v>649</v>
      </c>
      <c r="B608">
        <v>52</v>
      </c>
      <c r="C608" t="s">
        <v>27</v>
      </c>
      <c r="D608" t="s">
        <v>16</v>
      </c>
      <c r="E608">
        <v>22.21</v>
      </c>
      <c r="F608">
        <v>54</v>
      </c>
      <c r="G608" t="s">
        <v>33</v>
      </c>
      <c r="H608" t="s">
        <v>18</v>
      </c>
      <c r="I608" s="2">
        <v>8.99</v>
      </c>
      <c r="J608">
        <v>1</v>
      </c>
      <c r="K608" s="2">
        <f t="shared" si="18"/>
        <v>8.99</v>
      </c>
      <c r="L608" t="s">
        <v>61</v>
      </c>
      <c r="M608">
        <v>1</v>
      </c>
      <c r="N608">
        <v>0.4</v>
      </c>
      <c r="O608" t="str">
        <f t="shared" si="19"/>
        <v>0.2–0.4 hours</v>
      </c>
      <c r="P608" t="s">
        <v>39</v>
      </c>
    </row>
    <row r="609" spans="1:16" x14ac:dyDescent="0.4">
      <c r="A609" t="s">
        <v>650</v>
      </c>
      <c r="B609">
        <v>32</v>
      </c>
      <c r="C609" t="s">
        <v>41</v>
      </c>
      <c r="D609" t="s">
        <v>22</v>
      </c>
      <c r="E609">
        <v>8.26</v>
      </c>
      <c r="F609">
        <v>39</v>
      </c>
      <c r="G609" t="s">
        <v>28</v>
      </c>
      <c r="H609" t="s">
        <v>46</v>
      </c>
      <c r="I609" s="2">
        <v>13.99</v>
      </c>
      <c r="J609">
        <v>1</v>
      </c>
      <c r="K609" s="2">
        <f t="shared" si="18"/>
        <v>13.99</v>
      </c>
      <c r="L609" t="s">
        <v>19</v>
      </c>
      <c r="M609">
        <v>1</v>
      </c>
      <c r="N609">
        <v>0.21</v>
      </c>
      <c r="O609" t="str">
        <f t="shared" si="19"/>
        <v>0.2–0.4 hours</v>
      </c>
      <c r="P609" t="s">
        <v>30</v>
      </c>
    </row>
    <row r="610" spans="1:16" x14ac:dyDescent="0.4">
      <c r="A610" t="s">
        <v>651</v>
      </c>
      <c r="B610">
        <v>54</v>
      </c>
      <c r="C610" t="s">
        <v>15</v>
      </c>
      <c r="D610" t="s">
        <v>32</v>
      </c>
      <c r="E610">
        <v>13.49</v>
      </c>
      <c r="F610">
        <v>4</v>
      </c>
      <c r="G610" t="s">
        <v>17</v>
      </c>
      <c r="H610" t="s">
        <v>46</v>
      </c>
      <c r="I610" s="2">
        <v>17.989999999999998</v>
      </c>
      <c r="J610">
        <v>0</v>
      </c>
      <c r="K610" s="2">
        <f t="shared" si="18"/>
        <v>0</v>
      </c>
      <c r="L610" t="s">
        <v>37</v>
      </c>
      <c r="M610">
        <v>1</v>
      </c>
      <c r="N610">
        <v>2.7</v>
      </c>
      <c r="O610" t="str">
        <f t="shared" si="19"/>
        <v>1+ hours</v>
      </c>
      <c r="P610" t="s">
        <v>20</v>
      </c>
    </row>
    <row r="611" spans="1:16" x14ac:dyDescent="0.4">
      <c r="A611" t="s">
        <v>652</v>
      </c>
      <c r="B611">
        <v>54</v>
      </c>
      <c r="C611" t="s">
        <v>41</v>
      </c>
      <c r="D611" t="s">
        <v>32</v>
      </c>
      <c r="E611">
        <v>11.38</v>
      </c>
      <c r="F611">
        <v>31</v>
      </c>
      <c r="G611" t="s">
        <v>28</v>
      </c>
      <c r="H611" t="s">
        <v>24</v>
      </c>
      <c r="I611" s="2">
        <v>17.989999999999998</v>
      </c>
      <c r="J611">
        <v>0</v>
      </c>
      <c r="K611" s="2">
        <f t="shared" si="18"/>
        <v>0</v>
      </c>
      <c r="L611" t="s">
        <v>61</v>
      </c>
      <c r="M611">
        <v>4</v>
      </c>
      <c r="N611">
        <v>0.36</v>
      </c>
      <c r="O611" t="str">
        <f t="shared" si="19"/>
        <v>0.2–0.4 hours</v>
      </c>
      <c r="P611" t="s">
        <v>34</v>
      </c>
    </row>
    <row r="612" spans="1:16" x14ac:dyDescent="0.4">
      <c r="A612" t="s">
        <v>653</v>
      </c>
      <c r="B612">
        <v>66</v>
      </c>
      <c r="C612" t="s">
        <v>15</v>
      </c>
      <c r="D612" t="s">
        <v>16</v>
      </c>
      <c r="E612">
        <v>21.29</v>
      </c>
      <c r="F612">
        <v>7</v>
      </c>
      <c r="G612" t="s">
        <v>17</v>
      </c>
      <c r="H612" t="s">
        <v>57</v>
      </c>
      <c r="I612" s="2">
        <v>8.99</v>
      </c>
      <c r="J612">
        <v>0</v>
      </c>
      <c r="K612" s="2">
        <f t="shared" si="18"/>
        <v>0</v>
      </c>
      <c r="L612" t="s">
        <v>29</v>
      </c>
      <c r="M612">
        <v>5</v>
      </c>
      <c r="N612">
        <v>2.66</v>
      </c>
      <c r="O612" t="str">
        <f t="shared" si="19"/>
        <v>1+ hours</v>
      </c>
      <c r="P612" t="s">
        <v>39</v>
      </c>
    </row>
    <row r="613" spans="1:16" x14ac:dyDescent="0.4">
      <c r="A613" t="s">
        <v>654</v>
      </c>
      <c r="B613">
        <v>49</v>
      </c>
      <c r="C613" t="s">
        <v>27</v>
      </c>
      <c r="D613" t="s">
        <v>16</v>
      </c>
      <c r="E613">
        <v>10.87</v>
      </c>
      <c r="F613">
        <v>14</v>
      </c>
      <c r="G613" t="s">
        <v>49</v>
      </c>
      <c r="H613" t="s">
        <v>57</v>
      </c>
      <c r="I613" s="2">
        <v>8.99</v>
      </c>
      <c r="J613">
        <v>0</v>
      </c>
      <c r="K613" s="2">
        <f t="shared" si="18"/>
        <v>0</v>
      </c>
      <c r="L613" t="s">
        <v>61</v>
      </c>
      <c r="M613">
        <v>5</v>
      </c>
      <c r="N613">
        <v>0.72</v>
      </c>
      <c r="O613" t="str">
        <f t="shared" si="19"/>
        <v>0.6–0.8 hours</v>
      </c>
      <c r="P613" t="s">
        <v>25</v>
      </c>
    </row>
    <row r="614" spans="1:16" x14ac:dyDescent="0.4">
      <c r="A614" t="s">
        <v>655</v>
      </c>
      <c r="B614">
        <v>63</v>
      </c>
      <c r="C614" t="s">
        <v>27</v>
      </c>
      <c r="D614" t="s">
        <v>22</v>
      </c>
      <c r="E614">
        <v>41.15</v>
      </c>
      <c r="F614">
        <v>9</v>
      </c>
      <c r="G614" t="s">
        <v>49</v>
      </c>
      <c r="H614" t="s">
        <v>46</v>
      </c>
      <c r="I614" s="2">
        <v>13.99</v>
      </c>
      <c r="J614">
        <v>0</v>
      </c>
      <c r="K614" s="2">
        <f t="shared" si="18"/>
        <v>0</v>
      </c>
      <c r="L614" t="s">
        <v>43</v>
      </c>
      <c r="M614">
        <v>2</v>
      </c>
      <c r="N614">
        <v>4.12</v>
      </c>
      <c r="O614" t="str">
        <f t="shared" si="19"/>
        <v>1+ hours</v>
      </c>
      <c r="P614" t="s">
        <v>39</v>
      </c>
    </row>
    <row r="615" spans="1:16" x14ac:dyDescent="0.4">
      <c r="A615" t="s">
        <v>656</v>
      </c>
      <c r="B615">
        <v>62</v>
      </c>
      <c r="C615" t="s">
        <v>15</v>
      </c>
      <c r="D615" t="s">
        <v>22</v>
      </c>
      <c r="E615">
        <v>11.96</v>
      </c>
      <c r="F615">
        <v>48</v>
      </c>
      <c r="G615" t="s">
        <v>33</v>
      </c>
      <c r="H615" t="s">
        <v>57</v>
      </c>
      <c r="I615" s="2">
        <v>13.99</v>
      </c>
      <c r="J615">
        <v>1</v>
      </c>
      <c r="K615" s="2">
        <f t="shared" si="18"/>
        <v>13.99</v>
      </c>
      <c r="L615" t="s">
        <v>19</v>
      </c>
      <c r="M615">
        <v>3</v>
      </c>
      <c r="N615">
        <v>0.24</v>
      </c>
      <c r="O615" t="str">
        <f t="shared" si="19"/>
        <v>0.2–0.4 hours</v>
      </c>
      <c r="P615" t="s">
        <v>30</v>
      </c>
    </row>
    <row r="616" spans="1:16" x14ac:dyDescent="0.4">
      <c r="A616" t="s">
        <v>657</v>
      </c>
      <c r="B616">
        <v>40</v>
      </c>
      <c r="C616" t="s">
        <v>27</v>
      </c>
      <c r="D616" t="s">
        <v>22</v>
      </c>
      <c r="E616">
        <v>0.68</v>
      </c>
      <c r="F616">
        <v>37</v>
      </c>
      <c r="G616" t="s">
        <v>17</v>
      </c>
      <c r="H616" t="s">
        <v>46</v>
      </c>
      <c r="I616" s="2">
        <v>13.99</v>
      </c>
      <c r="J616">
        <v>1</v>
      </c>
      <c r="K616" s="2">
        <f t="shared" si="18"/>
        <v>13.99</v>
      </c>
      <c r="L616" t="s">
        <v>37</v>
      </c>
      <c r="M616">
        <v>3</v>
      </c>
      <c r="N616">
        <v>0.02</v>
      </c>
      <c r="O616" t="str">
        <f t="shared" si="19"/>
        <v>0–0.2 hours</v>
      </c>
      <c r="P616" t="s">
        <v>34</v>
      </c>
    </row>
    <row r="617" spans="1:16" x14ac:dyDescent="0.4">
      <c r="A617" t="s">
        <v>658</v>
      </c>
      <c r="B617">
        <v>24</v>
      </c>
      <c r="C617" t="s">
        <v>27</v>
      </c>
      <c r="D617" t="s">
        <v>22</v>
      </c>
      <c r="E617">
        <v>5.56</v>
      </c>
      <c r="F617">
        <v>32</v>
      </c>
      <c r="G617" t="s">
        <v>23</v>
      </c>
      <c r="H617" t="s">
        <v>46</v>
      </c>
      <c r="I617" s="2">
        <v>13.99</v>
      </c>
      <c r="J617">
        <v>1</v>
      </c>
      <c r="K617" s="2">
        <f t="shared" si="18"/>
        <v>13.99</v>
      </c>
      <c r="L617" t="s">
        <v>43</v>
      </c>
      <c r="M617">
        <v>1</v>
      </c>
      <c r="N617">
        <v>0.17</v>
      </c>
      <c r="O617" t="str">
        <f t="shared" si="19"/>
        <v>0–0.2 hours</v>
      </c>
      <c r="P617" t="s">
        <v>30</v>
      </c>
    </row>
    <row r="618" spans="1:16" x14ac:dyDescent="0.4">
      <c r="A618" t="s">
        <v>659</v>
      </c>
      <c r="B618">
        <v>36</v>
      </c>
      <c r="C618" t="s">
        <v>15</v>
      </c>
      <c r="D618" t="s">
        <v>32</v>
      </c>
      <c r="E618">
        <v>11.87</v>
      </c>
      <c r="F618">
        <v>5</v>
      </c>
      <c r="G618" t="s">
        <v>70</v>
      </c>
      <c r="H618" t="s">
        <v>18</v>
      </c>
      <c r="I618" s="2">
        <v>17.989999999999998</v>
      </c>
      <c r="J618">
        <v>0</v>
      </c>
      <c r="K618" s="2">
        <f t="shared" si="18"/>
        <v>0</v>
      </c>
      <c r="L618" t="s">
        <v>19</v>
      </c>
      <c r="M618">
        <v>4</v>
      </c>
      <c r="N618">
        <v>1.98</v>
      </c>
      <c r="O618" t="str">
        <f t="shared" si="19"/>
        <v>1+ hours</v>
      </c>
      <c r="P618" t="s">
        <v>47</v>
      </c>
    </row>
    <row r="619" spans="1:16" x14ac:dyDescent="0.4">
      <c r="A619" t="s">
        <v>660</v>
      </c>
      <c r="B619">
        <v>57</v>
      </c>
      <c r="C619" t="s">
        <v>15</v>
      </c>
      <c r="D619" t="s">
        <v>32</v>
      </c>
      <c r="E619">
        <v>0.97</v>
      </c>
      <c r="F619">
        <v>52</v>
      </c>
      <c r="G619" t="s">
        <v>17</v>
      </c>
      <c r="H619" t="s">
        <v>55</v>
      </c>
      <c r="I619" s="2">
        <v>17.989999999999998</v>
      </c>
      <c r="J619">
        <v>1</v>
      </c>
      <c r="K619" s="2">
        <f t="shared" si="18"/>
        <v>17.989999999999998</v>
      </c>
      <c r="L619" t="s">
        <v>61</v>
      </c>
      <c r="M619">
        <v>1</v>
      </c>
      <c r="N619">
        <v>0.02</v>
      </c>
      <c r="O619" t="str">
        <f t="shared" si="19"/>
        <v>0–0.2 hours</v>
      </c>
      <c r="P619" t="s">
        <v>30</v>
      </c>
    </row>
    <row r="620" spans="1:16" x14ac:dyDescent="0.4">
      <c r="A620" t="s">
        <v>661</v>
      </c>
      <c r="B620">
        <v>48</v>
      </c>
      <c r="C620" t="s">
        <v>27</v>
      </c>
      <c r="D620" t="s">
        <v>16</v>
      </c>
      <c r="E620">
        <v>17.68</v>
      </c>
      <c r="F620">
        <v>47</v>
      </c>
      <c r="G620" t="s">
        <v>33</v>
      </c>
      <c r="H620" t="s">
        <v>57</v>
      </c>
      <c r="I620" s="2">
        <v>8.99</v>
      </c>
      <c r="J620">
        <v>1</v>
      </c>
      <c r="K620" s="2">
        <f t="shared" si="18"/>
        <v>8.99</v>
      </c>
      <c r="L620" t="s">
        <v>43</v>
      </c>
      <c r="M620">
        <v>3</v>
      </c>
      <c r="N620">
        <v>0.37</v>
      </c>
      <c r="O620" t="str">
        <f t="shared" si="19"/>
        <v>0.2–0.4 hours</v>
      </c>
      <c r="P620" t="s">
        <v>39</v>
      </c>
    </row>
    <row r="621" spans="1:16" x14ac:dyDescent="0.4">
      <c r="A621" t="s">
        <v>662</v>
      </c>
      <c r="B621">
        <v>27</v>
      </c>
      <c r="C621" t="s">
        <v>15</v>
      </c>
      <c r="D621" t="s">
        <v>16</v>
      </c>
      <c r="E621">
        <v>16.36</v>
      </c>
      <c r="F621">
        <v>8</v>
      </c>
      <c r="G621" t="s">
        <v>28</v>
      </c>
      <c r="H621" t="s">
        <v>18</v>
      </c>
      <c r="I621" s="2">
        <v>8.99</v>
      </c>
      <c r="J621">
        <v>0</v>
      </c>
      <c r="K621" s="2">
        <f t="shared" si="18"/>
        <v>0</v>
      </c>
      <c r="L621" t="s">
        <v>19</v>
      </c>
      <c r="M621">
        <v>1</v>
      </c>
      <c r="N621">
        <v>1.82</v>
      </c>
      <c r="O621" t="str">
        <f t="shared" si="19"/>
        <v>1+ hours</v>
      </c>
      <c r="P621" t="s">
        <v>30</v>
      </c>
    </row>
    <row r="622" spans="1:16" x14ac:dyDescent="0.4">
      <c r="A622" t="s">
        <v>663</v>
      </c>
      <c r="B622">
        <v>22</v>
      </c>
      <c r="C622" t="s">
        <v>15</v>
      </c>
      <c r="D622" t="s">
        <v>22</v>
      </c>
      <c r="E622">
        <v>5.42</v>
      </c>
      <c r="F622">
        <v>1</v>
      </c>
      <c r="G622" t="s">
        <v>28</v>
      </c>
      <c r="H622" t="s">
        <v>55</v>
      </c>
      <c r="I622" s="2">
        <v>13.99</v>
      </c>
      <c r="J622">
        <v>0</v>
      </c>
      <c r="K622" s="2">
        <f t="shared" si="18"/>
        <v>0</v>
      </c>
      <c r="L622" t="s">
        <v>37</v>
      </c>
      <c r="M622">
        <v>2</v>
      </c>
      <c r="N622">
        <v>2.71</v>
      </c>
      <c r="O622" t="str">
        <f t="shared" si="19"/>
        <v>1+ hours</v>
      </c>
      <c r="P622" t="s">
        <v>20</v>
      </c>
    </row>
    <row r="623" spans="1:16" x14ac:dyDescent="0.4">
      <c r="A623" t="s">
        <v>664</v>
      </c>
      <c r="B623">
        <v>42</v>
      </c>
      <c r="C623" t="s">
        <v>15</v>
      </c>
      <c r="D623" t="s">
        <v>32</v>
      </c>
      <c r="E623">
        <v>3.6</v>
      </c>
      <c r="F623">
        <v>2</v>
      </c>
      <c r="G623" t="s">
        <v>33</v>
      </c>
      <c r="H623" t="s">
        <v>18</v>
      </c>
      <c r="I623" s="2">
        <v>17.989999999999998</v>
      </c>
      <c r="J623">
        <v>0</v>
      </c>
      <c r="K623" s="2">
        <f t="shared" si="18"/>
        <v>0</v>
      </c>
      <c r="L623" t="s">
        <v>61</v>
      </c>
      <c r="M623">
        <v>1</v>
      </c>
      <c r="N623">
        <v>1.2</v>
      </c>
      <c r="O623" t="str">
        <f t="shared" si="19"/>
        <v>1+ hours</v>
      </c>
      <c r="P623" t="s">
        <v>20</v>
      </c>
    </row>
    <row r="624" spans="1:16" x14ac:dyDescent="0.4">
      <c r="A624" t="s">
        <v>665</v>
      </c>
      <c r="B624">
        <v>68</v>
      </c>
      <c r="C624" t="s">
        <v>27</v>
      </c>
      <c r="D624" t="s">
        <v>22</v>
      </c>
      <c r="E624">
        <v>0.34</v>
      </c>
      <c r="F624">
        <v>41</v>
      </c>
      <c r="G624" t="s">
        <v>70</v>
      </c>
      <c r="H624" t="s">
        <v>24</v>
      </c>
      <c r="I624" s="2">
        <v>13.99</v>
      </c>
      <c r="J624">
        <v>1</v>
      </c>
      <c r="K624" s="2">
        <f t="shared" si="18"/>
        <v>13.99</v>
      </c>
      <c r="L624" t="s">
        <v>43</v>
      </c>
      <c r="M624">
        <v>4</v>
      </c>
      <c r="N624">
        <v>0.01</v>
      </c>
      <c r="O624" t="str">
        <f t="shared" si="19"/>
        <v>0–0.2 hours</v>
      </c>
      <c r="P624" t="s">
        <v>20</v>
      </c>
    </row>
    <row r="625" spans="1:16" x14ac:dyDescent="0.4">
      <c r="A625" t="s">
        <v>666</v>
      </c>
      <c r="B625">
        <v>61</v>
      </c>
      <c r="C625" t="s">
        <v>41</v>
      </c>
      <c r="D625" t="s">
        <v>16</v>
      </c>
      <c r="E625">
        <v>47.74</v>
      </c>
      <c r="F625">
        <v>56</v>
      </c>
      <c r="G625" t="s">
        <v>23</v>
      </c>
      <c r="H625" t="s">
        <v>24</v>
      </c>
      <c r="I625" s="2">
        <v>8.99</v>
      </c>
      <c r="J625">
        <v>0</v>
      </c>
      <c r="K625" s="2">
        <f t="shared" si="18"/>
        <v>0</v>
      </c>
      <c r="L625" t="s">
        <v>29</v>
      </c>
      <c r="M625">
        <v>2</v>
      </c>
      <c r="N625">
        <v>0.84</v>
      </c>
      <c r="O625" t="str">
        <f t="shared" si="19"/>
        <v>0.8–1 hour</v>
      </c>
      <c r="P625" t="s">
        <v>52</v>
      </c>
    </row>
    <row r="626" spans="1:16" x14ac:dyDescent="0.4">
      <c r="A626" t="s">
        <v>667</v>
      </c>
      <c r="B626">
        <v>40</v>
      </c>
      <c r="C626" t="s">
        <v>41</v>
      </c>
      <c r="D626" t="s">
        <v>22</v>
      </c>
      <c r="E626">
        <v>9.61</v>
      </c>
      <c r="F626">
        <v>39</v>
      </c>
      <c r="G626" t="s">
        <v>33</v>
      </c>
      <c r="H626" t="s">
        <v>55</v>
      </c>
      <c r="I626" s="2">
        <v>13.99</v>
      </c>
      <c r="J626">
        <v>1</v>
      </c>
      <c r="K626" s="2">
        <f t="shared" si="18"/>
        <v>13.99</v>
      </c>
      <c r="L626" t="s">
        <v>37</v>
      </c>
      <c r="M626">
        <v>2</v>
      </c>
      <c r="N626">
        <v>0.24</v>
      </c>
      <c r="O626" t="str">
        <f t="shared" si="19"/>
        <v>0.2–0.4 hours</v>
      </c>
      <c r="P626" t="s">
        <v>52</v>
      </c>
    </row>
    <row r="627" spans="1:16" x14ac:dyDescent="0.4">
      <c r="A627" t="s">
        <v>668</v>
      </c>
      <c r="B627">
        <v>25</v>
      </c>
      <c r="C627" t="s">
        <v>15</v>
      </c>
      <c r="D627" t="s">
        <v>22</v>
      </c>
      <c r="E627">
        <v>6.11</v>
      </c>
      <c r="F627">
        <v>0</v>
      </c>
      <c r="G627" t="s">
        <v>28</v>
      </c>
      <c r="H627" t="s">
        <v>46</v>
      </c>
      <c r="I627" s="2">
        <v>13.99</v>
      </c>
      <c r="J627">
        <v>0</v>
      </c>
      <c r="K627" s="2">
        <f t="shared" si="18"/>
        <v>0</v>
      </c>
      <c r="L627" t="s">
        <v>61</v>
      </c>
      <c r="M627">
        <v>1</v>
      </c>
      <c r="N627">
        <v>6.11</v>
      </c>
      <c r="O627" t="str">
        <f t="shared" si="19"/>
        <v>1+ hours</v>
      </c>
      <c r="P627" t="s">
        <v>30</v>
      </c>
    </row>
    <row r="628" spans="1:16" x14ac:dyDescent="0.4">
      <c r="A628" t="s">
        <v>669</v>
      </c>
      <c r="B628">
        <v>69</v>
      </c>
      <c r="C628" t="s">
        <v>15</v>
      </c>
      <c r="D628" t="s">
        <v>32</v>
      </c>
      <c r="E628">
        <v>0.74</v>
      </c>
      <c r="F628">
        <v>48</v>
      </c>
      <c r="G628" t="s">
        <v>33</v>
      </c>
      <c r="H628" t="s">
        <v>57</v>
      </c>
      <c r="I628" s="2">
        <v>17.989999999999998</v>
      </c>
      <c r="J628">
        <v>1</v>
      </c>
      <c r="K628" s="2">
        <f t="shared" si="18"/>
        <v>17.989999999999998</v>
      </c>
      <c r="L628" t="s">
        <v>43</v>
      </c>
      <c r="M628">
        <v>3</v>
      </c>
      <c r="N628">
        <v>0.02</v>
      </c>
      <c r="O628" t="str">
        <f t="shared" si="19"/>
        <v>0–0.2 hours</v>
      </c>
      <c r="P628" t="s">
        <v>52</v>
      </c>
    </row>
    <row r="629" spans="1:16" x14ac:dyDescent="0.4">
      <c r="A629" t="s">
        <v>670</v>
      </c>
      <c r="B629">
        <v>50</v>
      </c>
      <c r="C629" t="s">
        <v>15</v>
      </c>
      <c r="D629" t="s">
        <v>22</v>
      </c>
      <c r="E629">
        <v>8.77</v>
      </c>
      <c r="F629">
        <v>42</v>
      </c>
      <c r="G629" t="s">
        <v>70</v>
      </c>
      <c r="H629" t="s">
        <v>57</v>
      </c>
      <c r="I629" s="2">
        <v>13.99</v>
      </c>
      <c r="J629">
        <v>1</v>
      </c>
      <c r="K629" s="2">
        <f t="shared" si="18"/>
        <v>13.99</v>
      </c>
      <c r="L629" t="s">
        <v>43</v>
      </c>
      <c r="M629">
        <v>2</v>
      </c>
      <c r="N629">
        <v>0.2</v>
      </c>
      <c r="O629" t="str">
        <f t="shared" si="19"/>
        <v>0–0.2 hours</v>
      </c>
      <c r="P629" t="s">
        <v>20</v>
      </c>
    </row>
    <row r="630" spans="1:16" x14ac:dyDescent="0.4">
      <c r="A630" t="s">
        <v>671</v>
      </c>
      <c r="B630">
        <v>64</v>
      </c>
      <c r="C630" t="s">
        <v>41</v>
      </c>
      <c r="D630" t="s">
        <v>16</v>
      </c>
      <c r="E630">
        <v>1.02</v>
      </c>
      <c r="F630">
        <v>16</v>
      </c>
      <c r="G630" t="s">
        <v>70</v>
      </c>
      <c r="H630" t="s">
        <v>18</v>
      </c>
      <c r="I630" s="2">
        <v>8.99</v>
      </c>
      <c r="J630">
        <v>1</v>
      </c>
      <c r="K630" s="2">
        <f t="shared" si="18"/>
        <v>8.99</v>
      </c>
      <c r="L630" t="s">
        <v>19</v>
      </c>
      <c r="M630">
        <v>4</v>
      </c>
      <c r="N630">
        <v>0.06</v>
      </c>
      <c r="O630" t="str">
        <f t="shared" si="19"/>
        <v>0–0.2 hours</v>
      </c>
      <c r="P630" t="s">
        <v>25</v>
      </c>
    </row>
    <row r="631" spans="1:16" x14ac:dyDescent="0.4">
      <c r="A631" t="s">
        <v>672</v>
      </c>
      <c r="B631">
        <v>64</v>
      </c>
      <c r="C631" t="s">
        <v>27</v>
      </c>
      <c r="D631" t="s">
        <v>32</v>
      </c>
      <c r="E631">
        <v>6.71</v>
      </c>
      <c r="F631">
        <v>42</v>
      </c>
      <c r="G631" t="s">
        <v>70</v>
      </c>
      <c r="H631" t="s">
        <v>18</v>
      </c>
      <c r="I631" s="2">
        <v>17.989999999999998</v>
      </c>
      <c r="J631">
        <v>0</v>
      </c>
      <c r="K631" s="2">
        <f t="shared" si="18"/>
        <v>0</v>
      </c>
      <c r="L631" t="s">
        <v>43</v>
      </c>
      <c r="M631">
        <v>5</v>
      </c>
      <c r="N631">
        <v>0.16</v>
      </c>
      <c r="O631" t="str">
        <f t="shared" si="19"/>
        <v>0–0.2 hours</v>
      </c>
      <c r="P631" t="s">
        <v>52</v>
      </c>
    </row>
    <row r="632" spans="1:16" x14ac:dyDescent="0.4">
      <c r="A632" t="s">
        <v>673</v>
      </c>
      <c r="B632">
        <v>54</v>
      </c>
      <c r="C632" t="s">
        <v>41</v>
      </c>
      <c r="D632" t="s">
        <v>22</v>
      </c>
      <c r="E632">
        <v>9.7799999999999994</v>
      </c>
      <c r="F632">
        <v>56</v>
      </c>
      <c r="G632" t="s">
        <v>17</v>
      </c>
      <c r="H632" t="s">
        <v>24</v>
      </c>
      <c r="I632" s="2">
        <v>13.99</v>
      </c>
      <c r="J632">
        <v>0</v>
      </c>
      <c r="K632" s="2">
        <f t="shared" si="18"/>
        <v>0</v>
      </c>
      <c r="L632" t="s">
        <v>37</v>
      </c>
      <c r="M632">
        <v>5</v>
      </c>
      <c r="N632">
        <v>0.17</v>
      </c>
      <c r="O632" t="str">
        <f t="shared" si="19"/>
        <v>0–0.2 hours</v>
      </c>
      <c r="P632" t="s">
        <v>52</v>
      </c>
    </row>
    <row r="633" spans="1:16" x14ac:dyDescent="0.4">
      <c r="A633" t="s">
        <v>674</v>
      </c>
      <c r="B633">
        <v>28</v>
      </c>
      <c r="C633" t="s">
        <v>27</v>
      </c>
      <c r="D633" t="s">
        <v>16</v>
      </c>
      <c r="E633">
        <v>2.97</v>
      </c>
      <c r="F633">
        <v>23</v>
      </c>
      <c r="G633" t="s">
        <v>23</v>
      </c>
      <c r="H633" t="s">
        <v>57</v>
      </c>
      <c r="I633" s="2">
        <v>8.99</v>
      </c>
      <c r="J633">
        <v>1</v>
      </c>
      <c r="K633" s="2">
        <f t="shared" si="18"/>
        <v>8.99</v>
      </c>
      <c r="L633" t="s">
        <v>61</v>
      </c>
      <c r="M633">
        <v>5</v>
      </c>
      <c r="N633">
        <v>0.12</v>
      </c>
      <c r="O633" t="str">
        <f t="shared" si="19"/>
        <v>0–0.2 hours</v>
      </c>
      <c r="P633" t="s">
        <v>39</v>
      </c>
    </row>
    <row r="634" spans="1:16" x14ac:dyDescent="0.4">
      <c r="A634" t="s">
        <v>675</v>
      </c>
      <c r="B634">
        <v>62</v>
      </c>
      <c r="C634" t="s">
        <v>27</v>
      </c>
      <c r="D634" t="s">
        <v>32</v>
      </c>
      <c r="E634">
        <v>4.75</v>
      </c>
      <c r="F634">
        <v>0</v>
      </c>
      <c r="G634" t="s">
        <v>49</v>
      </c>
      <c r="H634" t="s">
        <v>24</v>
      </c>
      <c r="I634" s="2">
        <v>17.989999999999998</v>
      </c>
      <c r="J634">
        <v>0</v>
      </c>
      <c r="K634" s="2">
        <f t="shared" si="18"/>
        <v>0</v>
      </c>
      <c r="L634" t="s">
        <v>19</v>
      </c>
      <c r="M634">
        <v>2</v>
      </c>
      <c r="N634">
        <v>4.75</v>
      </c>
      <c r="O634" t="str">
        <f t="shared" si="19"/>
        <v>1+ hours</v>
      </c>
      <c r="P634" t="s">
        <v>47</v>
      </c>
    </row>
    <row r="635" spans="1:16" x14ac:dyDescent="0.4">
      <c r="A635" t="s">
        <v>676</v>
      </c>
      <c r="B635">
        <v>48</v>
      </c>
      <c r="C635" t="s">
        <v>15</v>
      </c>
      <c r="D635" t="s">
        <v>32</v>
      </c>
      <c r="E635">
        <v>0.71</v>
      </c>
      <c r="F635">
        <v>24</v>
      </c>
      <c r="G635" t="s">
        <v>17</v>
      </c>
      <c r="H635" t="s">
        <v>24</v>
      </c>
      <c r="I635" s="2">
        <v>17.989999999999998</v>
      </c>
      <c r="J635">
        <v>1</v>
      </c>
      <c r="K635" s="2">
        <f t="shared" si="18"/>
        <v>17.989999999999998</v>
      </c>
      <c r="L635" t="s">
        <v>43</v>
      </c>
      <c r="M635">
        <v>2</v>
      </c>
      <c r="N635">
        <v>0.03</v>
      </c>
      <c r="O635" t="str">
        <f t="shared" si="19"/>
        <v>0–0.2 hours</v>
      </c>
      <c r="P635" t="s">
        <v>25</v>
      </c>
    </row>
    <row r="636" spans="1:16" x14ac:dyDescent="0.4">
      <c r="A636" t="s">
        <v>677</v>
      </c>
      <c r="B636">
        <v>29</v>
      </c>
      <c r="C636" t="s">
        <v>27</v>
      </c>
      <c r="D636" t="s">
        <v>32</v>
      </c>
      <c r="E636">
        <v>54.65</v>
      </c>
      <c r="F636">
        <v>49</v>
      </c>
      <c r="G636" t="s">
        <v>17</v>
      </c>
      <c r="H636" t="s">
        <v>57</v>
      </c>
      <c r="I636" s="2">
        <v>17.989999999999998</v>
      </c>
      <c r="J636">
        <v>0</v>
      </c>
      <c r="K636" s="2">
        <f t="shared" si="18"/>
        <v>0</v>
      </c>
      <c r="L636" t="s">
        <v>37</v>
      </c>
      <c r="M636">
        <v>5</v>
      </c>
      <c r="N636">
        <v>1.0900000000000001</v>
      </c>
      <c r="O636" t="str">
        <f t="shared" si="19"/>
        <v>1+ hours</v>
      </c>
      <c r="P636" t="s">
        <v>47</v>
      </c>
    </row>
    <row r="637" spans="1:16" x14ac:dyDescent="0.4">
      <c r="A637" t="s">
        <v>678</v>
      </c>
      <c r="B637">
        <v>53</v>
      </c>
      <c r="C637" t="s">
        <v>27</v>
      </c>
      <c r="D637" t="s">
        <v>22</v>
      </c>
      <c r="E637">
        <v>1.49</v>
      </c>
      <c r="F637">
        <v>14</v>
      </c>
      <c r="G637" t="s">
        <v>70</v>
      </c>
      <c r="H637" t="s">
        <v>55</v>
      </c>
      <c r="I637" s="2">
        <v>13.99</v>
      </c>
      <c r="J637">
        <v>1</v>
      </c>
      <c r="K637" s="2">
        <f t="shared" si="18"/>
        <v>13.99</v>
      </c>
      <c r="L637" t="s">
        <v>19</v>
      </c>
      <c r="M637">
        <v>2</v>
      </c>
      <c r="N637">
        <v>0.1</v>
      </c>
      <c r="O637" t="str">
        <f t="shared" si="19"/>
        <v>0–0.2 hours</v>
      </c>
      <c r="P637" t="s">
        <v>20</v>
      </c>
    </row>
    <row r="638" spans="1:16" x14ac:dyDescent="0.4">
      <c r="A638" t="s">
        <v>679</v>
      </c>
      <c r="B638">
        <v>42</v>
      </c>
      <c r="C638" t="s">
        <v>15</v>
      </c>
      <c r="D638" t="s">
        <v>22</v>
      </c>
      <c r="E638">
        <v>1.1100000000000001</v>
      </c>
      <c r="F638">
        <v>14</v>
      </c>
      <c r="G638" t="s">
        <v>33</v>
      </c>
      <c r="H638" t="s">
        <v>24</v>
      </c>
      <c r="I638" s="2">
        <v>13.99</v>
      </c>
      <c r="J638">
        <v>1</v>
      </c>
      <c r="K638" s="2">
        <f t="shared" si="18"/>
        <v>13.99</v>
      </c>
      <c r="L638" t="s">
        <v>19</v>
      </c>
      <c r="M638">
        <v>2</v>
      </c>
      <c r="N638">
        <v>7.0000000000000007E-2</v>
      </c>
      <c r="O638" t="str">
        <f t="shared" si="19"/>
        <v>0–0.2 hours</v>
      </c>
      <c r="P638" t="s">
        <v>30</v>
      </c>
    </row>
    <row r="639" spans="1:16" x14ac:dyDescent="0.4">
      <c r="A639" t="s">
        <v>680</v>
      </c>
      <c r="B639">
        <v>19</v>
      </c>
      <c r="C639" t="s">
        <v>15</v>
      </c>
      <c r="D639" t="s">
        <v>32</v>
      </c>
      <c r="E639">
        <v>7.32</v>
      </c>
      <c r="F639">
        <v>39</v>
      </c>
      <c r="G639" t="s">
        <v>70</v>
      </c>
      <c r="H639" t="s">
        <v>18</v>
      </c>
      <c r="I639" s="2">
        <v>17.989999999999998</v>
      </c>
      <c r="J639">
        <v>0</v>
      </c>
      <c r="K639" s="2">
        <f t="shared" si="18"/>
        <v>0</v>
      </c>
      <c r="L639" t="s">
        <v>61</v>
      </c>
      <c r="M639">
        <v>4</v>
      </c>
      <c r="N639">
        <v>0.18</v>
      </c>
      <c r="O639" t="str">
        <f t="shared" si="19"/>
        <v>0–0.2 hours</v>
      </c>
      <c r="P639" t="s">
        <v>52</v>
      </c>
    </row>
    <row r="640" spans="1:16" x14ac:dyDescent="0.4">
      <c r="A640" t="s">
        <v>681</v>
      </c>
      <c r="B640">
        <v>26</v>
      </c>
      <c r="C640" t="s">
        <v>41</v>
      </c>
      <c r="D640" t="s">
        <v>22</v>
      </c>
      <c r="E640">
        <v>1.71</v>
      </c>
      <c r="F640">
        <v>52</v>
      </c>
      <c r="G640" t="s">
        <v>17</v>
      </c>
      <c r="H640" t="s">
        <v>24</v>
      </c>
      <c r="I640" s="2">
        <v>13.99</v>
      </c>
      <c r="J640">
        <v>1</v>
      </c>
      <c r="K640" s="2">
        <f t="shared" si="18"/>
        <v>13.99</v>
      </c>
      <c r="L640" t="s">
        <v>61</v>
      </c>
      <c r="M640">
        <v>2</v>
      </c>
      <c r="N640">
        <v>0.03</v>
      </c>
      <c r="O640" t="str">
        <f t="shared" si="19"/>
        <v>0–0.2 hours</v>
      </c>
      <c r="P640" t="s">
        <v>30</v>
      </c>
    </row>
    <row r="641" spans="1:16" x14ac:dyDescent="0.4">
      <c r="A641" t="s">
        <v>682</v>
      </c>
      <c r="B641">
        <v>61</v>
      </c>
      <c r="C641" t="s">
        <v>27</v>
      </c>
      <c r="D641" t="s">
        <v>22</v>
      </c>
      <c r="E641">
        <v>6.53</v>
      </c>
      <c r="F641">
        <v>14</v>
      </c>
      <c r="G641" t="s">
        <v>28</v>
      </c>
      <c r="H641" t="s">
        <v>18</v>
      </c>
      <c r="I641" s="2">
        <v>13.99</v>
      </c>
      <c r="J641">
        <v>0</v>
      </c>
      <c r="K641" s="2">
        <f t="shared" si="18"/>
        <v>0</v>
      </c>
      <c r="L641" t="s">
        <v>61</v>
      </c>
      <c r="M641">
        <v>3</v>
      </c>
      <c r="N641">
        <v>0.44</v>
      </c>
      <c r="O641" t="str">
        <f t="shared" si="19"/>
        <v>0.4–0.6 hours</v>
      </c>
      <c r="P641" t="s">
        <v>25</v>
      </c>
    </row>
    <row r="642" spans="1:16" x14ac:dyDescent="0.4">
      <c r="A642" t="s">
        <v>683</v>
      </c>
      <c r="B642">
        <v>19</v>
      </c>
      <c r="C642" t="s">
        <v>41</v>
      </c>
      <c r="D642" t="s">
        <v>22</v>
      </c>
      <c r="E642">
        <v>15.85</v>
      </c>
      <c r="F642">
        <v>43</v>
      </c>
      <c r="G642" t="s">
        <v>33</v>
      </c>
      <c r="H642" t="s">
        <v>55</v>
      </c>
      <c r="I642" s="2">
        <v>13.99</v>
      </c>
      <c r="J642">
        <v>1</v>
      </c>
      <c r="K642" s="2">
        <f t="shared" si="18"/>
        <v>13.99</v>
      </c>
      <c r="L642" t="s">
        <v>19</v>
      </c>
      <c r="M642">
        <v>2</v>
      </c>
      <c r="N642">
        <v>0.36</v>
      </c>
      <c r="O642" t="str">
        <f t="shared" si="19"/>
        <v>0.2–0.4 hours</v>
      </c>
      <c r="P642" t="s">
        <v>47</v>
      </c>
    </row>
    <row r="643" spans="1:16" x14ac:dyDescent="0.4">
      <c r="A643" t="s">
        <v>684</v>
      </c>
      <c r="B643">
        <v>46</v>
      </c>
      <c r="C643" t="s">
        <v>27</v>
      </c>
      <c r="D643" t="s">
        <v>22</v>
      </c>
      <c r="E643">
        <v>7.59</v>
      </c>
      <c r="F643">
        <v>3</v>
      </c>
      <c r="G643" t="s">
        <v>33</v>
      </c>
      <c r="H643" t="s">
        <v>46</v>
      </c>
      <c r="I643" s="2">
        <v>13.99</v>
      </c>
      <c r="J643">
        <v>0</v>
      </c>
      <c r="K643" s="2">
        <f t="shared" ref="K643:K706" si="20">SUMIF(J643,1,I643)</f>
        <v>0</v>
      </c>
      <c r="L643" t="s">
        <v>29</v>
      </c>
      <c r="M643">
        <v>3</v>
      </c>
      <c r="N643">
        <v>1.9</v>
      </c>
      <c r="O643" t="str">
        <f t="shared" ref="O643:O706" si="21">IF(N643&gt;1,"1+ hours",IF(N643&lt;=0.2,"0–0.2 hours",IF(N643&lt;=0.4,"0.2–0.4 hours",IF(N643&lt;=0.6,"0.4–0.6 hours",IF(N643&lt;=0.8,"0.6–0.8 hours","0.8–1 hour")))))</f>
        <v>1+ hours</v>
      </c>
      <c r="P643" t="s">
        <v>47</v>
      </c>
    </row>
    <row r="644" spans="1:16" x14ac:dyDescent="0.4">
      <c r="A644" t="s">
        <v>685</v>
      </c>
      <c r="B644">
        <v>63</v>
      </c>
      <c r="C644" t="s">
        <v>27</v>
      </c>
      <c r="D644" t="s">
        <v>22</v>
      </c>
      <c r="E644">
        <v>16.91</v>
      </c>
      <c r="F644">
        <v>20</v>
      </c>
      <c r="G644" t="s">
        <v>70</v>
      </c>
      <c r="H644" t="s">
        <v>55</v>
      </c>
      <c r="I644" s="2">
        <v>13.99</v>
      </c>
      <c r="J644">
        <v>0</v>
      </c>
      <c r="K644" s="2">
        <f t="shared" si="20"/>
        <v>0</v>
      </c>
      <c r="L644" t="s">
        <v>19</v>
      </c>
      <c r="M644">
        <v>1</v>
      </c>
      <c r="N644">
        <v>0.81</v>
      </c>
      <c r="O644" t="str">
        <f t="shared" si="21"/>
        <v>0.8–1 hour</v>
      </c>
      <c r="P644" t="s">
        <v>34</v>
      </c>
    </row>
    <row r="645" spans="1:16" x14ac:dyDescent="0.4">
      <c r="A645" t="s">
        <v>686</v>
      </c>
      <c r="B645">
        <v>56</v>
      </c>
      <c r="C645" t="s">
        <v>27</v>
      </c>
      <c r="D645" t="s">
        <v>32</v>
      </c>
      <c r="E645">
        <v>24.68</v>
      </c>
      <c r="F645">
        <v>9</v>
      </c>
      <c r="G645" t="s">
        <v>23</v>
      </c>
      <c r="H645" t="s">
        <v>24</v>
      </c>
      <c r="I645" s="2">
        <v>17.989999999999998</v>
      </c>
      <c r="J645">
        <v>0</v>
      </c>
      <c r="K645" s="2">
        <f t="shared" si="20"/>
        <v>0</v>
      </c>
      <c r="L645" t="s">
        <v>61</v>
      </c>
      <c r="M645">
        <v>1</v>
      </c>
      <c r="N645">
        <v>2.4700000000000002</v>
      </c>
      <c r="O645" t="str">
        <f t="shared" si="21"/>
        <v>1+ hours</v>
      </c>
      <c r="P645" t="s">
        <v>30</v>
      </c>
    </row>
    <row r="646" spans="1:16" x14ac:dyDescent="0.4">
      <c r="A646" t="s">
        <v>687</v>
      </c>
      <c r="B646">
        <v>18</v>
      </c>
      <c r="C646" t="s">
        <v>15</v>
      </c>
      <c r="D646" t="s">
        <v>22</v>
      </c>
      <c r="E646">
        <v>1.62</v>
      </c>
      <c r="F646">
        <v>20</v>
      </c>
      <c r="G646" t="s">
        <v>28</v>
      </c>
      <c r="H646" t="s">
        <v>24</v>
      </c>
      <c r="I646" s="2">
        <v>13.99</v>
      </c>
      <c r="J646">
        <v>1</v>
      </c>
      <c r="K646" s="2">
        <f t="shared" si="20"/>
        <v>13.99</v>
      </c>
      <c r="L646" t="s">
        <v>29</v>
      </c>
      <c r="M646">
        <v>1</v>
      </c>
      <c r="N646">
        <v>0.08</v>
      </c>
      <c r="O646" t="str">
        <f t="shared" si="21"/>
        <v>0–0.2 hours</v>
      </c>
      <c r="P646" t="s">
        <v>52</v>
      </c>
    </row>
    <row r="647" spans="1:16" x14ac:dyDescent="0.4">
      <c r="A647" t="s">
        <v>688</v>
      </c>
      <c r="B647">
        <v>59</v>
      </c>
      <c r="C647" t="s">
        <v>27</v>
      </c>
      <c r="D647" t="s">
        <v>32</v>
      </c>
      <c r="E647">
        <v>16.39</v>
      </c>
      <c r="F647">
        <v>40</v>
      </c>
      <c r="G647" t="s">
        <v>28</v>
      </c>
      <c r="H647" t="s">
        <v>46</v>
      </c>
      <c r="I647" s="2">
        <v>17.989999999999998</v>
      </c>
      <c r="J647">
        <v>0</v>
      </c>
      <c r="K647" s="2">
        <f t="shared" si="20"/>
        <v>0</v>
      </c>
      <c r="L647" t="s">
        <v>37</v>
      </c>
      <c r="M647">
        <v>5</v>
      </c>
      <c r="N647">
        <v>0.4</v>
      </c>
      <c r="O647" t="str">
        <f t="shared" si="21"/>
        <v>0.2–0.4 hours</v>
      </c>
      <c r="P647" t="s">
        <v>34</v>
      </c>
    </row>
    <row r="648" spans="1:16" x14ac:dyDescent="0.4">
      <c r="A648" t="s">
        <v>689</v>
      </c>
      <c r="B648">
        <v>39</v>
      </c>
      <c r="C648" t="s">
        <v>27</v>
      </c>
      <c r="D648" t="s">
        <v>16</v>
      </c>
      <c r="E648">
        <v>1.28</v>
      </c>
      <c r="F648">
        <v>45</v>
      </c>
      <c r="G648" t="s">
        <v>17</v>
      </c>
      <c r="H648" t="s">
        <v>18</v>
      </c>
      <c r="I648" s="2">
        <v>8.99</v>
      </c>
      <c r="J648">
        <v>1</v>
      </c>
      <c r="K648" s="2">
        <f t="shared" si="20"/>
        <v>8.99</v>
      </c>
      <c r="L648" t="s">
        <v>19</v>
      </c>
      <c r="M648">
        <v>5</v>
      </c>
      <c r="N648">
        <v>0.03</v>
      </c>
      <c r="O648" t="str">
        <f t="shared" si="21"/>
        <v>0–0.2 hours</v>
      </c>
      <c r="P648" t="s">
        <v>34</v>
      </c>
    </row>
    <row r="649" spans="1:16" x14ac:dyDescent="0.4">
      <c r="A649" t="s">
        <v>690</v>
      </c>
      <c r="B649">
        <v>33</v>
      </c>
      <c r="C649" t="s">
        <v>27</v>
      </c>
      <c r="D649" t="s">
        <v>32</v>
      </c>
      <c r="E649">
        <v>25.15</v>
      </c>
      <c r="F649">
        <v>0</v>
      </c>
      <c r="G649" t="s">
        <v>70</v>
      </c>
      <c r="H649" t="s">
        <v>18</v>
      </c>
      <c r="I649" s="2">
        <v>17.989999999999998</v>
      </c>
      <c r="J649">
        <v>0</v>
      </c>
      <c r="K649" s="2">
        <f t="shared" si="20"/>
        <v>0</v>
      </c>
      <c r="L649" t="s">
        <v>29</v>
      </c>
      <c r="M649">
        <v>1</v>
      </c>
      <c r="N649">
        <v>25.15</v>
      </c>
      <c r="O649" t="str">
        <f t="shared" si="21"/>
        <v>1+ hours</v>
      </c>
      <c r="P649" t="s">
        <v>47</v>
      </c>
    </row>
    <row r="650" spans="1:16" x14ac:dyDescent="0.4">
      <c r="A650" t="s">
        <v>691</v>
      </c>
      <c r="B650">
        <v>19</v>
      </c>
      <c r="C650" t="s">
        <v>27</v>
      </c>
      <c r="D650" t="s">
        <v>16</v>
      </c>
      <c r="E650">
        <v>8.01</v>
      </c>
      <c r="F650">
        <v>47</v>
      </c>
      <c r="G650" t="s">
        <v>23</v>
      </c>
      <c r="H650" t="s">
        <v>57</v>
      </c>
      <c r="I650" s="2">
        <v>8.99</v>
      </c>
      <c r="J650">
        <v>1</v>
      </c>
      <c r="K650" s="2">
        <f t="shared" si="20"/>
        <v>8.99</v>
      </c>
      <c r="L650" t="s">
        <v>37</v>
      </c>
      <c r="M650">
        <v>2</v>
      </c>
      <c r="N650">
        <v>0.17</v>
      </c>
      <c r="O650" t="str">
        <f t="shared" si="21"/>
        <v>0–0.2 hours</v>
      </c>
      <c r="P650" t="s">
        <v>25</v>
      </c>
    </row>
    <row r="651" spans="1:16" x14ac:dyDescent="0.4">
      <c r="A651" t="s">
        <v>692</v>
      </c>
      <c r="B651">
        <v>27</v>
      </c>
      <c r="C651" t="s">
        <v>27</v>
      </c>
      <c r="D651" t="s">
        <v>22</v>
      </c>
      <c r="E651">
        <v>4.07</v>
      </c>
      <c r="F651">
        <v>42</v>
      </c>
      <c r="G651" t="s">
        <v>70</v>
      </c>
      <c r="H651" t="s">
        <v>55</v>
      </c>
      <c r="I651" s="2">
        <v>13.99</v>
      </c>
      <c r="J651">
        <v>1</v>
      </c>
      <c r="K651" s="2">
        <f t="shared" si="20"/>
        <v>13.99</v>
      </c>
      <c r="L651" t="s">
        <v>29</v>
      </c>
      <c r="M651">
        <v>5</v>
      </c>
      <c r="N651">
        <v>0.09</v>
      </c>
      <c r="O651" t="str">
        <f t="shared" si="21"/>
        <v>0–0.2 hours</v>
      </c>
      <c r="P651" t="s">
        <v>30</v>
      </c>
    </row>
    <row r="652" spans="1:16" x14ac:dyDescent="0.4">
      <c r="A652" t="s">
        <v>693</v>
      </c>
      <c r="B652">
        <v>70</v>
      </c>
      <c r="C652" t="s">
        <v>41</v>
      </c>
      <c r="D652" t="s">
        <v>16</v>
      </c>
      <c r="E652">
        <v>15.81</v>
      </c>
      <c r="F652">
        <v>44</v>
      </c>
      <c r="G652" t="s">
        <v>17</v>
      </c>
      <c r="H652" t="s">
        <v>57</v>
      </c>
      <c r="I652" s="2">
        <v>8.99</v>
      </c>
      <c r="J652">
        <v>1</v>
      </c>
      <c r="K652" s="2">
        <f t="shared" si="20"/>
        <v>8.99</v>
      </c>
      <c r="L652" t="s">
        <v>29</v>
      </c>
      <c r="M652">
        <v>1</v>
      </c>
      <c r="N652">
        <v>0.35</v>
      </c>
      <c r="O652" t="str">
        <f t="shared" si="21"/>
        <v>0.2–0.4 hours</v>
      </c>
      <c r="P652" t="s">
        <v>52</v>
      </c>
    </row>
    <row r="653" spans="1:16" x14ac:dyDescent="0.4">
      <c r="A653" t="s">
        <v>694</v>
      </c>
      <c r="B653">
        <v>64</v>
      </c>
      <c r="C653" t="s">
        <v>41</v>
      </c>
      <c r="D653" t="s">
        <v>22</v>
      </c>
      <c r="E653">
        <v>30.64</v>
      </c>
      <c r="F653">
        <v>50</v>
      </c>
      <c r="G653" t="s">
        <v>49</v>
      </c>
      <c r="H653" t="s">
        <v>46</v>
      </c>
      <c r="I653" s="2">
        <v>13.99</v>
      </c>
      <c r="J653">
        <v>0</v>
      </c>
      <c r="K653" s="2">
        <f t="shared" si="20"/>
        <v>0</v>
      </c>
      <c r="L653" t="s">
        <v>43</v>
      </c>
      <c r="M653">
        <v>3</v>
      </c>
      <c r="N653">
        <v>0.6</v>
      </c>
      <c r="O653" t="str">
        <f t="shared" si="21"/>
        <v>0.4–0.6 hours</v>
      </c>
      <c r="P653" t="s">
        <v>47</v>
      </c>
    </row>
    <row r="654" spans="1:16" x14ac:dyDescent="0.4">
      <c r="A654" t="s">
        <v>695</v>
      </c>
      <c r="B654">
        <v>66</v>
      </c>
      <c r="C654" t="s">
        <v>15</v>
      </c>
      <c r="D654" t="s">
        <v>16</v>
      </c>
      <c r="E654">
        <v>8.0299999999999994</v>
      </c>
      <c r="F654">
        <v>7</v>
      </c>
      <c r="G654" t="s">
        <v>17</v>
      </c>
      <c r="H654" t="s">
        <v>24</v>
      </c>
      <c r="I654" s="2">
        <v>8.99</v>
      </c>
      <c r="J654">
        <v>0</v>
      </c>
      <c r="K654" s="2">
        <f t="shared" si="20"/>
        <v>0</v>
      </c>
      <c r="L654" t="s">
        <v>29</v>
      </c>
      <c r="M654">
        <v>4</v>
      </c>
      <c r="N654">
        <v>1</v>
      </c>
      <c r="O654" t="str">
        <f t="shared" si="21"/>
        <v>0.8–1 hour</v>
      </c>
      <c r="P654" t="s">
        <v>34</v>
      </c>
    </row>
    <row r="655" spans="1:16" x14ac:dyDescent="0.4">
      <c r="A655" t="s">
        <v>696</v>
      </c>
      <c r="B655">
        <v>63</v>
      </c>
      <c r="C655" t="s">
        <v>15</v>
      </c>
      <c r="D655" t="s">
        <v>32</v>
      </c>
      <c r="E655">
        <v>15.63</v>
      </c>
      <c r="F655">
        <v>22</v>
      </c>
      <c r="G655" t="s">
        <v>49</v>
      </c>
      <c r="H655" t="s">
        <v>55</v>
      </c>
      <c r="I655" s="2">
        <v>17.989999999999998</v>
      </c>
      <c r="J655">
        <v>0</v>
      </c>
      <c r="K655" s="2">
        <f t="shared" si="20"/>
        <v>0</v>
      </c>
      <c r="L655" t="s">
        <v>29</v>
      </c>
      <c r="M655">
        <v>2</v>
      </c>
      <c r="N655">
        <v>0.68</v>
      </c>
      <c r="O655" t="str">
        <f t="shared" si="21"/>
        <v>0.6–0.8 hours</v>
      </c>
      <c r="P655" t="s">
        <v>52</v>
      </c>
    </row>
    <row r="656" spans="1:16" x14ac:dyDescent="0.4">
      <c r="A656" t="s">
        <v>697</v>
      </c>
      <c r="B656">
        <v>48</v>
      </c>
      <c r="C656" t="s">
        <v>27</v>
      </c>
      <c r="D656" t="s">
        <v>16</v>
      </c>
      <c r="E656">
        <v>0.23</v>
      </c>
      <c r="F656">
        <v>37</v>
      </c>
      <c r="G656" t="s">
        <v>23</v>
      </c>
      <c r="H656" t="s">
        <v>24</v>
      </c>
      <c r="I656" s="2">
        <v>8.99</v>
      </c>
      <c r="J656">
        <v>1</v>
      </c>
      <c r="K656" s="2">
        <f t="shared" si="20"/>
        <v>8.99</v>
      </c>
      <c r="L656" t="s">
        <v>61</v>
      </c>
      <c r="M656">
        <v>2</v>
      </c>
      <c r="N656">
        <v>0.01</v>
      </c>
      <c r="O656" t="str">
        <f t="shared" si="21"/>
        <v>0–0.2 hours</v>
      </c>
      <c r="P656" t="s">
        <v>20</v>
      </c>
    </row>
    <row r="657" spans="1:16" x14ac:dyDescent="0.4">
      <c r="A657" t="s">
        <v>698</v>
      </c>
      <c r="B657">
        <v>57</v>
      </c>
      <c r="C657" t="s">
        <v>41</v>
      </c>
      <c r="D657" t="s">
        <v>16</v>
      </c>
      <c r="E657">
        <v>12.33</v>
      </c>
      <c r="F657">
        <v>4</v>
      </c>
      <c r="G657" t="s">
        <v>49</v>
      </c>
      <c r="H657" t="s">
        <v>55</v>
      </c>
      <c r="I657" s="2">
        <v>8.99</v>
      </c>
      <c r="J657">
        <v>0</v>
      </c>
      <c r="K657" s="2">
        <f t="shared" si="20"/>
        <v>0</v>
      </c>
      <c r="L657" t="s">
        <v>29</v>
      </c>
      <c r="M657">
        <v>2</v>
      </c>
      <c r="N657">
        <v>2.4700000000000002</v>
      </c>
      <c r="O657" t="str">
        <f t="shared" si="21"/>
        <v>1+ hours</v>
      </c>
      <c r="P657" t="s">
        <v>30</v>
      </c>
    </row>
    <row r="658" spans="1:16" x14ac:dyDescent="0.4">
      <c r="A658" t="s">
        <v>699</v>
      </c>
      <c r="B658">
        <v>25</v>
      </c>
      <c r="C658" t="s">
        <v>27</v>
      </c>
      <c r="D658" t="s">
        <v>32</v>
      </c>
      <c r="E658">
        <v>4.43</v>
      </c>
      <c r="F658">
        <v>11</v>
      </c>
      <c r="G658" t="s">
        <v>28</v>
      </c>
      <c r="H658" t="s">
        <v>18</v>
      </c>
      <c r="I658" s="2">
        <v>17.989999999999998</v>
      </c>
      <c r="J658">
        <v>0</v>
      </c>
      <c r="K658" s="2">
        <f t="shared" si="20"/>
        <v>0</v>
      </c>
      <c r="L658" t="s">
        <v>61</v>
      </c>
      <c r="M658">
        <v>5</v>
      </c>
      <c r="N658">
        <v>0.37</v>
      </c>
      <c r="O658" t="str">
        <f t="shared" si="21"/>
        <v>0.2–0.4 hours</v>
      </c>
      <c r="P658" t="s">
        <v>39</v>
      </c>
    </row>
    <row r="659" spans="1:16" x14ac:dyDescent="0.4">
      <c r="A659" t="s">
        <v>700</v>
      </c>
      <c r="B659">
        <v>25</v>
      </c>
      <c r="C659" t="s">
        <v>41</v>
      </c>
      <c r="D659" t="s">
        <v>16</v>
      </c>
      <c r="E659">
        <v>2.39</v>
      </c>
      <c r="F659">
        <v>8</v>
      </c>
      <c r="G659" t="s">
        <v>23</v>
      </c>
      <c r="H659" t="s">
        <v>46</v>
      </c>
      <c r="I659" s="2">
        <v>8.99</v>
      </c>
      <c r="J659">
        <v>1</v>
      </c>
      <c r="K659" s="2">
        <f t="shared" si="20"/>
        <v>8.99</v>
      </c>
      <c r="L659" t="s">
        <v>61</v>
      </c>
      <c r="M659">
        <v>1</v>
      </c>
      <c r="N659">
        <v>0.27</v>
      </c>
      <c r="O659" t="str">
        <f t="shared" si="21"/>
        <v>0.2–0.4 hours</v>
      </c>
      <c r="P659" t="s">
        <v>34</v>
      </c>
    </row>
    <row r="660" spans="1:16" x14ac:dyDescent="0.4">
      <c r="A660" t="s">
        <v>701</v>
      </c>
      <c r="B660">
        <v>55</v>
      </c>
      <c r="C660" t="s">
        <v>27</v>
      </c>
      <c r="D660" t="s">
        <v>32</v>
      </c>
      <c r="E660">
        <v>16.829999999999998</v>
      </c>
      <c r="F660">
        <v>16</v>
      </c>
      <c r="G660" t="s">
        <v>17</v>
      </c>
      <c r="H660" t="s">
        <v>24</v>
      </c>
      <c r="I660" s="2">
        <v>17.989999999999998</v>
      </c>
      <c r="J660">
        <v>0</v>
      </c>
      <c r="K660" s="2">
        <f t="shared" si="20"/>
        <v>0</v>
      </c>
      <c r="L660" t="s">
        <v>43</v>
      </c>
      <c r="M660">
        <v>4</v>
      </c>
      <c r="N660">
        <v>0.99</v>
      </c>
      <c r="O660" t="str">
        <f t="shared" si="21"/>
        <v>0.8–1 hour</v>
      </c>
      <c r="P660" t="s">
        <v>52</v>
      </c>
    </row>
    <row r="661" spans="1:16" x14ac:dyDescent="0.4">
      <c r="A661" t="s">
        <v>702</v>
      </c>
      <c r="B661">
        <v>65</v>
      </c>
      <c r="C661" t="s">
        <v>41</v>
      </c>
      <c r="D661" t="s">
        <v>32</v>
      </c>
      <c r="E661">
        <v>20.18</v>
      </c>
      <c r="F661">
        <v>4</v>
      </c>
      <c r="G661" t="s">
        <v>33</v>
      </c>
      <c r="H661" t="s">
        <v>24</v>
      </c>
      <c r="I661" s="2">
        <v>17.989999999999998</v>
      </c>
      <c r="J661">
        <v>0</v>
      </c>
      <c r="K661" s="2">
        <f t="shared" si="20"/>
        <v>0</v>
      </c>
      <c r="L661" t="s">
        <v>29</v>
      </c>
      <c r="M661">
        <v>4</v>
      </c>
      <c r="N661">
        <v>4.04</v>
      </c>
      <c r="O661" t="str">
        <f t="shared" si="21"/>
        <v>1+ hours</v>
      </c>
      <c r="P661" t="s">
        <v>30</v>
      </c>
    </row>
    <row r="662" spans="1:16" x14ac:dyDescent="0.4">
      <c r="A662" t="s">
        <v>703</v>
      </c>
      <c r="B662">
        <v>47</v>
      </c>
      <c r="C662" t="s">
        <v>41</v>
      </c>
      <c r="D662" t="s">
        <v>32</v>
      </c>
      <c r="E662">
        <v>3.88</v>
      </c>
      <c r="F662">
        <v>53</v>
      </c>
      <c r="G662" t="s">
        <v>70</v>
      </c>
      <c r="H662" t="s">
        <v>24</v>
      </c>
      <c r="I662" s="2">
        <v>17.989999999999998</v>
      </c>
      <c r="J662">
        <v>1</v>
      </c>
      <c r="K662" s="2">
        <f t="shared" si="20"/>
        <v>17.989999999999998</v>
      </c>
      <c r="L662" t="s">
        <v>29</v>
      </c>
      <c r="M662">
        <v>5</v>
      </c>
      <c r="N662">
        <v>7.0000000000000007E-2</v>
      </c>
      <c r="O662" t="str">
        <f t="shared" si="21"/>
        <v>0–0.2 hours</v>
      </c>
      <c r="P662" t="s">
        <v>52</v>
      </c>
    </row>
    <row r="663" spans="1:16" x14ac:dyDescent="0.4">
      <c r="A663" t="s">
        <v>704</v>
      </c>
      <c r="B663">
        <v>43</v>
      </c>
      <c r="C663" t="s">
        <v>41</v>
      </c>
      <c r="D663" t="s">
        <v>22</v>
      </c>
      <c r="E663">
        <v>8.99</v>
      </c>
      <c r="F663">
        <v>53</v>
      </c>
      <c r="G663" t="s">
        <v>70</v>
      </c>
      <c r="H663" t="s">
        <v>46</v>
      </c>
      <c r="I663" s="2">
        <v>13.99</v>
      </c>
      <c r="J663">
        <v>1</v>
      </c>
      <c r="K663" s="2">
        <f t="shared" si="20"/>
        <v>13.99</v>
      </c>
      <c r="L663" t="s">
        <v>29</v>
      </c>
      <c r="M663">
        <v>1</v>
      </c>
      <c r="N663">
        <v>0.17</v>
      </c>
      <c r="O663" t="str">
        <f t="shared" si="21"/>
        <v>0–0.2 hours</v>
      </c>
      <c r="P663" t="s">
        <v>20</v>
      </c>
    </row>
    <row r="664" spans="1:16" x14ac:dyDescent="0.4">
      <c r="A664" t="s">
        <v>705</v>
      </c>
      <c r="B664">
        <v>34</v>
      </c>
      <c r="C664" t="s">
        <v>15</v>
      </c>
      <c r="D664" t="s">
        <v>22</v>
      </c>
      <c r="E664">
        <v>12.65</v>
      </c>
      <c r="F664">
        <v>2</v>
      </c>
      <c r="G664" t="s">
        <v>49</v>
      </c>
      <c r="H664" t="s">
        <v>46</v>
      </c>
      <c r="I664" s="2">
        <v>13.99</v>
      </c>
      <c r="J664">
        <v>0</v>
      </c>
      <c r="K664" s="2">
        <f t="shared" si="20"/>
        <v>0</v>
      </c>
      <c r="L664" t="s">
        <v>37</v>
      </c>
      <c r="M664">
        <v>4</v>
      </c>
      <c r="N664">
        <v>4.22</v>
      </c>
      <c r="O664" t="str">
        <f t="shared" si="21"/>
        <v>1+ hours</v>
      </c>
      <c r="P664" t="s">
        <v>52</v>
      </c>
    </row>
    <row r="665" spans="1:16" x14ac:dyDescent="0.4">
      <c r="A665" t="s">
        <v>706</v>
      </c>
      <c r="B665">
        <v>24</v>
      </c>
      <c r="C665" t="s">
        <v>27</v>
      </c>
      <c r="D665" t="s">
        <v>16</v>
      </c>
      <c r="E665">
        <v>25.78</v>
      </c>
      <c r="F665">
        <v>8</v>
      </c>
      <c r="G665" t="s">
        <v>23</v>
      </c>
      <c r="H665" t="s">
        <v>46</v>
      </c>
      <c r="I665" s="2">
        <v>8.99</v>
      </c>
      <c r="J665">
        <v>0</v>
      </c>
      <c r="K665" s="2">
        <f t="shared" si="20"/>
        <v>0</v>
      </c>
      <c r="L665" t="s">
        <v>61</v>
      </c>
      <c r="M665">
        <v>3</v>
      </c>
      <c r="N665">
        <v>2.86</v>
      </c>
      <c r="O665" t="str">
        <f t="shared" si="21"/>
        <v>1+ hours</v>
      </c>
      <c r="P665" t="s">
        <v>34</v>
      </c>
    </row>
    <row r="666" spans="1:16" x14ac:dyDescent="0.4">
      <c r="A666" t="s">
        <v>707</v>
      </c>
      <c r="B666">
        <v>50</v>
      </c>
      <c r="C666" t="s">
        <v>27</v>
      </c>
      <c r="D666" t="s">
        <v>22</v>
      </c>
      <c r="E666">
        <v>0.27</v>
      </c>
      <c r="F666">
        <v>31</v>
      </c>
      <c r="G666" t="s">
        <v>49</v>
      </c>
      <c r="H666" t="s">
        <v>57</v>
      </c>
      <c r="I666" s="2">
        <v>13.99</v>
      </c>
      <c r="J666">
        <v>1</v>
      </c>
      <c r="K666" s="2">
        <f t="shared" si="20"/>
        <v>13.99</v>
      </c>
      <c r="L666" t="s">
        <v>29</v>
      </c>
      <c r="M666">
        <v>1</v>
      </c>
      <c r="N666">
        <v>0.01</v>
      </c>
      <c r="O666" t="str">
        <f t="shared" si="21"/>
        <v>0–0.2 hours</v>
      </c>
      <c r="P666" t="s">
        <v>39</v>
      </c>
    </row>
    <row r="667" spans="1:16" x14ac:dyDescent="0.4">
      <c r="A667" t="s">
        <v>708</v>
      </c>
      <c r="B667">
        <v>28</v>
      </c>
      <c r="C667" t="s">
        <v>41</v>
      </c>
      <c r="D667" t="s">
        <v>16</v>
      </c>
      <c r="E667">
        <v>29.12</v>
      </c>
      <c r="F667">
        <v>31</v>
      </c>
      <c r="G667" t="s">
        <v>17</v>
      </c>
      <c r="H667" t="s">
        <v>57</v>
      </c>
      <c r="I667" s="2">
        <v>8.99</v>
      </c>
      <c r="J667">
        <v>0</v>
      </c>
      <c r="K667" s="2">
        <f t="shared" si="20"/>
        <v>0</v>
      </c>
      <c r="L667" t="s">
        <v>43</v>
      </c>
      <c r="M667">
        <v>4</v>
      </c>
      <c r="N667">
        <v>0.91</v>
      </c>
      <c r="O667" t="str">
        <f t="shared" si="21"/>
        <v>0.8–1 hour</v>
      </c>
      <c r="P667" t="s">
        <v>52</v>
      </c>
    </row>
    <row r="668" spans="1:16" x14ac:dyDescent="0.4">
      <c r="A668" t="s">
        <v>709</v>
      </c>
      <c r="B668">
        <v>56</v>
      </c>
      <c r="C668" t="s">
        <v>27</v>
      </c>
      <c r="D668" t="s">
        <v>32</v>
      </c>
      <c r="E668">
        <v>2.98</v>
      </c>
      <c r="F668">
        <v>39</v>
      </c>
      <c r="G668" t="s">
        <v>23</v>
      </c>
      <c r="H668" t="s">
        <v>46</v>
      </c>
      <c r="I668" s="2">
        <v>17.989999999999998</v>
      </c>
      <c r="J668">
        <v>1</v>
      </c>
      <c r="K668" s="2">
        <f t="shared" si="20"/>
        <v>17.989999999999998</v>
      </c>
      <c r="L668" t="s">
        <v>43</v>
      </c>
      <c r="M668">
        <v>3</v>
      </c>
      <c r="N668">
        <v>7.0000000000000007E-2</v>
      </c>
      <c r="O668" t="str">
        <f t="shared" si="21"/>
        <v>0–0.2 hours</v>
      </c>
      <c r="P668" t="s">
        <v>47</v>
      </c>
    </row>
    <row r="669" spans="1:16" x14ac:dyDescent="0.4">
      <c r="A669" t="s">
        <v>710</v>
      </c>
      <c r="B669">
        <v>42</v>
      </c>
      <c r="C669" t="s">
        <v>41</v>
      </c>
      <c r="D669" t="s">
        <v>22</v>
      </c>
      <c r="E669">
        <v>1.65</v>
      </c>
      <c r="F669">
        <v>41</v>
      </c>
      <c r="G669" t="s">
        <v>17</v>
      </c>
      <c r="H669" t="s">
        <v>24</v>
      </c>
      <c r="I669" s="2">
        <v>13.99</v>
      </c>
      <c r="J669">
        <v>1</v>
      </c>
      <c r="K669" s="2">
        <f t="shared" si="20"/>
        <v>13.99</v>
      </c>
      <c r="L669" t="s">
        <v>43</v>
      </c>
      <c r="M669">
        <v>3</v>
      </c>
      <c r="N669">
        <v>0.04</v>
      </c>
      <c r="O669" t="str">
        <f t="shared" si="21"/>
        <v>0–0.2 hours</v>
      </c>
      <c r="P669" t="s">
        <v>20</v>
      </c>
    </row>
    <row r="670" spans="1:16" x14ac:dyDescent="0.4">
      <c r="A670" t="s">
        <v>711</v>
      </c>
      <c r="B670">
        <v>46</v>
      </c>
      <c r="C670" t="s">
        <v>15</v>
      </c>
      <c r="D670" t="s">
        <v>32</v>
      </c>
      <c r="E670">
        <v>5.98</v>
      </c>
      <c r="F670">
        <v>31</v>
      </c>
      <c r="G670" t="s">
        <v>28</v>
      </c>
      <c r="H670" t="s">
        <v>46</v>
      </c>
      <c r="I670" s="2">
        <v>17.989999999999998</v>
      </c>
      <c r="J670">
        <v>1</v>
      </c>
      <c r="K670" s="2">
        <f t="shared" si="20"/>
        <v>17.989999999999998</v>
      </c>
      <c r="L670" t="s">
        <v>43</v>
      </c>
      <c r="M670">
        <v>1</v>
      </c>
      <c r="N670">
        <v>0.19</v>
      </c>
      <c r="O670" t="str">
        <f t="shared" si="21"/>
        <v>0–0.2 hours</v>
      </c>
      <c r="P670" t="s">
        <v>47</v>
      </c>
    </row>
    <row r="671" spans="1:16" x14ac:dyDescent="0.4">
      <c r="A671" t="s">
        <v>712</v>
      </c>
      <c r="B671">
        <v>62</v>
      </c>
      <c r="C671" t="s">
        <v>41</v>
      </c>
      <c r="D671" t="s">
        <v>32</v>
      </c>
      <c r="E671">
        <v>29.21</v>
      </c>
      <c r="F671">
        <v>1</v>
      </c>
      <c r="G671" t="s">
        <v>49</v>
      </c>
      <c r="H671" t="s">
        <v>24</v>
      </c>
      <c r="I671" s="2">
        <v>17.989999999999998</v>
      </c>
      <c r="J671">
        <v>0</v>
      </c>
      <c r="K671" s="2">
        <f t="shared" si="20"/>
        <v>0</v>
      </c>
      <c r="L671" t="s">
        <v>19</v>
      </c>
      <c r="M671">
        <v>1</v>
      </c>
      <c r="N671">
        <v>14.61</v>
      </c>
      <c r="O671" t="str">
        <f t="shared" si="21"/>
        <v>1+ hours</v>
      </c>
      <c r="P671" t="s">
        <v>52</v>
      </c>
    </row>
    <row r="672" spans="1:16" x14ac:dyDescent="0.4">
      <c r="A672" t="s">
        <v>713</v>
      </c>
      <c r="B672">
        <v>20</v>
      </c>
      <c r="C672" t="s">
        <v>15</v>
      </c>
      <c r="D672" t="s">
        <v>32</v>
      </c>
      <c r="E672">
        <v>11.58</v>
      </c>
      <c r="F672">
        <v>44</v>
      </c>
      <c r="G672" t="s">
        <v>17</v>
      </c>
      <c r="H672" t="s">
        <v>46</v>
      </c>
      <c r="I672" s="2">
        <v>17.989999999999998</v>
      </c>
      <c r="J672">
        <v>1</v>
      </c>
      <c r="K672" s="2">
        <f t="shared" si="20"/>
        <v>17.989999999999998</v>
      </c>
      <c r="L672" t="s">
        <v>29</v>
      </c>
      <c r="M672">
        <v>4</v>
      </c>
      <c r="N672">
        <v>0.26</v>
      </c>
      <c r="O672" t="str">
        <f t="shared" si="21"/>
        <v>0.2–0.4 hours</v>
      </c>
      <c r="P672" t="s">
        <v>30</v>
      </c>
    </row>
    <row r="673" spans="1:16" x14ac:dyDescent="0.4">
      <c r="A673" t="s">
        <v>714</v>
      </c>
      <c r="B673">
        <v>24</v>
      </c>
      <c r="C673" t="s">
        <v>15</v>
      </c>
      <c r="D673" t="s">
        <v>22</v>
      </c>
      <c r="E673">
        <v>40.81</v>
      </c>
      <c r="F673">
        <v>40</v>
      </c>
      <c r="G673" t="s">
        <v>23</v>
      </c>
      <c r="H673" t="s">
        <v>46</v>
      </c>
      <c r="I673" s="2">
        <v>13.99</v>
      </c>
      <c r="J673">
        <v>0</v>
      </c>
      <c r="K673" s="2">
        <f t="shared" si="20"/>
        <v>0</v>
      </c>
      <c r="L673" t="s">
        <v>37</v>
      </c>
      <c r="M673">
        <v>4</v>
      </c>
      <c r="N673">
        <v>1</v>
      </c>
      <c r="O673" t="str">
        <f t="shared" si="21"/>
        <v>0.8–1 hour</v>
      </c>
      <c r="P673" t="s">
        <v>20</v>
      </c>
    </row>
    <row r="674" spans="1:16" x14ac:dyDescent="0.4">
      <c r="A674" t="s">
        <v>715</v>
      </c>
      <c r="B674">
        <v>62</v>
      </c>
      <c r="C674" t="s">
        <v>15</v>
      </c>
      <c r="D674" t="s">
        <v>22</v>
      </c>
      <c r="E674">
        <v>5.63</v>
      </c>
      <c r="F674">
        <v>26</v>
      </c>
      <c r="G674" t="s">
        <v>28</v>
      </c>
      <c r="H674" t="s">
        <v>18</v>
      </c>
      <c r="I674" s="2">
        <v>13.99</v>
      </c>
      <c r="J674">
        <v>0</v>
      </c>
      <c r="K674" s="2">
        <f t="shared" si="20"/>
        <v>0</v>
      </c>
      <c r="L674" t="s">
        <v>61</v>
      </c>
      <c r="M674">
        <v>3</v>
      </c>
      <c r="N674">
        <v>0.21</v>
      </c>
      <c r="O674" t="str">
        <f t="shared" si="21"/>
        <v>0.2–0.4 hours</v>
      </c>
      <c r="P674" t="s">
        <v>39</v>
      </c>
    </row>
    <row r="675" spans="1:16" x14ac:dyDescent="0.4">
      <c r="A675" t="s">
        <v>716</v>
      </c>
      <c r="B675">
        <v>26</v>
      </c>
      <c r="C675" t="s">
        <v>27</v>
      </c>
      <c r="D675" t="s">
        <v>22</v>
      </c>
      <c r="E675">
        <v>1.84</v>
      </c>
      <c r="F675">
        <v>15</v>
      </c>
      <c r="G675" t="s">
        <v>28</v>
      </c>
      <c r="H675" t="s">
        <v>24</v>
      </c>
      <c r="I675" s="2">
        <v>13.99</v>
      </c>
      <c r="J675">
        <v>1</v>
      </c>
      <c r="K675" s="2">
        <f t="shared" si="20"/>
        <v>13.99</v>
      </c>
      <c r="L675" t="s">
        <v>19</v>
      </c>
      <c r="M675">
        <v>5</v>
      </c>
      <c r="N675">
        <v>0.12</v>
      </c>
      <c r="O675" t="str">
        <f t="shared" si="21"/>
        <v>0–0.2 hours</v>
      </c>
      <c r="P675" t="s">
        <v>20</v>
      </c>
    </row>
    <row r="676" spans="1:16" x14ac:dyDescent="0.4">
      <c r="A676" t="s">
        <v>717</v>
      </c>
      <c r="B676">
        <v>58</v>
      </c>
      <c r="C676" t="s">
        <v>41</v>
      </c>
      <c r="D676" t="s">
        <v>22</v>
      </c>
      <c r="E676">
        <v>2.11</v>
      </c>
      <c r="F676">
        <v>5</v>
      </c>
      <c r="G676" t="s">
        <v>70</v>
      </c>
      <c r="H676" t="s">
        <v>18</v>
      </c>
      <c r="I676" s="2">
        <v>13.99</v>
      </c>
      <c r="J676">
        <v>1</v>
      </c>
      <c r="K676" s="2">
        <f t="shared" si="20"/>
        <v>13.99</v>
      </c>
      <c r="L676" t="s">
        <v>61</v>
      </c>
      <c r="M676">
        <v>1</v>
      </c>
      <c r="N676">
        <v>0.35</v>
      </c>
      <c r="O676" t="str">
        <f t="shared" si="21"/>
        <v>0.2–0.4 hours</v>
      </c>
      <c r="P676" t="s">
        <v>20</v>
      </c>
    </row>
    <row r="677" spans="1:16" x14ac:dyDescent="0.4">
      <c r="A677" t="s">
        <v>718</v>
      </c>
      <c r="B677">
        <v>62</v>
      </c>
      <c r="C677" t="s">
        <v>15</v>
      </c>
      <c r="D677" t="s">
        <v>16</v>
      </c>
      <c r="E677">
        <v>1.1599999999999999</v>
      </c>
      <c r="F677">
        <v>2</v>
      </c>
      <c r="G677" t="s">
        <v>49</v>
      </c>
      <c r="H677" t="s">
        <v>18</v>
      </c>
      <c r="I677" s="2">
        <v>8.99</v>
      </c>
      <c r="J677">
        <v>1</v>
      </c>
      <c r="K677" s="2">
        <f t="shared" si="20"/>
        <v>8.99</v>
      </c>
      <c r="L677" t="s">
        <v>43</v>
      </c>
      <c r="M677">
        <v>2</v>
      </c>
      <c r="N677">
        <v>0.39</v>
      </c>
      <c r="O677" t="str">
        <f t="shared" si="21"/>
        <v>0.2–0.4 hours</v>
      </c>
      <c r="P677" t="s">
        <v>34</v>
      </c>
    </row>
    <row r="678" spans="1:16" x14ac:dyDescent="0.4">
      <c r="A678" t="s">
        <v>719</v>
      </c>
      <c r="B678">
        <v>70</v>
      </c>
      <c r="C678" t="s">
        <v>27</v>
      </c>
      <c r="D678" t="s">
        <v>32</v>
      </c>
      <c r="E678">
        <v>11.06</v>
      </c>
      <c r="F678">
        <v>38</v>
      </c>
      <c r="G678" t="s">
        <v>33</v>
      </c>
      <c r="H678" t="s">
        <v>46</v>
      </c>
      <c r="I678" s="2">
        <v>17.989999999999998</v>
      </c>
      <c r="J678">
        <v>1</v>
      </c>
      <c r="K678" s="2">
        <f t="shared" si="20"/>
        <v>17.989999999999998</v>
      </c>
      <c r="L678" t="s">
        <v>19</v>
      </c>
      <c r="M678">
        <v>1</v>
      </c>
      <c r="N678">
        <v>0.28000000000000003</v>
      </c>
      <c r="O678" t="str">
        <f t="shared" si="21"/>
        <v>0.2–0.4 hours</v>
      </c>
      <c r="P678" t="s">
        <v>30</v>
      </c>
    </row>
    <row r="679" spans="1:16" x14ac:dyDescent="0.4">
      <c r="A679" t="s">
        <v>720</v>
      </c>
      <c r="B679">
        <v>25</v>
      </c>
      <c r="C679" t="s">
        <v>27</v>
      </c>
      <c r="D679" t="s">
        <v>16</v>
      </c>
      <c r="E679">
        <v>23.19</v>
      </c>
      <c r="F679">
        <v>59</v>
      </c>
      <c r="G679" t="s">
        <v>70</v>
      </c>
      <c r="H679" t="s">
        <v>55</v>
      </c>
      <c r="I679" s="2">
        <v>8.99</v>
      </c>
      <c r="J679">
        <v>0</v>
      </c>
      <c r="K679" s="2">
        <f t="shared" si="20"/>
        <v>0</v>
      </c>
      <c r="L679" t="s">
        <v>37</v>
      </c>
      <c r="M679">
        <v>5</v>
      </c>
      <c r="N679">
        <v>0.39</v>
      </c>
      <c r="O679" t="str">
        <f t="shared" si="21"/>
        <v>0.2–0.4 hours</v>
      </c>
      <c r="P679" t="s">
        <v>25</v>
      </c>
    </row>
    <row r="680" spans="1:16" x14ac:dyDescent="0.4">
      <c r="A680" t="s">
        <v>721</v>
      </c>
      <c r="B680">
        <v>36</v>
      </c>
      <c r="C680" t="s">
        <v>27</v>
      </c>
      <c r="D680" t="s">
        <v>32</v>
      </c>
      <c r="E680">
        <v>22.1</v>
      </c>
      <c r="F680">
        <v>40</v>
      </c>
      <c r="G680" t="s">
        <v>49</v>
      </c>
      <c r="H680" t="s">
        <v>18</v>
      </c>
      <c r="I680" s="2">
        <v>17.989999999999998</v>
      </c>
      <c r="J680">
        <v>0</v>
      </c>
      <c r="K680" s="2">
        <f t="shared" si="20"/>
        <v>0</v>
      </c>
      <c r="L680" t="s">
        <v>29</v>
      </c>
      <c r="M680">
        <v>4</v>
      </c>
      <c r="N680">
        <v>0.54</v>
      </c>
      <c r="O680" t="str">
        <f t="shared" si="21"/>
        <v>0.4–0.6 hours</v>
      </c>
      <c r="P680" t="s">
        <v>52</v>
      </c>
    </row>
    <row r="681" spans="1:16" x14ac:dyDescent="0.4">
      <c r="A681" t="s">
        <v>722</v>
      </c>
      <c r="B681">
        <v>37</v>
      </c>
      <c r="C681" t="s">
        <v>27</v>
      </c>
      <c r="D681" t="s">
        <v>16</v>
      </c>
      <c r="E681">
        <v>6.47</v>
      </c>
      <c r="F681">
        <v>21</v>
      </c>
      <c r="G681" t="s">
        <v>70</v>
      </c>
      <c r="H681" t="s">
        <v>24</v>
      </c>
      <c r="I681" s="2">
        <v>8.99</v>
      </c>
      <c r="J681">
        <v>1</v>
      </c>
      <c r="K681" s="2">
        <f t="shared" si="20"/>
        <v>8.99</v>
      </c>
      <c r="L681" t="s">
        <v>19</v>
      </c>
      <c r="M681">
        <v>3</v>
      </c>
      <c r="N681">
        <v>0.28999999999999998</v>
      </c>
      <c r="O681" t="str">
        <f t="shared" si="21"/>
        <v>0.2–0.4 hours</v>
      </c>
      <c r="P681" t="s">
        <v>20</v>
      </c>
    </row>
    <row r="682" spans="1:16" x14ac:dyDescent="0.4">
      <c r="A682" t="s">
        <v>723</v>
      </c>
      <c r="B682">
        <v>52</v>
      </c>
      <c r="C682" t="s">
        <v>27</v>
      </c>
      <c r="D682" t="s">
        <v>32</v>
      </c>
      <c r="E682">
        <v>6.28</v>
      </c>
      <c r="F682">
        <v>44</v>
      </c>
      <c r="G682" t="s">
        <v>70</v>
      </c>
      <c r="H682" t="s">
        <v>55</v>
      </c>
      <c r="I682" s="2">
        <v>17.989999999999998</v>
      </c>
      <c r="J682">
        <v>1</v>
      </c>
      <c r="K682" s="2">
        <f t="shared" si="20"/>
        <v>17.989999999999998</v>
      </c>
      <c r="L682" t="s">
        <v>29</v>
      </c>
      <c r="M682">
        <v>1</v>
      </c>
      <c r="N682">
        <v>0.14000000000000001</v>
      </c>
      <c r="O682" t="str">
        <f t="shared" si="21"/>
        <v>0–0.2 hours</v>
      </c>
      <c r="P682" t="s">
        <v>39</v>
      </c>
    </row>
    <row r="683" spans="1:16" x14ac:dyDescent="0.4">
      <c r="A683" t="s">
        <v>724</v>
      </c>
      <c r="B683">
        <v>38</v>
      </c>
      <c r="C683" t="s">
        <v>27</v>
      </c>
      <c r="D683" t="s">
        <v>16</v>
      </c>
      <c r="E683">
        <v>3.49</v>
      </c>
      <c r="F683">
        <v>54</v>
      </c>
      <c r="G683" t="s">
        <v>28</v>
      </c>
      <c r="H683" t="s">
        <v>57</v>
      </c>
      <c r="I683" s="2">
        <v>8.99</v>
      </c>
      <c r="J683">
        <v>1</v>
      </c>
      <c r="K683" s="2">
        <f t="shared" si="20"/>
        <v>8.99</v>
      </c>
      <c r="L683" t="s">
        <v>43</v>
      </c>
      <c r="M683">
        <v>5</v>
      </c>
      <c r="N683">
        <v>0.06</v>
      </c>
      <c r="O683" t="str">
        <f t="shared" si="21"/>
        <v>0–0.2 hours</v>
      </c>
      <c r="P683" t="s">
        <v>34</v>
      </c>
    </row>
    <row r="684" spans="1:16" x14ac:dyDescent="0.4">
      <c r="A684" t="s">
        <v>725</v>
      </c>
      <c r="B684">
        <v>36</v>
      </c>
      <c r="C684" t="s">
        <v>27</v>
      </c>
      <c r="D684" t="s">
        <v>16</v>
      </c>
      <c r="E684">
        <v>0.99</v>
      </c>
      <c r="F684">
        <v>24</v>
      </c>
      <c r="G684" t="s">
        <v>17</v>
      </c>
      <c r="H684" t="s">
        <v>46</v>
      </c>
      <c r="I684" s="2">
        <v>8.99</v>
      </c>
      <c r="J684">
        <v>1</v>
      </c>
      <c r="K684" s="2">
        <f t="shared" si="20"/>
        <v>8.99</v>
      </c>
      <c r="L684" t="s">
        <v>37</v>
      </c>
      <c r="M684">
        <v>3</v>
      </c>
      <c r="N684">
        <v>0.04</v>
      </c>
      <c r="O684" t="str">
        <f t="shared" si="21"/>
        <v>0–0.2 hours</v>
      </c>
      <c r="P684" t="s">
        <v>47</v>
      </c>
    </row>
    <row r="685" spans="1:16" x14ac:dyDescent="0.4">
      <c r="A685" t="s">
        <v>726</v>
      </c>
      <c r="B685">
        <v>47</v>
      </c>
      <c r="C685" t="s">
        <v>41</v>
      </c>
      <c r="D685" t="s">
        <v>32</v>
      </c>
      <c r="E685">
        <v>1.57</v>
      </c>
      <c r="F685">
        <v>39</v>
      </c>
      <c r="G685" t="s">
        <v>33</v>
      </c>
      <c r="H685" t="s">
        <v>55</v>
      </c>
      <c r="I685" s="2">
        <v>17.989999999999998</v>
      </c>
      <c r="J685">
        <v>1</v>
      </c>
      <c r="K685" s="2">
        <f t="shared" si="20"/>
        <v>17.989999999999998</v>
      </c>
      <c r="L685" t="s">
        <v>61</v>
      </c>
      <c r="M685">
        <v>5</v>
      </c>
      <c r="N685">
        <v>0.04</v>
      </c>
      <c r="O685" t="str">
        <f t="shared" si="21"/>
        <v>0–0.2 hours</v>
      </c>
      <c r="P685" t="s">
        <v>34</v>
      </c>
    </row>
    <row r="686" spans="1:16" x14ac:dyDescent="0.4">
      <c r="A686" t="s">
        <v>727</v>
      </c>
      <c r="B686">
        <v>29</v>
      </c>
      <c r="C686" t="s">
        <v>41</v>
      </c>
      <c r="D686" t="s">
        <v>32</v>
      </c>
      <c r="E686">
        <v>12.32</v>
      </c>
      <c r="F686">
        <v>49</v>
      </c>
      <c r="G686" t="s">
        <v>28</v>
      </c>
      <c r="H686" t="s">
        <v>24</v>
      </c>
      <c r="I686" s="2">
        <v>17.989999999999998</v>
      </c>
      <c r="J686">
        <v>0</v>
      </c>
      <c r="K686" s="2">
        <f t="shared" si="20"/>
        <v>0</v>
      </c>
      <c r="L686" t="s">
        <v>43</v>
      </c>
      <c r="M686">
        <v>5</v>
      </c>
      <c r="N686">
        <v>0.25</v>
      </c>
      <c r="O686" t="str">
        <f t="shared" si="21"/>
        <v>0.2–0.4 hours</v>
      </c>
      <c r="P686" t="s">
        <v>34</v>
      </c>
    </row>
    <row r="687" spans="1:16" x14ac:dyDescent="0.4">
      <c r="A687" t="s">
        <v>728</v>
      </c>
      <c r="B687">
        <v>27</v>
      </c>
      <c r="C687" t="s">
        <v>15</v>
      </c>
      <c r="D687" t="s">
        <v>32</v>
      </c>
      <c r="E687">
        <v>0.69</v>
      </c>
      <c r="F687">
        <v>39</v>
      </c>
      <c r="G687" t="s">
        <v>49</v>
      </c>
      <c r="H687" t="s">
        <v>46</v>
      </c>
      <c r="I687" s="2">
        <v>17.989999999999998</v>
      </c>
      <c r="J687">
        <v>1</v>
      </c>
      <c r="K687" s="2">
        <f t="shared" si="20"/>
        <v>17.989999999999998</v>
      </c>
      <c r="L687" t="s">
        <v>37</v>
      </c>
      <c r="M687">
        <v>5</v>
      </c>
      <c r="N687">
        <v>0.02</v>
      </c>
      <c r="O687" t="str">
        <f t="shared" si="21"/>
        <v>0–0.2 hours</v>
      </c>
      <c r="P687" t="s">
        <v>25</v>
      </c>
    </row>
    <row r="688" spans="1:16" x14ac:dyDescent="0.4">
      <c r="A688" t="s">
        <v>729</v>
      </c>
      <c r="B688">
        <v>70</v>
      </c>
      <c r="C688" t="s">
        <v>15</v>
      </c>
      <c r="D688" t="s">
        <v>32</v>
      </c>
      <c r="E688">
        <v>7.15</v>
      </c>
      <c r="F688">
        <v>27</v>
      </c>
      <c r="G688" t="s">
        <v>28</v>
      </c>
      <c r="H688" t="s">
        <v>55</v>
      </c>
      <c r="I688" s="2">
        <v>17.989999999999998</v>
      </c>
      <c r="J688">
        <v>0</v>
      </c>
      <c r="K688" s="2">
        <f t="shared" si="20"/>
        <v>0</v>
      </c>
      <c r="L688" t="s">
        <v>61</v>
      </c>
      <c r="M688">
        <v>3</v>
      </c>
      <c r="N688">
        <v>0.26</v>
      </c>
      <c r="O688" t="str">
        <f t="shared" si="21"/>
        <v>0.2–0.4 hours</v>
      </c>
      <c r="P688" t="s">
        <v>25</v>
      </c>
    </row>
    <row r="689" spans="1:16" x14ac:dyDescent="0.4">
      <c r="A689" t="s">
        <v>730</v>
      </c>
      <c r="B689">
        <v>55</v>
      </c>
      <c r="C689" t="s">
        <v>15</v>
      </c>
      <c r="D689" t="s">
        <v>22</v>
      </c>
      <c r="E689">
        <v>2.59</v>
      </c>
      <c r="F689">
        <v>54</v>
      </c>
      <c r="G689" t="s">
        <v>23</v>
      </c>
      <c r="H689" t="s">
        <v>55</v>
      </c>
      <c r="I689" s="2">
        <v>13.99</v>
      </c>
      <c r="J689">
        <v>1</v>
      </c>
      <c r="K689" s="2">
        <f t="shared" si="20"/>
        <v>13.99</v>
      </c>
      <c r="L689" t="s">
        <v>19</v>
      </c>
      <c r="M689">
        <v>3</v>
      </c>
      <c r="N689">
        <v>0.05</v>
      </c>
      <c r="O689" t="str">
        <f t="shared" si="21"/>
        <v>0–0.2 hours</v>
      </c>
      <c r="P689" t="s">
        <v>25</v>
      </c>
    </row>
    <row r="690" spans="1:16" x14ac:dyDescent="0.4">
      <c r="A690" t="s">
        <v>731</v>
      </c>
      <c r="B690">
        <v>33</v>
      </c>
      <c r="C690" t="s">
        <v>15</v>
      </c>
      <c r="D690" t="s">
        <v>32</v>
      </c>
      <c r="E690">
        <v>25.28</v>
      </c>
      <c r="F690">
        <v>32</v>
      </c>
      <c r="G690" t="s">
        <v>28</v>
      </c>
      <c r="H690" t="s">
        <v>46</v>
      </c>
      <c r="I690" s="2">
        <v>17.989999999999998</v>
      </c>
      <c r="J690">
        <v>0</v>
      </c>
      <c r="K690" s="2">
        <f t="shared" si="20"/>
        <v>0</v>
      </c>
      <c r="L690" t="s">
        <v>37</v>
      </c>
      <c r="M690">
        <v>3</v>
      </c>
      <c r="N690">
        <v>0.77</v>
      </c>
      <c r="O690" t="str">
        <f t="shared" si="21"/>
        <v>0.6–0.8 hours</v>
      </c>
      <c r="P690" t="s">
        <v>25</v>
      </c>
    </row>
    <row r="691" spans="1:16" x14ac:dyDescent="0.4">
      <c r="A691" t="s">
        <v>732</v>
      </c>
      <c r="B691">
        <v>22</v>
      </c>
      <c r="C691" t="s">
        <v>15</v>
      </c>
      <c r="D691" t="s">
        <v>32</v>
      </c>
      <c r="E691">
        <v>13.68</v>
      </c>
      <c r="F691">
        <v>48</v>
      </c>
      <c r="G691" t="s">
        <v>70</v>
      </c>
      <c r="H691" t="s">
        <v>18</v>
      </c>
      <c r="I691" s="2">
        <v>17.989999999999998</v>
      </c>
      <c r="J691">
        <v>1</v>
      </c>
      <c r="K691" s="2">
        <f t="shared" si="20"/>
        <v>17.989999999999998</v>
      </c>
      <c r="L691" t="s">
        <v>43</v>
      </c>
      <c r="M691">
        <v>3</v>
      </c>
      <c r="N691">
        <v>0.28000000000000003</v>
      </c>
      <c r="O691" t="str">
        <f t="shared" si="21"/>
        <v>0.2–0.4 hours</v>
      </c>
      <c r="P691" t="s">
        <v>47</v>
      </c>
    </row>
    <row r="692" spans="1:16" x14ac:dyDescent="0.4">
      <c r="A692" t="s">
        <v>733</v>
      </c>
      <c r="B692">
        <v>44</v>
      </c>
      <c r="C692" t="s">
        <v>15</v>
      </c>
      <c r="D692" t="s">
        <v>32</v>
      </c>
      <c r="E692">
        <v>18.75</v>
      </c>
      <c r="F692">
        <v>44</v>
      </c>
      <c r="G692" t="s">
        <v>28</v>
      </c>
      <c r="H692" t="s">
        <v>55</v>
      </c>
      <c r="I692" s="2">
        <v>17.989999999999998</v>
      </c>
      <c r="J692">
        <v>0</v>
      </c>
      <c r="K692" s="2">
        <f t="shared" si="20"/>
        <v>0</v>
      </c>
      <c r="L692" t="s">
        <v>43</v>
      </c>
      <c r="M692">
        <v>5</v>
      </c>
      <c r="N692">
        <v>0.42</v>
      </c>
      <c r="O692" t="str">
        <f t="shared" si="21"/>
        <v>0.4–0.6 hours</v>
      </c>
      <c r="P692" t="s">
        <v>20</v>
      </c>
    </row>
    <row r="693" spans="1:16" x14ac:dyDescent="0.4">
      <c r="A693" t="s">
        <v>734</v>
      </c>
      <c r="B693">
        <v>20</v>
      </c>
      <c r="C693" t="s">
        <v>15</v>
      </c>
      <c r="D693" t="s">
        <v>32</v>
      </c>
      <c r="E693">
        <v>9.24</v>
      </c>
      <c r="F693">
        <v>33</v>
      </c>
      <c r="G693" t="s">
        <v>70</v>
      </c>
      <c r="H693" t="s">
        <v>18</v>
      </c>
      <c r="I693" s="2">
        <v>17.989999999999998</v>
      </c>
      <c r="J693">
        <v>1</v>
      </c>
      <c r="K693" s="2">
        <f t="shared" si="20"/>
        <v>17.989999999999998</v>
      </c>
      <c r="L693" t="s">
        <v>19</v>
      </c>
      <c r="M693">
        <v>5</v>
      </c>
      <c r="N693">
        <v>0.27</v>
      </c>
      <c r="O693" t="str">
        <f t="shared" si="21"/>
        <v>0.2–0.4 hours</v>
      </c>
      <c r="P693" t="s">
        <v>30</v>
      </c>
    </row>
    <row r="694" spans="1:16" x14ac:dyDescent="0.4">
      <c r="A694" t="s">
        <v>735</v>
      </c>
      <c r="B694">
        <v>69</v>
      </c>
      <c r="C694" t="s">
        <v>41</v>
      </c>
      <c r="D694" t="s">
        <v>32</v>
      </c>
      <c r="E694">
        <v>0.52</v>
      </c>
      <c r="F694">
        <v>42</v>
      </c>
      <c r="G694" t="s">
        <v>49</v>
      </c>
      <c r="H694" t="s">
        <v>55</v>
      </c>
      <c r="I694" s="2">
        <v>17.989999999999998</v>
      </c>
      <c r="J694">
        <v>1</v>
      </c>
      <c r="K694" s="2">
        <f t="shared" si="20"/>
        <v>17.989999999999998</v>
      </c>
      <c r="L694" t="s">
        <v>19</v>
      </c>
      <c r="M694">
        <v>3</v>
      </c>
      <c r="N694">
        <v>0.01</v>
      </c>
      <c r="O694" t="str">
        <f t="shared" si="21"/>
        <v>0–0.2 hours</v>
      </c>
      <c r="P694" t="s">
        <v>20</v>
      </c>
    </row>
    <row r="695" spans="1:16" x14ac:dyDescent="0.4">
      <c r="A695" t="s">
        <v>736</v>
      </c>
      <c r="B695">
        <v>23</v>
      </c>
      <c r="C695" t="s">
        <v>41</v>
      </c>
      <c r="D695" t="s">
        <v>22</v>
      </c>
      <c r="E695">
        <v>4.46</v>
      </c>
      <c r="F695">
        <v>24</v>
      </c>
      <c r="G695" t="s">
        <v>17</v>
      </c>
      <c r="H695" t="s">
        <v>24</v>
      </c>
      <c r="I695" s="2">
        <v>13.99</v>
      </c>
      <c r="J695">
        <v>1</v>
      </c>
      <c r="K695" s="2">
        <f t="shared" si="20"/>
        <v>13.99</v>
      </c>
      <c r="L695" t="s">
        <v>19</v>
      </c>
      <c r="M695">
        <v>3</v>
      </c>
      <c r="N695">
        <v>0.18</v>
      </c>
      <c r="O695" t="str">
        <f t="shared" si="21"/>
        <v>0–0.2 hours</v>
      </c>
      <c r="P695" t="s">
        <v>52</v>
      </c>
    </row>
    <row r="696" spans="1:16" x14ac:dyDescent="0.4">
      <c r="A696" t="s">
        <v>737</v>
      </c>
      <c r="B696">
        <v>24</v>
      </c>
      <c r="C696" t="s">
        <v>27</v>
      </c>
      <c r="D696" t="s">
        <v>32</v>
      </c>
      <c r="E696">
        <v>9.94</v>
      </c>
      <c r="F696">
        <v>34</v>
      </c>
      <c r="G696" t="s">
        <v>70</v>
      </c>
      <c r="H696" t="s">
        <v>46</v>
      </c>
      <c r="I696" s="2">
        <v>17.989999999999998</v>
      </c>
      <c r="J696">
        <v>1</v>
      </c>
      <c r="K696" s="2">
        <f t="shared" si="20"/>
        <v>17.989999999999998</v>
      </c>
      <c r="L696" t="s">
        <v>61</v>
      </c>
      <c r="M696">
        <v>2</v>
      </c>
      <c r="N696">
        <v>0.28000000000000003</v>
      </c>
      <c r="O696" t="str">
        <f t="shared" si="21"/>
        <v>0.2–0.4 hours</v>
      </c>
      <c r="P696" t="s">
        <v>30</v>
      </c>
    </row>
    <row r="697" spans="1:16" x14ac:dyDescent="0.4">
      <c r="A697" t="s">
        <v>738</v>
      </c>
      <c r="B697">
        <v>36</v>
      </c>
      <c r="C697" t="s">
        <v>15</v>
      </c>
      <c r="D697" t="s">
        <v>22</v>
      </c>
      <c r="E697">
        <v>25.82</v>
      </c>
      <c r="F697">
        <v>3</v>
      </c>
      <c r="G697" t="s">
        <v>17</v>
      </c>
      <c r="H697" t="s">
        <v>24</v>
      </c>
      <c r="I697" s="2">
        <v>13.99</v>
      </c>
      <c r="J697">
        <v>0</v>
      </c>
      <c r="K697" s="2">
        <f t="shared" si="20"/>
        <v>0</v>
      </c>
      <c r="L697" t="s">
        <v>43</v>
      </c>
      <c r="M697">
        <v>1</v>
      </c>
      <c r="N697">
        <v>6.46</v>
      </c>
      <c r="O697" t="str">
        <f t="shared" si="21"/>
        <v>1+ hours</v>
      </c>
      <c r="P697" t="s">
        <v>47</v>
      </c>
    </row>
    <row r="698" spans="1:16" x14ac:dyDescent="0.4">
      <c r="A698" t="s">
        <v>739</v>
      </c>
      <c r="B698">
        <v>29</v>
      </c>
      <c r="C698" t="s">
        <v>27</v>
      </c>
      <c r="D698" t="s">
        <v>32</v>
      </c>
      <c r="E698">
        <v>1.22</v>
      </c>
      <c r="F698">
        <v>25</v>
      </c>
      <c r="G698" t="s">
        <v>28</v>
      </c>
      <c r="H698" t="s">
        <v>46</v>
      </c>
      <c r="I698" s="2">
        <v>17.989999999999998</v>
      </c>
      <c r="J698">
        <v>0</v>
      </c>
      <c r="K698" s="2">
        <f t="shared" si="20"/>
        <v>0</v>
      </c>
      <c r="L698" t="s">
        <v>43</v>
      </c>
      <c r="M698">
        <v>5</v>
      </c>
      <c r="N698">
        <v>0.05</v>
      </c>
      <c r="O698" t="str">
        <f t="shared" si="21"/>
        <v>0–0.2 hours</v>
      </c>
      <c r="P698" t="s">
        <v>47</v>
      </c>
    </row>
    <row r="699" spans="1:16" x14ac:dyDescent="0.4">
      <c r="A699" t="s">
        <v>740</v>
      </c>
      <c r="B699">
        <v>34</v>
      </c>
      <c r="C699" t="s">
        <v>15</v>
      </c>
      <c r="D699" t="s">
        <v>22</v>
      </c>
      <c r="E699">
        <v>6.49</v>
      </c>
      <c r="F699">
        <v>6</v>
      </c>
      <c r="G699" t="s">
        <v>49</v>
      </c>
      <c r="H699" t="s">
        <v>24</v>
      </c>
      <c r="I699" s="2">
        <v>13.99</v>
      </c>
      <c r="J699">
        <v>0</v>
      </c>
      <c r="K699" s="2">
        <f t="shared" si="20"/>
        <v>0</v>
      </c>
      <c r="L699" t="s">
        <v>61</v>
      </c>
      <c r="M699">
        <v>1</v>
      </c>
      <c r="N699">
        <v>0.93</v>
      </c>
      <c r="O699" t="str">
        <f t="shared" si="21"/>
        <v>0.8–1 hour</v>
      </c>
      <c r="P699" t="s">
        <v>47</v>
      </c>
    </row>
    <row r="700" spans="1:16" x14ac:dyDescent="0.4">
      <c r="A700" t="s">
        <v>741</v>
      </c>
      <c r="B700">
        <v>39</v>
      </c>
      <c r="C700" t="s">
        <v>15</v>
      </c>
      <c r="D700" t="s">
        <v>22</v>
      </c>
      <c r="E700">
        <v>8.6300000000000008</v>
      </c>
      <c r="F700">
        <v>8</v>
      </c>
      <c r="G700" t="s">
        <v>33</v>
      </c>
      <c r="H700" t="s">
        <v>24</v>
      </c>
      <c r="I700" s="2">
        <v>13.99</v>
      </c>
      <c r="J700">
        <v>0</v>
      </c>
      <c r="K700" s="2">
        <f t="shared" si="20"/>
        <v>0</v>
      </c>
      <c r="L700" t="s">
        <v>37</v>
      </c>
      <c r="M700">
        <v>4</v>
      </c>
      <c r="N700">
        <v>0.96</v>
      </c>
      <c r="O700" t="str">
        <f t="shared" si="21"/>
        <v>0.8–1 hour</v>
      </c>
      <c r="P700" t="s">
        <v>39</v>
      </c>
    </row>
    <row r="701" spans="1:16" x14ac:dyDescent="0.4">
      <c r="A701" t="s">
        <v>742</v>
      </c>
      <c r="B701">
        <v>44</v>
      </c>
      <c r="C701" t="s">
        <v>27</v>
      </c>
      <c r="D701" t="s">
        <v>22</v>
      </c>
      <c r="E701">
        <v>22.85</v>
      </c>
      <c r="F701">
        <v>1</v>
      </c>
      <c r="G701" t="s">
        <v>49</v>
      </c>
      <c r="H701" t="s">
        <v>57</v>
      </c>
      <c r="I701" s="2">
        <v>13.99</v>
      </c>
      <c r="J701">
        <v>0</v>
      </c>
      <c r="K701" s="2">
        <f t="shared" si="20"/>
        <v>0</v>
      </c>
      <c r="L701" t="s">
        <v>61</v>
      </c>
      <c r="M701">
        <v>3</v>
      </c>
      <c r="N701">
        <v>11.43</v>
      </c>
      <c r="O701" t="str">
        <f t="shared" si="21"/>
        <v>1+ hours</v>
      </c>
      <c r="P701" t="s">
        <v>47</v>
      </c>
    </row>
    <row r="702" spans="1:16" x14ac:dyDescent="0.4">
      <c r="A702" t="s">
        <v>743</v>
      </c>
      <c r="B702">
        <v>43</v>
      </c>
      <c r="C702" t="s">
        <v>27</v>
      </c>
      <c r="D702" t="s">
        <v>16</v>
      </c>
      <c r="E702">
        <v>5.59</v>
      </c>
      <c r="F702">
        <v>32</v>
      </c>
      <c r="G702" t="s">
        <v>23</v>
      </c>
      <c r="H702" t="s">
        <v>18</v>
      </c>
      <c r="I702" s="2">
        <v>8.99</v>
      </c>
      <c r="J702">
        <v>1</v>
      </c>
      <c r="K702" s="2">
        <f t="shared" si="20"/>
        <v>8.99</v>
      </c>
      <c r="L702" t="s">
        <v>37</v>
      </c>
      <c r="M702">
        <v>4</v>
      </c>
      <c r="N702">
        <v>0.17</v>
      </c>
      <c r="O702" t="str">
        <f t="shared" si="21"/>
        <v>0–0.2 hours</v>
      </c>
      <c r="P702" t="s">
        <v>52</v>
      </c>
    </row>
    <row r="703" spans="1:16" x14ac:dyDescent="0.4">
      <c r="A703" t="s">
        <v>744</v>
      </c>
      <c r="B703">
        <v>35</v>
      </c>
      <c r="C703" t="s">
        <v>41</v>
      </c>
      <c r="D703" t="s">
        <v>22</v>
      </c>
      <c r="E703">
        <v>11.93</v>
      </c>
      <c r="F703">
        <v>45</v>
      </c>
      <c r="G703" t="s">
        <v>23</v>
      </c>
      <c r="H703" t="s">
        <v>55</v>
      </c>
      <c r="I703" s="2">
        <v>13.99</v>
      </c>
      <c r="J703">
        <v>1</v>
      </c>
      <c r="K703" s="2">
        <f t="shared" si="20"/>
        <v>13.99</v>
      </c>
      <c r="L703" t="s">
        <v>19</v>
      </c>
      <c r="M703">
        <v>1</v>
      </c>
      <c r="N703">
        <v>0.26</v>
      </c>
      <c r="O703" t="str">
        <f t="shared" si="21"/>
        <v>0.2–0.4 hours</v>
      </c>
      <c r="P703" t="s">
        <v>52</v>
      </c>
    </row>
    <row r="704" spans="1:16" x14ac:dyDescent="0.4">
      <c r="A704" t="s">
        <v>745</v>
      </c>
      <c r="B704">
        <v>26</v>
      </c>
      <c r="C704" t="s">
        <v>41</v>
      </c>
      <c r="D704" t="s">
        <v>32</v>
      </c>
      <c r="E704">
        <v>3.24</v>
      </c>
      <c r="F704">
        <v>57</v>
      </c>
      <c r="G704" t="s">
        <v>23</v>
      </c>
      <c r="H704" t="s">
        <v>57</v>
      </c>
      <c r="I704" s="2">
        <v>17.989999999999998</v>
      </c>
      <c r="J704">
        <v>1</v>
      </c>
      <c r="K704" s="2">
        <f t="shared" si="20"/>
        <v>17.989999999999998</v>
      </c>
      <c r="L704" t="s">
        <v>43</v>
      </c>
      <c r="M704">
        <v>3</v>
      </c>
      <c r="N704">
        <v>0.06</v>
      </c>
      <c r="O704" t="str">
        <f t="shared" si="21"/>
        <v>0–0.2 hours</v>
      </c>
      <c r="P704" t="s">
        <v>25</v>
      </c>
    </row>
    <row r="705" spans="1:16" x14ac:dyDescent="0.4">
      <c r="A705" t="s">
        <v>746</v>
      </c>
      <c r="B705">
        <v>66</v>
      </c>
      <c r="C705" t="s">
        <v>41</v>
      </c>
      <c r="D705" t="s">
        <v>16</v>
      </c>
      <c r="E705">
        <v>25.03</v>
      </c>
      <c r="F705">
        <v>16</v>
      </c>
      <c r="G705" t="s">
        <v>70</v>
      </c>
      <c r="H705" t="s">
        <v>18</v>
      </c>
      <c r="I705" s="2">
        <v>8.99</v>
      </c>
      <c r="J705">
        <v>0</v>
      </c>
      <c r="K705" s="2">
        <f t="shared" si="20"/>
        <v>0</v>
      </c>
      <c r="L705" t="s">
        <v>61</v>
      </c>
      <c r="M705">
        <v>3</v>
      </c>
      <c r="N705">
        <v>1.47</v>
      </c>
      <c r="O705" t="str">
        <f t="shared" si="21"/>
        <v>1+ hours</v>
      </c>
      <c r="P705" t="s">
        <v>20</v>
      </c>
    </row>
    <row r="706" spans="1:16" x14ac:dyDescent="0.4">
      <c r="A706" t="s">
        <v>747</v>
      </c>
      <c r="B706">
        <v>66</v>
      </c>
      <c r="C706" t="s">
        <v>15</v>
      </c>
      <c r="D706" t="s">
        <v>32</v>
      </c>
      <c r="E706">
        <v>6.11</v>
      </c>
      <c r="F706">
        <v>9</v>
      </c>
      <c r="G706" t="s">
        <v>23</v>
      </c>
      <c r="H706" t="s">
        <v>57</v>
      </c>
      <c r="I706" s="2">
        <v>17.989999999999998</v>
      </c>
      <c r="J706">
        <v>0</v>
      </c>
      <c r="K706" s="2">
        <f t="shared" si="20"/>
        <v>0</v>
      </c>
      <c r="L706" t="s">
        <v>29</v>
      </c>
      <c r="M706">
        <v>4</v>
      </c>
      <c r="N706">
        <v>0.61</v>
      </c>
      <c r="O706" t="str">
        <f t="shared" si="21"/>
        <v>0.6–0.8 hours</v>
      </c>
      <c r="P706" t="s">
        <v>30</v>
      </c>
    </row>
    <row r="707" spans="1:16" x14ac:dyDescent="0.4">
      <c r="A707" t="s">
        <v>748</v>
      </c>
      <c r="B707">
        <v>29</v>
      </c>
      <c r="C707" t="s">
        <v>41</v>
      </c>
      <c r="D707" t="s">
        <v>16</v>
      </c>
      <c r="E707">
        <v>24.18</v>
      </c>
      <c r="F707">
        <v>59</v>
      </c>
      <c r="G707" t="s">
        <v>17</v>
      </c>
      <c r="H707" t="s">
        <v>46</v>
      </c>
      <c r="I707" s="2">
        <v>8.99</v>
      </c>
      <c r="J707">
        <v>1</v>
      </c>
      <c r="K707" s="2">
        <f t="shared" ref="K707:K770" si="22">SUMIF(J707,1,I707)</f>
        <v>8.99</v>
      </c>
      <c r="L707" t="s">
        <v>61</v>
      </c>
      <c r="M707">
        <v>1</v>
      </c>
      <c r="N707">
        <v>0.4</v>
      </c>
      <c r="O707" t="str">
        <f t="shared" ref="O707:O770" si="23">IF(N707&gt;1,"1+ hours",IF(N707&lt;=0.2,"0–0.2 hours",IF(N707&lt;=0.4,"0.2–0.4 hours",IF(N707&lt;=0.6,"0.4–0.6 hours",IF(N707&lt;=0.8,"0.6–0.8 hours","0.8–1 hour")))))</f>
        <v>0.2–0.4 hours</v>
      </c>
      <c r="P707" t="s">
        <v>52</v>
      </c>
    </row>
    <row r="708" spans="1:16" x14ac:dyDescent="0.4">
      <c r="A708" t="s">
        <v>749</v>
      </c>
      <c r="B708">
        <v>20</v>
      </c>
      <c r="C708" t="s">
        <v>41</v>
      </c>
      <c r="D708" t="s">
        <v>22</v>
      </c>
      <c r="E708">
        <v>7.19</v>
      </c>
      <c r="F708">
        <v>26</v>
      </c>
      <c r="G708" t="s">
        <v>70</v>
      </c>
      <c r="H708" t="s">
        <v>18</v>
      </c>
      <c r="I708" s="2">
        <v>13.99</v>
      </c>
      <c r="J708">
        <v>0</v>
      </c>
      <c r="K708" s="2">
        <f t="shared" si="22"/>
        <v>0</v>
      </c>
      <c r="L708" t="s">
        <v>43</v>
      </c>
      <c r="M708">
        <v>4</v>
      </c>
      <c r="N708">
        <v>0.27</v>
      </c>
      <c r="O708" t="str">
        <f t="shared" si="23"/>
        <v>0.2–0.4 hours</v>
      </c>
      <c r="P708" t="s">
        <v>20</v>
      </c>
    </row>
    <row r="709" spans="1:16" x14ac:dyDescent="0.4">
      <c r="A709" t="s">
        <v>750</v>
      </c>
      <c r="B709">
        <v>52</v>
      </c>
      <c r="C709" t="s">
        <v>41</v>
      </c>
      <c r="D709" t="s">
        <v>32</v>
      </c>
      <c r="E709">
        <v>2.73</v>
      </c>
      <c r="F709">
        <v>45</v>
      </c>
      <c r="G709" t="s">
        <v>70</v>
      </c>
      <c r="H709" t="s">
        <v>18</v>
      </c>
      <c r="I709" s="2">
        <v>17.989999999999998</v>
      </c>
      <c r="J709">
        <v>1</v>
      </c>
      <c r="K709" s="2">
        <f t="shared" si="22"/>
        <v>17.989999999999998</v>
      </c>
      <c r="L709" t="s">
        <v>29</v>
      </c>
      <c r="M709">
        <v>5</v>
      </c>
      <c r="N709">
        <v>0.06</v>
      </c>
      <c r="O709" t="str">
        <f t="shared" si="23"/>
        <v>0–0.2 hours</v>
      </c>
      <c r="P709" t="s">
        <v>34</v>
      </c>
    </row>
    <row r="710" spans="1:16" x14ac:dyDescent="0.4">
      <c r="A710" t="s">
        <v>751</v>
      </c>
      <c r="B710">
        <v>41</v>
      </c>
      <c r="C710" t="s">
        <v>41</v>
      </c>
      <c r="D710" t="s">
        <v>22</v>
      </c>
      <c r="E710">
        <v>28.13</v>
      </c>
      <c r="F710">
        <v>42</v>
      </c>
      <c r="G710" t="s">
        <v>33</v>
      </c>
      <c r="H710" t="s">
        <v>24</v>
      </c>
      <c r="I710" s="2">
        <v>13.99</v>
      </c>
      <c r="J710">
        <v>0</v>
      </c>
      <c r="K710" s="2">
        <f t="shared" si="22"/>
        <v>0</v>
      </c>
      <c r="L710" t="s">
        <v>61</v>
      </c>
      <c r="M710">
        <v>2</v>
      </c>
      <c r="N710">
        <v>0.65</v>
      </c>
      <c r="O710" t="str">
        <f t="shared" si="23"/>
        <v>0.6–0.8 hours</v>
      </c>
      <c r="P710" t="s">
        <v>52</v>
      </c>
    </row>
    <row r="711" spans="1:16" x14ac:dyDescent="0.4">
      <c r="A711" t="s">
        <v>752</v>
      </c>
      <c r="B711">
        <v>38</v>
      </c>
      <c r="C711" t="s">
        <v>41</v>
      </c>
      <c r="D711" t="s">
        <v>16</v>
      </c>
      <c r="E711">
        <v>15.32</v>
      </c>
      <c r="F711">
        <v>56</v>
      </c>
      <c r="G711" t="s">
        <v>23</v>
      </c>
      <c r="H711" t="s">
        <v>24</v>
      </c>
      <c r="I711" s="2">
        <v>8.99</v>
      </c>
      <c r="J711">
        <v>1</v>
      </c>
      <c r="K711" s="2">
        <f t="shared" si="22"/>
        <v>8.99</v>
      </c>
      <c r="L711" t="s">
        <v>29</v>
      </c>
      <c r="M711">
        <v>2</v>
      </c>
      <c r="N711">
        <v>0.27</v>
      </c>
      <c r="O711" t="str">
        <f t="shared" si="23"/>
        <v>0.2–0.4 hours</v>
      </c>
      <c r="P711" t="s">
        <v>20</v>
      </c>
    </row>
    <row r="712" spans="1:16" x14ac:dyDescent="0.4">
      <c r="A712" t="s">
        <v>753</v>
      </c>
      <c r="B712">
        <v>18</v>
      </c>
      <c r="C712" t="s">
        <v>15</v>
      </c>
      <c r="D712" t="s">
        <v>16</v>
      </c>
      <c r="E712">
        <v>2.75</v>
      </c>
      <c r="F712">
        <v>43</v>
      </c>
      <c r="G712" t="s">
        <v>33</v>
      </c>
      <c r="H712" t="s">
        <v>46</v>
      </c>
      <c r="I712" s="2">
        <v>8.99</v>
      </c>
      <c r="J712">
        <v>1</v>
      </c>
      <c r="K712" s="2">
        <f t="shared" si="22"/>
        <v>8.99</v>
      </c>
      <c r="L712" t="s">
        <v>19</v>
      </c>
      <c r="M712">
        <v>5</v>
      </c>
      <c r="N712">
        <v>0.06</v>
      </c>
      <c r="O712" t="str">
        <f t="shared" si="23"/>
        <v>0–0.2 hours</v>
      </c>
      <c r="P712" t="s">
        <v>39</v>
      </c>
    </row>
    <row r="713" spans="1:16" x14ac:dyDescent="0.4">
      <c r="A713" t="s">
        <v>754</v>
      </c>
      <c r="B713">
        <v>28</v>
      </c>
      <c r="C713" t="s">
        <v>27</v>
      </c>
      <c r="D713" t="s">
        <v>22</v>
      </c>
      <c r="E713">
        <v>4.67</v>
      </c>
      <c r="F713">
        <v>5</v>
      </c>
      <c r="G713" t="s">
        <v>33</v>
      </c>
      <c r="H713" t="s">
        <v>24</v>
      </c>
      <c r="I713" s="2">
        <v>13.99</v>
      </c>
      <c r="J713">
        <v>0</v>
      </c>
      <c r="K713" s="2">
        <f t="shared" si="22"/>
        <v>0</v>
      </c>
      <c r="L713" t="s">
        <v>29</v>
      </c>
      <c r="M713">
        <v>2</v>
      </c>
      <c r="N713">
        <v>0.78</v>
      </c>
      <c r="O713" t="str">
        <f t="shared" si="23"/>
        <v>0.6–0.8 hours</v>
      </c>
      <c r="P713" t="s">
        <v>30</v>
      </c>
    </row>
    <row r="714" spans="1:16" x14ac:dyDescent="0.4">
      <c r="A714" t="s">
        <v>755</v>
      </c>
      <c r="B714">
        <v>19</v>
      </c>
      <c r="C714" t="s">
        <v>27</v>
      </c>
      <c r="D714" t="s">
        <v>22</v>
      </c>
      <c r="E714">
        <v>3.36</v>
      </c>
      <c r="F714">
        <v>27</v>
      </c>
      <c r="G714" t="s">
        <v>70</v>
      </c>
      <c r="H714" t="s">
        <v>46</v>
      </c>
      <c r="I714" s="2">
        <v>13.99</v>
      </c>
      <c r="J714">
        <v>1</v>
      </c>
      <c r="K714" s="2">
        <f t="shared" si="22"/>
        <v>13.99</v>
      </c>
      <c r="L714" t="s">
        <v>37</v>
      </c>
      <c r="M714">
        <v>1</v>
      </c>
      <c r="N714">
        <v>0.12</v>
      </c>
      <c r="O714" t="str">
        <f t="shared" si="23"/>
        <v>0–0.2 hours</v>
      </c>
      <c r="P714" t="s">
        <v>20</v>
      </c>
    </row>
    <row r="715" spans="1:16" x14ac:dyDescent="0.4">
      <c r="A715" t="s">
        <v>756</v>
      </c>
      <c r="B715">
        <v>56</v>
      </c>
      <c r="C715" t="s">
        <v>41</v>
      </c>
      <c r="D715" t="s">
        <v>16</v>
      </c>
      <c r="E715">
        <v>5.03</v>
      </c>
      <c r="F715">
        <v>22</v>
      </c>
      <c r="G715" t="s">
        <v>28</v>
      </c>
      <c r="H715" t="s">
        <v>55</v>
      </c>
      <c r="I715" s="2">
        <v>8.99</v>
      </c>
      <c r="J715">
        <v>0</v>
      </c>
      <c r="K715" s="2">
        <f t="shared" si="22"/>
        <v>0</v>
      </c>
      <c r="L715" t="s">
        <v>37</v>
      </c>
      <c r="M715">
        <v>4</v>
      </c>
      <c r="N715">
        <v>0.22</v>
      </c>
      <c r="O715" t="str">
        <f t="shared" si="23"/>
        <v>0.2–0.4 hours</v>
      </c>
      <c r="P715" t="s">
        <v>34</v>
      </c>
    </row>
    <row r="716" spans="1:16" x14ac:dyDescent="0.4">
      <c r="A716" t="s">
        <v>757</v>
      </c>
      <c r="B716">
        <v>34</v>
      </c>
      <c r="C716" t="s">
        <v>41</v>
      </c>
      <c r="D716" t="s">
        <v>16</v>
      </c>
      <c r="E716">
        <v>53.98</v>
      </c>
      <c r="F716">
        <v>10</v>
      </c>
      <c r="G716" t="s">
        <v>70</v>
      </c>
      <c r="H716" t="s">
        <v>57</v>
      </c>
      <c r="I716" s="2">
        <v>8.99</v>
      </c>
      <c r="J716">
        <v>0</v>
      </c>
      <c r="K716" s="2">
        <f t="shared" si="22"/>
        <v>0</v>
      </c>
      <c r="L716" t="s">
        <v>29</v>
      </c>
      <c r="M716">
        <v>5</v>
      </c>
      <c r="N716">
        <v>4.91</v>
      </c>
      <c r="O716" t="str">
        <f t="shared" si="23"/>
        <v>1+ hours</v>
      </c>
      <c r="P716" t="s">
        <v>52</v>
      </c>
    </row>
    <row r="717" spans="1:16" x14ac:dyDescent="0.4">
      <c r="A717" t="s">
        <v>758</v>
      </c>
      <c r="B717">
        <v>58</v>
      </c>
      <c r="C717" t="s">
        <v>27</v>
      </c>
      <c r="D717" t="s">
        <v>22</v>
      </c>
      <c r="E717">
        <v>23.39</v>
      </c>
      <c r="F717">
        <v>52</v>
      </c>
      <c r="G717" t="s">
        <v>28</v>
      </c>
      <c r="H717" t="s">
        <v>57</v>
      </c>
      <c r="I717" s="2">
        <v>13.99</v>
      </c>
      <c r="J717">
        <v>0</v>
      </c>
      <c r="K717" s="2">
        <f t="shared" si="22"/>
        <v>0</v>
      </c>
      <c r="L717" t="s">
        <v>61</v>
      </c>
      <c r="M717">
        <v>1</v>
      </c>
      <c r="N717">
        <v>0.44</v>
      </c>
      <c r="O717" t="str">
        <f t="shared" si="23"/>
        <v>0.4–0.6 hours</v>
      </c>
      <c r="P717" t="s">
        <v>47</v>
      </c>
    </row>
    <row r="718" spans="1:16" x14ac:dyDescent="0.4">
      <c r="A718" t="s">
        <v>759</v>
      </c>
      <c r="B718">
        <v>63</v>
      </c>
      <c r="C718" t="s">
        <v>27</v>
      </c>
      <c r="D718" t="s">
        <v>32</v>
      </c>
      <c r="E718">
        <v>7.04</v>
      </c>
      <c r="F718">
        <v>46</v>
      </c>
      <c r="G718" t="s">
        <v>23</v>
      </c>
      <c r="H718" t="s">
        <v>24</v>
      </c>
      <c r="I718" s="2">
        <v>17.989999999999998</v>
      </c>
      <c r="J718">
        <v>1</v>
      </c>
      <c r="K718" s="2">
        <f t="shared" si="22"/>
        <v>17.989999999999998</v>
      </c>
      <c r="L718" t="s">
        <v>19</v>
      </c>
      <c r="M718">
        <v>4</v>
      </c>
      <c r="N718">
        <v>0.15</v>
      </c>
      <c r="O718" t="str">
        <f t="shared" si="23"/>
        <v>0–0.2 hours</v>
      </c>
      <c r="P718" t="s">
        <v>39</v>
      </c>
    </row>
    <row r="719" spans="1:16" x14ac:dyDescent="0.4">
      <c r="A719" t="s">
        <v>760</v>
      </c>
      <c r="B719">
        <v>66</v>
      </c>
      <c r="C719" t="s">
        <v>41</v>
      </c>
      <c r="D719" t="s">
        <v>32</v>
      </c>
      <c r="E719">
        <v>32.06</v>
      </c>
      <c r="F719">
        <v>51</v>
      </c>
      <c r="G719" t="s">
        <v>28</v>
      </c>
      <c r="H719" t="s">
        <v>55</v>
      </c>
      <c r="I719" s="2">
        <v>17.989999999999998</v>
      </c>
      <c r="J719">
        <v>0</v>
      </c>
      <c r="K719" s="2">
        <f t="shared" si="22"/>
        <v>0</v>
      </c>
      <c r="L719" t="s">
        <v>37</v>
      </c>
      <c r="M719">
        <v>4</v>
      </c>
      <c r="N719">
        <v>0.62</v>
      </c>
      <c r="O719" t="str">
        <f t="shared" si="23"/>
        <v>0.6–0.8 hours</v>
      </c>
      <c r="P719" t="s">
        <v>30</v>
      </c>
    </row>
    <row r="720" spans="1:16" x14ac:dyDescent="0.4">
      <c r="A720" t="s">
        <v>761</v>
      </c>
      <c r="B720">
        <v>37</v>
      </c>
      <c r="C720" t="s">
        <v>15</v>
      </c>
      <c r="D720" t="s">
        <v>32</v>
      </c>
      <c r="E720">
        <v>28.08</v>
      </c>
      <c r="F720">
        <v>25</v>
      </c>
      <c r="G720" t="s">
        <v>70</v>
      </c>
      <c r="H720" t="s">
        <v>18</v>
      </c>
      <c r="I720" s="2">
        <v>17.989999999999998</v>
      </c>
      <c r="J720">
        <v>0</v>
      </c>
      <c r="K720" s="2">
        <f t="shared" si="22"/>
        <v>0</v>
      </c>
      <c r="L720" t="s">
        <v>61</v>
      </c>
      <c r="M720">
        <v>4</v>
      </c>
      <c r="N720">
        <v>1.08</v>
      </c>
      <c r="O720" t="str">
        <f t="shared" si="23"/>
        <v>1+ hours</v>
      </c>
      <c r="P720" t="s">
        <v>34</v>
      </c>
    </row>
    <row r="721" spans="1:16" x14ac:dyDescent="0.4">
      <c r="A721" t="s">
        <v>762</v>
      </c>
      <c r="B721">
        <v>21</v>
      </c>
      <c r="C721" t="s">
        <v>41</v>
      </c>
      <c r="D721" t="s">
        <v>16</v>
      </c>
      <c r="E721">
        <v>23.95</v>
      </c>
      <c r="F721">
        <v>50</v>
      </c>
      <c r="G721" t="s">
        <v>70</v>
      </c>
      <c r="H721" t="s">
        <v>46</v>
      </c>
      <c r="I721" s="2">
        <v>8.99</v>
      </c>
      <c r="J721">
        <v>1</v>
      </c>
      <c r="K721" s="2">
        <f t="shared" si="22"/>
        <v>8.99</v>
      </c>
      <c r="L721" t="s">
        <v>37</v>
      </c>
      <c r="M721">
        <v>3</v>
      </c>
      <c r="N721">
        <v>0.47</v>
      </c>
      <c r="O721" t="str">
        <f t="shared" si="23"/>
        <v>0.4–0.6 hours</v>
      </c>
      <c r="P721" t="s">
        <v>25</v>
      </c>
    </row>
    <row r="722" spans="1:16" x14ac:dyDescent="0.4">
      <c r="A722" t="s">
        <v>763</v>
      </c>
      <c r="B722">
        <v>44</v>
      </c>
      <c r="C722" t="s">
        <v>41</v>
      </c>
      <c r="D722" t="s">
        <v>32</v>
      </c>
      <c r="E722">
        <v>20.32</v>
      </c>
      <c r="F722">
        <v>46</v>
      </c>
      <c r="G722" t="s">
        <v>33</v>
      </c>
      <c r="H722" t="s">
        <v>46</v>
      </c>
      <c r="I722" s="2">
        <v>17.989999999999998</v>
      </c>
      <c r="J722">
        <v>0</v>
      </c>
      <c r="K722" s="2">
        <f t="shared" si="22"/>
        <v>0</v>
      </c>
      <c r="L722" t="s">
        <v>37</v>
      </c>
      <c r="M722">
        <v>3</v>
      </c>
      <c r="N722">
        <v>0.43</v>
      </c>
      <c r="O722" t="str">
        <f t="shared" si="23"/>
        <v>0.4–0.6 hours</v>
      </c>
      <c r="P722" t="s">
        <v>34</v>
      </c>
    </row>
    <row r="723" spans="1:16" x14ac:dyDescent="0.4">
      <c r="A723" t="s">
        <v>764</v>
      </c>
      <c r="B723">
        <v>66</v>
      </c>
      <c r="C723" t="s">
        <v>15</v>
      </c>
      <c r="D723" t="s">
        <v>22</v>
      </c>
      <c r="E723">
        <v>0.77</v>
      </c>
      <c r="F723">
        <v>36</v>
      </c>
      <c r="G723" t="s">
        <v>17</v>
      </c>
      <c r="H723" t="s">
        <v>18</v>
      </c>
      <c r="I723" s="2">
        <v>13.99</v>
      </c>
      <c r="J723">
        <v>1</v>
      </c>
      <c r="K723" s="2">
        <f t="shared" si="22"/>
        <v>13.99</v>
      </c>
      <c r="L723" t="s">
        <v>29</v>
      </c>
      <c r="M723">
        <v>4</v>
      </c>
      <c r="N723">
        <v>0.02</v>
      </c>
      <c r="O723" t="str">
        <f t="shared" si="23"/>
        <v>0–0.2 hours</v>
      </c>
      <c r="P723" t="s">
        <v>30</v>
      </c>
    </row>
    <row r="724" spans="1:16" x14ac:dyDescent="0.4">
      <c r="A724" t="s">
        <v>765</v>
      </c>
      <c r="B724">
        <v>56</v>
      </c>
      <c r="C724" t="s">
        <v>41</v>
      </c>
      <c r="D724" t="s">
        <v>22</v>
      </c>
      <c r="E724">
        <v>2.95</v>
      </c>
      <c r="F724">
        <v>52</v>
      </c>
      <c r="G724" t="s">
        <v>23</v>
      </c>
      <c r="H724" t="s">
        <v>57</v>
      </c>
      <c r="I724" s="2">
        <v>13.99</v>
      </c>
      <c r="J724">
        <v>1</v>
      </c>
      <c r="K724" s="2">
        <f t="shared" si="22"/>
        <v>13.99</v>
      </c>
      <c r="L724" t="s">
        <v>19</v>
      </c>
      <c r="M724">
        <v>1</v>
      </c>
      <c r="N724">
        <v>0.06</v>
      </c>
      <c r="O724" t="str">
        <f t="shared" si="23"/>
        <v>0–0.2 hours</v>
      </c>
      <c r="P724" t="s">
        <v>30</v>
      </c>
    </row>
    <row r="725" spans="1:16" x14ac:dyDescent="0.4">
      <c r="A725" t="s">
        <v>766</v>
      </c>
      <c r="B725">
        <v>21</v>
      </c>
      <c r="C725" t="s">
        <v>41</v>
      </c>
      <c r="D725" t="s">
        <v>16</v>
      </c>
      <c r="E725">
        <v>11.85</v>
      </c>
      <c r="F725">
        <v>34</v>
      </c>
      <c r="G725" t="s">
        <v>33</v>
      </c>
      <c r="H725" t="s">
        <v>24</v>
      </c>
      <c r="I725" s="2">
        <v>8.99</v>
      </c>
      <c r="J725">
        <v>1</v>
      </c>
      <c r="K725" s="2">
        <f t="shared" si="22"/>
        <v>8.99</v>
      </c>
      <c r="L725" t="s">
        <v>61</v>
      </c>
      <c r="M725">
        <v>4</v>
      </c>
      <c r="N725">
        <v>0.34</v>
      </c>
      <c r="O725" t="str">
        <f t="shared" si="23"/>
        <v>0.2–0.4 hours</v>
      </c>
      <c r="P725" t="s">
        <v>30</v>
      </c>
    </row>
    <row r="726" spans="1:16" x14ac:dyDescent="0.4">
      <c r="A726" t="s">
        <v>767</v>
      </c>
      <c r="B726">
        <v>49</v>
      </c>
      <c r="C726" t="s">
        <v>15</v>
      </c>
      <c r="D726" t="s">
        <v>32</v>
      </c>
      <c r="E726">
        <v>9.61</v>
      </c>
      <c r="F726">
        <v>27</v>
      </c>
      <c r="G726" t="s">
        <v>49</v>
      </c>
      <c r="H726" t="s">
        <v>18</v>
      </c>
      <c r="I726" s="2">
        <v>17.989999999999998</v>
      </c>
      <c r="J726">
        <v>0</v>
      </c>
      <c r="K726" s="2">
        <f t="shared" si="22"/>
        <v>0</v>
      </c>
      <c r="L726" t="s">
        <v>43</v>
      </c>
      <c r="M726">
        <v>3</v>
      </c>
      <c r="N726">
        <v>0.34</v>
      </c>
      <c r="O726" t="str">
        <f t="shared" si="23"/>
        <v>0.2–0.4 hours</v>
      </c>
      <c r="P726" t="s">
        <v>34</v>
      </c>
    </row>
    <row r="727" spans="1:16" x14ac:dyDescent="0.4">
      <c r="A727" t="s">
        <v>768</v>
      </c>
      <c r="B727">
        <v>28</v>
      </c>
      <c r="C727" t="s">
        <v>41</v>
      </c>
      <c r="D727" t="s">
        <v>32</v>
      </c>
      <c r="E727">
        <v>49.34</v>
      </c>
      <c r="F727">
        <v>31</v>
      </c>
      <c r="G727" t="s">
        <v>33</v>
      </c>
      <c r="H727" t="s">
        <v>18</v>
      </c>
      <c r="I727" s="2">
        <v>17.989999999999998</v>
      </c>
      <c r="J727">
        <v>0</v>
      </c>
      <c r="K727" s="2">
        <f t="shared" si="22"/>
        <v>0</v>
      </c>
      <c r="L727" t="s">
        <v>19</v>
      </c>
      <c r="M727">
        <v>1</v>
      </c>
      <c r="N727">
        <v>1.54</v>
      </c>
      <c r="O727" t="str">
        <f t="shared" si="23"/>
        <v>1+ hours</v>
      </c>
      <c r="P727" t="s">
        <v>34</v>
      </c>
    </row>
    <row r="728" spans="1:16" x14ac:dyDescent="0.4">
      <c r="A728" t="s">
        <v>769</v>
      </c>
      <c r="B728">
        <v>62</v>
      </c>
      <c r="C728" t="s">
        <v>41</v>
      </c>
      <c r="D728" t="s">
        <v>22</v>
      </c>
      <c r="E728">
        <v>3.02</v>
      </c>
      <c r="F728">
        <v>16</v>
      </c>
      <c r="G728" t="s">
        <v>23</v>
      </c>
      <c r="H728" t="s">
        <v>18</v>
      </c>
      <c r="I728" s="2">
        <v>13.99</v>
      </c>
      <c r="J728">
        <v>1</v>
      </c>
      <c r="K728" s="2">
        <f t="shared" si="22"/>
        <v>13.99</v>
      </c>
      <c r="L728" t="s">
        <v>37</v>
      </c>
      <c r="M728">
        <v>2</v>
      </c>
      <c r="N728">
        <v>0.18</v>
      </c>
      <c r="O728" t="str">
        <f t="shared" si="23"/>
        <v>0–0.2 hours</v>
      </c>
      <c r="P728" t="s">
        <v>30</v>
      </c>
    </row>
    <row r="729" spans="1:16" x14ac:dyDescent="0.4">
      <c r="A729" t="s">
        <v>770</v>
      </c>
      <c r="B729">
        <v>67</v>
      </c>
      <c r="C729" t="s">
        <v>27</v>
      </c>
      <c r="D729" t="s">
        <v>32</v>
      </c>
      <c r="E729">
        <v>2.02</v>
      </c>
      <c r="F729">
        <v>52</v>
      </c>
      <c r="G729" t="s">
        <v>33</v>
      </c>
      <c r="H729" t="s">
        <v>24</v>
      </c>
      <c r="I729" s="2">
        <v>17.989999999999998</v>
      </c>
      <c r="J729">
        <v>1</v>
      </c>
      <c r="K729" s="2">
        <f t="shared" si="22"/>
        <v>17.989999999999998</v>
      </c>
      <c r="L729" t="s">
        <v>43</v>
      </c>
      <c r="M729">
        <v>2</v>
      </c>
      <c r="N729">
        <v>0.04</v>
      </c>
      <c r="O729" t="str">
        <f t="shared" si="23"/>
        <v>0–0.2 hours</v>
      </c>
      <c r="P729" t="s">
        <v>20</v>
      </c>
    </row>
    <row r="730" spans="1:16" x14ac:dyDescent="0.4">
      <c r="A730" t="s">
        <v>771</v>
      </c>
      <c r="B730">
        <v>47</v>
      </c>
      <c r="C730" t="s">
        <v>27</v>
      </c>
      <c r="D730" t="s">
        <v>22</v>
      </c>
      <c r="E730">
        <v>9.7799999999999994</v>
      </c>
      <c r="F730">
        <v>18</v>
      </c>
      <c r="G730" t="s">
        <v>28</v>
      </c>
      <c r="H730" t="s">
        <v>57</v>
      </c>
      <c r="I730" s="2">
        <v>13.99</v>
      </c>
      <c r="J730">
        <v>0</v>
      </c>
      <c r="K730" s="2">
        <f t="shared" si="22"/>
        <v>0</v>
      </c>
      <c r="L730" t="s">
        <v>29</v>
      </c>
      <c r="M730">
        <v>3</v>
      </c>
      <c r="N730">
        <v>0.51</v>
      </c>
      <c r="O730" t="str">
        <f t="shared" si="23"/>
        <v>0.4–0.6 hours</v>
      </c>
      <c r="P730" t="s">
        <v>47</v>
      </c>
    </row>
    <row r="731" spans="1:16" x14ac:dyDescent="0.4">
      <c r="A731" t="s">
        <v>772</v>
      </c>
      <c r="B731">
        <v>57</v>
      </c>
      <c r="C731" t="s">
        <v>27</v>
      </c>
      <c r="D731" t="s">
        <v>32</v>
      </c>
      <c r="E731">
        <v>4.3899999999999997</v>
      </c>
      <c r="F731">
        <v>60</v>
      </c>
      <c r="G731" t="s">
        <v>70</v>
      </c>
      <c r="H731" t="s">
        <v>18</v>
      </c>
      <c r="I731" s="2">
        <v>17.989999999999998</v>
      </c>
      <c r="J731">
        <v>1</v>
      </c>
      <c r="K731" s="2">
        <f t="shared" si="22"/>
        <v>17.989999999999998</v>
      </c>
      <c r="L731" t="s">
        <v>29</v>
      </c>
      <c r="M731">
        <v>3</v>
      </c>
      <c r="N731">
        <v>7.0000000000000007E-2</v>
      </c>
      <c r="O731" t="str">
        <f t="shared" si="23"/>
        <v>0–0.2 hours</v>
      </c>
      <c r="P731" t="s">
        <v>34</v>
      </c>
    </row>
    <row r="732" spans="1:16" x14ac:dyDescent="0.4">
      <c r="A732" t="s">
        <v>773</v>
      </c>
      <c r="B732">
        <v>43</v>
      </c>
      <c r="C732" t="s">
        <v>15</v>
      </c>
      <c r="D732" t="s">
        <v>16</v>
      </c>
      <c r="E732">
        <v>0.59</v>
      </c>
      <c r="F732">
        <v>11</v>
      </c>
      <c r="G732" t="s">
        <v>23</v>
      </c>
      <c r="H732" t="s">
        <v>24</v>
      </c>
      <c r="I732" s="2">
        <v>8.99</v>
      </c>
      <c r="J732">
        <v>1</v>
      </c>
      <c r="K732" s="2">
        <f t="shared" si="22"/>
        <v>8.99</v>
      </c>
      <c r="L732" t="s">
        <v>37</v>
      </c>
      <c r="M732">
        <v>3</v>
      </c>
      <c r="N732">
        <v>0.05</v>
      </c>
      <c r="O732" t="str">
        <f t="shared" si="23"/>
        <v>0–0.2 hours</v>
      </c>
      <c r="P732" t="s">
        <v>30</v>
      </c>
    </row>
    <row r="733" spans="1:16" x14ac:dyDescent="0.4">
      <c r="A733" t="s">
        <v>774</v>
      </c>
      <c r="B733">
        <v>24</v>
      </c>
      <c r="C733" t="s">
        <v>41</v>
      </c>
      <c r="D733" t="s">
        <v>16</v>
      </c>
      <c r="E733">
        <v>1.68</v>
      </c>
      <c r="F733">
        <v>1</v>
      </c>
      <c r="G733" t="s">
        <v>70</v>
      </c>
      <c r="H733" t="s">
        <v>46</v>
      </c>
      <c r="I733" s="2">
        <v>8.99</v>
      </c>
      <c r="J733">
        <v>1</v>
      </c>
      <c r="K733" s="2">
        <f t="shared" si="22"/>
        <v>8.99</v>
      </c>
      <c r="L733" t="s">
        <v>61</v>
      </c>
      <c r="M733">
        <v>1</v>
      </c>
      <c r="N733">
        <v>0.84</v>
      </c>
      <c r="O733" t="str">
        <f t="shared" si="23"/>
        <v>0.8–1 hour</v>
      </c>
      <c r="P733" t="s">
        <v>25</v>
      </c>
    </row>
    <row r="734" spans="1:16" x14ac:dyDescent="0.4">
      <c r="A734" t="s">
        <v>775</v>
      </c>
      <c r="B734">
        <v>34</v>
      </c>
      <c r="C734" t="s">
        <v>27</v>
      </c>
      <c r="D734" t="s">
        <v>32</v>
      </c>
      <c r="E734">
        <v>1.58</v>
      </c>
      <c r="F734">
        <v>7</v>
      </c>
      <c r="G734" t="s">
        <v>33</v>
      </c>
      <c r="H734" t="s">
        <v>18</v>
      </c>
      <c r="I734" s="2">
        <v>17.989999999999998</v>
      </c>
      <c r="J734">
        <v>1</v>
      </c>
      <c r="K734" s="2">
        <f t="shared" si="22"/>
        <v>17.989999999999998</v>
      </c>
      <c r="L734" t="s">
        <v>19</v>
      </c>
      <c r="M734">
        <v>1</v>
      </c>
      <c r="N734">
        <v>0.2</v>
      </c>
      <c r="O734" t="str">
        <f t="shared" si="23"/>
        <v>0–0.2 hours</v>
      </c>
      <c r="P734" t="s">
        <v>47</v>
      </c>
    </row>
    <row r="735" spans="1:16" x14ac:dyDescent="0.4">
      <c r="A735" t="s">
        <v>776</v>
      </c>
      <c r="B735">
        <v>39</v>
      </c>
      <c r="C735" t="s">
        <v>27</v>
      </c>
      <c r="D735" t="s">
        <v>22</v>
      </c>
      <c r="E735">
        <v>67.05</v>
      </c>
      <c r="F735">
        <v>24</v>
      </c>
      <c r="G735" t="s">
        <v>33</v>
      </c>
      <c r="H735" t="s">
        <v>24</v>
      </c>
      <c r="I735" s="2">
        <v>13.99</v>
      </c>
      <c r="J735">
        <v>0</v>
      </c>
      <c r="K735" s="2">
        <f t="shared" si="22"/>
        <v>0</v>
      </c>
      <c r="L735" t="s">
        <v>43</v>
      </c>
      <c r="M735">
        <v>2</v>
      </c>
      <c r="N735">
        <v>2.68</v>
      </c>
      <c r="O735" t="str">
        <f t="shared" si="23"/>
        <v>1+ hours</v>
      </c>
      <c r="P735" t="s">
        <v>39</v>
      </c>
    </row>
    <row r="736" spans="1:16" x14ac:dyDescent="0.4">
      <c r="A736" t="s">
        <v>777</v>
      </c>
      <c r="B736">
        <v>60</v>
      </c>
      <c r="C736" t="s">
        <v>27</v>
      </c>
      <c r="D736" t="s">
        <v>16</v>
      </c>
      <c r="E736">
        <v>1.07</v>
      </c>
      <c r="F736">
        <v>3</v>
      </c>
      <c r="G736" t="s">
        <v>33</v>
      </c>
      <c r="H736" t="s">
        <v>57</v>
      </c>
      <c r="I736" s="2">
        <v>8.99</v>
      </c>
      <c r="J736">
        <v>1</v>
      </c>
      <c r="K736" s="2">
        <f t="shared" si="22"/>
        <v>8.99</v>
      </c>
      <c r="L736" t="s">
        <v>61</v>
      </c>
      <c r="M736">
        <v>3</v>
      </c>
      <c r="N736">
        <v>0.27</v>
      </c>
      <c r="O736" t="str">
        <f t="shared" si="23"/>
        <v>0.2–0.4 hours</v>
      </c>
      <c r="P736" t="s">
        <v>39</v>
      </c>
    </row>
    <row r="737" spans="1:16" x14ac:dyDescent="0.4">
      <c r="A737" t="s">
        <v>778</v>
      </c>
      <c r="B737">
        <v>66</v>
      </c>
      <c r="C737" t="s">
        <v>15</v>
      </c>
      <c r="D737" t="s">
        <v>32</v>
      </c>
      <c r="E737">
        <v>1.85</v>
      </c>
      <c r="F737">
        <v>57</v>
      </c>
      <c r="G737" t="s">
        <v>49</v>
      </c>
      <c r="H737" t="s">
        <v>57</v>
      </c>
      <c r="I737" s="2">
        <v>17.989999999999998</v>
      </c>
      <c r="J737">
        <v>1</v>
      </c>
      <c r="K737" s="2">
        <f t="shared" si="22"/>
        <v>17.989999999999998</v>
      </c>
      <c r="L737" t="s">
        <v>37</v>
      </c>
      <c r="M737">
        <v>3</v>
      </c>
      <c r="N737">
        <v>0.03</v>
      </c>
      <c r="O737" t="str">
        <f t="shared" si="23"/>
        <v>0–0.2 hours</v>
      </c>
      <c r="P737" t="s">
        <v>20</v>
      </c>
    </row>
    <row r="738" spans="1:16" x14ac:dyDescent="0.4">
      <c r="A738" t="s">
        <v>779</v>
      </c>
      <c r="B738">
        <v>29</v>
      </c>
      <c r="C738" t="s">
        <v>41</v>
      </c>
      <c r="D738" t="s">
        <v>32</v>
      </c>
      <c r="E738">
        <v>16.420000000000002</v>
      </c>
      <c r="F738">
        <v>4</v>
      </c>
      <c r="G738" t="s">
        <v>33</v>
      </c>
      <c r="H738" t="s">
        <v>57</v>
      </c>
      <c r="I738" s="2">
        <v>17.989999999999998</v>
      </c>
      <c r="J738">
        <v>0</v>
      </c>
      <c r="K738" s="2">
        <f t="shared" si="22"/>
        <v>0</v>
      </c>
      <c r="L738" t="s">
        <v>61</v>
      </c>
      <c r="M738">
        <v>3</v>
      </c>
      <c r="N738">
        <v>3.28</v>
      </c>
      <c r="O738" t="str">
        <f t="shared" si="23"/>
        <v>1+ hours</v>
      </c>
      <c r="P738" t="s">
        <v>30</v>
      </c>
    </row>
    <row r="739" spans="1:16" x14ac:dyDescent="0.4">
      <c r="A739" t="s">
        <v>780</v>
      </c>
      <c r="B739">
        <v>35</v>
      </c>
      <c r="C739" t="s">
        <v>27</v>
      </c>
      <c r="D739" t="s">
        <v>16</v>
      </c>
      <c r="E739">
        <v>11.85</v>
      </c>
      <c r="F739">
        <v>57</v>
      </c>
      <c r="G739" t="s">
        <v>70</v>
      </c>
      <c r="H739" t="s">
        <v>18</v>
      </c>
      <c r="I739" s="2">
        <v>8.99</v>
      </c>
      <c r="J739">
        <v>1</v>
      </c>
      <c r="K739" s="2">
        <f t="shared" si="22"/>
        <v>8.99</v>
      </c>
      <c r="L739" t="s">
        <v>19</v>
      </c>
      <c r="M739">
        <v>3</v>
      </c>
      <c r="N739">
        <v>0.2</v>
      </c>
      <c r="O739" t="str">
        <f t="shared" si="23"/>
        <v>0–0.2 hours</v>
      </c>
      <c r="P739" t="s">
        <v>52</v>
      </c>
    </row>
    <row r="740" spans="1:16" x14ac:dyDescent="0.4">
      <c r="A740" t="s">
        <v>781</v>
      </c>
      <c r="B740">
        <v>36</v>
      </c>
      <c r="C740" t="s">
        <v>15</v>
      </c>
      <c r="D740" t="s">
        <v>32</v>
      </c>
      <c r="E740">
        <v>24.09</v>
      </c>
      <c r="F740">
        <v>36</v>
      </c>
      <c r="G740" t="s">
        <v>33</v>
      </c>
      <c r="H740" t="s">
        <v>46</v>
      </c>
      <c r="I740" s="2">
        <v>17.989999999999998</v>
      </c>
      <c r="J740">
        <v>0</v>
      </c>
      <c r="K740" s="2">
        <f t="shared" si="22"/>
        <v>0</v>
      </c>
      <c r="L740" t="s">
        <v>61</v>
      </c>
      <c r="M740">
        <v>5</v>
      </c>
      <c r="N740">
        <v>0.65</v>
      </c>
      <c r="O740" t="str">
        <f t="shared" si="23"/>
        <v>0.6–0.8 hours</v>
      </c>
      <c r="P740" t="s">
        <v>30</v>
      </c>
    </row>
    <row r="741" spans="1:16" x14ac:dyDescent="0.4">
      <c r="A741" t="s">
        <v>782</v>
      </c>
      <c r="B741">
        <v>46</v>
      </c>
      <c r="C741" t="s">
        <v>15</v>
      </c>
      <c r="D741" t="s">
        <v>16</v>
      </c>
      <c r="E741">
        <v>14.53</v>
      </c>
      <c r="F741">
        <v>19</v>
      </c>
      <c r="G741" t="s">
        <v>49</v>
      </c>
      <c r="H741" t="s">
        <v>24</v>
      </c>
      <c r="I741" s="2">
        <v>8.99</v>
      </c>
      <c r="J741">
        <v>0</v>
      </c>
      <c r="K741" s="2">
        <f t="shared" si="22"/>
        <v>0</v>
      </c>
      <c r="L741" t="s">
        <v>29</v>
      </c>
      <c r="M741">
        <v>4</v>
      </c>
      <c r="N741">
        <v>0.73</v>
      </c>
      <c r="O741" t="str">
        <f t="shared" si="23"/>
        <v>0.6–0.8 hours</v>
      </c>
      <c r="P741" t="s">
        <v>39</v>
      </c>
    </row>
    <row r="742" spans="1:16" x14ac:dyDescent="0.4">
      <c r="A742" t="s">
        <v>783</v>
      </c>
      <c r="B742">
        <v>58</v>
      </c>
      <c r="C742" t="s">
        <v>27</v>
      </c>
      <c r="D742" t="s">
        <v>22</v>
      </c>
      <c r="E742">
        <v>2.4</v>
      </c>
      <c r="F742">
        <v>11</v>
      </c>
      <c r="G742" t="s">
        <v>70</v>
      </c>
      <c r="H742" t="s">
        <v>24</v>
      </c>
      <c r="I742" s="2">
        <v>13.99</v>
      </c>
      <c r="J742">
        <v>0</v>
      </c>
      <c r="K742" s="2">
        <f t="shared" si="22"/>
        <v>0</v>
      </c>
      <c r="L742" t="s">
        <v>43</v>
      </c>
      <c r="M742">
        <v>5</v>
      </c>
      <c r="N742">
        <v>0.2</v>
      </c>
      <c r="O742" t="str">
        <f t="shared" si="23"/>
        <v>0–0.2 hours</v>
      </c>
      <c r="P742" t="s">
        <v>52</v>
      </c>
    </row>
    <row r="743" spans="1:16" x14ac:dyDescent="0.4">
      <c r="A743" t="s">
        <v>784</v>
      </c>
      <c r="B743">
        <v>18</v>
      </c>
      <c r="C743" t="s">
        <v>27</v>
      </c>
      <c r="D743" t="s">
        <v>32</v>
      </c>
      <c r="E743">
        <v>0.17</v>
      </c>
      <c r="F743">
        <v>16</v>
      </c>
      <c r="G743" t="s">
        <v>70</v>
      </c>
      <c r="H743" t="s">
        <v>55</v>
      </c>
      <c r="I743" s="2">
        <v>17.989999999999998</v>
      </c>
      <c r="J743">
        <v>0</v>
      </c>
      <c r="K743" s="2">
        <f t="shared" si="22"/>
        <v>0</v>
      </c>
      <c r="L743" t="s">
        <v>37</v>
      </c>
      <c r="M743">
        <v>5</v>
      </c>
      <c r="N743">
        <v>0.01</v>
      </c>
      <c r="O743" t="str">
        <f t="shared" si="23"/>
        <v>0–0.2 hours</v>
      </c>
      <c r="P743" t="s">
        <v>34</v>
      </c>
    </row>
    <row r="744" spans="1:16" x14ac:dyDescent="0.4">
      <c r="A744" t="s">
        <v>785</v>
      </c>
      <c r="B744">
        <v>60</v>
      </c>
      <c r="C744" t="s">
        <v>41</v>
      </c>
      <c r="D744" t="s">
        <v>32</v>
      </c>
      <c r="E744">
        <v>8.42</v>
      </c>
      <c r="F744">
        <v>59</v>
      </c>
      <c r="G744" t="s">
        <v>70</v>
      </c>
      <c r="H744" t="s">
        <v>24</v>
      </c>
      <c r="I744" s="2">
        <v>17.989999999999998</v>
      </c>
      <c r="J744">
        <v>1</v>
      </c>
      <c r="K744" s="2">
        <f t="shared" si="22"/>
        <v>17.989999999999998</v>
      </c>
      <c r="L744" t="s">
        <v>37</v>
      </c>
      <c r="M744">
        <v>2</v>
      </c>
      <c r="N744">
        <v>0.14000000000000001</v>
      </c>
      <c r="O744" t="str">
        <f t="shared" si="23"/>
        <v>0–0.2 hours</v>
      </c>
      <c r="P744" t="s">
        <v>25</v>
      </c>
    </row>
    <row r="745" spans="1:16" x14ac:dyDescent="0.4">
      <c r="A745" t="s">
        <v>786</v>
      </c>
      <c r="B745">
        <v>39</v>
      </c>
      <c r="C745" t="s">
        <v>27</v>
      </c>
      <c r="D745" t="s">
        <v>22</v>
      </c>
      <c r="E745">
        <v>20.87</v>
      </c>
      <c r="F745">
        <v>59</v>
      </c>
      <c r="G745" t="s">
        <v>23</v>
      </c>
      <c r="H745" t="s">
        <v>18</v>
      </c>
      <c r="I745" s="2">
        <v>13.99</v>
      </c>
      <c r="J745">
        <v>0</v>
      </c>
      <c r="K745" s="2">
        <f t="shared" si="22"/>
        <v>0</v>
      </c>
      <c r="L745" t="s">
        <v>61</v>
      </c>
      <c r="M745">
        <v>1</v>
      </c>
      <c r="N745">
        <v>0.35</v>
      </c>
      <c r="O745" t="str">
        <f t="shared" si="23"/>
        <v>0.2–0.4 hours</v>
      </c>
      <c r="P745" t="s">
        <v>39</v>
      </c>
    </row>
    <row r="746" spans="1:16" x14ac:dyDescent="0.4">
      <c r="A746" t="s">
        <v>787</v>
      </c>
      <c r="B746">
        <v>65</v>
      </c>
      <c r="C746" t="s">
        <v>27</v>
      </c>
      <c r="D746" t="s">
        <v>22</v>
      </c>
      <c r="E746">
        <v>2.75</v>
      </c>
      <c r="F746">
        <v>36</v>
      </c>
      <c r="G746" t="s">
        <v>23</v>
      </c>
      <c r="H746" t="s">
        <v>46</v>
      </c>
      <c r="I746" s="2">
        <v>13.99</v>
      </c>
      <c r="J746">
        <v>1</v>
      </c>
      <c r="K746" s="2">
        <f t="shared" si="22"/>
        <v>13.99</v>
      </c>
      <c r="L746" t="s">
        <v>43</v>
      </c>
      <c r="M746">
        <v>2</v>
      </c>
      <c r="N746">
        <v>7.0000000000000007E-2</v>
      </c>
      <c r="O746" t="str">
        <f t="shared" si="23"/>
        <v>0–0.2 hours</v>
      </c>
      <c r="P746" t="s">
        <v>39</v>
      </c>
    </row>
    <row r="747" spans="1:16" x14ac:dyDescent="0.4">
      <c r="A747" t="s">
        <v>788</v>
      </c>
      <c r="B747">
        <v>38</v>
      </c>
      <c r="C747" t="s">
        <v>15</v>
      </c>
      <c r="D747" t="s">
        <v>16</v>
      </c>
      <c r="E747">
        <v>10.25</v>
      </c>
      <c r="F747">
        <v>42</v>
      </c>
      <c r="G747" t="s">
        <v>23</v>
      </c>
      <c r="H747" t="s">
        <v>55</v>
      </c>
      <c r="I747" s="2">
        <v>8.99</v>
      </c>
      <c r="J747">
        <v>1</v>
      </c>
      <c r="K747" s="2">
        <f t="shared" si="22"/>
        <v>8.99</v>
      </c>
      <c r="L747" t="s">
        <v>43</v>
      </c>
      <c r="M747">
        <v>2</v>
      </c>
      <c r="N747">
        <v>0.24</v>
      </c>
      <c r="O747" t="str">
        <f t="shared" si="23"/>
        <v>0.2–0.4 hours</v>
      </c>
      <c r="P747" t="s">
        <v>20</v>
      </c>
    </row>
    <row r="748" spans="1:16" x14ac:dyDescent="0.4">
      <c r="A748" t="s">
        <v>789</v>
      </c>
      <c r="B748">
        <v>20</v>
      </c>
      <c r="C748" t="s">
        <v>41</v>
      </c>
      <c r="D748" t="s">
        <v>16</v>
      </c>
      <c r="E748">
        <v>1.98</v>
      </c>
      <c r="F748">
        <v>45</v>
      </c>
      <c r="G748" t="s">
        <v>70</v>
      </c>
      <c r="H748" t="s">
        <v>55</v>
      </c>
      <c r="I748" s="2">
        <v>8.99</v>
      </c>
      <c r="J748">
        <v>1</v>
      </c>
      <c r="K748" s="2">
        <f t="shared" si="22"/>
        <v>8.99</v>
      </c>
      <c r="L748" t="s">
        <v>43</v>
      </c>
      <c r="M748">
        <v>4</v>
      </c>
      <c r="N748">
        <v>0.04</v>
      </c>
      <c r="O748" t="str">
        <f t="shared" si="23"/>
        <v>0–0.2 hours</v>
      </c>
      <c r="P748" t="s">
        <v>39</v>
      </c>
    </row>
    <row r="749" spans="1:16" x14ac:dyDescent="0.4">
      <c r="A749" t="s">
        <v>790</v>
      </c>
      <c r="B749">
        <v>27</v>
      </c>
      <c r="C749" t="s">
        <v>27</v>
      </c>
      <c r="D749" t="s">
        <v>16</v>
      </c>
      <c r="E749">
        <v>7.37</v>
      </c>
      <c r="F749">
        <v>15</v>
      </c>
      <c r="G749" t="s">
        <v>70</v>
      </c>
      <c r="H749" t="s">
        <v>18</v>
      </c>
      <c r="I749" s="2">
        <v>8.99</v>
      </c>
      <c r="J749">
        <v>0</v>
      </c>
      <c r="K749" s="2">
        <f t="shared" si="22"/>
        <v>0</v>
      </c>
      <c r="L749" t="s">
        <v>43</v>
      </c>
      <c r="M749">
        <v>2</v>
      </c>
      <c r="N749">
        <v>0.46</v>
      </c>
      <c r="O749" t="str">
        <f t="shared" si="23"/>
        <v>0.4–0.6 hours</v>
      </c>
      <c r="P749" t="s">
        <v>52</v>
      </c>
    </row>
    <row r="750" spans="1:16" x14ac:dyDescent="0.4">
      <c r="A750" t="s">
        <v>791</v>
      </c>
      <c r="B750">
        <v>58</v>
      </c>
      <c r="C750" t="s">
        <v>27</v>
      </c>
      <c r="D750" t="s">
        <v>32</v>
      </c>
      <c r="E750">
        <v>13.35</v>
      </c>
      <c r="F750">
        <v>18</v>
      </c>
      <c r="G750" t="s">
        <v>49</v>
      </c>
      <c r="H750" t="s">
        <v>18</v>
      </c>
      <c r="I750" s="2">
        <v>17.989999999999998</v>
      </c>
      <c r="J750">
        <v>0</v>
      </c>
      <c r="K750" s="2">
        <f t="shared" si="22"/>
        <v>0</v>
      </c>
      <c r="L750" t="s">
        <v>61</v>
      </c>
      <c r="M750">
        <v>5</v>
      </c>
      <c r="N750">
        <v>0.7</v>
      </c>
      <c r="O750" t="str">
        <f t="shared" si="23"/>
        <v>0.6–0.8 hours</v>
      </c>
      <c r="P750" t="s">
        <v>25</v>
      </c>
    </row>
    <row r="751" spans="1:16" x14ac:dyDescent="0.4">
      <c r="A751" t="s">
        <v>792</v>
      </c>
      <c r="B751">
        <v>39</v>
      </c>
      <c r="C751" t="s">
        <v>41</v>
      </c>
      <c r="D751" t="s">
        <v>22</v>
      </c>
      <c r="E751">
        <v>1.97</v>
      </c>
      <c r="F751">
        <v>53</v>
      </c>
      <c r="G751" t="s">
        <v>28</v>
      </c>
      <c r="H751" t="s">
        <v>24</v>
      </c>
      <c r="I751" s="2">
        <v>13.99</v>
      </c>
      <c r="J751">
        <v>1</v>
      </c>
      <c r="K751" s="2">
        <f t="shared" si="22"/>
        <v>13.99</v>
      </c>
      <c r="L751" t="s">
        <v>37</v>
      </c>
      <c r="M751">
        <v>2</v>
      </c>
      <c r="N751">
        <v>0.04</v>
      </c>
      <c r="O751" t="str">
        <f t="shared" si="23"/>
        <v>0–0.2 hours</v>
      </c>
      <c r="P751" t="s">
        <v>30</v>
      </c>
    </row>
    <row r="752" spans="1:16" x14ac:dyDescent="0.4">
      <c r="A752" t="s">
        <v>793</v>
      </c>
      <c r="B752">
        <v>26</v>
      </c>
      <c r="C752" t="s">
        <v>15</v>
      </c>
      <c r="D752" t="s">
        <v>16</v>
      </c>
      <c r="E752">
        <v>12.57</v>
      </c>
      <c r="F752">
        <v>30</v>
      </c>
      <c r="G752" t="s">
        <v>28</v>
      </c>
      <c r="H752" t="s">
        <v>24</v>
      </c>
      <c r="I752" s="2">
        <v>8.99</v>
      </c>
      <c r="J752">
        <v>1</v>
      </c>
      <c r="K752" s="2">
        <f t="shared" si="22"/>
        <v>8.99</v>
      </c>
      <c r="L752" t="s">
        <v>19</v>
      </c>
      <c r="M752">
        <v>3</v>
      </c>
      <c r="N752">
        <v>0.41</v>
      </c>
      <c r="O752" t="str">
        <f t="shared" si="23"/>
        <v>0.4–0.6 hours</v>
      </c>
      <c r="P752" t="s">
        <v>20</v>
      </c>
    </row>
    <row r="753" spans="1:16" x14ac:dyDescent="0.4">
      <c r="A753" t="s">
        <v>794</v>
      </c>
      <c r="B753">
        <v>25</v>
      </c>
      <c r="C753" t="s">
        <v>15</v>
      </c>
      <c r="D753" t="s">
        <v>32</v>
      </c>
      <c r="E753">
        <v>12.4</v>
      </c>
      <c r="F753">
        <v>57</v>
      </c>
      <c r="G753" t="s">
        <v>28</v>
      </c>
      <c r="H753" t="s">
        <v>24</v>
      </c>
      <c r="I753" s="2">
        <v>17.989999999999998</v>
      </c>
      <c r="J753">
        <v>1</v>
      </c>
      <c r="K753" s="2">
        <f t="shared" si="22"/>
        <v>17.989999999999998</v>
      </c>
      <c r="L753" t="s">
        <v>19</v>
      </c>
      <c r="M753">
        <v>5</v>
      </c>
      <c r="N753">
        <v>0.21</v>
      </c>
      <c r="O753" t="str">
        <f t="shared" si="23"/>
        <v>0.2–0.4 hours</v>
      </c>
      <c r="P753" t="s">
        <v>20</v>
      </c>
    </row>
    <row r="754" spans="1:16" x14ac:dyDescent="0.4">
      <c r="A754" t="s">
        <v>795</v>
      </c>
      <c r="B754">
        <v>56</v>
      </c>
      <c r="C754" t="s">
        <v>27</v>
      </c>
      <c r="D754" t="s">
        <v>22</v>
      </c>
      <c r="E754">
        <v>23.82</v>
      </c>
      <c r="F754">
        <v>55</v>
      </c>
      <c r="G754" t="s">
        <v>49</v>
      </c>
      <c r="H754" t="s">
        <v>46</v>
      </c>
      <c r="I754" s="2">
        <v>13.99</v>
      </c>
      <c r="J754">
        <v>0</v>
      </c>
      <c r="K754" s="2">
        <f t="shared" si="22"/>
        <v>0</v>
      </c>
      <c r="L754" t="s">
        <v>37</v>
      </c>
      <c r="M754">
        <v>5</v>
      </c>
      <c r="N754">
        <v>0.43</v>
      </c>
      <c r="O754" t="str">
        <f t="shared" si="23"/>
        <v>0.4–0.6 hours</v>
      </c>
      <c r="P754" t="s">
        <v>52</v>
      </c>
    </row>
    <row r="755" spans="1:16" x14ac:dyDescent="0.4">
      <c r="A755" t="s">
        <v>796</v>
      </c>
      <c r="B755">
        <v>49</v>
      </c>
      <c r="C755" t="s">
        <v>27</v>
      </c>
      <c r="D755" t="s">
        <v>32</v>
      </c>
      <c r="E755">
        <v>2.74</v>
      </c>
      <c r="F755">
        <v>46</v>
      </c>
      <c r="G755" t="s">
        <v>28</v>
      </c>
      <c r="H755" t="s">
        <v>18</v>
      </c>
      <c r="I755" s="2">
        <v>17.989999999999998</v>
      </c>
      <c r="J755">
        <v>1</v>
      </c>
      <c r="K755" s="2">
        <f t="shared" si="22"/>
        <v>17.989999999999998</v>
      </c>
      <c r="L755" t="s">
        <v>61</v>
      </c>
      <c r="M755">
        <v>5</v>
      </c>
      <c r="N755">
        <v>0.06</v>
      </c>
      <c r="O755" t="str">
        <f t="shared" si="23"/>
        <v>0–0.2 hours</v>
      </c>
      <c r="P755" t="s">
        <v>34</v>
      </c>
    </row>
    <row r="756" spans="1:16" x14ac:dyDescent="0.4">
      <c r="A756" t="s">
        <v>797</v>
      </c>
      <c r="B756">
        <v>70</v>
      </c>
      <c r="C756" t="s">
        <v>15</v>
      </c>
      <c r="D756" t="s">
        <v>32</v>
      </c>
      <c r="E756">
        <v>13.11</v>
      </c>
      <c r="F756">
        <v>59</v>
      </c>
      <c r="G756" t="s">
        <v>17</v>
      </c>
      <c r="H756" t="s">
        <v>46</v>
      </c>
      <c r="I756" s="2">
        <v>17.989999999999998</v>
      </c>
      <c r="J756">
        <v>1</v>
      </c>
      <c r="K756" s="2">
        <f t="shared" si="22"/>
        <v>17.989999999999998</v>
      </c>
      <c r="L756" t="s">
        <v>19</v>
      </c>
      <c r="M756">
        <v>2</v>
      </c>
      <c r="N756">
        <v>0.22</v>
      </c>
      <c r="O756" t="str">
        <f t="shared" si="23"/>
        <v>0.2–0.4 hours</v>
      </c>
      <c r="P756" t="s">
        <v>30</v>
      </c>
    </row>
    <row r="757" spans="1:16" x14ac:dyDescent="0.4">
      <c r="A757" s="1" t="s">
        <v>798</v>
      </c>
      <c r="B757">
        <v>21</v>
      </c>
      <c r="C757" t="s">
        <v>41</v>
      </c>
      <c r="D757" t="s">
        <v>22</v>
      </c>
      <c r="E757">
        <v>12.25</v>
      </c>
      <c r="F757">
        <v>13</v>
      </c>
      <c r="G757" t="s">
        <v>23</v>
      </c>
      <c r="H757" t="s">
        <v>18</v>
      </c>
      <c r="I757" s="2">
        <v>13.99</v>
      </c>
      <c r="J757">
        <v>0</v>
      </c>
      <c r="K757" s="2">
        <f t="shared" si="22"/>
        <v>0</v>
      </c>
      <c r="L757" t="s">
        <v>61</v>
      </c>
      <c r="M757">
        <v>1</v>
      </c>
      <c r="N757">
        <v>0.88</v>
      </c>
      <c r="O757" t="str">
        <f t="shared" si="23"/>
        <v>0.8–1 hour</v>
      </c>
      <c r="P757" t="s">
        <v>20</v>
      </c>
    </row>
    <row r="758" spans="1:16" x14ac:dyDescent="0.4">
      <c r="A758" t="s">
        <v>799</v>
      </c>
      <c r="B758">
        <v>26</v>
      </c>
      <c r="C758" t="s">
        <v>15</v>
      </c>
      <c r="D758" t="s">
        <v>16</v>
      </c>
      <c r="E758">
        <v>12.29</v>
      </c>
      <c r="F758">
        <v>31</v>
      </c>
      <c r="G758" t="s">
        <v>28</v>
      </c>
      <c r="H758" t="s">
        <v>57</v>
      </c>
      <c r="I758" s="2">
        <v>8.99</v>
      </c>
      <c r="J758">
        <v>1</v>
      </c>
      <c r="K758" s="2">
        <f t="shared" si="22"/>
        <v>8.99</v>
      </c>
      <c r="L758" t="s">
        <v>19</v>
      </c>
      <c r="M758">
        <v>3</v>
      </c>
      <c r="N758">
        <v>0.38</v>
      </c>
      <c r="O758" t="str">
        <f t="shared" si="23"/>
        <v>0.2–0.4 hours</v>
      </c>
      <c r="P758" t="s">
        <v>20</v>
      </c>
    </row>
    <row r="759" spans="1:16" x14ac:dyDescent="0.4">
      <c r="A759" t="s">
        <v>800</v>
      </c>
      <c r="B759">
        <v>33</v>
      </c>
      <c r="C759" t="s">
        <v>27</v>
      </c>
      <c r="D759" t="s">
        <v>22</v>
      </c>
      <c r="E759">
        <v>27.72</v>
      </c>
      <c r="F759">
        <v>42</v>
      </c>
      <c r="G759" t="s">
        <v>23</v>
      </c>
      <c r="H759" t="s">
        <v>24</v>
      </c>
      <c r="I759" s="2">
        <v>13.99</v>
      </c>
      <c r="J759">
        <v>0</v>
      </c>
      <c r="K759" s="2">
        <f t="shared" si="22"/>
        <v>0</v>
      </c>
      <c r="L759" t="s">
        <v>37</v>
      </c>
      <c r="M759">
        <v>4</v>
      </c>
      <c r="N759">
        <v>0.64</v>
      </c>
      <c r="O759" t="str">
        <f t="shared" si="23"/>
        <v>0.6–0.8 hours</v>
      </c>
      <c r="P759" t="s">
        <v>20</v>
      </c>
    </row>
    <row r="760" spans="1:16" x14ac:dyDescent="0.4">
      <c r="A760" t="s">
        <v>801</v>
      </c>
      <c r="B760">
        <v>29</v>
      </c>
      <c r="C760" t="s">
        <v>15</v>
      </c>
      <c r="D760" t="s">
        <v>16</v>
      </c>
      <c r="E760">
        <v>13.77</v>
      </c>
      <c r="F760">
        <v>24</v>
      </c>
      <c r="G760" t="s">
        <v>17</v>
      </c>
      <c r="H760" t="s">
        <v>24</v>
      </c>
      <c r="I760" s="2">
        <v>8.99</v>
      </c>
      <c r="J760">
        <v>0</v>
      </c>
      <c r="K760" s="2">
        <f t="shared" si="22"/>
        <v>0</v>
      </c>
      <c r="L760" t="s">
        <v>37</v>
      </c>
      <c r="M760">
        <v>4</v>
      </c>
      <c r="N760">
        <v>0.55000000000000004</v>
      </c>
      <c r="O760" t="str">
        <f t="shared" si="23"/>
        <v>0.4–0.6 hours</v>
      </c>
      <c r="P760" t="s">
        <v>30</v>
      </c>
    </row>
    <row r="761" spans="1:16" x14ac:dyDescent="0.4">
      <c r="A761" t="s">
        <v>802</v>
      </c>
      <c r="B761">
        <v>70</v>
      </c>
      <c r="C761" t="s">
        <v>15</v>
      </c>
      <c r="D761" t="s">
        <v>16</v>
      </c>
      <c r="E761">
        <v>4.88</v>
      </c>
      <c r="F761">
        <v>9</v>
      </c>
      <c r="G761" t="s">
        <v>23</v>
      </c>
      <c r="H761" t="s">
        <v>18</v>
      </c>
      <c r="I761" s="2">
        <v>8.99</v>
      </c>
      <c r="J761">
        <v>1</v>
      </c>
      <c r="K761" s="2">
        <f t="shared" si="22"/>
        <v>8.99</v>
      </c>
      <c r="L761" t="s">
        <v>43</v>
      </c>
      <c r="M761">
        <v>1</v>
      </c>
      <c r="N761">
        <v>0.49</v>
      </c>
      <c r="O761" t="str">
        <f t="shared" si="23"/>
        <v>0.4–0.6 hours</v>
      </c>
      <c r="P761" t="s">
        <v>30</v>
      </c>
    </row>
    <row r="762" spans="1:16" x14ac:dyDescent="0.4">
      <c r="A762" t="s">
        <v>803</v>
      </c>
      <c r="B762">
        <v>48</v>
      </c>
      <c r="C762" t="s">
        <v>27</v>
      </c>
      <c r="D762" t="s">
        <v>22</v>
      </c>
      <c r="E762">
        <v>10.98</v>
      </c>
      <c r="F762">
        <v>44</v>
      </c>
      <c r="G762" t="s">
        <v>28</v>
      </c>
      <c r="H762" t="s">
        <v>57</v>
      </c>
      <c r="I762" s="2">
        <v>13.99</v>
      </c>
      <c r="J762">
        <v>1</v>
      </c>
      <c r="K762" s="2">
        <f t="shared" si="22"/>
        <v>13.99</v>
      </c>
      <c r="L762" t="s">
        <v>29</v>
      </c>
      <c r="M762">
        <v>1</v>
      </c>
      <c r="N762">
        <v>0.24</v>
      </c>
      <c r="O762" t="str">
        <f t="shared" si="23"/>
        <v>0.2–0.4 hours</v>
      </c>
      <c r="P762" t="s">
        <v>30</v>
      </c>
    </row>
    <row r="763" spans="1:16" x14ac:dyDescent="0.4">
      <c r="A763" t="s">
        <v>804</v>
      </c>
      <c r="B763">
        <v>20</v>
      </c>
      <c r="C763" t="s">
        <v>41</v>
      </c>
      <c r="D763" t="s">
        <v>16</v>
      </c>
      <c r="E763">
        <v>17.03</v>
      </c>
      <c r="F763">
        <v>47</v>
      </c>
      <c r="G763" t="s">
        <v>23</v>
      </c>
      <c r="H763" t="s">
        <v>24</v>
      </c>
      <c r="I763" s="2">
        <v>8.99</v>
      </c>
      <c r="J763">
        <v>1</v>
      </c>
      <c r="K763" s="2">
        <f t="shared" si="22"/>
        <v>8.99</v>
      </c>
      <c r="L763" t="s">
        <v>61</v>
      </c>
      <c r="M763">
        <v>2</v>
      </c>
      <c r="N763">
        <v>0.35</v>
      </c>
      <c r="O763" t="str">
        <f t="shared" si="23"/>
        <v>0.2–0.4 hours</v>
      </c>
      <c r="P763" t="s">
        <v>52</v>
      </c>
    </row>
    <row r="764" spans="1:16" x14ac:dyDescent="0.4">
      <c r="A764" t="s">
        <v>805</v>
      </c>
      <c r="B764">
        <v>40</v>
      </c>
      <c r="C764" t="s">
        <v>27</v>
      </c>
      <c r="D764" t="s">
        <v>16</v>
      </c>
      <c r="E764">
        <v>33.549999999999997</v>
      </c>
      <c r="F764">
        <v>5</v>
      </c>
      <c r="G764" t="s">
        <v>17</v>
      </c>
      <c r="H764" t="s">
        <v>24</v>
      </c>
      <c r="I764" s="2">
        <v>8.99</v>
      </c>
      <c r="J764">
        <v>0</v>
      </c>
      <c r="K764" s="2">
        <f t="shared" si="22"/>
        <v>0</v>
      </c>
      <c r="L764" t="s">
        <v>43</v>
      </c>
      <c r="M764">
        <v>1</v>
      </c>
      <c r="N764">
        <v>5.59</v>
      </c>
      <c r="O764" t="str">
        <f t="shared" si="23"/>
        <v>1+ hours</v>
      </c>
      <c r="P764" t="s">
        <v>34</v>
      </c>
    </row>
    <row r="765" spans="1:16" x14ac:dyDescent="0.4">
      <c r="A765" t="s">
        <v>806</v>
      </c>
      <c r="B765">
        <v>53</v>
      </c>
      <c r="C765" t="s">
        <v>27</v>
      </c>
      <c r="D765" t="s">
        <v>16</v>
      </c>
      <c r="E765">
        <v>4.01</v>
      </c>
      <c r="F765">
        <v>49</v>
      </c>
      <c r="G765" t="s">
        <v>70</v>
      </c>
      <c r="H765" t="s">
        <v>55</v>
      </c>
      <c r="I765" s="2">
        <v>8.99</v>
      </c>
      <c r="J765">
        <v>1</v>
      </c>
      <c r="K765" s="2">
        <f t="shared" si="22"/>
        <v>8.99</v>
      </c>
      <c r="L765" t="s">
        <v>29</v>
      </c>
      <c r="M765">
        <v>2</v>
      </c>
      <c r="N765">
        <v>0.08</v>
      </c>
      <c r="O765" t="str">
        <f t="shared" si="23"/>
        <v>0–0.2 hours</v>
      </c>
      <c r="P765" t="s">
        <v>20</v>
      </c>
    </row>
    <row r="766" spans="1:16" x14ac:dyDescent="0.4">
      <c r="A766" t="s">
        <v>807</v>
      </c>
      <c r="B766">
        <v>56</v>
      </c>
      <c r="C766" t="s">
        <v>41</v>
      </c>
      <c r="D766" t="s">
        <v>32</v>
      </c>
      <c r="E766">
        <v>8.1999999999999993</v>
      </c>
      <c r="F766">
        <v>19</v>
      </c>
      <c r="G766" t="s">
        <v>23</v>
      </c>
      <c r="H766" t="s">
        <v>18</v>
      </c>
      <c r="I766" s="2">
        <v>17.989999999999998</v>
      </c>
      <c r="J766">
        <v>0</v>
      </c>
      <c r="K766" s="2">
        <f t="shared" si="22"/>
        <v>0</v>
      </c>
      <c r="L766" t="s">
        <v>43</v>
      </c>
      <c r="M766">
        <v>2</v>
      </c>
      <c r="N766">
        <v>0.41</v>
      </c>
      <c r="O766" t="str">
        <f t="shared" si="23"/>
        <v>0.4–0.6 hours</v>
      </c>
      <c r="P766" t="s">
        <v>47</v>
      </c>
    </row>
    <row r="767" spans="1:16" x14ac:dyDescent="0.4">
      <c r="A767" t="s">
        <v>808</v>
      </c>
      <c r="B767">
        <v>43</v>
      </c>
      <c r="C767" t="s">
        <v>15</v>
      </c>
      <c r="D767" t="s">
        <v>32</v>
      </c>
      <c r="E767">
        <v>4.17</v>
      </c>
      <c r="F767">
        <v>46</v>
      </c>
      <c r="G767" t="s">
        <v>49</v>
      </c>
      <c r="H767" t="s">
        <v>24</v>
      </c>
      <c r="I767" s="2">
        <v>17.989999999999998</v>
      </c>
      <c r="J767">
        <v>1</v>
      </c>
      <c r="K767" s="2">
        <f t="shared" si="22"/>
        <v>17.989999999999998</v>
      </c>
      <c r="L767" t="s">
        <v>61</v>
      </c>
      <c r="M767">
        <v>1</v>
      </c>
      <c r="N767">
        <v>0.09</v>
      </c>
      <c r="O767" t="str">
        <f t="shared" si="23"/>
        <v>0–0.2 hours</v>
      </c>
      <c r="P767" t="s">
        <v>47</v>
      </c>
    </row>
    <row r="768" spans="1:16" x14ac:dyDescent="0.4">
      <c r="A768" t="s">
        <v>809</v>
      </c>
      <c r="B768">
        <v>36</v>
      </c>
      <c r="C768" t="s">
        <v>15</v>
      </c>
      <c r="D768" t="s">
        <v>16</v>
      </c>
      <c r="E768">
        <v>14.63</v>
      </c>
      <c r="F768">
        <v>52</v>
      </c>
      <c r="G768" t="s">
        <v>49</v>
      </c>
      <c r="H768" t="s">
        <v>55</v>
      </c>
      <c r="I768" s="2">
        <v>8.99</v>
      </c>
      <c r="J768">
        <v>1</v>
      </c>
      <c r="K768" s="2">
        <f t="shared" si="22"/>
        <v>8.99</v>
      </c>
      <c r="L768" t="s">
        <v>29</v>
      </c>
      <c r="M768">
        <v>1</v>
      </c>
      <c r="N768">
        <v>0.28000000000000003</v>
      </c>
      <c r="O768" t="str">
        <f t="shared" si="23"/>
        <v>0.2–0.4 hours</v>
      </c>
      <c r="P768" t="s">
        <v>34</v>
      </c>
    </row>
    <row r="769" spans="1:16" x14ac:dyDescent="0.4">
      <c r="A769" t="s">
        <v>810</v>
      </c>
      <c r="B769">
        <v>54</v>
      </c>
      <c r="C769" t="s">
        <v>41</v>
      </c>
      <c r="D769" t="s">
        <v>22</v>
      </c>
      <c r="E769">
        <v>19.260000000000002</v>
      </c>
      <c r="F769">
        <v>10</v>
      </c>
      <c r="G769" t="s">
        <v>17</v>
      </c>
      <c r="H769" t="s">
        <v>24</v>
      </c>
      <c r="I769" s="2">
        <v>13.99</v>
      </c>
      <c r="J769">
        <v>0</v>
      </c>
      <c r="K769" s="2">
        <f t="shared" si="22"/>
        <v>0</v>
      </c>
      <c r="L769" t="s">
        <v>37</v>
      </c>
      <c r="M769">
        <v>5</v>
      </c>
      <c r="N769">
        <v>1.75</v>
      </c>
      <c r="O769" t="str">
        <f t="shared" si="23"/>
        <v>1+ hours</v>
      </c>
      <c r="P769" t="s">
        <v>47</v>
      </c>
    </row>
    <row r="770" spans="1:16" x14ac:dyDescent="0.4">
      <c r="A770" t="s">
        <v>811</v>
      </c>
      <c r="B770">
        <v>64</v>
      </c>
      <c r="C770" t="s">
        <v>15</v>
      </c>
      <c r="D770" t="s">
        <v>16</v>
      </c>
      <c r="E770">
        <v>4.8</v>
      </c>
      <c r="F770">
        <v>46</v>
      </c>
      <c r="G770" t="s">
        <v>33</v>
      </c>
      <c r="H770" t="s">
        <v>46</v>
      </c>
      <c r="I770" s="2">
        <v>8.99</v>
      </c>
      <c r="J770">
        <v>1</v>
      </c>
      <c r="K770" s="2">
        <f t="shared" si="22"/>
        <v>8.99</v>
      </c>
      <c r="L770" t="s">
        <v>61</v>
      </c>
      <c r="M770">
        <v>1</v>
      </c>
      <c r="N770">
        <v>0.1</v>
      </c>
      <c r="O770" t="str">
        <f t="shared" si="23"/>
        <v>0–0.2 hours</v>
      </c>
      <c r="P770" t="s">
        <v>39</v>
      </c>
    </row>
    <row r="771" spans="1:16" x14ac:dyDescent="0.4">
      <c r="A771" t="s">
        <v>812</v>
      </c>
      <c r="B771">
        <v>28</v>
      </c>
      <c r="C771" t="s">
        <v>27</v>
      </c>
      <c r="D771" t="s">
        <v>16</v>
      </c>
      <c r="E771">
        <v>12.82</v>
      </c>
      <c r="F771">
        <v>47</v>
      </c>
      <c r="G771" t="s">
        <v>70</v>
      </c>
      <c r="H771" t="s">
        <v>57</v>
      </c>
      <c r="I771" s="2">
        <v>8.99</v>
      </c>
      <c r="J771">
        <v>1</v>
      </c>
      <c r="K771" s="2">
        <f t="shared" ref="K771:K834" si="24">SUMIF(J771,1,I771)</f>
        <v>8.99</v>
      </c>
      <c r="L771" t="s">
        <v>61</v>
      </c>
      <c r="M771">
        <v>1</v>
      </c>
      <c r="N771">
        <v>0.27</v>
      </c>
      <c r="O771" t="str">
        <f t="shared" ref="O771:O834" si="25">IF(N771&gt;1,"1+ hours",IF(N771&lt;=0.2,"0–0.2 hours",IF(N771&lt;=0.4,"0.2–0.4 hours",IF(N771&lt;=0.6,"0.4–0.6 hours",IF(N771&lt;=0.8,"0.6–0.8 hours","0.8–1 hour")))))</f>
        <v>0.2–0.4 hours</v>
      </c>
      <c r="P771" t="s">
        <v>20</v>
      </c>
    </row>
    <row r="772" spans="1:16" x14ac:dyDescent="0.4">
      <c r="A772" t="s">
        <v>813</v>
      </c>
      <c r="B772">
        <v>52</v>
      </c>
      <c r="C772" t="s">
        <v>41</v>
      </c>
      <c r="D772" t="s">
        <v>32</v>
      </c>
      <c r="E772">
        <v>8.34</v>
      </c>
      <c r="F772">
        <v>21</v>
      </c>
      <c r="G772" t="s">
        <v>17</v>
      </c>
      <c r="H772" t="s">
        <v>18</v>
      </c>
      <c r="I772" s="2">
        <v>17.989999999999998</v>
      </c>
      <c r="J772">
        <v>0</v>
      </c>
      <c r="K772" s="2">
        <f t="shared" si="24"/>
        <v>0</v>
      </c>
      <c r="L772" t="s">
        <v>43</v>
      </c>
      <c r="M772">
        <v>2</v>
      </c>
      <c r="N772">
        <v>0.38</v>
      </c>
      <c r="O772" t="str">
        <f t="shared" si="25"/>
        <v>0.2–0.4 hours</v>
      </c>
      <c r="P772" t="s">
        <v>25</v>
      </c>
    </row>
    <row r="773" spans="1:16" x14ac:dyDescent="0.4">
      <c r="A773" t="s">
        <v>814</v>
      </c>
      <c r="B773">
        <v>50</v>
      </c>
      <c r="C773" t="s">
        <v>41</v>
      </c>
      <c r="D773" t="s">
        <v>22</v>
      </c>
      <c r="E773">
        <v>4.17</v>
      </c>
      <c r="F773">
        <v>44</v>
      </c>
      <c r="G773" t="s">
        <v>33</v>
      </c>
      <c r="H773" t="s">
        <v>57</v>
      </c>
      <c r="I773" s="2">
        <v>13.99</v>
      </c>
      <c r="J773">
        <v>1</v>
      </c>
      <c r="K773" s="2">
        <f t="shared" si="24"/>
        <v>13.99</v>
      </c>
      <c r="L773" t="s">
        <v>19</v>
      </c>
      <c r="M773">
        <v>1</v>
      </c>
      <c r="N773">
        <v>0.09</v>
      </c>
      <c r="O773" t="str">
        <f t="shared" si="25"/>
        <v>0–0.2 hours</v>
      </c>
      <c r="P773" t="s">
        <v>52</v>
      </c>
    </row>
    <row r="774" spans="1:16" x14ac:dyDescent="0.4">
      <c r="A774" t="s">
        <v>815</v>
      </c>
      <c r="B774">
        <v>61</v>
      </c>
      <c r="C774" t="s">
        <v>15</v>
      </c>
      <c r="D774" t="s">
        <v>22</v>
      </c>
      <c r="E774">
        <v>3.49</v>
      </c>
      <c r="F774">
        <v>23</v>
      </c>
      <c r="G774" t="s">
        <v>70</v>
      </c>
      <c r="H774" t="s">
        <v>46</v>
      </c>
      <c r="I774" s="2">
        <v>13.99</v>
      </c>
      <c r="J774">
        <v>1</v>
      </c>
      <c r="K774" s="2">
        <f t="shared" si="24"/>
        <v>13.99</v>
      </c>
      <c r="L774" t="s">
        <v>37</v>
      </c>
      <c r="M774">
        <v>1</v>
      </c>
      <c r="N774">
        <v>0.15</v>
      </c>
      <c r="O774" t="str">
        <f t="shared" si="25"/>
        <v>0–0.2 hours</v>
      </c>
      <c r="P774" t="s">
        <v>39</v>
      </c>
    </row>
    <row r="775" spans="1:16" x14ac:dyDescent="0.4">
      <c r="A775" t="s">
        <v>816</v>
      </c>
      <c r="B775">
        <v>70</v>
      </c>
      <c r="C775" t="s">
        <v>15</v>
      </c>
      <c r="D775" t="s">
        <v>32</v>
      </c>
      <c r="E775">
        <v>9.1300000000000008</v>
      </c>
      <c r="F775">
        <v>50</v>
      </c>
      <c r="G775" t="s">
        <v>49</v>
      </c>
      <c r="H775" t="s">
        <v>46</v>
      </c>
      <c r="I775" s="2">
        <v>17.989999999999998</v>
      </c>
      <c r="J775">
        <v>1</v>
      </c>
      <c r="K775" s="2">
        <f t="shared" si="24"/>
        <v>17.989999999999998</v>
      </c>
      <c r="L775" t="s">
        <v>37</v>
      </c>
      <c r="M775">
        <v>3</v>
      </c>
      <c r="N775">
        <v>0.18</v>
      </c>
      <c r="O775" t="str">
        <f t="shared" si="25"/>
        <v>0–0.2 hours</v>
      </c>
      <c r="P775" t="s">
        <v>34</v>
      </c>
    </row>
    <row r="776" spans="1:16" x14ac:dyDescent="0.4">
      <c r="A776" t="s">
        <v>817</v>
      </c>
      <c r="B776">
        <v>43</v>
      </c>
      <c r="C776" t="s">
        <v>41</v>
      </c>
      <c r="D776" t="s">
        <v>32</v>
      </c>
      <c r="E776">
        <v>4.17</v>
      </c>
      <c r="F776">
        <v>24</v>
      </c>
      <c r="G776" t="s">
        <v>49</v>
      </c>
      <c r="H776" t="s">
        <v>46</v>
      </c>
      <c r="I776" s="2">
        <v>17.989999999999998</v>
      </c>
      <c r="J776">
        <v>1</v>
      </c>
      <c r="K776" s="2">
        <f t="shared" si="24"/>
        <v>17.989999999999998</v>
      </c>
      <c r="L776" t="s">
        <v>29</v>
      </c>
      <c r="M776">
        <v>4</v>
      </c>
      <c r="N776">
        <v>0.17</v>
      </c>
      <c r="O776" t="str">
        <f t="shared" si="25"/>
        <v>0–0.2 hours</v>
      </c>
      <c r="P776" t="s">
        <v>39</v>
      </c>
    </row>
    <row r="777" spans="1:16" x14ac:dyDescent="0.4">
      <c r="A777" t="s">
        <v>818</v>
      </c>
      <c r="B777">
        <v>62</v>
      </c>
      <c r="C777" t="s">
        <v>41</v>
      </c>
      <c r="D777" t="s">
        <v>32</v>
      </c>
      <c r="E777">
        <v>0.28000000000000003</v>
      </c>
      <c r="F777">
        <v>21</v>
      </c>
      <c r="G777" t="s">
        <v>33</v>
      </c>
      <c r="H777" t="s">
        <v>57</v>
      </c>
      <c r="I777" s="2">
        <v>17.989999999999998</v>
      </c>
      <c r="J777">
        <v>0</v>
      </c>
      <c r="K777" s="2">
        <f t="shared" si="24"/>
        <v>0</v>
      </c>
      <c r="L777" t="s">
        <v>43</v>
      </c>
      <c r="M777">
        <v>5</v>
      </c>
      <c r="N777">
        <v>0.01</v>
      </c>
      <c r="O777" t="str">
        <f t="shared" si="25"/>
        <v>0–0.2 hours</v>
      </c>
      <c r="P777" t="s">
        <v>20</v>
      </c>
    </row>
    <row r="778" spans="1:16" x14ac:dyDescent="0.4">
      <c r="A778" t="s">
        <v>819</v>
      </c>
      <c r="B778">
        <v>26</v>
      </c>
      <c r="C778" t="s">
        <v>27</v>
      </c>
      <c r="D778" t="s">
        <v>22</v>
      </c>
      <c r="E778">
        <v>3.82</v>
      </c>
      <c r="F778">
        <v>14</v>
      </c>
      <c r="G778" t="s">
        <v>49</v>
      </c>
      <c r="H778" t="s">
        <v>18</v>
      </c>
      <c r="I778" s="2">
        <v>13.99</v>
      </c>
      <c r="J778">
        <v>1</v>
      </c>
      <c r="K778" s="2">
        <f t="shared" si="24"/>
        <v>13.99</v>
      </c>
      <c r="L778" t="s">
        <v>29</v>
      </c>
      <c r="M778">
        <v>2</v>
      </c>
      <c r="N778">
        <v>0.25</v>
      </c>
      <c r="O778" t="str">
        <f t="shared" si="25"/>
        <v>0.2–0.4 hours</v>
      </c>
      <c r="P778" t="s">
        <v>30</v>
      </c>
    </row>
    <row r="779" spans="1:16" x14ac:dyDescent="0.4">
      <c r="A779" t="s">
        <v>820</v>
      </c>
      <c r="B779">
        <v>63</v>
      </c>
      <c r="C779" t="s">
        <v>41</v>
      </c>
      <c r="D779" t="s">
        <v>32</v>
      </c>
      <c r="E779">
        <v>32.75</v>
      </c>
      <c r="F779">
        <v>30</v>
      </c>
      <c r="G779" t="s">
        <v>49</v>
      </c>
      <c r="H779" t="s">
        <v>55</v>
      </c>
      <c r="I779" s="2">
        <v>17.989999999999998</v>
      </c>
      <c r="J779">
        <v>0</v>
      </c>
      <c r="K779" s="2">
        <f t="shared" si="24"/>
        <v>0</v>
      </c>
      <c r="L779" t="s">
        <v>61</v>
      </c>
      <c r="M779">
        <v>1</v>
      </c>
      <c r="N779">
        <v>1.06</v>
      </c>
      <c r="O779" t="str">
        <f t="shared" si="25"/>
        <v>1+ hours</v>
      </c>
      <c r="P779" t="s">
        <v>34</v>
      </c>
    </row>
    <row r="780" spans="1:16" x14ac:dyDescent="0.4">
      <c r="A780" t="s">
        <v>821</v>
      </c>
      <c r="B780">
        <v>38</v>
      </c>
      <c r="C780" t="s">
        <v>41</v>
      </c>
      <c r="D780" t="s">
        <v>32</v>
      </c>
      <c r="E780">
        <v>1.05</v>
      </c>
      <c r="F780">
        <v>24</v>
      </c>
      <c r="G780" t="s">
        <v>33</v>
      </c>
      <c r="H780" t="s">
        <v>46</v>
      </c>
      <c r="I780" s="2">
        <v>17.989999999999998</v>
      </c>
      <c r="J780">
        <v>0</v>
      </c>
      <c r="K780" s="2">
        <f t="shared" si="24"/>
        <v>0</v>
      </c>
      <c r="L780" t="s">
        <v>37</v>
      </c>
      <c r="M780">
        <v>4</v>
      </c>
      <c r="N780">
        <v>0.04</v>
      </c>
      <c r="O780" t="str">
        <f t="shared" si="25"/>
        <v>0–0.2 hours</v>
      </c>
      <c r="P780" t="s">
        <v>25</v>
      </c>
    </row>
    <row r="781" spans="1:16" x14ac:dyDescent="0.4">
      <c r="A781" t="s">
        <v>822</v>
      </c>
      <c r="B781">
        <v>50</v>
      </c>
      <c r="C781" t="s">
        <v>15</v>
      </c>
      <c r="D781" t="s">
        <v>16</v>
      </c>
      <c r="E781">
        <v>29.04</v>
      </c>
      <c r="F781">
        <v>48</v>
      </c>
      <c r="G781" t="s">
        <v>49</v>
      </c>
      <c r="H781" t="s">
        <v>18</v>
      </c>
      <c r="I781" s="2">
        <v>8.99</v>
      </c>
      <c r="J781">
        <v>0</v>
      </c>
      <c r="K781" s="2">
        <f t="shared" si="24"/>
        <v>0</v>
      </c>
      <c r="L781" t="s">
        <v>61</v>
      </c>
      <c r="M781">
        <v>4</v>
      </c>
      <c r="N781">
        <v>0.59</v>
      </c>
      <c r="O781" t="str">
        <f t="shared" si="25"/>
        <v>0.4–0.6 hours</v>
      </c>
      <c r="P781" t="s">
        <v>39</v>
      </c>
    </row>
    <row r="782" spans="1:16" x14ac:dyDescent="0.4">
      <c r="A782" t="s">
        <v>823</v>
      </c>
      <c r="B782">
        <v>49</v>
      </c>
      <c r="C782" t="s">
        <v>41</v>
      </c>
      <c r="D782" t="s">
        <v>22</v>
      </c>
      <c r="E782">
        <v>4.67</v>
      </c>
      <c r="F782">
        <v>48</v>
      </c>
      <c r="G782" t="s">
        <v>70</v>
      </c>
      <c r="H782" t="s">
        <v>46</v>
      </c>
      <c r="I782" s="2">
        <v>13.99</v>
      </c>
      <c r="J782">
        <v>1</v>
      </c>
      <c r="K782" s="2">
        <f t="shared" si="24"/>
        <v>13.99</v>
      </c>
      <c r="L782" t="s">
        <v>37</v>
      </c>
      <c r="M782">
        <v>5</v>
      </c>
      <c r="N782">
        <v>0.1</v>
      </c>
      <c r="O782" t="str">
        <f t="shared" si="25"/>
        <v>0–0.2 hours</v>
      </c>
      <c r="P782" t="s">
        <v>34</v>
      </c>
    </row>
    <row r="783" spans="1:16" x14ac:dyDescent="0.4">
      <c r="A783" t="s">
        <v>824</v>
      </c>
      <c r="B783">
        <v>38</v>
      </c>
      <c r="C783" t="s">
        <v>15</v>
      </c>
      <c r="D783" t="s">
        <v>16</v>
      </c>
      <c r="E783">
        <v>16.27</v>
      </c>
      <c r="F783">
        <v>24</v>
      </c>
      <c r="G783" t="s">
        <v>17</v>
      </c>
      <c r="H783" t="s">
        <v>55</v>
      </c>
      <c r="I783" s="2">
        <v>8.99</v>
      </c>
      <c r="J783">
        <v>0</v>
      </c>
      <c r="K783" s="2">
        <f t="shared" si="24"/>
        <v>0</v>
      </c>
      <c r="L783" t="s">
        <v>19</v>
      </c>
      <c r="M783">
        <v>2</v>
      </c>
      <c r="N783">
        <v>0.65</v>
      </c>
      <c r="O783" t="str">
        <f t="shared" si="25"/>
        <v>0.6–0.8 hours</v>
      </c>
      <c r="P783" t="s">
        <v>39</v>
      </c>
    </row>
    <row r="784" spans="1:16" x14ac:dyDescent="0.4">
      <c r="A784" t="s">
        <v>825</v>
      </c>
      <c r="B784">
        <v>23</v>
      </c>
      <c r="C784" t="s">
        <v>41</v>
      </c>
      <c r="D784" t="s">
        <v>16</v>
      </c>
      <c r="E784">
        <v>4.6399999999999997</v>
      </c>
      <c r="F784">
        <v>55</v>
      </c>
      <c r="G784" t="s">
        <v>23</v>
      </c>
      <c r="H784" t="s">
        <v>18</v>
      </c>
      <c r="I784" s="2">
        <v>8.99</v>
      </c>
      <c r="J784">
        <v>1</v>
      </c>
      <c r="K784" s="2">
        <f t="shared" si="24"/>
        <v>8.99</v>
      </c>
      <c r="L784" t="s">
        <v>61</v>
      </c>
      <c r="M784">
        <v>1</v>
      </c>
      <c r="N784">
        <v>0.08</v>
      </c>
      <c r="O784" t="str">
        <f t="shared" si="25"/>
        <v>0–0.2 hours</v>
      </c>
      <c r="P784" t="s">
        <v>52</v>
      </c>
    </row>
    <row r="785" spans="1:16" x14ac:dyDescent="0.4">
      <c r="A785" t="s">
        <v>826</v>
      </c>
      <c r="B785">
        <v>46</v>
      </c>
      <c r="C785" t="s">
        <v>41</v>
      </c>
      <c r="D785" t="s">
        <v>32</v>
      </c>
      <c r="E785">
        <v>8.7799999999999994</v>
      </c>
      <c r="F785">
        <v>13</v>
      </c>
      <c r="G785" t="s">
        <v>28</v>
      </c>
      <c r="H785" t="s">
        <v>57</v>
      </c>
      <c r="I785" s="2">
        <v>17.989999999999998</v>
      </c>
      <c r="J785">
        <v>0</v>
      </c>
      <c r="K785" s="2">
        <f t="shared" si="24"/>
        <v>0</v>
      </c>
      <c r="L785" t="s">
        <v>43</v>
      </c>
      <c r="M785">
        <v>4</v>
      </c>
      <c r="N785">
        <v>0.63</v>
      </c>
      <c r="O785" t="str">
        <f t="shared" si="25"/>
        <v>0.6–0.8 hours</v>
      </c>
      <c r="P785" t="s">
        <v>20</v>
      </c>
    </row>
    <row r="786" spans="1:16" x14ac:dyDescent="0.4">
      <c r="A786" t="s">
        <v>827</v>
      </c>
      <c r="B786">
        <v>44</v>
      </c>
      <c r="C786" t="s">
        <v>41</v>
      </c>
      <c r="D786" t="s">
        <v>16</v>
      </c>
      <c r="E786">
        <v>9</v>
      </c>
      <c r="F786">
        <v>33</v>
      </c>
      <c r="G786" t="s">
        <v>49</v>
      </c>
      <c r="H786" t="s">
        <v>18</v>
      </c>
      <c r="I786" s="2">
        <v>8.99</v>
      </c>
      <c r="J786">
        <v>1</v>
      </c>
      <c r="K786" s="2">
        <f t="shared" si="24"/>
        <v>8.99</v>
      </c>
      <c r="L786" t="s">
        <v>29</v>
      </c>
      <c r="M786">
        <v>1</v>
      </c>
      <c r="N786">
        <v>0.26</v>
      </c>
      <c r="O786" t="str">
        <f t="shared" si="25"/>
        <v>0.2–0.4 hours</v>
      </c>
      <c r="P786" t="s">
        <v>20</v>
      </c>
    </row>
    <row r="787" spans="1:16" x14ac:dyDescent="0.4">
      <c r="A787" t="s">
        <v>828</v>
      </c>
      <c r="B787">
        <v>36</v>
      </c>
      <c r="C787" t="s">
        <v>27</v>
      </c>
      <c r="D787" t="s">
        <v>22</v>
      </c>
      <c r="E787">
        <v>9.1999999999999993</v>
      </c>
      <c r="F787">
        <v>7</v>
      </c>
      <c r="G787" t="s">
        <v>33</v>
      </c>
      <c r="H787" t="s">
        <v>55</v>
      </c>
      <c r="I787" s="2">
        <v>13.99</v>
      </c>
      <c r="J787">
        <v>0</v>
      </c>
      <c r="K787" s="2">
        <f t="shared" si="24"/>
        <v>0</v>
      </c>
      <c r="L787" t="s">
        <v>37</v>
      </c>
      <c r="M787">
        <v>2</v>
      </c>
      <c r="N787">
        <v>1.1499999999999999</v>
      </c>
      <c r="O787" t="str">
        <f t="shared" si="25"/>
        <v>1+ hours</v>
      </c>
      <c r="P787" t="s">
        <v>20</v>
      </c>
    </row>
    <row r="788" spans="1:16" x14ac:dyDescent="0.4">
      <c r="A788" t="s">
        <v>829</v>
      </c>
      <c r="B788">
        <v>23</v>
      </c>
      <c r="C788" t="s">
        <v>27</v>
      </c>
      <c r="D788" t="s">
        <v>16</v>
      </c>
      <c r="E788">
        <v>8.26</v>
      </c>
      <c r="F788">
        <v>33</v>
      </c>
      <c r="G788" t="s">
        <v>23</v>
      </c>
      <c r="H788" t="s">
        <v>55</v>
      </c>
      <c r="I788" s="2">
        <v>8.99</v>
      </c>
      <c r="J788">
        <v>1</v>
      </c>
      <c r="K788" s="2">
        <f t="shared" si="24"/>
        <v>8.99</v>
      </c>
      <c r="L788" t="s">
        <v>19</v>
      </c>
      <c r="M788">
        <v>5</v>
      </c>
      <c r="N788">
        <v>0.24</v>
      </c>
      <c r="O788" t="str">
        <f t="shared" si="25"/>
        <v>0.2–0.4 hours</v>
      </c>
      <c r="P788" t="s">
        <v>34</v>
      </c>
    </row>
    <row r="789" spans="1:16" x14ac:dyDescent="0.4">
      <c r="A789" t="s">
        <v>830</v>
      </c>
      <c r="B789">
        <v>34</v>
      </c>
      <c r="C789" t="s">
        <v>15</v>
      </c>
      <c r="D789" t="s">
        <v>32</v>
      </c>
      <c r="E789">
        <v>35.200000000000003</v>
      </c>
      <c r="F789">
        <v>14</v>
      </c>
      <c r="G789" t="s">
        <v>23</v>
      </c>
      <c r="H789" t="s">
        <v>57</v>
      </c>
      <c r="I789" s="2">
        <v>17.989999999999998</v>
      </c>
      <c r="J789">
        <v>0</v>
      </c>
      <c r="K789" s="2">
        <f t="shared" si="24"/>
        <v>0</v>
      </c>
      <c r="L789" t="s">
        <v>29</v>
      </c>
      <c r="M789">
        <v>3</v>
      </c>
      <c r="N789">
        <v>2.35</v>
      </c>
      <c r="O789" t="str">
        <f t="shared" si="25"/>
        <v>1+ hours</v>
      </c>
      <c r="P789" t="s">
        <v>39</v>
      </c>
    </row>
    <row r="790" spans="1:16" x14ac:dyDescent="0.4">
      <c r="A790" t="s">
        <v>831</v>
      </c>
      <c r="B790">
        <v>62</v>
      </c>
      <c r="C790" t="s">
        <v>27</v>
      </c>
      <c r="D790" t="s">
        <v>32</v>
      </c>
      <c r="E790">
        <v>1.1200000000000001</v>
      </c>
      <c r="F790">
        <v>43</v>
      </c>
      <c r="G790" t="s">
        <v>28</v>
      </c>
      <c r="H790" t="s">
        <v>18</v>
      </c>
      <c r="I790" s="2">
        <v>17.989999999999998</v>
      </c>
      <c r="J790">
        <v>1</v>
      </c>
      <c r="K790" s="2">
        <f t="shared" si="24"/>
        <v>17.989999999999998</v>
      </c>
      <c r="L790" t="s">
        <v>19</v>
      </c>
      <c r="M790">
        <v>4</v>
      </c>
      <c r="N790">
        <v>0.03</v>
      </c>
      <c r="O790" t="str">
        <f t="shared" si="25"/>
        <v>0–0.2 hours</v>
      </c>
      <c r="P790" t="s">
        <v>47</v>
      </c>
    </row>
    <row r="791" spans="1:16" x14ac:dyDescent="0.4">
      <c r="A791" t="s">
        <v>832</v>
      </c>
      <c r="B791">
        <v>24</v>
      </c>
      <c r="C791" t="s">
        <v>15</v>
      </c>
      <c r="D791" t="s">
        <v>22</v>
      </c>
      <c r="E791">
        <v>10.67</v>
      </c>
      <c r="F791">
        <v>28</v>
      </c>
      <c r="G791" t="s">
        <v>28</v>
      </c>
      <c r="H791" t="s">
        <v>57</v>
      </c>
      <c r="I791" s="2">
        <v>13.99</v>
      </c>
      <c r="J791">
        <v>0</v>
      </c>
      <c r="K791" s="2">
        <f t="shared" si="24"/>
        <v>0</v>
      </c>
      <c r="L791" t="s">
        <v>43</v>
      </c>
      <c r="M791">
        <v>1</v>
      </c>
      <c r="N791">
        <v>0.37</v>
      </c>
      <c r="O791" t="str">
        <f t="shared" si="25"/>
        <v>0.2–0.4 hours</v>
      </c>
      <c r="P791" t="s">
        <v>34</v>
      </c>
    </row>
    <row r="792" spans="1:16" x14ac:dyDescent="0.4">
      <c r="A792" t="s">
        <v>833</v>
      </c>
      <c r="B792">
        <v>36</v>
      </c>
      <c r="C792" t="s">
        <v>41</v>
      </c>
      <c r="D792" t="s">
        <v>22</v>
      </c>
      <c r="E792">
        <v>14.29</v>
      </c>
      <c r="F792">
        <v>4</v>
      </c>
      <c r="G792" t="s">
        <v>17</v>
      </c>
      <c r="H792" t="s">
        <v>24</v>
      </c>
      <c r="I792" s="2">
        <v>13.99</v>
      </c>
      <c r="J792">
        <v>0</v>
      </c>
      <c r="K792" s="2">
        <f t="shared" si="24"/>
        <v>0</v>
      </c>
      <c r="L792" t="s">
        <v>61</v>
      </c>
      <c r="M792">
        <v>4</v>
      </c>
      <c r="N792">
        <v>2.86</v>
      </c>
      <c r="O792" t="str">
        <f t="shared" si="25"/>
        <v>1+ hours</v>
      </c>
      <c r="P792" t="s">
        <v>25</v>
      </c>
    </row>
    <row r="793" spans="1:16" x14ac:dyDescent="0.4">
      <c r="A793" t="s">
        <v>834</v>
      </c>
      <c r="B793">
        <v>33</v>
      </c>
      <c r="C793" t="s">
        <v>27</v>
      </c>
      <c r="D793" t="s">
        <v>22</v>
      </c>
      <c r="E793">
        <v>18.329999999999998</v>
      </c>
      <c r="F793">
        <v>48</v>
      </c>
      <c r="G793" t="s">
        <v>33</v>
      </c>
      <c r="H793" t="s">
        <v>24</v>
      </c>
      <c r="I793" s="2">
        <v>13.99</v>
      </c>
      <c r="J793">
        <v>1</v>
      </c>
      <c r="K793" s="2">
        <f t="shared" si="24"/>
        <v>13.99</v>
      </c>
      <c r="L793" t="s">
        <v>37</v>
      </c>
      <c r="M793">
        <v>1</v>
      </c>
      <c r="N793">
        <v>0.37</v>
      </c>
      <c r="O793" t="str">
        <f t="shared" si="25"/>
        <v>0.2–0.4 hours</v>
      </c>
      <c r="P793" t="s">
        <v>47</v>
      </c>
    </row>
    <row r="794" spans="1:16" x14ac:dyDescent="0.4">
      <c r="A794" t="s">
        <v>835</v>
      </c>
      <c r="B794">
        <v>58</v>
      </c>
      <c r="C794" t="s">
        <v>27</v>
      </c>
      <c r="D794" t="s">
        <v>16</v>
      </c>
      <c r="E794">
        <v>3.57</v>
      </c>
      <c r="F794">
        <v>20</v>
      </c>
      <c r="G794" t="s">
        <v>70</v>
      </c>
      <c r="H794" t="s">
        <v>46</v>
      </c>
      <c r="I794" s="2">
        <v>8.99</v>
      </c>
      <c r="J794">
        <v>1</v>
      </c>
      <c r="K794" s="2">
        <f t="shared" si="24"/>
        <v>8.99</v>
      </c>
      <c r="L794" t="s">
        <v>19</v>
      </c>
      <c r="M794">
        <v>2</v>
      </c>
      <c r="N794">
        <v>0.17</v>
      </c>
      <c r="O794" t="str">
        <f t="shared" si="25"/>
        <v>0–0.2 hours</v>
      </c>
      <c r="P794" t="s">
        <v>52</v>
      </c>
    </row>
    <row r="795" spans="1:16" x14ac:dyDescent="0.4">
      <c r="A795" t="s">
        <v>836</v>
      </c>
      <c r="B795">
        <v>20</v>
      </c>
      <c r="C795" t="s">
        <v>15</v>
      </c>
      <c r="D795" t="s">
        <v>16</v>
      </c>
      <c r="E795">
        <v>15.54</v>
      </c>
      <c r="F795">
        <v>24</v>
      </c>
      <c r="G795" t="s">
        <v>28</v>
      </c>
      <c r="H795" t="s">
        <v>55</v>
      </c>
      <c r="I795" s="2">
        <v>8.99</v>
      </c>
      <c r="J795">
        <v>0</v>
      </c>
      <c r="K795" s="2">
        <f t="shared" si="24"/>
        <v>0</v>
      </c>
      <c r="L795" t="s">
        <v>37</v>
      </c>
      <c r="M795">
        <v>3</v>
      </c>
      <c r="N795">
        <v>0.62</v>
      </c>
      <c r="O795" t="str">
        <f t="shared" si="25"/>
        <v>0.6–0.8 hours</v>
      </c>
      <c r="P795" t="s">
        <v>25</v>
      </c>
    </row>
    <row r="796" spans="1:16" x14ac:dyDescent="0.4">
      <c r="A796" t="s">
        <v>837</v>
      </c>
      <c r="B796">
        <v>20</v>
      </c>
      <c r="C796" t="s">
        <v>27</v>
      </c>
      <c r="D796" t="s">
        <v>16</v>
      </c>
      <c r="E796">
        <v>10.28</v>
      </c>
      <c r="F796">
        <v>43</v>
      </c>
      <c r="G796" t="s">
        <v>49</v>
      </c>
      <c r="H796" t="s">
        <v>46</v>
      </c>
      <c r="I796" s="2">
        <v>8.99</v>
      </c>
      <c r="J796">
        <v>1</v>
      </c>
      <c r="K796" s="2">
        <f t="shared" si="24"/>
        <v>8.99</v>
      </c>
      <c r="L796" t="s">
        <v>43</v>
      </c>
      <c r="M796">
        <v>2</v>
      </c>
      <c r="N796">
        <v>0.23</v>
      </c>
      <c r="O796" t="str">
        <f t="shared" si="25"/>
        <v>0.2–0.4 hours</v>
      </c>
      <c r="P796" t="s">
        <v>20</v>
      </c>
    </row>
    <row r="797" spans="1:16" x14ac:dyDescent="0.4">
      <c r="A797" t="s">
        <v>838</v>
      </c>
      <c r="B797">
        <v>33</v>
      </c>
      <c r="C797" t="s">
        <v>27</v>
      </c>
      <c r="D797" t="s">
        <v>32</v>
      </c>
      <c r="E797">
        <v>2.2000000000000002</v>
      </c>
      <c r="F797">
        <v>40</v>
      </c>
      <c r="G797" t="s">
        <v>49</v>
      </c>
      <c r="H797" t="s">
        <v>55</v>
      </c>
      <c r="I797" s="2">
        <v>17.989999999999998</v>
      </c>
      <c r="J797">
        <v>1</v>
      </c>
      <c r="K797" s="2">
        <f t="shared" si="24"/>
        <v>17.989999999999998</v>
      </c>
      <c r="L797" t="s">
        <v>19</v>
      </c>
      <c r="M797">
        <v>4</v>
      </c>
      <c r="N797">
        <v>0.05</v>
      </c>
      <c r="O797" t="str">
        <f t="shared" si="25"/>
        <v>0–0.2 hours</v>
      </c>
      <c r="P797" t="s">
        <v>52</v>
      </c>
    </row>
    <row r="798" spans="1:16" x14ac:dyDescent="0.4">
      <c r="A798" t="s">
        <v>839</v>
      </c>
      <c r="B798">
        <v>30</v>
      </c>
      <c r="C798" t="s">
        <v>15</v>
      </c>
      <c r="D798" t="s">
        <v>16</v>
      </c>
      <c r="E798">
        <v>0.52</v>
      </c>
      <c r="F798">
        <v>4</v>
      </c>
      <c r="G798" t="s">
        <v>28</v>
      </c>
      <c r="H798" t="s">
        <v>18</v>
      </c>
      <c r="I798" s="2">
        <v>8.99</v>
      </c>
      <c r="J798">
        <v>1</v>
      </c>
      <c r="K798" s="2">
        <f t="shared" si="24"/>
        <v>8.99</v>
      </c>
      <c r="L798" t="s">
        <v>43</v>
      </c>
      <c r="M798">
        <v>2</v>
      </c>
      <c r="N798">
        <v>0.1</v>
      </c>
      <c r="O798" t="str">
        <f t="shared" si="25"/>
        <v>0–0.2 hours</v>
      </c>
      <c r="P798" t="s">
        <v>25</v>
      </c>
    </row>
    <row r="799" spans="1:16" x14ac:dyDescent="0.4">
      <c r="A799" t="s">
        <v>840</v>
      </c>
      <c r="B799">
        <v>59</v>
      </c>
      <c r="C799" t="s">
        <v>41</v>
      </c>
      <c r="D799" t="s">
        <v>22</v>
      </c>
      <c r="E799">
        <v>7.52</v>
      </c>
      <c r="F799">
        <v>0</v>
      </c>
      <c r="G799" t="s">
        <v>23</v>
      </c>
      <c r="H799" t="s">
        <v>18</v>
      </c>
      <c r="I799" s="2">
        <v>13.99</v>
      </c>
      <c r="J799">
        <v>0</v>
      </c>
      <c r="K799" s="2">
        <f t="shared" si="24"/>
        <v>0</v>
      </c>
      <c r="L799" t="s">
        <v>43</v>
      </c>
      <c r="M799">
        <v>4</v>
      </c>
      <c r="N799">
        <v>7.52</v>
      </c>
      <c r="O799" t="str">
        <f t="shared" si="25"/>
        <v>1+ hours</v>
      </c>
      <c r="P799" t="s">
        <v>20</v>
      </c>
    </row>
    <row r="800" spans="1:16" x14ac:dyDescent="0.4">
      <c r="A800" t="s">
        <v>841</v>
      </c>
      <c r="B800">
        <v>54</v>
      </c>
      <c r="C800" t="s">
        <v>41</v>
      </c>
      <c r="D800" t="s">
        <v>22</v>
      </c>
      <c r="E800">
        <v>18.96</v>
      </c>
      <c r="F800">
        <v>18</v>
      </c>
      <c r="G800" t="s">
        <v>33</v>
      </c>
      <c r="H800" t="s">
        <v>57</v>
      </c>
      <c r="I800" s="2">
        <v>13.99</v>
      </c>
      <c r="J800">
        <v>0</v>
      </c>
      <c r="K800" s="2">
        <f t="shared" si="24"/>
        <v>0</v>
      </c>
      <c r="L800" t="s">
        <v>29</v>
      </c>
      <c r="M800">
        <v>3</v>
      </c>
      <c r="N800">
        <v>1</v>
      </c>
      <c r="O800" t="str">
        <f t="shared" si="25"/>
        <v>0.8–1 hour</v>
      </c>
      <c r="P800" t="s">
        <v>52</v>
      </c>
    </row>
    <row r="801" spans="1:16" x14ac:dyDescent="0.4">
      <c r="A801" t="s">
        <v>842</v>
      </c>
      <c r="B801">
        <v>47</v>
      </c>
      <c r="C801" t="s">
        <v>41</v>
      </c>
      <c r="D801" t="s">
        <v>32</v>
      </c>
      <c r="E801">
        <v>6.33</v>
      </c>
      <c r="F801">
        <v>9</v>
      </c>
      <c r="G801" t="s">
        <v>28</v>
      </c>
      <c r="H801" t="s">
        <v>46</v>
      </c>
      <c r="I801" s="2">
        <v>17.989999999999998</v>
      </c>
      <c r="J801">
        <v>0</v>
      </c>
      <c r="K801" s="2">
        <f t="shared" si="24"/>
        <v>0</v>
      </c>
      <c r="L801" t="s">
        <v>19</v>
      </c>
      <c r="M801">
        <v>4</v>
      </c>
      <c r="N801">
        <v>0.63</v>
      </c>
      <c r="O801" t="str">
        <f t="shared" si="25"/>
        <v>0.6–0.8 hours</v>
      </c>
      <c r="P801" t="s">
        <v>52</v>
      </c>
    </row>
    <row r="802" spans="1:16" x14ac:dyDescent="0.4">
      <c r="A802" t="s">
        <v>843</v>
      </c>
      <c r="B802">
        <v>59</v>
      </c>
      <c r="C802" t="s">
        <v>15</v>
      </c>
      <c r="D802" t="s">
        <v>16</v>
      </c>
      <c r="E802">
        <v>20.13</v>
      </c>
      <c r="F802">
        <v>6</v>
      </c>
      <c r="G802" t="s">
        <v>17</v>
      </c>
      <c r="H802" t="s">
        <v>24</v>
      </c>
      <c r="I802" s="2">
        <v>8.99</v>
      </c>
      <c r="J802">
        <v>0</v>
      </c>
      <c r="K802" s="2">
        <f t="shared" si="24"/>
        <v>0</v>
      </c>
      <c r="L802" t="s">
        <v>61</v>
      </c>
      <c r="M802">
        <v>1</v>
      </c>
      <c r="N802">
        <v>2.88</v>
      </c>
      <c r="O802" t="str">
        <f t="shared" si="25"/>
        <v>1+ hours</v>
      </c>
      <c r="P802" t="s">
        <v>30</v>
      </c>
    </row>
    <row r="803" spans="1:16" x14ac:dyDescent="0.4">
      <c r="A803" t="s">
        <v>844</v>
      </c>
      <c r="B803">
        <v>24</v>
      </c>
      <c r="C803" t="s">
        <v>27</v>
      </c>
      <c r="D803" t="s">
        <v>16</v>
      </c>
      <c r="E803">
        <v>6.73</v>
      </c>
      <c r="F803">
        <v>16</v>
      </c>
      <c r="G803" t="s">
        <v>17</v>
      </c>
      <c r="H803" t="s">
        <v>24</v>
      </c>
      <c r="I803" s="2">
        <v>8.99</v>
      </c>
      <c r="J803">
        <v>0</v>
      </c>
      <c r="K803" s="2">
        <f t="shared" si="24"/>
        <v>0</v>
      </c>
      <c r="L803" t="s">
        <v>29</v>
      </c>
      <c r="M803">
        <v>4</v>
      </c>
      <c r="N803">
        <v>0.4</v>
      </c>
      <c r="O803" t="str">
        <f t="shared" si="25"/>
        <v>0.2–0.4 hours</v>
      </c>
      <c r="P803" t="s">
        <v>47</v>
      </c>
    </row>
    <row r="804" spans="1:16" x14ac:dyDescent="0.4">
      <c r="A804" t="s">
        <v>845</v>
      </c>
      <c r="B804">
        <v>24</v>
      </c>
      <c r="C804" t="s">
        <v>15</v>
      </c>
      <c r="D804" t="s">
        <v>22</v>
      </c>
      <c r="E804">
        <v>21.53</v>
      </c>
      <c r="F804">
        <v>57</v>
      </c>
      <c r="G804" t="s">
        <v>70</v>
      </c>
      <c r="H804" t="s">
        <v>57</v>
      </c>
      <c r="I804" s="2">
        <v>13.99</v>
      </c>
      <c r="J804">
        <v>0</v>
      </c>
      <c r="K804" s="2">
        <f t="shared" si="24"/>
        <v>0</v>
      </c>
      <c r="L804" t="s">
        <v>29</v>
      </c>
      <c r="M804">
        <v>3</v>
      </c>
      <c r="N804">
        <v>0.37</v>
      </c>
      <c r="O804" t="str">
        <f t="shared" si="25"/>
        <v>0.2–0.4 hours</v>
      </c>
      <c r="P804" t="s">
        <v>30</v>
      </c>
    </row>
    <row r="805" spans="1:16" x14ac:dyDescent="0.4">
      <c r="A805" t="s">
        <v>846</v>
      </c>
      <c r="B805">
        <v>53</v>
      </c>
      <c r="C805" t="s">
        <v>15</v>
      </c>
      <c r="D805" t="s">
        <v>22</v>
      </c>
      <c r="E805">
        <v>8.85</v>
      </c>
      <c r="F805">
        <v>3</v>
      </c>
      <c r="G805" t="s">
        <v>33</v>
      </c>
      <c r="H805" t="s">
        <v>24</v>
      </c>
      <c r="I805" s="2">
        <v>13.99</v>
      </c>
      <c r="J805">
        <v>0</v>
      </c>
      <c r="K805" s="2">
        <f t="shared" si="24"/>
        <v>0</v>
      </c>
      <c r="L805" t="s">
        <v>19</v>
      </c>
      <c r="M805">
        <v>1</v>
      </c>
      <c r="N805">
        <v>2.21</v>
      </c>
      <c r="O805" t="str">
        <f t="shared" si="25"/>
        <v>1+ hours</v>
      </c>
      <c r="P805" t="s">
        <v>25</v>
      </c>
    </row>
    <row r="806" spans="1:16" x14ac:dyDescent="0.4">
      <c r="A806" t="s">
        <v>847</v>
      </c>
      <c r="B806">
        <v>57</v>
      </c>
      <c r="C806" t="s">
        <v>41</v>
      </c>
      <c r="D806" t="s">
        <v>22</v>
      </c>
      <c r="E806">
        <v>0.15</v>
      </c>
      <c r="F806">
        <v>39</v>
      </c>
      <c r="G806" t="s">
        <v>17</v>
      </c>
      <c r="H806" t="s">
        <v>57</v>
      </c>
      <c r="I806" s="2">
        <v>13.99</v>
      </c>
      <c r="J806">
        <v>1</v>
      </c>
      <c r="K806" s="2">
        <f t="shared" si="24"/>
        <v>13.99</v>
      </c>
      <c r="L806" t="s">
        <v>37</v>
      </c>
      <c r="M806">
        <v>3</v>
      </c>
      <c r="N806">
        <v>0</v>
      </c>
      <c r="O806" t="str">
        <f t="shared" si="25"/>
        <v>0–0.2 hours</v>
      </c>
      <c r="P806" t="s">
        <v>47</v>
      </c>
    </row>
    <row r="807" spans="1:16" x14ac:dyDescent="0.4">
      <c r="A807" t="s">
        <v>848</v>
      </c>
      <c r="B807">
        <v>66</v>
      </c>
      <c r="C807" t="s">
        <v>27</v>
      </c>
      <c r="D807" t="s">
        <v>16</v>
      </c>
      <c r="E807">
        <v>0.27</v>
      </c>
      <c r="F807">
        <v>40</v>
      </c>
      <c r="G807" t="s">
        <v>17</v>
      </c>
      <c r="H807" t="s">
        <v>46</v>
      </c>
      <c r="I807" s="2">
        <v>8.99</v>
      </c>
      <c r="J807">
        <v>1</v>
      </c>
      <c r="K807" s="2">
        <f t="shared" si="24"/>
        <v>8.99</v>
      </c>
      <c r="L807" t="s">
        <v>61</v>
      </c>
      <c r="M807">
        <v>1</v>
      </c>
      <c r="N807">
        <v>0.01</v>
      </c>
      <c r="O807" t="str">
        <f t="shared" si="25"/>
        <v>0–0.2 hours</v>
      </c>
      <c r="P807" t="s">
        <v>25</v>
      </c>
    </row>
    <row r="808" spans="1:16" x14ac:dyDescent="0.4">
      <c r="A808" t="s">
        <v>849</v>
      </c>
      <c r="B808">
        <v>24</v>
      </c>
      <c r="C808" t="s">
        <v>41</v>
      </c>
      <c r="D808" t="s">
        <v>22</v>
      </c>
      <c r="E808">
        <v>7.75</v>
      </c>
      <c r="F808">
        <v>29</v>
      </c>
      <c r="G808" t="s">
        <v>23</v>
      </c>
      <c r="H808" t="s">
        <v>57</v>
      </c>
      <c r="I808" s="2">
        <v>13.99</v>
      </c>
      <c r="J808">
        <v>0</v>
      </c>
      <c r="K808" s="2">
        <f t="shared" si="24"/>
        <v>0</v>
      </c>
      <c r="L808" t="s">
        <v>37</v>
      </c>
      <c r="M808">
        <v>5</v>
      </c>
      <c r="N808">
        <v>0.26</v>
      </c>
      <c r="O808" t="str">
        <f t="shared" si="25"/>
        <v>0.2–0.4 hours</v>
      </c>
      <c r="P808" t="s">
        <v>34</v>
      </c>
    </row>
    <row r="809" spans="1:16" x14ac:dyDescent="0.4">
      <c r="A809" t="s">
        <v>850</v>
      </c>
      <c r="B809">
        <v>28</v>
      </c>
      <c r="C809" t="s">
        <v>15</v>
      </c>
      <c r="D809" t="s">
        <v>32</v>
      </c>
      <c r="E809">
        <v>6.79</v>
      </c>
      <c r="F809">
        <v>54</v>
      </c>
      <c r="G809" t="s">
        <v>33</v>
      </c>
      <c r="H809" t="s">
        <v>57</v>
      </c>
      <c r="I809" s="2">
        <v>17.989999999999998</v>
      </c>
      <c r="J809">
        <v>1</v>
      </c>
      <c r="K809" s="2">
        <f t="shared" si="24"/>
        <v>17.989999999999998</v>
      </c>
      <c r="L809" t="s">
        <v>43</v>
      </c>
      <c r="M809">
        <v>1</v>
      </c>
      <c r="N809">
        <v>0.12</v>
      </c>
      <c r="O809" t="str">
        <f t="shared" si="25"/>
        <v>0–0.2 hours</v>
      </c>
      <c r="P809" t="s">
        <v>34</v>
      </c>
    </row>
    <row r="810" spans="1:16" x14ac:dyDescent="0.4">
      <c r="A810" t="s">
        <v>851</v>
      </c>
      <c r="B810">
        <v>29</v>
      </c>
      <c r="C810" t="s">
        <v>41</v>
      </c>
      <c r="D810" t="s">
        <v>32</v>
      </c>
      <c r="E810">
        <v>21.53</v>
      </c>
      <c r="F810">
        <v>36</v>
      </c>
      <c r="G810" t="s">
        <v>17</v>
      </c>
      <c r="H810" t="s">
        <v>18</v>
      </c>
      <c r="I810" s="2">
        <v>17.989999999999998</v>
      </c>
      <c r="J810">
        <v>0</v>
      </c>
      <c r="K810" s="2">
        <f t="shared" si="24"/>
        <v>0</v>
      </c>
      <c r="L810" t="s">
        <v>61</v>
      </c>
      <c r="M810">
        <v>5</v>
      </c>
      <c r="N810">
        <v>0.57999999999999996</v>
      </c>
      <c r="O810" t="str">
        <f t="shared" si="25"/>
        <v>0.4–0.6 hours</v>
      </c>
      <c r="P810" t="s">
        <v>25</v>
      </c>
    </row>
    <row r="811" spans="1:16" x14ac:dyDescent="0.4">
      <c r="A811" t="s">
        <v>852</v>
      </c>
      <c r="B811">
        <v>45</v>
      </c>
      <c r="C811" t="s">
        <v>41</v>
      </c>
      <c r="D811" t="s">
        <v>32</v>
      </c>
      <c r="E811">
        <v>13.88</v>
      </c>
      <c r="F811">
        <v>26</v>
      </c>
      <c r="G811" t="s">
        <v>70</v>
      </c>
      <c r="H811" t="s">
        <v>55</v>
      </c>
      <c r="I811" s="2">
        <v>17.989999999999998</v>
      </c>
      <c r="J811">
        <v>0</v>
      </c>
      <c r="K811" s="2">
        <f t="shared" si="24"/>
        <v>0</v>
      </c>
      <c r="L811" t="s">
        <v>29</v>
      </c>
      <c r="M811">
        <v>1</v>
      </c>
      <c r="N811">
        <v>0.51</v>
      </c>
      <c r="O811" t="str">
        <f t="shared" si="25"/>
        <v>0.4–0.6 hours</v>
      </c>
      <c r="P811" t="s">
        <v>52</v>
      </c>
    </row>
    <row r="812" spans="1:16" x14ac:dyDescent="0.4">
      <c r="A812" t="s">
        <v>853</v>
      </c>
      <c r="B812">
        <v>50</v>
      </c>
      <c r="C812" t="s">
        <v>15</v>
      </c>
      <c r="D812" t="s">
        <v>32</v>
      </c>
      <c r="E812">
        <v>0.32</v>
      </c>
      <c r="F812">
        <v>35</v>
      </c>
      <c r="G812" t="s">
        <v>23</v>
      </c>
      <c r="H812" t="s">
        <v>55</v>
      </c>
      <c r="I812" s="2">
        <v>17.989999999999998</v>
      </c>
      <c r="J812">
        <v>1</v>
      </c>
      <c r="K812" s="2">
        <f t="shared" si="24"/>
        <v>17.989999999999998</v>
      </c>
      <c r="L812" t="s">
        <v>37</v>
      </c>
      <c r="M812">
        <v>2</v>
      </c>
      <c r="N812">
        <v>0.01</v>
      </c>
      <c r="O812" t="str">
        <f t="shared" si="25"/>
        <v>0–0.2 hours</v>
      </c>
      <c r="P812" t="s">
        <v>47</v>
      </c>
    </row>
    <row r="813" spans="1:16" x14ac:dyDescent="0.4">
      <c r="A813" t="s">
        <v>854</v>
      </c>
      <c r="B813">
        <v>23</v>
      </c>
      <c r="C813" t="s">
        <v>27</v>
      </c>
      <c r="D813" t="s">
        <v>22</v>
      </c>
      <c r="E813">
        <v>2.2799999999999998</v>
      </c>
      <c r="F813">
        <v>46</v>
      </c>
      <c r="G813" t="s">
        <v>33</v>
      </c>
      <c r="H813" t="s">
        <v>57</v>
      </c>
      <c r="I813" s="2">
        <v>13.99</v>
      </c>
      <c r="J813">
        <v>1</v>
      </c>
      <c r="K813" s="2">
        <f t="shared" si="24"/>
        <v>13.99</v>
      </c>
      <c r="L813" t="s">
        <v>43</v>
      </c>
      <c r="M813">
        <v>1</v>
      </c>
      <c r="N813">
        <v>0.05</v>
      </c>
      <c r="O813" t="str">
        <f t="shared" si="25"/>
        <v>0–0.2 hours</v>
      </c>
      <c r="P813" t="s">
        <v>34</v>
      </c>
    </row>
    <row r="814" spans="1:16" x14ac:dyDescent="0.4">
      <c r="A814" t="s">
        <v>855</v>
      </c>
      <c r="B814">
        <v>68</v>
      </c>
      <c r="C814" t="s">
        <v>27</v>
      </c>
      <c r="D814" t="s">
        <v>16</v>
      </c>
      <c r="E814">
        <v>0.27</v>
      </c>
      <c r="F814">
        <v>4</v>
      </c>
      <c r="G814" t="s">
        <v>33</v>
      </c>
      <c r="H814" t="s">
        <v>57</v>
      </c>
      <c r="I814" s="2">
        <v>8.99</v>
      </c>
      <c r="J814">
        <v>1</v>
      </c>
      <c r="K814" s="2">
        <f t="shared" si="24"/>
        <v>8.99</v>
      </c>
      <c r="L814" t="s">
        <v>29</v>
      </c>
      <c r="M814">
        <v>2</v>
      </c>
      <c r="N814">
        <v>0.05</v>
      </c>
      <c r="O814" t="str">
        <f t="shared" si="25"/>
        <v>0–0.2 hours</v>
      </c>
      <c r="P814" t="s">
        <v>34</v>
      </c>
    </row>
    <row r="815" spans="1:16" x14ac:dyDescent="0.4">
      <c r="A815" t="s">
        <v>856</v>
      </c>
      <c r="B815">
        <v>25</v>
      </c>
      <c r="C815" t="s">
        <v>41</v>
      </c>
      <c r="D815" t="s">
        <v>16</v>
      </c>
      <c r="E815">
        <v>6.05</v>
      </c>
      <c r="F815">
        <v>60</v>
      </c>
      <c r="G815" t="s">
        <v>70</v>
      </c>
      <c r="H815" t="s">
        <v>24</v>
      </c>
      <c r="I815" s="2">
        <v>8.99</v>
      </c>
      <c r="J815">
        <v>1</v>
      </c>
      <c r="K815" s="2">
        <f t="shared" si="24"/>
        <v>8.99</v>
      </c>
      <c r="L815" t="s">
        <v>37</v>
      </c>
      <c r="M815">
        <v>3</v>
      </c>
      <c r="N815">
        <v>0.1</v>
      </c>
      <c r="O815" t="str">
        <f t="shared" si="25"/>
        <v>0–0.2 hours</v>
      </c>
      <c r="P815" t="s">
        <v>25</v>
      </c>
    </row>
    <row r="816" spans="1:16" x14ac:dyDescent="0.4">
      <c r="A816" t="s">
        <v>857</v>
      </c>
      <c r="B816">
        <v>68</v>
      </c>
      <c r="C816" t="s">
        <v>15</v>
      </c>
      <c r="D816" t="s">
        <v>32</v>
      </c>
      <c r="E816">
        <v>1.66</v>
      </c>
      <c r="F816">
        <v>42</v>
      </c>
      <c r="G816" t="s">
        <v>70</v>
      </c>
      <c r="H816" t="s">
        <v>24</v>
      </c>
      <c r="I816" s="2">
        <v>17.989999999999998</v>
      </c>
      <c r="J816">
        <v>1</v>
      </c>
      <c r="K816" s="2">
        <f t="shared" si="24"/>
        <v>17.989999999999998</v>
      </c>
      <c r="L816" t="s">
        <v>19</v>
      </c>
      <c r="M816">
        <v>4</v>
      </c>
      <c r="N816">
        <v>0.04</v>
      </c>
      <c r="O816" t="str">
        <f t="shared" si="25"/>
        <v>0–0.2 hours</v>
      </c>
      <c r="P816" t="s">
        <v>52</v>
      </c>
    </row>
    <row r="817" spans="1:16" x14ac:dyDescent="0.4">
      <c r="A817" t="s">
        <v>858</v>
      </c>
      <c r="B817">
        <v>23</v>
      </c>
      <c r="C817" t="s">
        <v>15</v>
      </c>
      <c r="D817" t="s">
        <v>16</v>
      </c>
      <c r="E817">
        <v>4.01</v>
      </c>
      <c r="F817">
        <v>27</v>
      </c>
      <c r="G817" t="s">
        <v>28</v>
      </c>
      <c r="H817" t="s">
        <v>57</v>
      </c>
      <c r="I817" s="2">
        <v>8.99</v>
      </c>
      <c r="J817">
        <v>1</v>
      </c>
      <c r="K817" s="2">
        <f t="shared" si="24"/>
        <v>8.99</v>
      </c>
      <c r="L817" t="s">
        <v>29</v>
      </c>
      <c r="M817">
        <v>2</v>
      </c>
      <c r="N817">
        <v>0.14000000000000001</v>
      </c>
      <c r="O817" t="str">
        <f t="shared" si="25"/>
        <v>0–0.2 hours</v>
      </c>
      <c r="P817" t="s">
        <v>39</v>
      </c>
    </row>
    <row r="818" spans="1:16" x14ac:dyDescent="0.4">
      <c r="A818" t="s">
        <v>859</v>
      </c>
      <c r="B818">
        <v>27</v>
      </c>
      <c r="C818" t="s">
        <v>27</v>
      </c>
      <c r="D818" t="s">
        <v>32</v>
      </c>
      <c r="E818">
        <v>6.01</v>
      </c>
      <c r="F818">
        <v>5</v>
      </c>
      <c r="G818" t="s">
        <v>23</v>
      </c>
      <c r="H818" t="s">
        <v>24</v>
      </c>
      <c r="I818" s="2">
        <v>17.989999999999998</v>
      </c>
      <c r="J818">
        <v>0</v>
      </c>
      <c r="K818" s="2">
        <f t="shared" si="24"/>
        <v>0</v>
      </c>
      <c r="L818" t="s">
        <v>19</v>
      </c>
      <c r="M818">
        <v>1</v>
      </c>
      <c r="N818">
        <v>1</v>
      </c>
      <c r="O818" t="str">
        <f t="shared" si="25"/>
        <v>0.8–1 hour</v>
      </c>
      <c r="P818" t="s">
        <v>34</v>
      </c>
    </row>
    <row r="819" spans="1:16" x14ac:dyDescent="0.4">
      <c r="A819" t="s">
        <v>860</v>
      </c>
      <c r="B819">
        <v>62</v>
      </c>
      <c r="C819" t="s">
        <v>15</v>
      </c>
      <c r="D819" t="s">
        <v>16</v>
      </c>
      <c r="E819">
        <v>15.54</v>
      </c>
      <c r="F819">
        <v>51</v>
      </c>
      <c r="G819" t="s">
        <v>28</v>
      </c>
      <c r="H819" t="s">
        <v>24</v>
      </c>
      <c r="I819" s="2">
        <v>8.99</v>
      </c>
      <c r="J819">
        <v>1</v>
      </c>
      <c r="K819" s="2">
        <f t="shared" si="24"/>
        <v>8.99</v>
      </c>
      <c r="L819" t="s">
        <v>43</v>
      </c>
      <c r="M819">
        <v>4</v>
      </c>
      <c r="N819">
        <v>0.3</v>
      </c>
      <c r="O819" t="str">
        <f t="shared" si="25"/>
        <v>0.2–0.4 hours</v>
      </c>
      <c r="P819" t="s">
        <v>25</v>
      </c>
    </row>
    <row r="820" spans="1:16" x14ac:dyDescent="0.4">
      <c r="A820" t="s">
        <v>861</v>
      </c>
      <c r="B820">
        <v>28</v>
      </c>
      <c r="C820" t="s">
        <v>41</v>
      </c>
      <c r="D820" t="s">
        <v>32</v>
      </c>
      <c r="E820">
        <v>5.32</v>
      </c>
      <c r="F820">
        <v>25</v>
      </c>
      <c r="G820" t="s">
        <v>17</v>
      </c>
      <c r="H820" t="s">
        <v>46</v>
      </c>
      <c r="I820" s="2">
        <v>17.989999999999998</v>
      </c>
      <c r="J820">
        <v>0</v>
      </c>
      <c r="K820" s="2">
        <f t="shared" si="24"/>
        <v>0</v>
      </c>
      <c r="L820" t="s">
        <v>37</v>
      </c>
      <c r="M820">
        <v>4</v>
      </c>
      <c r="N820">
        <v>0.2</v>
      </c>
      <c r="O820" t="str">
        <f t="shared" si="25"/>
        <v>0–0.2 hours</v>
      </c>
      <c r="P820" t="s">
        <v>34</v>
      </c>
    </row>
    <row r="821" spans="1:16" x14ac:dyDescent="0.4">
      <c r="A821" t="s">
        <v>862</v>
      </c>
      <c r="B821">
        <v>45</v>
      </c>
      <c r="C821" t="s">
        <v>15</v>
      </c>
      <c r="D821" t="s">
        <v>22</v>
      </c>
      <c r="E821">
        <v>7.03</v>
      </c>
      <c r="F821">
        <v>2</v>
      </c>
      <c r="G821" t="s">
        <v>17</v>
      </c>
      <c r="H821" t="s">
        <v>46</v>
      </c>
      <c r="I821" s="2">
        <v>13.99</v>
      </c>
      <c r="J821">
        <v>0</v>
      </c>
      <c r="K821" s="2">
        <f t="shared" si="24"/>
        <v>0</v>
      </c>
      <c r="L821" t="s">
        <v>43</v>
      </c>
      <c r="M821">
        <v>2</v>
      </c>
      <c r="N821">
        <v>2.34</v>
      </c>
      <c r="O821" t="str">
        <f t="shared" si="25"/>
        <v>1+ hours</v>
      </c>
      <c r="P821" t="s">
        <v>30</v>
      </c>
    </row>
    <row r="822" spans="1:16" x14ac:dyDescent="0.4">
      <c r="A822" t="s">
        <v>863</v>
      </c>
      <c r="B822">
        <v>22</v>
      </c>
      <c r="C822" t="s">
        <v>27</v>
      </c>
      <c r="D822" t="s">
        <v>16</v>
      </c>
      <c r="E822">
        <v>5.42</v>
      </c>
      <c r="F822">
        <v>0</v>
      </c>
      <c r="G822" t="s">
        <v>17</v>
      </c>
      <c r="H822" t="s">
        <v>55</v>
      </c>
      <c r="I822" s="2">
        <v>8.99</v>
      </c>
      <c r="J822">
        <v>0</v>
      </c>
      <c r="K822" s="2">
        <f t="shared" si="24"/>
        <v>0</v>
      </c>
      <c r="L822" t="s">
        <v>43</v>
      </c>
      <c r="M822">
        <v>1</v>
      </c>
      <c r="N822">
        <v>5.42</v>
      </c>
      <c r="O822" t="str">
        <f t="shared" si="25"/>
        <v>1+ hours</v>
      </c>
      <c r="P822" t="s">
        <v>20</v>
      </c>
    </row>
    <row r="823" spans="1:16" x14ac:dyDescent="0.4">
      <c r="A823" t="s">
        <v>864</v>
      </c>
      <c r="B823">
        <v>66</v>
      </c>
      <c r="C823" t="s">
        <v>15</v>
      </c>
      <c r="D823" t="s">
        <v>16</v>
      </c>
      <c r="E823">
        <v>5.33</v>
      </c>
      <c r="F823">
        <v>36</v>
      </c>
      <c r="G823" t="s">
        <v>17</v>
      </c>
      <c r="H823" t="s">
        <v>24</v>
      </c>
      <c r="I823" s="2">
        <v>8.99</v>
      </c>
      <c r="J823">
        <v>1</v>
      </c>
      <c r="K823" s="2">
        <f t="shared" si="24"/>
        <v>8.99</v>
      </c>
      <c r="L823" t="s">
        <v>61</v>
      </c>
      <c r="M823">
        <v>2</v>
      </c>
      <c r="N823">
        <v>0.14000000000000001</v>
      </c>
      <c r="O823" t="str">
        <f t="shared" si="25"/>
        <v>0–0.2 hours</v>
      </c>
      <c r="P823" t="s">
        <v>39</v>
      </c>
    </row>
    <row r="824" spans="1:16" x14ac:dyDescent="0.4">
      <c r="A824" t="s">
        <v>865</v>
      </c>
      <c r="B824">
        <v>49</v>
      </c>
      <c r="C824" t="s">
        <v>15</v>
      </c>
      <c r="D824" t="s">
        <v>22</v>
      </c>
      <c r="E824">
        <v>2.86</v>
      </c>
      <c r="F824">
        <v>30</v>
      </c>
      <c r="G824" t="s">
        <v>23</v>
      </c>
      <c r="H824" t="s">
        <v>57</v>
      </c>
      <c r="I824" s="2">
        <v>13.99</v>
      </c>
      <c r="J824">
        <v>1</v>
      </c>
      <c r="K824" s="2">
        <f t="shared" si="24"/>
        <v>13.99</v>
      </c>
      <c r="L824" t="s">
        <v>61</v>
      </c>
      <c r="M824">
        <v>3</v>
      </c>
      <c r="N824">
        <v>0.09</v>
      </c>
      <c r="O824" t="str">
        <f t="shared" si="25"/>
        <v>0–0.2 hours</v>
      </c>
      <c r="P824" t="s">
        <v>30</v>
      </c>
    </row>
    <row r="825" spans="1:16" x14ac:dyDescent="0.4">
      <c r="A825" t="s">
        <v>866</v>
      </c>
      <c r="B825">
        <v>37</v>
      </c>
      <c r="C825" t="s">
        <v>15</v>
      </c>
      <c r="D825" t="s">
        <v>22</v>
      </c>
      <c r="E825">
        <v>11.76</v>
      </c>
      <c r="F825">
        <v>17</v>
      </c>
      <c r="G825" t="s">
        <v>33</v>
      </c>
      <c r="H825" t="s">
        <v>55</v>
      </c>
      <c r="I825" s="2">
        <v>13.99</v>
      </c>
      <c r="J825">
        <v>0</v>
      </c>
      <c r="K825" s="2">
        <f t="shared" si="24"/>
        <v>0</v>
      </c>
      <c r="L825" t="s">
        <v>29</v>
      </c>
      <c r="M825">
        <v>3</v>
      </c>
      <c r="N825">
        <v>0.65</v>
      </c>
      <c r="O825" t="str">
        <f t="shared" si="25"/>
        <v>0.6–0.8 hours</v>
      </c>
      <c r="P825" t="s">
        <v>47</v>
      </c>
    </row>
    <row r="826" spans="1:16" x14ac:dyDescent="0.4">
      <c r="A826" t="s">
        <v>867</v>
      </c>
      <c r="B826">
        <v>60</v>
      </c>
      <c r="C826" t="s">
        <v>41</v>
      </c>
      <c r="D826" t="s">
        <v>22</v>
      </c>
      <c r="E826">
        <v>36.159999999999997</v>
      </c>
      <c r="F826">
        <v>42</v>
      </c>
      <c r="G826" t="s">
        <v>70</v>
      </c>
      <c r="H826" t="s">
        <v>18</v>
      </c>
      <c r="I826" s="2">
        <v>13.99</v>
      </c>
      <c r="J826">
        <v>0</v>
      </c>
      <c r="K826" s="2">
        <f t="shared" si="24"/>
        <v>0</v>
      </c>
      <c r="L826" t="s">
        <v>19</v>
      </c>
      <c r="M826">
        <v>5</v>
      </c>
      <c r="N826">
        <v>0.84</v>
      </c>
      <c r="O826" t="str">
        <f t="shared" si="25"/>
        <v>0.8–1 hour</v>
      </c>
      <c r="P826" t="s">
        <v>30</v>
      </c>
    </row>
    <row r="827" spans="1:16" x14ac:dyDescent="0.4">
      <c r="A827" t="s">
        <v>868</v>
      </c>
      <c r="B827">
        <v>64</v>
      </c>
      <c r="C827" t="s">
        <v>41</v>
      </c>
      <c r="D827" t="s">
        <v>16</v>
      </c>
      <c r="E827">
        <v>0.27</v>
      </c>
      <c r="F827">
        <v>49</v>
      </c>
      <c r="G827" t="s">
        <v>49</v>
      </c>
      <c r="H827" t="s">
        <v>24</v>
      </c>
      <c r="I827" s="2">
        <v>8.99</v>
      </c>
      <c r="J827">
        <v>1</v>
      </c>
      <c r="K827" s="2">
        <f t="shared" si="24"/>
        <v>8.99</v>
      </c>
      <c r="L827" t="s">
        <v>29</v>
      </c>
      <c r="M827">
        <v>4</v>
      </c>
      <c r="N827">
        <v>0.01</v>
      </c>
      <c r="O827" t="str">
        <f t="shared" si="25"/>
        <v>0–0.2 hours</v>
      </c>
      <c r="P827" t="s">
        <v>34</v>
      </c>
    </row>
    <row r="828" spans="1:16" x14ac:dyDescent="0.4">
      <c r="A828" t="s">
        <v>869</v>
      </c>
      <c r="B828">
        <v>21</v>
      </c>
      <c r="C828" t="s">
        <v>15</v>
      </c>
      <c r="D828" t="s">
        <v>22</v>
      </c>
      <c r="E828">
        <v>8.08</v>
      </c>
      <c r="F828">
        <v>16</v>
      </c>
      <c r="G828" t="s">
        <v>33</v>
      </c>
      <c r="H828" t="s">
        <v>46</v>
      </c>
      <c r="I828" s="2">
        <v>13.99</v>
      </c>
      <c r="J828">
        <v>0</v>
      </c>
      <c r="K828" s="2">
        <f t="shared" si="24"/>
        <v>0</v>
      </c>
      <c r="L828" t="s">
        <v>29</v>
      </c>
      <c r="M828">
        <v>4</v>
      </c>
      <c r="N828">
        <v>0.48</v>
      </c>
      <c r="O828" t="str">
        <f t="shared" si="25"/>
        <v>0.4–0.6 hours</v>
      </c>
      <c r="P828" t="s">
        <v>20</v>
      </c>
    </row>
    <row r="829" spans="1:16" x14ac:dyDescent="0.4">
      <c r="A829" t="s">
        <v>870</v>
      </c>
      <c r="B829">
        <v>45</v>
      </c>
      <c r="C829" t="s">
        <v>27</v>
      </c>
      <c r="D829" t="s">
        <v>16</v>
      </c>
      <c r="E829">
        <v>7.13</v>
      </c>
      <c r="F829">
        <v>8</v>
      </c>
      <c r="G829" t="s">
        <v>33</v>
      </c>
      <c r="H829" t="s">
        <v>24</v>
      </c>
      <c r="I829" s="2">
        <v>8.99</v>
      </c>
      <c r="J829">
        <v>0</v>
      </c>
      <c r="K829" s="2">
        <f t="shared" si="24"/>
        <v>0</v>
      </c>
      <c r="L829" t="s">
        <v>61</v>
      </c>
      <c r="M829">
        <v>3</v>
      </c>
      <c r="N829">
        <v>0.79</v>
      </c>
      <c r="O829" t="str">
        <f t="shared" si="25"/>
        <v>0.6–0.8 hours</v>
      </c>
      <c r="P829" t="s">
        <v>34</v>
      </c>
    </row>
    <row r="830" spans="1:16" x14ac:dyDescent="0.4">
      <c r="A830" t="s">
        <v>871</v>
      </c>
      <c r="B830">
        <v>47</v>
      </c>
      <c r="C830" t="s">
        <v>27</v>
      </c>
      <c r="D830" t="s">
        <v>22</v>
      </c>
      <c r="E830">
        <v>4.13</v>
      </c>
      <c r="F830">
        <v>30</v>
      </c>
      <c r="G830" t="s">
        <v>49</v>
      </c>
      <c r="H830" t="s">
        <v>57</v>
      </c>
      <c r="I830" s="2">
        <v>13.99</v>
      </c>
      <c r="J830">
        <v>1</v>
      </c>
      <c r="K830" s="2">
        <f t="shared" si="24"/>
        <v>13.99</v>
      </c>
      <c r="L830" t="s">
        <v>19</v>
      </c>
      <c r="M830">
        <v>2</v>
      </c>
      <c r="N830">
        <v>0.13</v>
      </c>
      <c r="O830" t="str">
        <f t="shared" si="25"/>
        <v>0–0.2 hours</v>
      </c>
      <c r="P830" t="s">
        <v>34</v>
      </c>
    </row>
    <row r="831" spans="1:16" x14ac:dyDescent="0.4">
      <c r="A831" t="s">
        <v>872</v>
      </c>
      <c r="B831">
        <v>60</v>
      </c>
      <c r="C831" t="s">
        <v>27</v>
      </c>
      <c r="D831" t="s">
        <v>32</v>
      </c>
      <c r="E831">
        <v>12.6</v>
      </c>
      <c r="F831">
        <v>33</v>
      </c>
      <c r="G831" t="s">
        <v>23</v>
      </c>
      <c r="H831" t="s">
        <v>55</v>
      </c>
      <c r="I831" s="2">
        <v>17.989999999999998</v>
      </c>
      <c r="J831">
        <v>1</v>
      </c>
      <c r="K831" s="2">
        <f t="shared" si="24"/>
        <v>17.989999999999998</v>
      </c>
      <c r="L831" t="s">
        <v>19</v>
      </c>
      <c r="M831">
        <v>2</v>
      </c>
      <c r="N831">
        <v>0.37</v>
      </c>
      <c r="O831" t="str">
        <f t="shared" si="25"/>
        <v>0.2–0.4 hours</v>
      </c>
      <c r="P831" t="s">
        <v>25</v>
      </c>
    </row>
    <row r="832" spans="1:16" x14ac:dyDescent="0.4">
      <c r="A832" t="s">
        <v>873</v>
      </c>
      <c r="B832">
        <v>60</v>
      </c>
      <c r="C832" t="s">
        <v>15</v>
      </c>
      <c r="D832" t="s">
        <v>22</v>
      </c>
      <c r="E832">
        <v>0.62</v>
      </c>
      <c r="F832">
        <v>48</v>
      </c>
      <c r="G832" t="s">
        <v>17</v>
      </c>
      <c r="H832" t="s">
        <v>18</v>
      </c>
      <c r="I832" s="2">
        <v>13.99</v>
      </c>
      <c r="J832">
        <v>1</v>
      </c>
      <c r="K832" s="2">
        <f t="shared" si="24"/>
        <v>13.99</v>
      </c>
      <c r="L832" t="s">
        <v>29</v>
      </c>
      <c r="M832">
        <v>4</v>
      </c>
      <c r="N832">
        <v>0.01</v>
      </c>
      <c r="O832" t="str">
        <f t="shared" si="25"/>
        <v>0–0.2 hours</v>
      </c>
      <c r="P832" t="s">
        <v>52</v>
      </c>
    </row>
    <row r="833" spans="1:16" x14ac:dyDescent="0.4">
      <c r="A833" t="s">
        <v>874</v>
      </c>
      <c r="B833">
        <v>28</v>
      </c>
      <c r="C833" t="s">
        <v>41</v>
      </c>
      <c r="D833" t="s">
        <v>22</v>
      </c>
      <c r="E833">
        <v>2.6</v>
      </c>
      <c r="F833">
        <v>45</v>
      </c>
      <c r="G833" t="s">
        <v>23</v>
      </c>
      <c r="H833" t="s">
        <v>46</v>
      </c>
      <c r="I833" s="2">
        <v>13.99</v>
      </c>
      <c r="J833">
        <v>1</v>
      </c>
      <c r="K833" s="2">
        <f t="shared" si="24"/>
        <v>13.99</v>
      </c>
      <c r="L833" t="s">
        <v>61</v>
      </c>
      <c r="M833">
        <v>2</v>
      </c>
      <c r="N833">
        <v>0.06</v>
      </c>
      <c r="O833" t="str">
        <f t="shared" si="25"/>
        <v>0–0.2 hours</v>
      </c>
      <c r="P833" t="s">
        <v>25</v>
      </c>
    </row>
    <row r="834" spans="1:16" x14ac:dyDescent="0.4">
      <c r="A834" t="s">
        <v>875</v>
      </c>
      <c r="B834">
        <v>25</v>
      </c>
      <c r="C834" t="s">
        <v>27</v>
      </c>
      <c r="D834" t="s">
        <v>22</v>
      </c>
      <c r="E834">
        <v>3.17</v>
      </c>
      <c r="F834">
        <v>32</v>
      </c>
      <c r="G834" t="s">
        <v>23</v>
      </c>
      <c r="H834" t="s">
        <v>55</v>
      </c>
      <c r="I834" s="2">
        <v>13.99</v>
      </c>
      <c r="J834">
        <v>1</v>
      </c>
      <c r="K834" s="2">
        <f t="shared" si="24"/>
        <v>13.99</v>
      </c>
      <c r="L834" t="s">
        <v>37</v>
      </c>
      <c r="M834">
        <v>5</v>
      </c>
      <c r="N834">
        <v>0.1</v>
      </c>
      <c r="O834" t="str">
        <f t="shared" si="25"/>
        <v>0–0.2 hours</v>
      </c>
      <c r="P834" t="s">
        <v>52</v>
      </c>
    </row>
    <row r="835" spans="1:16" x14ac:dyDescent="0.4">
      <c r="A835" t="s">
        <v>876</v>
      </c>
      <c r="B835">
        <v>19</v>
      </c>
      <c r="C835" t="s">
        <v>15</v>
      </c>
      <c r="D835" t="s">
        <v>22</v>
      </c>
      <c r="E835">
        <v>3.16</v>
      </c>
      <c r="F835">
        <v>43</v>
      </c>
      <c r="G835" t="s">
        <v>33</v>
      </c>
      <c r="H835" t="s">
        <v>24</v>
      </c>
      <c r="I835" s="2">
        <v>13.99</v>
      </c>
      <c r="J835">
        <v>1</v>
      </c>
      <c r="K835" s="2">
        <f t="shared" ref="K835:K898" si="26">SUMIF(J835,1,I835)</f>
        <v>13.99</v>
      </c>
      <c r="L835" t="s">
        <v>19</v>
      </c>
      <c r="M835">
        <v>1</v>
      </c>
      <c r="N835">
        <v>7.0000000000000007E-2</v>
      </c>
      <c r="O835" t="str">
        <f t="shared" ref="O835:O898" si="27">IF(N835&gt;1,"1+ hours",IF(N835&lt;=0.2,"0–0.2 hours",IF(N835&lt;=0.4,"0.2–0.4 hours",IF(N835&lt;=0.6,"0.4–0.6 hours",IF(N835&lt;=0.8,"0.6–0.8 hours","0.8–1 hour")))))</f>
        <v>0–0.2 hours</v>
      </c>
      <c r="P835" t="s">
        <v>34</v>
      </c>
    </row>
    <row r="836" spans="1:16" x14ac:dyDescent="0.4">
      <c r="A836" t="s">
        <v>877</v>
      </c>
      <c r="B836">
        <v>25</v>
      </c>
      <c r="C836" t="s">
        <v>27</v>
      </c>
      <c r="D836" t="s">
        <v>32</v>
      </c>
      <c r="E836">
        <v>0.64</v>
      </c>
      <c r="F836">
        <v>32</v>
      </c>
      <c r="G836" t="s">
        <v>28</v>
      </c>
      <c r="H836" t="s">
        <v>46</v>
      </c>
      <c r="I836" s="2">
        <v>17.989999999999998</v>
      </c>
      <c r="J836">
        <v>1</v>
      </c>
      <c r="K836" s="2">
        <f t="shared" si="26"/>
        <v>17.989999999999998</v>
      </c>
      <c r="L836" t="s">
        <v>19</v>
      </c>
      <c r="M836">
        <v>4</v>
      </c>
      <c r="N836">
        <v>0.02</v>
      </c>
      <c r="O836" t="str">
        <f t="shared" si="27"/>
        <v>0–0.2 hours</v>
      </c>
      <c r="P836" t="s">
        <v>39</v>
      </c>
    </row>
    <row r="837" spans="1:16" x14ac:dyDescent="0.4">
      <c r="A837" t="s">
        <v>878</v>
      </c>
      <c r="B837">
        <v>58</v>
      </c>
      <c r="C837" t="s">
        <v>27</v>
      </c>
      <c r="D837" t="s">
        <v>22</v>
      </c>
      <c r="E837">
        <v>5.63</v>
      </c>
      <c r="F837">
        <v>4</v>
      </c>
      <c r="G837" t="s">
        <v>17</v>
      </c>
      <c r="H837" t="s">
        <v>18</v>
      </c>
      <c r="I837" s="2">
        <v>13.99</v>
      </c>
      <c r="J837">
        <v>0</v>
      </c>
      <c r="K837" s="2">
        <f t="shared" si="26"/>
        <v>0</v>
      </c>
      <c r="L837" t="s">
        <v>19</v>
      </c>
      <c r="M837">
        <v>5</v>
      </c>
      <c r="N837">
        <v>1.1299999999999999</v>
      </c>
      <c r="O837" t="str">
        <f t="shared" si="27"/>
        <v>1+ hours</v>
      </c>
      <c r="P837" t="s">
        <v>52</v>
      </c>
    </row>
    <row r="838" spans="1:16" x14ac:dyDescent="0.4">
      <c r="A838" t="s">
        <v>879</v>
      </c>
      <c r="B838">
        <v>31</v>
      </c>
      <c r="C838" t="s">
        <v>27</v>
      </c>
      <c r="D838" t="s">
        <v>32</v>
      </c>
      <c r="E838">
        <v>20.73</v>
      </c>
      <c r="F838">
        <v>60</v>
      </c>
      <c r="G838" t="s">
        <v>49</v>
      </c>
      <c r="H838" t="s">
        <v>57</v>
      </c>
      <c r="I838" s="2">
        <v>17.989999999999998</v>
      </c>
      <c r="J838">
        <v>0</v>
      </c>
      <c r="K838" s="2">
        <f t="shared" si="26"/>
        <v>0</v>
      </c>
      <c r="L838" t="s">
        <v>19</v>
      </c>
      <c r="M838">
        <v>4</v>
      </c>
      <c r="N838">
        <v>0.34</v>
      </c>
      <c r="O838" t="str">
        <f t="shared" si="27"/>
        <v>0.2–0.4 hours</v>
      </c>
      <c r="P838" t="s">
        <v>25</v>
      </c>
    </row>
    <row r="839" spans="1:16" x14ac:dyDescent="0.4">
      <c r="A839" t="s">
        <v>880</v>
      </c>
      <c r="B839">
        <v>54</v>
      </c>
      <c r="C839" t="s">
        <v>27</v>
      </c>
      <c r="D839" t="s">
        <v>22</v>
      </c>
      <c r="E839">
        <v>6.26</v>
      </c>
      <c r="F839">
        <v>47</v>
      </c>
      <c r="G839" t="s">
        <v>49</v>
      </c>
      <c r="H839" t="s">
        <v>55</v>
      </c>
      <c r="I839" s="2">
        <v>13.99</v>
      </c>
      <c r="J839">
        <v>1</v>
      </c>
      <c r="K839" s="2">
        <f t="shared" si="26"/>
        <v>13.99</v>
      </c>
      <c r="L839" t="s">
        <v>61</v>
      </c>
      <c r="M839">
        <v>2</v>
      </c>
      <c r="N839">
        <v>0.13</v>
      </c>
      <c r="O839" t="str">
        <f t="shared" si="27"/>
        <v>0–0.2 hours</v>
      </c>
      <c r="P839" t="s">
        <v>30</v>
      </c>
    </row>
    <row r="840" spans="1:16" x14ac:dyDescent="0.4">
      <c r="A840" t="s">
        <v>881</v>
      </c>
      <c r="B840">
        <v>65</v>
      </c>
      <c r="C840" t="s">
        <v>27</v>
      </c>
      <c r="D840" t="s">
        <v>22</v>
      </c>
      <c r="E840">
        <v>34.39</v>
      </c>
      <c r="F840">
        <v>19</v>
      </c>
      <c r="G840" t="s">
        <v>28</v>
      </c>
      <c r="H840" t="s">
        <v>18</v>
      </c>
      <c r="I840" s="2">
        <v>13.99</v>
      </c>
      <c r="J840">
        <v>0</v>
      </c>
      <c r="K840" s="2">
        <f t="shared" si="26"/>
        <v>0</v>
      </c>
      <c r="L840" t="s">
        <v>61</v>
      </c>
      <c r="M840">
        <v>3</v>
      </c>
      <c r="N840">
        <v>1.72</v>
      </c>
      <c r="O840" t="str">
        <f t="shared" si="27"/>
        <v>1+ hours</v>
      </c>
      <c r="P840" t="s">
        <v>39</v>
      </c>
    </row>
    <row r="841" spans="1:16" x14ac:dyDescent="0.4">
      <c r="A841" t="s">
        <v>882</v>
      </c>
      <c r="B841">
        <v>26</v>
      </c>
      <c r="C841" t="s">
        <v>27</v>
      </c>
      <c r="D841" t="s">
        <v>32</v>
      </c>
      <c r="E841">
        <v>7.33</v>
      </c>
      <c r="F841">
        <v>30</v>
      </c>
      <c r="G841" t="s">
        <v>33</v>
      </c>
      <c r="H841" t="s">
        <v>46</v>
      </c>
      <c r="I841" s="2">
        <v>17.989999999999998</v>
      </c>
      <c r="J841">
        <v>0</v>
      </c>
      <c r="K841" s="2">
        <f t="shared" si="26"/>
        <v>0</v>
      </c>
      <c r="L841" t="s">
        <v>19</v>
      </c>
      <c r="M841">
        <v>1</v>
      </c>
      <c r="N841">
        <v>0.24</v>
      </c>
      <c r="O841" t="str">
        <f t="shared" si="27"/>
        <v>0.2–0.4 hours</v>
      </c>
      <c r="P841" t="s">
        <v>25</v>
      </c>
    </row>
    <row r="842" spans="1:16" x14ac:dyDescent="0.4">
      <c r="A842" t="s">
        <v>883</v>
      </c>
      <c r="B842">
        <v>32</v>
      </c>
      <c r="C842" t="s">
        <v>15</v>
      </c>
      <c r="D842" t="s">
        <v>16</v>
      </c>
      <c r="E842">
        <v>1.96</v>
      </c>
      <c r="F842">
        <v>49</v>
      </c>
      <c r="G842" t="s">
        <v>70</v>
      </c>
      <c r="H842" t="s">
        <v>46</v>
      </c>
      <c r="I842" s="2">
        <v>8.99</v>
      </c>
      <c r="J842">
        <v>1</v>
      </c>
      <c r="K842" s="2">
        <f t="shared" si="26"/>
        <v>8.99</v>
      </c>
      <c r="L842" t="s">
        <v>43</v>
      </c>
      <c r="M842">
        <v>4</v>
      </c>
      <c r="N842">
        <v>0.04</v>
      </c>
      <c r="O842" t="str">
        <f t="shared" si="27"/>
        <v>0–0.2 hours</v>
      </c>
      <c r="P842" t="s">
        <v>52</v>
      </c>
    </row>
    <row r="843" spans="1:16" x14ac:dyDescent="0.4">
      <c r="A843" t="s">
        <v>884</v>
      </c>
      <c r="B843">
        <v>32</v>
      </c>
      <c r="C843" t="s">
        <v>41</v>
      </c>
      <c r="D843" t="s">
        <v>16</v>
      </c>
      <c r="E843">
        <v>8.25</v>
      </c>
      <c r="F843">
        <v>59</v>
      </c>
      <c r="G843" t="s">
        <v>17</v>
      </c>
      <c r="H843" t="s">
        <v>18</v>
      </c>
      <c r="I843" s="2">
        <v>8.99</v>
      </c>
      <c r="J843">
        <v>1</v>
      </c>
      <c r="K843" s="2">
        <f t="shared" si="26"/>
        <v>8.99</v>
      </c>
      <c r="L843" t="s">
        <v>43</v>
      </c>
      <c r="M843">
        <v>4</v>
      </c>
      <c r="N843">
        <v>0.14000000000000001</v>
      </c>
      <c r="O843" t="str">
        <f t="shared" si="27"/>
        <v>0–0.2 hours</v>
      </c>
      <c r="P843" t="s">
        <v>20</v>
      </c>
    </row>
    <row r="844" spans="1:16" x14ac:dyDescent="0.4">
      <c r="A844" t="s">
        <v>885</v>
      </c>
      <c r="B844">
        <v>52</v>
      </c>
      <c r="C844" t="s">
        <v>41</v>
      </c>
      <c r="D844" t="s">
        <v>22</v>
      </c>
      <c r="E844">
        <v>28.47</v>
      </c>
      <c r="F844">
        <v>15</v>
      </c>
      <c r="G844" t="s">
        <v>23</v>
      </c>
      <c r="H844" t="s">
        <v>46</v>
      </c>
      <c r="I844" s="2">
        <v>13.99</v>
      </c>
      <c r="J844">
        <v>0</v>
      </c>
      <c r="K844" s="2">
        <f t="shared" si="26"/>
        <v>0</v>
      </c>
      <c r="L844" t="s">
        <v>61</v>
      </c>
      <c r="M844">
        <v>1</v>
      </c>
      <c r="N844">
        <v>1.78</v>
      </c>
      <c r="O844" t="str">
        <f t="shared" si="27"/>
        <v>1+ hours</v>
      </c>
      <c r="P844" t="s">
        <v>30</v>
      </c>
    </row>
    <row r="845" spans="1:16" x14ac:dyDescent="0.4">
      <c r="A845" t="s">
        <v>886</v>
      </c>
      <c r="B845">
        <v>67</v>
      </c>
      <c r="C845" t="s">
        <v>41</v>
      </c>
      <c r="D845" t="s">
        <v>16</v>
      </c>
      <c r="E845">
        <v>1.74</v>
      </c>
      <c r="F845">
        <v>4</v>
      </c>
      <c r="G845" t="s">
        <v>23</v>
      </c>
      <c r="H845" t="s">
        <v>24</v>
      </c>
      <c r="I845" s="2">
        <v>8.99</v>
      </c>
      <c r="J845">
        <v>1</v>
      </c>
      <c r="K845" s="2">
        <f t="shared" si="26"/>
        <v>8.99</v>
      </c>
      <c r="L845" t="s">
        <v>19</v>
      </c>
      <c r="M845">
        <v>2</v>
      </c>
      <c r="N845">
        <v>0.35</v>
      </c>
      <c r="O845" t="str">
        <f t="shared" si="27"/>
        <v>0.2–0.4 hours</v>
      </c>
      <c r="P845" t="s">
        <v>20</v>
      </c>
    </row>
    <row r="846" spans="1:16" x14ac:dyDescent="0.4">
      <c r="A846" t="s">
        <v>887</v>
      </c>
      <c r="B846">
        <v>37</v>
      </c>
      <c r="C846" t="s">
        <v>41</v>
      </c>
      <c r="D846" t="s">
        <v>16</v>
      </c>
      <c r="E846">
        <v>21.82</v>
      </c>
      <c r="F846">
        <v>40</v>
      </c>
      <c r="G846" t="s">
        <v>23</v>
      </c>
      <c r="H846" t="s">
        <v>57</v>
      </c>
      <c r="I846" s="2">
        <v>8.99</v>
      </c>
      <c r="J846">
        <v>0</v>
      </c>
      <c r="K846" s="2">
        <f t="shared" si="26"/>
        <v>0</v>
      </c>
      <c r="L846" t="s">
        <v>61</v>
      </c>
      <c r="M846">
        <v>2</v>
      </c>
      <c r="N846">
        <v>0.53</v>
      </c>
      <c r="O846" t="str">
        <f t="shared" si="27"/>
        <v>0.4–0.6 hours</v>
      </c>
      <c r="P846" t="s">
        <v>30</v>
      </c>
    </row>
    <row r="847" spans="1:16" x14ac:dyDescent="0.4">
      <c r="A847" t="s">
        <v>888</v>
      </c>
      <c r="B847">
        <v>68</v>
      </c>
      <c r="C847" t="s">
        <v>27</v>
      </c>
      <c r="D847" t="s">
        <v>32</v>
      </c>
      <c r="E847">
        <v>13.41</v>
      </c>
      <c r="F847">
        <v>35</v>
      </c>
      <c r="G847" t="s">
        <v>70</v>
      </c>
      <c r="H847" t="s">
        <v>24</v>
      </c>
      <c r="I847" s="2">
        <v>17.989999999999998</v>
      </c>
      <c r="J847">
        <v>1</v>
      </c>
      <c r="K847" s="2">
        <f t="shared" si="26"/>
        <v>17.989999999999998</v>
      </c>
      <c r="L847" t="s">
        <v>29</v>
      </c>
      <c r="M847">
        <v>1</v>
      </c>
      <c r="N847">
        <v>0.37</v>
      </c>
      <c r="O847" t="str">
        <f t="shared" si="27"/>
        <v>0.2–0.4 hours</v>
      </c>
      <c r="P847" t="s">
        <v>20</v>
      </c>
    </row>
    <row r="848" spans="1:16" x14ac:dyDescent="0.4">
      <c r="A848" t="s">
        <v>889</v>
      </c>
      <c r="B848">
        <v>38</v>
      </c>
      <c r="C848" t="s">
        <v>15</v>
      </c>
      <c r="D848" t="s">
        <v>22</v>
      </c>
      <c r="E848">
        <v>3.39</v>
      </c>
      <c r="F848">
        <v>35</v>
      </c>
      <c r="G848" t="s">
        <v>49</v>
      </c>
      <c r="H848" t="s">
        <v>55</v>
      </c>
      <c r="I848" s="2">
        <v>13.99</v>
      </c>
      <c r="J848">
        <v>1</v>
      </c>
      <c r="K848" s="2">
        <f t="shared" si="26"/>
        <v>13.99</v>
      </c>
      <c r="L848" t="s">
        <v>37</v>
      </c>
      <c r="M848">
        <v>1</v>
      </c>
      <c r="N848">
        <v>0.09</v>
      </c>
      <c r="O848" t="str">
        <f t="shared" si="27"/>
        <v>0–0.2 hours</v>
      </c>
      <c r="P848" t="s">
        <v>30</v>
      </c>
    </row>
    <row r="849" spans="1:16" x14ac:dyDescent="0.4">
      <c r="A849" t="s">
        <v>890</v>
      </c>
      <c r="B849">
        <v>61</v>
      </c>
      <c r="C849" t="s">
        <v>27</v>
      </c>
      <c r="D849" t="s">
        <v>32</v>
      </c>
      <c r="E849">
        <v>54.86</v>
      </c>
      <c r="F849">
        <v>27</v>
      </c>
      <c r="G849" t="s">
        <v>17</v>
      </c>
      <c r="H849" t="s">
        <v>24</v>
      </c>
      <c r="I849" s="2">
        <v>17.989999999999998</v>
      </c>
      <c r="J849">
        <v>0</v>
      </c>
      <c r="K849" s="2">
        <f t="shared" si="26"/>
        <v>0</v>
      </c>
      <c r="L849" t="s">
        <v>19</v>
      </c>
      <c r="M849">
        <v>2</v>
      </c>
      <c r="N849">
        <v>1.96</v>
      </c>
      <c r="O849" t="str">
        <f t="shared" si="27"/>
        <v>1+ hours</v>
      </c>
      <c r="P849" t="s">
        <v>52</v>
      </c>
    </row>
    <row r="850" spans="1:16" x14ac:dyDescent="0.4">
      <c r="A850" t="s">
        <v>891</v>
      </c>
      <c r="B850">
        <v>40</v>
      </c>
      <c r="C850" t="s">
        <v>27</v>
      </c>
      <c r="D850" t="s">
        <v>16</v>
      </c>
      <c r="E850">
        <v>23.97</v>
      </c>
      <c r="F850">
        <v>48</v>
      </c>
      <c r="G850" t="s">
        <v>49</v>
      </c>
      <c r="H850" t="s">
        <v>55</v>
      </c>
      <c r="I850" s="2">
        <v>8.99</v>
      </c>
      <c r="J850">
        <v>0</v>
      </c>
      <c r="K850" s="2">
        <f t="shared" si="26"/>
        <v>0</v>
      </c>
      <c r="L850" t="s">
        <v>37</v>
      </c>
      <c r="M850">
        <v>5</v>
      </c>
      <c r="N850">
        <v>0.49</v>
      </c>
      <c r="O850" t="str">
        <f t="shared" si="27"/>
        <v>0.4–0.6 hours</v>
      </c>
      <c r="P850" t="s">
        <v>20</v>
      </c>
    </row>
    <row r="851" spans="1:16" x14ac:dyDescent="0.4">
      <c r="A851" t="s">
        <v>892</v>
      </c>
      <c r="B851">
        <v>56</v>
      </c>
      <c r="C851" t="s">
        <v>41</v>
      </c>
      <c r="D851" t="s">
        <v>16</v>
      </c>
      <c r="E851">
        <v>3.29</v>
      </c>
      <c r="F851">
        <v>58</v>
      </c>
      <c r="G851" t="s">
        <v>23</v>
      </c>
      <c r="H851" t="s">
        <v>24</v>
      </c>
      <c r="I851" s="2">
        <v>8.99</v>
      </c>
      <c r="J851">
        <v>1</v>
      </c>
      <c r="K851" s="2">
        <f t="shared" si="26"/>
        <v>8.99</v>
      </c>
      <c r="L851" t="s">
        <v>37</v>
      </c>
      <c r="M851">
        <v>1</v>
      </c>
      <c r="N851">
        <v>0.06</v>
      </c>
      <c r="O851" t="str">
        <f t="shared" si="27"/>
        <v>0–0.2 hours</v>
      </c>
      <c r="P851" t="s">
        <v>20</v>
      </c>
    </row>
    <row r="852" spans="1:16" x14ac:dyDescent="0.4">
      <c r="A852" t="s">
        <v>893</v>
      </c>
      <c r="B852">
        <v>68</v>
      </c>
      <c r="C852" t="s">
        <v>15</v>
      </c>
      <c r="D852" t="s">
        <v>16</v>
      </c>
      <c r="E852">
        <v>2.2799999999999998</v>
      </c>
      <c r="F852">
        <v>60</v>
      </c>
      <c r="G852" t="s">
        <v>70</v>
      </c>
      <c r="H852" t="s">
        <v>57</v>
      </c>
      <c r="I852" s="2">
        <v>8.99</v>
      </c>
      <c r="J852">
        <v>1</v>
      </c>
      <c r="K852" s="2">
        <f t="shared" si="26"/>
        <v>8.99</v>
      </c>
      <c r="L852" t="s">
        <v>37</v>
      </c>
      <c r="M852">
        <v>2</v>
      </c>
      <c r="N852">
        <v>0.04</v>
      </c>
      <c r="O852" t="str">
        <f t="shared" si="27"/>
        <v>0–0.2 hours</v>
      </c>
      <c r="P852" t="s">
        <v>52</v>
      </c>
    </row>
    <row r="853" spans="1:16" x14ac:dyDescent="0.4">
      <c r="A853" t="s">
        <v>894</v>
      </c>
      <c r="B853">
        <v>54</v>
      </c>
      <c r="C853" t="s">
        <v>15</v>
      </c>
      <c r="D853" t="s">
        <v>22</v>
      </c>
      <c r="E853">
        <v>0.37</v>
      </c>
      <c r="F853">
        <v>39</v>
      </c>
      <c r="G853" t="s">
        <v>70</v>
      </c>
      <c r="H853" t="s">
        <v>57</v>
      </c>
      <c r="I853" s="2">
        <v>13.99</v>
      </c>
      <c r="J853">
        <v>1</v>
      </c>
      <c r="K853" s="2">
        <f t="shared" si="26"/>
        <v>13.99</v>
      </c>
      <c r="L853" t="s">
        <v>61</v>
      </c>
      <c r="M853">
        <v>4</v>
      </c>
      <c r="N853">
        <v>0.01</v>
      </c>
      <c r="O853" t="str">
        <f t="shared" si="27"/>
        <v>0–0.2 hours</v>
      </c>
      <c r="P853" t="s">
        <v>25</v>
      </c>
    </row>
    <row r="854" spans="1:16" x14ac:dyDescent="0.4">
      <c r="A854" t="s">
        <v>895</v>
      </c>
      <c r="B854">
        <v>32</v>
      </c>
      <c r="C854" t="s">
        <v>15</v>
      </c>
      <c r="D854" t="s">
        <v>32</v>
      </c>
      <c r="E854">
        <v>14</v>
      </c>
      <c r="F854">
        <v>44</v>
      </c>
      <c r="G854" t="s">
        <v>23</v>
      </c>
      <c r="H854" t="s">
        <v>46</v>
      </c>
      <c r="I854" s="2">
        <v>17.989999999999998</v>
      </c>
      <c r="J854">
        <v>1</v>
      </c>
      <c r="K854" s="2">
        <f t="shared" si="26"/>
        <v>17.989999999999998</v>
      </c>
      <c r="L854" t="s">
        <v>37</v>
      </c>
      <c r="M854">
        <v>1</v>
      </c>
      <c r="N854">
        <v>0.31</v>
      </c>
      <c r="O854" t="str">
        <f t="shared" si="27"/>
        <v>0.2–0.4 hours</v>
      </c>
      <c r="P854" t="s">
        <v>25</v>
      </c>
    </row>
    <row r="855" spans="1:16" x14ac:dyDescent="0.4">
      <c r="A855" t="s">
        <v>896</v>
      </c>
      <c r="B855">
        <v>59</v>
      </c>
      <c r="C855" t="s">
        <v>27</v>
      </c>
      <c r="D855" t="s">
        <v>22</v>
      </c>
      <c r="E855">
        <v>5.26</v>
      </c>
      <c r="F855">
        <v>5</v>
      </c>
      <c r="G855" t="s">
        <v>17</v>
      </c>
      <c r="H855" t="s">
        <v>46</v>
      </c>
      <c r="I855" s="2">
        <v>13.99</v>
      </c>
      <c r="J855">
        <v>0</v>
      </c>
      <c r="K855" s="2">
        <f t="shared" si="26"/>
        <v>0</v>
      </c>
      <c r="L855" t="s">
        <v>29</v>
      </c>
      <c r="M855">
        <v>1</v>
      </c>
      <c r="N855">
        <v>0.88</v>
      </c>
      <c r="O855" t="str">
        <f t="shared" si="27"/>
        <v>0.8–1 hour</v>
      </c>
      <c r="P855" t="s">
        <v>52</v>
      </c>
    </row>
    <row r="856" spans="1:16" x14ac:dyDescent="0.4">
      <c r="A856" t="s">
        <v>897</v>
      </c>
      <c r="B856">
        <v>24</v>
      </c>
      <c r="C856" t="s">
        <v>15</v>
      </c>
      <c r="D856" t="s">
        <v>22</v>
      </c>
      <c r="E856">
        <v>18.29</v>
      </c>
      <c r="F856">
        <v>52</v>
      </c>
      <c r="G856" t="s">
        <v>70</v>
      </c>
      <c r="H856" t="s">
        <v>57</v>
      </c>
      <c r="I856" s="2">
        <v>13.99</v>
      </c>
      <c r="J856">
        <v>0</v>
      </c>
      <c r="K856" s="2">
        <f t="shared" si="26"/>
        <v>0</v>
      </c>
      <c r="L856" t="s">
        <v>43</v>
      </c>
      <c r="M856">
        <v>4</v>
      </c>
      <c r="N856">
        <v>0.35</v>
      </c>
      <c r="O856" t="str">
        <f t="shared" si="27"/>
        <v>0.2–0.4 hours</v>
      </c>
      <c r="P856" t="s">
        <v>47</v>
      </c>
    </row>
    <row r="857" spans="1:16" x14ac:dyDescent="0.4">
      <c r="A857" t="s">
        <v>898</v>
      </c>
      <c r="B857">
        <v>21</v>
      </c>
      <c r="C857" t="s">
        <v>27</v>
      </c>
      <c r="D857" t="s">
        <v>22</v>
      </c>
      <c r="E857">
        <v>0.74</v>
      </c>
      <c r="F857">
        <v>16</v>
      </c>
      <c r="G857" t="s">
        <v>28</v>
      </c>
      <c r="H857" t="s">
        <v>55</v>
      </c>
      <c r="I857" s="2">
        <v>13.99</v>
      </c>
      <c r="J857">
        <v>0</v>
      </c>
      <c r="K857" s="2">
        <f t="shared" si="26"/>
        <v>0</v>
      </c>
      <c r="L857" t="s">
        <v>61</v>
      </c>
      <c r="M857">
        <v>5</v>
      </c>
      <c r="N857">
        <v>0.04</v>
      </c>
      <c r="O857" t="str">
        <f t="shared" si="27"/>
        <v>0–0.2 hours</v>
      </c>
      <c r="P857" t="s">
        <v>39</v>
      </c>
    </row>
    <row r="858" spans="1:16" x14ac:dyDescent="0.4">
      <c r="A858" t="s">
        <v>899</v>
      </c>
      <c r="B858">
        <v>66</v>
      </c>
      <c r="C858" t="s">
        <v>15</v>
      </c>
      <c r="D858" t="s">
        <v>22</v>
      </c>
      <c r="E858">
        <v>29.93</v>
      </c>
      <c r="F858">
        <v>46</v>
      </c>
      <c r="G858" t="s">
        <v>17</v>
      </c>
      <c r="H858" t="s">
        <v>24</v>
      </c>
      <c r="I858" s="2">
        <v>13.99</v>
      </c>
      <c r="J858">
        <v>0</v>
      </c>
      <c r="K858" s="2">
        <f t="shared" si="26"/>
        <v>0</v>
      </c>
      <c r="L858" t="s">
        <v>61</v>
      </c>
      <c r="M858">
        <v>5</v>
      </c>
      <c r="N858">
        <v>0.64</v>
      </c>
      <c r="O858" t="str">
        <f t="shared" si="27"/>
        <v>0.6–0.8 hours</v>
      </c>
      <c r="P858" t="s">
        <v>25</v>
      </c>
    </row>
    <row r="859" spans="1:16" x14ac:dyDescent="0.4">
      <c r="A859" t="s">
        <v>900</v>
      </c>
      <c r="B859">
        <v>26</v>
      </c>
      <c r="C859" t="s">
        <v>15</v>
      </c>
      <c r="D859" t="s">
        <v>32</v>
      </c>
      <c r="E859">
        <v>3.77</v>
      </c>
      <c r="F859">
        <v>52</v>
      </c>
      <c r="G859" t="s">
        <v>17</v>
      </c>
      <c r="H859" t="s">
        <v>18</v>
      </c>
      <c r="I859" s="2">
        <v>17.989999999999998</v>
      </c>
      <c r="J859">
        <v>1</v>
      </c>
      <c r="K859" s="2">
        <f t="shared" si="26"/>
        <v>17.989999999999998</v>
      </c>
      <c r="L859" t="s">
        <v>29</v>
      </c>
      <c r="M859">
        <v>4</v>
      </c>
      <c r="N859">
        <v>7.0000000000000007E-2</v>
      </c>
      <c r="O859" t="str">
        <f t="shared" si="27"/>
        <v>0–0.2 hours</v>
      </c>
      <c r="P859" t="s">
        <v>47</v>
      </c>
    </row>
    <row r="860" spans="1:16" x14ac:dyDescent="0.4">
      <c r="A860" t="s">
        <v>901</v>
      </c>
      <c r="B860">
        <v>51</v>
      </c>
      <c r="C860" t="s">
        <v>15</v>
      </c>
      <c r="D860" t="s">
        <v>16</v>
      </c>
      <c r="E860">
        <v>15.14</v>
      </c>
      <c r="F860">
        <v>17</v>
      </c>
      <c r="G860" t="s">
        <v>70</v>
      </c>
      <c r="H860" t="s">
        <v>55</v>
      </c>
      <c r="I860" s="2">
        <v>8.99</v>
      </c>
      <c r="J860">
        <v>0</v>
      </c>
      <c r="K860" s="2">
        <f t="shared" si="26"/>
        <v>0</v>
      </c>
      <c r="L860" t="s">
        <v>19</v>
      </c>
      <c r="M860">
        <v>4</v>
      </c>
      <c r="N860">
        <v>0.84</v>
      </c>
      <c r="O860" t="str">
        <f t="shared" si="27"/>
        <v>0.8–1 hour</v>
      </c>
      <c r="P860" t="s">
        <v>52</v>
      </c>
    </row>
    <row r="861" spans="1:16" x14ac:dyDescent="0.4">
      <c r="A861" t="s">
        <v>902</v>
      </c>
      <c r="B861">
        <v>18</v>
      </c>
      <c r="C861" t="s">
        <v>15</v>
      </c>
      <c r="D861" t="s">
        <v>16</v>
      </c>
      <c r="E861">
        <v>0.67</v>
      </c>
      <c r="F861">
        <v>11</v>
      </c>
      <c r="G861" t="s">
        <v>28</v>
      </c>
      <c r="H861" t="s">
        <v>46</v>
      </c>
      <c r="I861" s="2">
        <v>8.99</v>
      </c>
      <c r="J861">
        <v>1</v>
      </c>
      <c r="K861" s="2">
        <f t="shared" si="26"/>
        <v>8.99</v>
      </c>
      <c r="L861" t="s">
        <v>19</v>
      </c>
      <c r="M861">
        <v>4</v>
      </c>
      <c r="N861">
        <v>0.06</v>
      </c>
      <c r="O861" t="str">
        <f t="shared" si="27"/>
        <v>0–0.2 hours</v>
      </c>
      <c r="P861" t="s">
        <v>52</v>
      </c>
    </row>
    <row r="862" spans="1:16" x14ac:dyDescent="0.4">
      <c r="A862" t="s">
        <v>903</v>
      </c>
      <c r="B862">
        <v>29</v>
      </c>
      <c r="C862" t="s">
        <v>41</v>
      </c>
      <c r="D862" t="s">
        <v>32</v>
      </c>
      <c r="E862">
        <v>9.2200000000000006</v>
      </c>
      <c r="F862">
        <v>6</v>
      </c>
      <c r="G862" t="s">
        <v>49</v>
      </c>
      <c r="H862" t="s">
        <v>46</v>
      </c>
      <c r="I862" s="2">
        <v>17.989999999999998</v>
      </c>
      <c r="J862">
        <v>0</v>
      </c>
      <c r="K862" s="2">
        <f t="shared" si="26"/>
        <v>0</v>
      </c>
      <c r="L862" t="s">
        <v>37</v>
      </c>
      <c r="M862">
        <v>4</v>
      </c>
      <c r="N862">
        <v>1.32</v>
      </c>
      <c r="O862" t="str">
        <f t="shared" si="27"/>
        <v>1+ hours</v>
      </c>
      <c r="P862" t="s">
        <v>30</v>
      </c>
    </row>
    <row r="863" spans="1:16" x14ac:dyDescent="0.4">
      <c r="A863" t="s">
        <v>904</v>
      </c>
      <c r="B863">
        <v>58</v>
      </c>
      <c r="C863" t="s">
        <v>27</v>
      </c>
      <c r="D863" t="s">
        <v>32</v>
      </c>
      <c r="E863">
        <v>4.41</v>
      </c>
      <c r="F863">
        <v>39</v>
      </c>
      <c r="G863" t="s">
        <v>33</v>
      </c>
      <c r="H863" t="s">
        <v>46</v>
      </c>
      <c r="I863" s="2">
        <v>17.989999999999998</v>
      </c>
      <c r="J863">
        <v>1</v>
      </c>
      <c r="K863" s="2">
        <f t="shared" si="26"/>
        <v>17.989999999999998</v>
      </c>
      <c r="L863" t="s">
        <v>43</v>
      </c>
      <c r="M863">
        <v>5</v>
      </c>
      <c r="N863">
        <v>0.11</v>
      </c>
      <c r="O863" t="str">
        <f t="shared" si="27"/>
        <v>0–0.2 hours</v>
      </c>
      <c r="P863" t="s">
        <v>52</v>
      </c>
    </row>
    <row r="864" spans="1:16" x14ac:dyDescent="0.4">
      <c r="A864" s="1" t="s">
        <v>905</v>
      </c>
      <c r="B864">
        <v>54</v>
      </c>
      <c r="C864" t="s">
        <v>41</v>
      </c>
      <c r="D864" t="s">
        <v>22</v>
      </c>
      <c r="E864">
        <v>3.47</v>
      </c>
      <c r="F864">
        <v>31</v>
      </c>
      <c r="G864" t="s">
        <v>23</v>
      </c>
      <c r="H864" t="s">
        <v>46</v>
      </c>
      <c r="I864" s="2">
        <v>13.99</v>
      </c>
      <c r="J864">
        <v>1</v>
      </c>
      <c r="K864" s="2">
        <f t="shared" si="26"/>
        <v>13.99</v>
      </c>
      <c r="L864" t="s">
        <v>29</v>
      </c>
      <c r="M864">
        <v>5</v>
      </c>
      <c r="N864">
        <v>0.11</v>
      </c>
      <c r="O864" t="str">
        <f t="shared" si="27"/>
        <v>0–0.2 hours</v>
      </c>
      <c r="P864" t="s">
        <v>25</v>
      </c>
    </row>
    <row r="865" spans="1:16" x14ac:dyDescent="0.4">
      <c r="A865" t="s">
        <v>906</v>
      </c>
      <c r="B865">
        <v>61</v>
      </c>
      <c r="C865" t="s">
        <v>27</v>
      </c>
      <c r="D865" t="s">
        <v>16</v>
      </c>
      <c r="E865">
        <v>6.52</v>
      </c>
      <c r="F865">
        <v>26</v>
      </c>
      <c r="G865" t="s">
        <v>17</v>
      </c>
      <c r="H865" t="s">
        <v>18</v>
      </c>
      <c r="I865" s="2">
        <v>8.99</v>
      </c>
      <c r="J865">
        <v>0</v>
      </c>
      <c r="K865" s="2">
        <f t="shared" si="26"/>
        <v>0</v>
      </c>
      <c r="L865" t="s">
        <v>61</v>
      </c>
      <c r="M865">
        <v>4</v>
      </c>
      <c r="N865">
        <v>0.24</v>
      </c>
      <c r="O865" t="str">
        <f t="shared" si="27"/>
        <v>0.2–0.4 hours</v>
      </c>
      <c r="P865" t="s">
        <v>34</v>
      </c>
    </row>
    <row r="866" spans="1:16" x14ac:dyDescent="0.4">
      <c r="A866" t="s">
        <v>907</v>
      </c>
      <c r="B866">
        <v>24</v>
      </c>
      <c r="C866" t="s">
        <v>15</v>
      </c>
      <c r="D866" t="s">
        <v>32</v>
      </c>
      <c r="E866">
        <v>18.309999999999999</v>
      </c>
      <c r="F866">
        <v>45</v>
      </c>
      <c r="G866" t="s">
        <v>70</v>
      </c>
      <c r="H866" t="s">
        <v>46</v>
      </c>
      <c r="I866" s="2">
        <v>17.989999999999998</v>
      </c>
      <c r="J866">
        <v>1</v>
      </c>
      <c r="K866" s="2">
        <f t="shared" si="26"/>
        <v>17.989999999999998</v>
      </c>
      <c r="L866" t="s">
        <v>37</v>
      </c>
      <c r="M866">
        <v>1</v>
      </c>
      <c r="N866">
        <v>0.4</v>
      </c>
      <c r="O866" t="str">
        <f t="shared" si="27"/>
        <v>0.2–0.4 hours</v>
      </c>
      <c r="P866" t="s">
        <v>25</v>
      </c>
    </row>
    <row r="867" spans="1:16" x14ac:dyDescent="0.4">
      <c r="A867" t="s">
        <v>908</v>
      </c>
      <c r="B867">
        <v>57</v>
      </c>
      <c r="C867" t="s">
        <v>41</v>
      </c>
      <c r="D867" t="s">
        <v>32</v>
      </c>
      <c r="E867">
        <v>4.08</v>
      </c>
      <c r="F867">
        <v>27</v>
      </c>
      <c r="G867" t="s">
        <v>23</v>
      </c>
      <c r="H867" t="s">
        <v>18</v>
      </c>
      <c r="I867" s="2">
        <v>17.989999999999998</v>
      </c>
      <c r="J867">
        <v>1</v>
      </c>
      <c r="K867" s="2">
        <f t="shared" si="26"/>
        <v>17.989999999999998</v>
      </c>
      <c r="L867" t="s">
        <v>61</v>
      </c>
      <c r="M867">
        <v>1</v>
      </c>
      <c r="N867">
        <v>0.15</v>
      </c>
      <c r="O867" t="str">
        <f t="shared" si="27"/>
        <v>0–0.2 hours</v>
      </c>
      <c r="P867" t="s">
        <v>34</v>
      </c>
    </row>
    <row r="868" spans="1:16" x14ac:dyDescent="0.4">
      <c r="A868" t="s">
        <v>909</v>
      </c>
      <c r="B868">
        <v>41</v>
      </c>
      <c r="C868" t="s">
        <v>27</v>
      </c>
      <c r="D868" t="s">
        <v>32</v>
      </c>
      <c r="E868">
        <v>0.43</v>
      </c>
      <c r="F868">
        <v>2</v>
      </c>
      <c r="G868" t="s">
        <v>33</v>
      </c>
      <c r="H868" t="s">
        <v>24</v>
      </c>
      <c r="I868" s="2">
        <v>17.989999999999998</v>
      </c>
      <c r="J868">
        <v>0</v>
      </c>
      <c r="K868" s="2">
        <f t="shared" si="26"/>
        <v>0</v>
      </c>
      <c r="L868" t="s">
        <v>19</v>
      </c>
      <c r="M868">
        <v>5</v>
      </c>
      <c r="N868">
        <v>0.14000000000000001</v>
      </c>
      <c r="O868" t="str">
        <f t="shared" si="27"/>
        <v>0–0.2 hours</v>
      </c>
      <c r="P868" t="s">
        <v>34</v>
      </c>
    </row>
    <row r="869" spans="1:16" x14ac:dyDescent="0.4">
      <c r="A869" t="s">
        <v>910</v>
      </c>
      <c r="B869">
        <v>28</v>
      </c>
      <c r="C869" t="s">
        <v>27</v>
      </c>
      <c r="D869" t="s">
        <v>16</v>
      </c>
      <c r="E869">
        <v>46.68</v>
      </c>
      <c r="F869">
        <v>10</v>
      </c>
      <c r="G869" t="s">
        <v>28</v>
      </c>
      <c r="H869" t="s">
        <v>55</v>
      </c>
      <c r="I869" s="2">
        <v>8.99</v>
      </c>
      <c r="J869">
        <v>0</v>
      </c>
      <c r="K869" s="2">
        <f t="shared" si="26"/>
        <v>0</v>
      </c>
      <c r="L869" t="s">
        <v>43</v>
      </c>
      <c r="M869">
        <v>1</v>
      </c>
      <c r="N869">
        <v>4.24</v>
      </c>
      <c r="O869" t="str">
        <f t="shared" si="27"/>
        <v>1+ hours</v>
      </c>
      <c r="P869" t="s">
        <v>25</v>
      </c>
    </row>
    <row r="870" spans="1:16" x14ac:dyDescent="0.4">
      <c r="A870" t="s">
        <v>911</v>
      </c>
      <c r="B870">
        <v>64</v>
      </c>
      <c r="C870" t="s">
        <v>15</v>
      </c>
      <c r="D870" t="s">
        <v>16</v>
      </c>
      <c r="E870">
        <v>3.84</v>
      </c>
      <c r="F870">
        <v>38</v>
      </c>
      <c r="G870" t="s">
        <v>17</v>
      </c>
      <c r="H870" t="s">
        <v>57</v>
      </c>
      <c r="I870" s="2">
        <v>8.99</v>
      </c>
      <c r="J870">
        <v>1</v>
      </c>
      <c r="K870" s="2">
        <f t="shared" si="26"/>
        <v>8.99</v>
      </c>
      <c r="L870" t="s">
        <v>61</v>
      </c>
      <c r="M870">
        <v>1</v>
      </c>
      <c r="N870">
        <v>0.1</v>
      </c>
      <c r="O870" t="str">
        <f t="shared" si="27"/>
        <v>0–0.2 hours</v>
      </c>
      <c r="P870" t="s">
        <v>52</v>
      </c>
    </row>
    <row r="871" spans="1:16" x14ac:dyDescent="0.4">
      <c r="A871" t="s">
        <v>912</v>
      </c>
      <c r="B871">
        <v>26</v>
      </c>
      <c r="C871" t="s">
        <v>41</v>
      </c>
      <c r="D871" t="s">
        <v>16</v>
      </c>
      <c r="E871">
        <v>30.34</v>
      </c>
      <c r="F871">
        <v>42</v>
      </c>
      <c r="G871" t="s">
        <v>28</v>
      </c>
      <c r="H871" t="s">
        <v>46</v>
      </c>
      <c r="I871" s="2">
        <v>8.99</v>
      </c>
      <c r="J871">
        <v>0</v>
      </c>
      <c r="K871" s="2">
        <f t="shared" si="26"/>
        <v>0</v>
      </c>
      <c r="L871" t="s">
        <v>61</v>
      </c>
      <c r="M871">
        <v>5</v>
      </c>
      <c r="N871">
        <v>0.71</v>
      </c>
      <c r="O871" t="str">
        <f t="shared" si="27"/>
        <v>0.6–0.8 hours</v>
      </c>
      <c r="P871" t="s">
        <v>34</v>
      </c>
    </row>
    <row r="872" spans="1:16" x14ac:dyDescent="0.4">
      <c r="A872" t="s">
        <v>913</v>
      </c>
      <c r="B872">
        <v>30</v>
      </c>
      <c r="C872" t="s">
        <v>27</v>
      </c>
      <c r="D872" t="s">
        <v>22</v>
      </c>
      <c r="E872">
        <v>8.01</v>
      </c>
      <c r="F872">
        <v>40</v>
      </c>
      <c r="G872" t="s">
        <v>28</v>
      </c>
      <c r="H872" t="s">
        <v>46</v>
      </c>
      <c r="I872" s="2">
        <v>13.99</v>
      </c>
      <c r="J872">
        <v>1</v>
      </c>
      <c r="K872" s="2">
        <f t="shared" si="26"/>
        <v>13.99</v>
      </c>
      <c r="L872" t="s">
        <v>29</v>
      </c>
      <c r="M872">
        <v>2</v>
      </c>
      <c r="N872">
        <v>0.2</v>
      </c>
      <c r="O872" t="str">
        <f t="shared" si="27"/>
        <v>0–0.2 hours</v>
      </c>
      <c r="P872" t="s">
        <v>39</v>
      </c>
    </row>
    <row r="873" spans="1:16" x14ac:dyDescent="0.4">
      <c r="A873" t="s">
        <v>914</v>
      </c>
      <c r="B873">
        <v>18</v>
      </c>
      <c r="C873" t="s">
        <v>27</v>
      </c>
      <c r="D873" t="s">
        <v>16</v>
      </c>
      <c r="E873">
        <v>20.25</v>
      </c>
      <c r="F873">
        <v>9</v>
      </c>
      <c r="G873" t="s">
        <v>49</v>
      </c>
      <c r="H873" t="s">
        <v>57</v>
      </c>
      <c r="I873" s="2">
        <v>8.99</v>
      </c>
      <c r="J873">
        <v>0</v>
      </c>
      <c r="K873" s="2">
        <f t="shared" si="26"/>
        <v>0</v>
      </c>
      <c r="L873" t="s">
        <v>19</v>
      </c>
      <c r="M873">
        <v>3</v>
      </c>
      <c r="N873">
        <v>2.02</v>
      </c>
      <c r="O873" t="str">
        <f t="shared" si="27"/>
        <v>1+ hours</v>
      </c>
      <c r="P873" t="s">
        <v>39</v>
      </c>
    </row>
    <row r="874" spans="1:16" x14ac:dyDescent="0.4">
      <c r="A874" t="s">
        <v>915</v>
      </c>
      <c r="B874">
        <v>20</v>
      </c>
      <c r="C874" t="s">
        <v>15</v>
      </c>
      <c r="D874" t="s">
        <v>22</v>
      </c>
      <c r="E874">
        <v>18.309999999999999</v>
      </c>
      <c r="F874">
        <v>41</v>
      </c>
      <c r="G874" t="s">
        <v>33</v>
      </c>
      <c r="H874" t="s">
        <v>46</v>
      </c>
      <c r="I874" s="2">
        <v>13.99</v>
      </c>
      <c r="J874">
        <v>1</v>
      </c>
      <c r="K874" s="2">
        <f t="shared" si="26"/>
        <v>13.99</v>
      </c>
      <c r="L874" t="s">
        <v>61</v>
      </c>
      <c r="M874">
        <v>1</v>
      </c>
      <c r="N874">
        <v>0.44</v>
      </c>
      <c r="O874" t="str">
        <f t="shared" si="27"/>
        <v>0.4–0.6 hours</v>
      </c>
      <c r="P874" t="s">
        <v>39</v>
      </c>
    </row>
    <row r="875" spans="1:16" x14ac:dyDescent="0.4">
      <c r="A875" t="s">
        <v>916</v>
      </c>
      <c r="B875">
        <v>61</v>
      </c>
      <c r="C875" t="s">
        <v>41</v>
      </c>
      <c r="D875" t="s">
        <v>22</v>
      </c>
      <c r="E875">
        <v>6.79</v>
      </c>
      <c r="F875">
        <v>16</v>
      </c>
      <c r="G875" t="s">
        <v>28</v>
      </c>
      <c r="H875" t="s">
        <v>55</v>
      </c>
      <c r="I875" s="2">
        <v>13.99</v>
      </c>
      <c r="J875">
        <v>0</v>
      </c>
      <c r="K875" s="2">
        <f t="shared" si="26"/>
        <v>0</v>
      </c>
      <c r="L875" t="s">
        <v>19</v>
      </c>
      <c r="M875">
        <v>5</v>
      </c>
      <c r="N875">
        <v>0.4</v>
      </c>
      <c r="O875" t="str">
        <f t="shared" si="27"/>
        <v>0.2–0.4 hours</v>
      </c>
      <c r="P875" t="s">
        <v>47</v>
      </c>
    </row>
    <row r="876" spans="1:16" x14ac:dyDescent="0.4">
      <c r="A876" t="s">
        <v>917</v>
      </c>
      <c r="B876">
        <v>68</v>
      </c>
      <c r="C876" t="s">
        <v>15</v>
      </c>
      <c r="D876" t="s">
        <v>16</v>
      </c>
      <c r="E876">
        <v>2.48</v>
      </c>
      <c r="F876">
        <v>0</v>
      </c>
      <c r="G876" t="s">
        <v>28</v>
      </c>
      <c r="H876" t="s">
        <v>57</v>
      </c>
      <c r="I876" s="2">
        <v>8.99</v>
      </c>
      <c r="J876">
        <v>0</v>
      </c>
      <c r="K876" s="2">
        <f t="shared" si="26"/>
        <v>0</v>
      </c>
      <c r="L876" t="s">
        <v>61</v>
      </c>
      <c r="M876">
        <v>3</v>
      </c>
      <c r="N876">
        <v>2.48</v>
      </c>
      <c r="O876" t="str">
        <f t="shared" si="27"/>
        <v>1+ hours</v>
      </c>
      <c r="P876" t="s">
        <v>34</v>
      </c>
    </row>
    <row r="877" spans="1:16" x14ac:dyDescent="0.4">
      <c r="A877" t="s">
        <v>918</v>
      </c>
      <c r="B877">
        <v>59</v>
      </c>
      <c r="C877" t="s">
        <v>15</v>
      </c>
      <c r="D877" t="s">
        <v>32</v>
      </c>
      <c r="E877">
        <v>1.1200000000000001</v>
      </c>
      <c r="F877">
        <v>13</v>
      </c>
      <c r="G877" t="s">
        <v>70</v>
      </c>
      <c r="H877" t="s">
        <v>57</v>
      </c>
      <c r="I877" s="2">
        <v>17.989999999999998</v>
      </c>
      <c r="J877">
        <v>1</v>
      </c>
      <c r="K877" s="2">
        <f t="shared" si="26"/>
        <v>17.989999999999998</v>
      </c>
      <c r="L877" t="s">
        <v>29</v>
      </c>
      <c r="M877">
        <v>2</v>
      </c>
      <c r="N877">
        <v>0.08</v>
      </c>
      <c r="O877" t="str">
        <f t="shared" si="27"/>
        <v>0–0.2 hours</v>
      </c>
      <c r="P877" t="s">
        <v>30</v>
      </c>
    </row>
    <row r="878" spans="1:16" x14ac:dyDescent="0.4">
      <c r="A878" t="s">
        <v>919</v>
      </c>
      <c r="B878">
        <v>48</v>
      </c>
      <c r="C878" t="s">
        <v>27</v>
      </c>
      <c r="D878" t="s">
        <v>32</v>
      </c>
      <c r="E878">
        <v>9.65</v>
      </c>
      <c r="F878">
        <v>60</v>
      </c>
      <c r="G878" t="s">
        <v>33</v>
      </c>
      <c r="H878" t="s">
        <v>46</v>
      </c>
      <c r="I878" s="2">
        <v>17.989999999999998</v>
      </c>
      <c r="J878">
        <v>1</v>
      </c>
      <c r="K878" s="2">
        <f t="shared" si="26"/>
        <v>17.989999999999998</v>
      </c>
      <c r="L878" t="s">
        <v>19</v>
      </c>
      <c r="M878">
        <v>4</v>
      </c>
      <c r="N878">
        <v>0.16</v>
      </c>
      <c r="O878" t="str">
        <f t="shared" si="27"/>
        <v>0–0.2 hours</v>
      </c>
      <c r="P878" t="s">
        <v>30</v>
      </c>
    </row>
    <row r="879" spans="1:16" x14ac:dyDescent="0.4">
      <c r="A879" t="s">
        <v>920</v>
      </c>
      <c r="B879">
        <v>40</v>
      </c>
      <c r="C879" t="s">
        <v>15</v>
      </c>
      <c r="D879" t="s">
        <v>32</v>
      </c>
      <c r="E879">
        <v>1.2</v>
      </c>
      <c r="F879">
        <v>7</v>
      </c>
      <c r="G879" t="s">
        <v>17</v>
      </c>
      <c r="H879" t="s">
        <v>57</v>
      </c>
      <c r="I879" s="2">
        <v>17.989999999999998</v>
      </c>
      <c r="J879">
        <v>1</v>
      </c>
      <c r="K879" s="2">
        <f t="shared" si="26"/>
        <v>17.989999999999998</v>
      </c>
      <c r="L879" t="s">
        <v>43</v>
      </c>
      <c r="M879">
        <v>1</v>
      </c>
      <c r="N879">
        <v>0.15</v>
      </c>
      <c r="O879" t="str">
        <f t="shared" si="27"/>
        <v>0–0.2 hours</v>
      </c>
      <c r="P879" t="s">
        <v>20</v>
      </c>
    </row>
    <row r="880" spans="1:16" x14ac:dyDescent="0.4">
      <c r="A880" t="s">
        <v>921</v>
      </c>
      <c r="B880">
        <v>56</v>
      </c>
      <c r="C880" t="s">
        <v>27</v>
      </c>
      <c r="D880" t="s">
        <v>16</v>
      </c>
      <c r="E880">
        <v>2.23</v>
      </c>
      <c r="F880">
        <v>26</v>
      </c>
      <c r="G880" t="s">
        <v>17</v>
      </c>
      <c r="H880" t="s">
        <v>57</v>
      </c>
      <c r="I880" s="2">
        <v>8.99</v>
      </c>
      <c r="J880">
        <v>1</v>
      </c>
      <c r="K880" s="2">
        <f t="shared" si="26"/>
        <v>8.99</v>
      </c>
      <c r="L880" t="s">
        <v>61</v>
      </c>
      <c r="M880">
        <v>5</v>
      </c>
      <c r="N880">
        <v>0.08</v>
      </c>
      <c r="O880" t="str">
        <f t="shared" si="27"/>
        <v>0–0.2 hours</v>
      </c>
      <c r="P880" t="s">
        <v>52</v>
      </c>
    </row>
    <row r="881" spans="1:16" x14ac:dyDescent="0.4">
      <c r="A881" s="1" t="s">
        <v>922</v>
      </c>
      <c r="B881">
        <v>27</v>
      </c>
      <c r="C881" t="s">
        <v>15</v>
      </c>
      <c r="D881" t="s">
        <v>22</v>
      </c>
      <c r="E881">
        <v>22.68</v>
      </c>
      <c r="F881">
        <v>45</v>
      </c>
      <c r="G881" t="s">
        <v>70</v>
      </c>
      <c r="H881" t="s">
        <v>46</v>
      </c>
      <c r="I881" s="2">
        <v>13.99</v>
      </c>
      <c r="J881">
        <v>0</v>
      </c>
      <c r="K881" s="2">
        <f t="shared" si="26"/>
        <v>0</v>
      </c>
      <c r="L881" t="s">
        <v>29</v>
      </c>
      <c r="M881">
        <v>3</v>
      </c>
      <c r="N881">
        <v>0.49</v>
      </c>
      <c r="O881" t="str">
        <f t="shared" si="27"/>
        <v>0.4–0.6 hours</v>
      </c>
      <c r="P881" t="s">
        <v>25</v>
      </c>
    </row>
    <row r="882" spans="1:16" x14ac:dyDescent="0.4">
      <c r="A882" t="s">
        <v>923</v>
      </c>
      <c r="B882">
        <v>46</v>
      </c>
      <c r="C882" t="s">
        <v>27</v>
      </c>
      <c r="D882" t="s">
        <v>22</v>
      </c>
      <c r="E882">
        <v>19.63</v>
      </c>
      <c r="F882">
        <v>30</v>
      </c>
      <c r="G882" t="s">
        <v>70</v>
      </c>
      <c r="H882" t="s">
        <v>24</v>
      </c>
      <c r="I882" s="2">
        <v>13.99</v>
      </c>
      <c r="J882">
        <v>0</v>
      </c>
      <c r="K882" s="2">
        <f t="shared" si="26"/>
        <v>0</v>
      </c>
      <c r="L882" t="s">
        <v>61</v>
      </c>
      <c r="M882">
        <v>1</v>
      </c>
      <c r="N882">
        <v>0.63</v>
      </c>
      <c r="O882" t="str">
        <f t="shared" si="27"/>
        <v>0.6–0.8 hours</v>
      </c>
      <c r="P882" t="s">
        <v>47</v>
      </c>
    </row>
    <row r="883" spans="1:16" x14ac:dyDescent="0.4">
      <c r="A883" t="s">
        <v>924</v>
      </c>
      <c r="B883">
        <v>43</v>
      </c>
      <c r="C883" t="s">
        <v>27</v>
      </c>
      <c r="D883" t="s">
        <v>16</v>
      </c>
      <c r="E883">
        <v>0.69</v>
      </c>
      <c r="F883">
        <v>39</v>
      </c>
      <c r="G883" t="s">
        <v>49</v>
      </c>
      <c r="H883" t="s">
        <v>46</v>
      </c>
      <c r="I883" s="2">
        <v>8.99</v>
      </c>
      <c r="J883">
        <v>1</v>
      </c>
      <c r="K883" s="2">
        <f t="shared" si="26"/>
        <v>8.99</v>
      </c>
      <c r="L883" t="s">
        <v>37</v>
      </c>
      <c r="M883">
        <v>1</v>
      </c>
      <c r="N883">
        <v>0.02</v>
      </c>
      <c r="O883" t="str">
        <f t="shared" si="27"/>
        <v>0–0.2 hours</v>
      </c>
      <c r="P883" t="s">
        <v>20</v>
      </c>
    </row>
    <row r="884" spans="1:16" x14ac:dyDescent="0.4">
      <c r="A884" t="s">
        <v>925</v>
      </c>
      <c r="B884">
        <v>21</v>
      </c>
      <c r="C884" t="s">
        <v>15</v>
      </c>
      <c r="D884" t="s">
        <v>22</v>
      </c>
      <c r="E884">
        <v>2.5099999999999998</v>
      </c>
      <c r="F884">
        <v>19</v>
      </c>
      <c r="G884" t="s">
        <v>49</v>
      </c>
      <c r="H884" t="s">
        <v>24</v>
      </c>
      <c r="I884" s="2">
        <v>13.99</v>
      </c>
      <c r="J884">
        <v>1</v>
      </c>
      <c r="K884" s="2">
        <f t="shared" si="26"/>
        <v>13.99</v>
      </c>
      <c r="L884" t="s">
        <v>29</v>
      </c>
      <c r="M884">
        <v>2</v>
      </c>
      <c r="N884">
        <v>0.13</v>
      </c>
      <c r="O884" t="str">
        <f t="shared" si="27"/>
        <v>0–0.2 hours</v>
      </c>
      <c r="P884" t="s">
        <v>30</v>
      </c>
    </row>
    <row r="885" spans="1:16" x14ac:dyDescent="0.4">
      <c r="A885" t="s">
        <v>926</v>
      </c>
      <c r="B885">
        <v>23</v>
      </c>
      <c r="C885" t="s">
        <v>15</v>
      </c>
      <c r="D885" t="s">
        <v>16</v>
      </c>
      <c r="E885">
        <v>5.62</v>
      </c>
      <c r="F885">
        <v>9</v>
      </c>
      <c r="G885" t="s">
        <v>17</v>
      </c>
      <c r="H885" t="s">
        <v>57</v>
      </c>
      <c r="I885" s="2">
        <v>8.99</v>
      </c>
      <c r="J885">
        <v>0</v>
      </c>
      <c r="K885" s="2">
        <f t="shared" si="26"/>
        <v>0</v>
      </c>
      <c r="L885" t="s">
        <v>19</v>
      </c>
      <c r="M885">
        <v>4</v>
      </c>
      <c r="N885">
        <v>0.56000000000000005</v>
      </c>
      <c r="O885" t="str">
        <f t="shared" si="27"/>
        <v>0.4–0.6 hours</v>
      </c>
      <c r="P885" t="s">
        <v>52</v>
      </c>
    </row>
    <row r="886" spans="1:16" x14ac:dyDescent="0.4">
      <c r="A886" t="s">
        <v>927</v>
      </c>
      <c r="B886">
        <v>58</v>
      </c>
      <c r="C886" t="s">
        <v>15</v>
      </c>
      <c r="D886" t="s">
        <v>16</v>
      </c>
      <c r="E886">
        <v>6.01</v>
      </c>
      <c r="F886">
        <v>12</v>
      </c>
      <c r="G886" t="s">
        <v>70</v>
      </c>
      <c r="H886" t="s">
        <v>55</v>
      </c>
      <c r="I886" s="2">
        <v>8.99</v>
      </c>
      <c r="J886">
        <v>0</v>
      </c>
      <c r="K886" s="2">
        <f t="shared" si="26"/>
        <v>0</v>
      </c>
      <c r="L886" t="s">
        <v>37</v>
      </c>
      <c r="M886">
        <v>2</v>
      </c>
      <c r="N886">
        <v>0.46</v>
      </c>
      <c r="O886" t="str">
        <f t="shared" si="27"/>
        <v>0.4–0.6 hours</v>
      </c>
      <c r="P886" t="s">
        <v>47</v>
      </c>
    </row>
    <row r="887" spans="1:16" x14ac:dyDescent="0.4">
      <c r="A887" t="s">
        <v>928</v>
      </c>
      <c r="B887">
        <v>65</v>
      </c>
      <c r="C887" t="s">
        <v>15</v>
      </c>
      <c r="D887" t="s">
        <v>32</v>
      </c>
      <c r="E887">
        <v>2.42</v>
      </c>
      <c r="F887">
        <v>48</v>
      </c>
      <c r="G887" t="s">
        <v>17</v>
      </c>
      <c r="H887" t="s">
        <v>55</v>
      </c>
      <c r="I887" s="2">
        <v>17.989999999999998</v>
      </c>
      <c r="J887">
        <v>1</v>
      </c>
      <c r="K887" s="2">
        <f t="shared" si="26"/>
        <v>17.989999999999998</v>
      </c>
      <c r="L887" t="s">
        <v>19</v>
      </c>
      <c r="M887">
        <v>2</v>
      </c>
      <c r="N887">
        <v>0.05</v>
      </c>
      <c r="O887" t="str">
        <f t="shared" si="27"/>
        <v>0–0.2 hours</v>
      </c>
      <c r="P887" t="s">
        <v>47</v>
      </c>
    </row>
    <row r="888" spans="1:16" x14ac:dyDescent="0.4">
      <c r="A888" t="s">
        <v>929</v>
      </c>
      <c r="B888">
        <v>54</v>
      </c>
      <c r="C888" t="s">
        <v>27</v>
      </c>
      <c r="D888" t="s">
        <v>22</v>
      </c>
      <c r="E888">
        <v>8.41</v>
      </c>
      <c r="F888">
        <v>55</v>
      </c>
      <c r="G888" t="s">
        <v>70</v>
      </c>
      <c r="H888" t="s">
        <v>24</v>
      </c>
      <c r="I888" s="2">
        <v>13.99</v>
      </c>
      <c r="J888">
        <v>1</v>
      </c>
      <c r="K888" s="2">
        <f t="shared" si="26"/>
        <v>13.99</v>
      </c>
      <c r="L888" t="s">
        <v>29</v>
      </c>
      <c r="M888">
        <v>4</v>
      </c>
      <c r="N888">
        <v>0.15</v>
      </c>
      <c r="O888" t="str">
        <f t="shared" si="27"/>
        <v>0–0.2 hours</v>
      </c>
      <c r="P888" t="s">
        <v>25</v>
      </c>
    </row>
    <row r="889" spans="1:16" x14ac:dyDescent="0.4">
      <c r="A889" s="1" t="s">
        <v>930</v>
      </c>
      <c r="B889">
        <v>31</v>
      </c>
      <c r="C889" t="s">
        <v>41</v>
      </c>
      <c r="D889" t="s">
        <v>16</v>
      </c>
      <c r="E889">
        <v>4.58</v>
      </c>
      <c r="F889">
        <v>26</v>
      </c>
      <c r="G889" t="s">
        <v>70</v>
      </c>
      <c r="H889" t="s">
        <v>55</v>
      </c>
      <c r="I889" s="2">
        <v>8.99</v>
      </c>
      <c r="J889">
        <v>1</v>
      </c>
      <c r="K889" s="2">
        <f t="shared" si="26"/>
        <v>8.99</v>
      </c>
      <c r="L889" t="s">
        <v>43</v>
      </c>
      <c r="M889">
        <v>2</v>
      </c>
      <c r="N889">
        <v>0.17</v>
      </c>
      <c r="O889" t="str">
        <f t="shared" si="27"/>
        <v>0–0.2 hours</v>
      </c>
      <c r="P889" t="s">
        <v>20</v>
      </c>
    </row>
    <row r="890" spans="1:16" x14ac:dyDescent="0.4">
      <c r="A890" t="s">
        <v>931</v>
      </c>
      <c r="B890">
        <v>20</v>
      </c>
      <c r="C890" t="s">
        <v>27</v>
      </c>
      <c r="D890" t="s">
        <v>32</v>
      </c>
      <c r="E890">
        <v>9.4600000000000009</v>
      </c>
      <c r="F890">
        <v>35</v>
      </c>
      <c r="G890" t="s">
        <v>70</v>
      </c>
      <c r="H890" t="s">
        <v>24</v>
      </c>
      <c r="I890" s="2">
        <v>17.989999999999998</v>
      </c>
      <c r="J890">
        <v>1</v>
      </c>
      <c r="K890" s="2">
        <f t="shared" si="26"/>
        <v>17.989999999999998</v>
      </c>
      <c r="L890" t="s">
        <v>29</v>
      </c>
      <c r="M890">
        <v>2</v>
      </c>
      <c r="N890">
        <v>0.26</v>
      </c>
      <c r="O890" t="str">
        <f t="shared" si="27"/>
        <v>0.2–0.4 hours</v>
      </c>
      <c r="P890" t="s">
        <v>25</v>
      </c>
    </row>
    <row r="891" spans="1:16" x14ac:dyDescent="0.4">
      <c r="A891" t="s">
        <v>932</v>
      </c>
      <c r="B891">
        <v>54</v>
      </c>
      <c r="C891" t="s">
        <v>27</v>
      </c>
      <c r="D891" t="s">
        <v>32</v>
      </c>
      <c r="E891">
        <v>11.96</v>
      </c>
      <c r="F891">
        <v>37</v>
      </c>
      <c r="G891" t="s">
        <v>33</v>
      </c>
      <c r="H891" t="s">
        <v>55</v>
      </c>
      <c r="I891" s="2">
        <v>17.989999999999998</v>
      </c>
      <c r="J891">
        <v>1</v>
      </c>
      <c r="K891" s="2">
        <f t="shared" si="26"/>
        <v>17.989999999999998</v>
      </c>
      <c r="L891" t="s">
        <v>19</v>
      </c>
      <c r="M891">
        <v>3</v>
      </c>
      <c r="N891">
        <v>0.31</v>
      </c>
      <c r="O891" t="str">
        <f t="shared" si="27"/>
        <v>0.2–0.4 hours</v>
      </c>
      <c r="P891" t="s">
        <v>39</v>
      </c>
    </row>
    <row r="892" spans="1:16" x14ac:dyDescent="0.4">
      <c r="A892" t="s">
        <v>933</v>
      </c>
      <c r="B892">
        <v>57</v>
      </c>
      <c r="C892" t="s">
        <v>15</v>
      </c>
      <c r="D892" t="s">
        <v>32</v>
      </c>
      <c r="E892">
        <v>10.029999999999999</v>
      </c>
      <c r="F892">
        <v>21</v>
      </c>
      <c r="G892" t="s">
        <v>17</v>
      </c>
      <c r="H892" t="s">
        <v>57</v>
      </c>
      <c r="I892" s="2">
        <v>17.989999999999998</v>
      </c>
      <c r="J892">
        <v>0</v>
      </c>
      <c r="K892" s="2">
        <f t="shared" si="26"/>
        <v>0</v>
      </c>
      <c r="L892" t="s">
        <v>61</v>
      </c>
      <c r="M892">
        <v>2</v>
      </c>
      <c r="N892">
        <v>0.46</v>
      </c>
      <c r="O892" t="str">
        <f t="shared" si="27"/>
        <v>0.4–0.6 hours</v>
      </c>
      <c r="P892" t="s">
        <v>34</v>
      </c>
    </row>
    <row r="893" spans="1:16" x14ac:dyDescent="0.4">
      <c r="A893" t="s">
        <v>934</v>
      </c>
      <c r="B893">
        <v>40</v>
      </c>
      <c r="C893" t="s">
        <v>15</v>
      </c>
      <c r="D893" t="s">
        <v>22</v>
      </c>
      <c r="E893">
        <v>14.34</v>
      </c>
      <c r="F893">
        <v>15</v>
      </c>
      <c r="G893" t="s">
        <v>70</v>
      </c>
      <c r="H893" t="s">
        <v>55</v>
      </c>
      <c r="I893" s="2">
        <v>13.99</v>
      </c>
      <c r="J893">
        <v>0</v>
      </c>
      <c r="K893" s="2">
        <f t="shared" si="26"/>
        <v>0</v>
      </c>
      <c r="L893" t="s">
        <v>37</v>
      </c>
      <c r="M893">
        <v>1</v>
      </c>
      <c r="N893">
        <v>0.9</v>
      </c>
      <c r="O893" t="str">
        <f t="shared" si="27"/>
        <v>0.8–1 hour</v>
      </c>
      <c r="P893" t="s">
        <v>25</v>
      </c>
    </row>
    <row r="894" spans="1:16" x14ac:dyDescent="0.4">
      <c r="A894" t="s">
        <v>935</v>
      </c>
      <c r="B894">
        <v>65</v>
      </c>
      <c r="C894" t="s">
        <v>15</v>
      </c>
      <c r="D894" t="s">
        <v>32</v>
      </c>
      <c r="E894">
        <v>0.47</v>
      </c>
      <c r="F894">
        <v>25</v>
      </c>
      <c r="G894" t="s">
        <v>28</v>
      </c>
      <c r="H894" t="s">
        <v>18</v>
      </c>
      <c r="I894" s="2">
        <v>17.989999999999998</v>
      </c>
      <c r="J894">
        <v>1</v>
      </c>
      <c r="K894" s="2">
        <f t="shared" si="26"/>
        <v>17.989999999999998</v>
      </c>
      <c r="L894" t="s">
        <v>37</v>
      </c>
      <c r="M894">
        <v>3</v>
      </c>
      <c r="N894">
        <v>0.02</v>
      </c>
      <c r="O894" t="str">
        <f t="shared" si="27"/>
        <v>0–0.2 hours</v>
      </c>
      <c r="P894" t="s">
        <v>30</v>
      </c>
    </row>
    <row r="895" spans="1:16" x14ac:dyDescent="0.4">
      <c r="A895" t="s">
        <v>936</v>
      </c>
      <c r="B895">
        <v>21</v>
      </c>
      <c r="C895" t="s">
        <v>41</v>
      </c>
      <c r="D895" t="s">
        <v>32</v>
      </c>
      <c r="E895">
        <v>1.3</v>
      </c>
      <c r="F895">
        <v>13</v>
      </c>
      <c r="G895" t="s">
        <v>33</v>
      </c>
      <c r="H895" t="s">
        <v>57</v>
      </c>
      <c r="I895" s="2">
        <v>17.989999999999998</v>
      </c>
      <c r="J895">
        <v>1</v>
      </c>
      <c r="K895" s="2">
        <f t="shared" si="26"/>
        <v>17.989999999999998</v>
      </c>
      <c r="L895" t="s">
        <v>43</v>
      </c>
      <c r="M895">
        <v>2</v>
      </c>
      <c r="N895">
        <v>0.09</v>
      </c>
      <c r="O895" t="str">
        <f t="shared" si="27"/>
        <v>0–0.2 hours</v>
      </c>
      <c r="P895" t="s">
        <v>52</v>
      </c>
    </row>
    <row r="896" spans="1:16" x14ac:dyDescent="0.4">
      <c r="A896" t="s">
        <v>937</v>
      </c>
      <c r="B896">
        <v>60</v>
      </c>
      <c r="C896" t="s">
        <v>15</v>
      </c>
      <c r="D896" t="s">
        <v>16</v>
      </c>
      <c r="E896">
        <v>9.7100000000000009</v>
      </c>
      <c r="F896">
        <v>46</v>
      </c>
      <c r="G896" t="s">
        <v>70</v>
      </c>
      <c r="H896" t="s">
        <v>57</v>
      </c>
      <c r="I896" s="2">
        <v>8.99</v>
      </c>
      <c r="J896">
        <v>1</v>
      </c>
      <c r="K896" s="2">
        <f t="shared" si="26"/>
        <v>8.99</v>
      </c>
      <c r="L896" t="s">
        <v>37</v>
      </c>
      <c r="M896">
        <v>5</v>
      </c>
      <c r="N896">
        <v>0.21</v>
      </c>
      <c r="O896" t="str">
        <f t="shared" si="27"/>
        <v>0.2–0.4 hours</v>
      </c>
      <c r="P896" t="s">
        <v>20</v>
      </c>
    </row>
    <row r="897" spans="1:16" x14ac:dyDescent="0.4">
      <c r="A897" t="s">
        <v>938</v>
      </c>
      <c r="B897">
        <v>38</v>
      </c>
      <c r="C897" t="s">
        <v>15</v>
      </c>
      <c r="D897" t="s">
        <v>32</v>
      </c>
      <c r="E897">
        <v>20.79</v>
      </c>
      <c r="F897">
        <v>21</v>
      </c>
      <c r="G897" t="s">
        <v>28</v>
      </c>
      <c r="H897" t="s">
        <v>18</v>
      </c>
      <c r="I897" s="2">
        <v>17.989999999999998</v>
      </c>
      <c r="J897">
        <v>0</v>
      </c>
      <c r="K897" s="2">
        <f t="shared" si="26"/>
        <v>0</v>
      </c>
      <c r="L897" t="s">
        <v>61</v>
      </c>
      <c r="M897">
        <v>4</v>
      </c>
      <c r="N897">
        <v>0.94</v>
      </c>
      <c r="O897" t="str">
        <f t="shared" si="27"/>
        <v>0.8–1 hour</v>
      </c>
      <c r="P897" t="s">
        <v>34</v>
      </c>
    </row>
    <row r="898" spans="1:16" x14ac:dyDescent="0.4">
      <c r="A898" t="s">
        <v>939</v>
      </c>
      <c r="B898">
        <v>57</v>
      </c>
      <c r="C898" t="s">
        <v>15</v>
      </c>
      <c r="D898" t="s">
        <v>22</v>
      </c>
      <c r="E898">
        <v>31.69</v>
      </c>
      <c r="F898">
        <v>18</v>
      </c>
      <c r="G898" t="s">
        <v>23</v>
      </c>
      <c r="H898" t="s">
        <v>24</v>
      </c>
      <c r="I898" s="2">
        <v>13.99</v>
      </c>
      <c r="J898">
        <v>0</v>
      </c>
      <c r="K898" s="2">
        <f t="shared" si="26"/>
        <v>0</v>
      </c>
      <c r="L898" t="s">
        <v>43</v>
      </c>
      <c r="M898">
        <v>4</v>
      </c>
      <c r="N898">
        <v>1.67</v>
      </c>
      <c r="O898" t="str">
        <f t="shared" si="27"/>
        <v>1+ hours</v>
      </c>
      <c r="P898" t="s">
        <v>25</v>
      </c>
    </row>
    <row r="899" spans="1:16" x14ac:dyDescent="0.4">
      <c r="A899" t="s">
        <v>940</v>
      </c>
      <c r="B899">
        <v>38</v>
      </c>
      <c r="C899" t="s">
        <v>15</v>
      </c>
      <c r="D899" t="s">
        <v>16</v>
      </c>
      <c r="E899">
        <v>11.42</v>
      </c>
      <c r="F899">
        <v>5</v>
      </c>
      <c r="G899" t="s">
        <v>49</v>
      </c>
      <c r="H899" t="s">
        <v>46</v>
      </c>
      <c r="I899" s="2">
        <v>8.99</v>
      </c>
      <c r="J899">
        <v>0</v>
      </c>
      <c r="K899" s="2">
        <f t="shared" ref="K899:K962" si="28">SUMIF(J899,1,I899)</f>
        <v>0</v>
      </c>
      <c r="L899" t="s">
        <v>29</v>
      </c>
      <c r="M899">
        <v>5</v>
      </c>
      <c r="N899">
        <v>1.9</v>
      </c>
      <c r="O899" t="str">
        <f t="shared" ref="O899:O962" si="29">IF(N899&gt;1,"1+ hours",IF(N899&lt;=0.2,"0–0.2 hours",IF(N899&lt;=0.4,"0.2–0.4 hours",IF(N899&lt;=0.6,"0.4–0.6 hours",IF(N899&lt;=0.8,"0.6–0.8 hours","0.8–1 hour")))))</f>
        <v>1+ hours</v>
      </c>
      <c r="P899" t="s">
        <v>39</v>
      </c>
    </row>
    <row r="900" spans="1:16" x14ac:dyDescent="0.4">
      <c r="A900" t="s">
        <v>941</v>
      </c>
      <c r="B900">
        <v>43</v>
      </c>
      <c r="C900" t="s">
        <v>27</v>
      </c>
      <c r="D900" t="s">
        <v>32</v>
      </c>
      <c r="E900">
        <v>17.91</v>
      </c>
      <c r="F900">
        <v>26</v>
      </c>
      <c r="G900" t="s">
        <v>17</v>
      </c>
      <c r="H900" t="s">
        <v>55</v>
      </c>
      <c r="I900" s="2">
        <v>17.989999999999998</v>
      </c>
      <c r="J900">
        <v>0</v>
      </c>
      <c r="K900" s="2">
        <f t="shared" si="28"/>
        <v>0</v>
      </c>
      <c r="L900" t="s">
        <v>19</v>
      </c>
      <c r="M900">
        <v>1</v>
      </c>
      <c r="N900">
        <v>0.66</v>
      </c>
      <c r="O900" t="str">
        <f t="shared" si="29"/>
        <v>0.6–0.8 hours</v>
      </c>
      <c r="P900" t="s">
        <v>20</v>
      </c>
    </row>
    <row r="901" spans="1:16" x14ac:dyDescent="0.4">
      <c r="A901" t="s">
        <v>942</v>
      </c>
      <c r="B901">
        <v>62</v>
      </c>
      <c r="C901" t="s">
        <v>27</v>
      </c>
      <c r="D901" t="s">
        <v>32</v>
      </c>
      <c r="E901">
        <v>5.32</v>
      </c>
      <c r="F901">
        <v>6</v>
      </c>
      <c r="G901" t="s">
        <v>28</v>
      </c>
      <c r="H901" t="s">
        <v>46</v>
      </c>
      <c r="I901" s="2">
        <v>17.989999999999998</v>
      </c>
      <c r="J901">
        <v>0</v>
      </c>
      <c r="K901" s="2">
        <f t="shared" si="28"/>
        <v>0</v>
      </c>
      <c r="L901" t="s">
        <v>37</v>
      </c>
      <c r="M901">
        <v>5</v>
      </c>
      <c r="N901">
        <v>0.76</v>
      </c>
      <c r="O901" t="str">
        <f t="shared" si="29"/>
        <v>0.6–0.8 hours</v>
      </c>
      <c r="P901" t="s">
        <v>30</v>
      </c>
    </row>
    <row r="902" spans="1:16" x14ac:dyDescent="0.4">
      <c r="A902" t="s">
        <v>943</v>
      </c>
      <c r="B902">
        <v>27</v>
      </c>
      <c r="C902" t="s">
        <v>27</v>
      </c>
      <c r="D902" t="s">
        <v>32</v>
      </c>
      <c r="E902">
        <v>23.17</v>
      </c>
      <c r="F902">
        <v>36</v>
      </c>
      <c r="G902" t="s">
        <v>70</v>
      </c>
      <c r="H902" t="s">
        <v>46</v>
      </c>
      <c r="I902" s="2">
        <v>17.989999999999998</v>
      </c>
      <c r="J902">
        <v>0</v>
      </c>
      <c r="K902" s="2">
        <f t="shared" si="28"/>
        <v>0</v>
      </c>
      <c r="L902" t="s">
        <v>37</v>
      </c>
      <c r="M902">
        <v>3</v>
      </c>
      <c r="N902">
        <v>0.63</v>
      </c>
      <c r="O902" t="str">
        <f t="shared" si="29"/>
        <v>0.6–0.8 hours</v>
      </c>
      <c r="P902" t="s">
        <v>30</v>
      </c>
    </row>
    <row r="903" spans="1:16" x14ac:dyDescent="0.4">
      <c r="A903" t="s">
        <v>944</v>
      </c>
      <c r="B903">
        <v>47</v>
      </c>
      <c r="C903" t="s">
        <v>15</v>
      </c>
      <c r="D903" t="s">
        <v>32</v>
      </c>
      <c r="E903">
        <v>3.99</v>
      </c>
      <c r="F903">
        <v>53</v>
      </c>
      <c r="G903" t="s">
        <v>17</v>
      </c>
      <c r="H903" t="s">
        <v>24</v>
      </c>
      <c r="I903" s="2">
        <v>17.989999999999998</v>
      </c>
      <c r="J903">
        <v>1</v>
      </c>
      <c r="K903" s="2">
        <f t="shared" si="28"/>
        <v>17.989999999999998</v>
      </c>
      <c r="L903" t="s">
        <v>19</v>
      </c>
      <c r="M903">
        <v>2</v>
      </c>
      <c r="N903">
        <v>7.0000000000000007E-2</v>
      </c>
      <c r="O903" t="str">
        <f t="shared" si="29"/>
        <v>0–0.2 hours</v>
      </c>
      <c r="P903" t="s">
        <v>25</v>
      </c>
    </row>
    <row r="904" spans="1:16" x14ac:dyDescent="0.4">
      <c r="A904" t="s">
        <v>945</v>
      </c>
      <c r="B904">
        <v>49</v>
      </c>
      <c r="C904" t="s">
        <v>41</v>
      </c>
      <c r="D904" t="s">
        <v>16</v>
      </c>
      <c r="E904">
        <v>3.34</v>
      </c>
      <c r="F904">
        <v>50</v>
      </c>
      <c r="G904" t="s">
        <v>17</v>
      </c>
      <c r="H904" t="s">
        <v>46</v>
      </c>
      <c r="I904" s="2">
        <v>8.99</v>
      </c>
      <c r="J904">
        <v>1</v>
      </c>
      <c r="K904" s="2">
        <f t="shared" si="28"/>
        <v>8.99</v>
      </c>
      <c r="L904" t="s">
        <v>61</v>
      </c>
      <c r="M904">
        <v>5</v>
      </c>
      <c r="N904">
        <v>7.0000000000000007E-2</v>
      </c>
      <c r="O904" t="str">
        <f t="shared" si="29"/>
        <v>0–0.2 hours</v>
      </c>
      <c r="P904" t="s">
        <v>25</v>
      </c>
    </row>
    <row r="905" spans="1:16" x14ac:dyDescent="0.4">
      <c r="A905" t="s">
        <v>946</v>
      </c>
      <c r="B905">
        <v>29</v>
      </c>
      <c r="C905" t="s">
        <v>27</v>
      </c>
      <c r="D905" t="s">
        <v>16</v>
      </c>
      <c r="E905">
        <v>1.46</v>
      </c>
      <c r="F905">
        <v>54</v>
      </c>
      <c r="G905" t="s">
        <v>23</v>
      </c>
      <c r="H905" t="s">
        <v>18</v>
      </c>
      <c r="I905" s="2">
        <v>8.99</v>
      </c>
      <c r="J905">
        <v>1</v>
      </c>
      <c r="K905" s="2">
        <f t="shared" si="28"/>
        <v>8.99</v>
      </c>
      <c r="L905" t="s">
        <v>29</v>
      </c>
      <c r="M905">
        <v>3</v>
      </c>
      <c r="N905">
        <v>0.03</v>
      </c>
      <c r="O905" t="str">
        <f t="shared" si="29"/>
        <v>0–0.2 hours</v>
      </c>
      <c r="P905" t="s">
        <v>25</v>
      </c>
    </row>
    <row r="906" spans="1:16" x14ac:dyDescent="0.4">
      <c r="A906" t="s">
        <v>947</v>
      </c>
      <c r="B906">
        <v>41</v>
      </c>
      <c r="C906" t="s">
        <v>15</v>
      </c>
      <c r="D906" t="s">
        <v>22</v>
      </c>
      <c r="E906">
        <v>12.78</v>
      </c>
      <c r="F906">
        <v>48</v>
      </c>
      <c r="G906" t="s">
        <v>23</v>
      </c>
      <c r="H906" t="s">
        <v>55</v>
      </c>
      <c r="I906" s="2">
        <v>13.99</v>
      </c>
      <c r="J906">
        <v>1</v>
      </c>
      <c r="K906" s="2">
        <f t="shared" si="28"/>
        <v>13.99</v>
      </c>
      <c r="L906" t="s">
        <v>29</v>
      </c>
      <c r="M906">
        <v>5</v>
      </c>
      <c r="N906">
        <v>0.26</v>
      </c>
      <c r="O906" t="str">
        <f t="shared" si="29"/>
        <v>0.2–0.4 hours</v>
      </c>
      <c r="P906" t="s">
        <v>25</v>
      </c>
    </row>
    <row r="907" spans="1:16" x14ac:dyDescent="0.4">
      <c r="A907" t="s">
        <v>948</v>
      </c>
      <c r="B907">
        <v>29</v>
      </c>
      <c r="C907" t="s">
        <v>41</v>
      </c>
      <c r="D907" t="s">
        <v>32</v>
      </c>
      <c r="E907">
        <v>7.18</v>
      </c>
      <c r="F907">
        <v>23</v>
      </c>
      <c r="G907" t="s">
        <v>23</v>
      </c>
      <c r="H907" t="s">
        <v>55</v>
      </c>
      <c r="I907" s="2">
        <v>17.989999999999998</v>
      </c>
      <c r="J907">
        <v>0</v>
      </c>
      <c r="K907" s="2">
        <f t="shared" si="28"/>
        <v>0</v>
      </c>
      <c r="L907" t="s">
        <v>37</v>
      </c>
      <c r="M907">
        <v>1</v>
      </c>
      <c r="N907">
        <v>0.3</v>
      </c>
      <c r="O907" t="str">
        <f t="shared" si="29"/>
        <v>0.2–0.4 hours</v>
      </c>
      <c r="P907" t="s">
        <v>34</v>
      </c>
    </row>
    <row r="908" spans="1:16" x14ac:dyDescent="0.4">
      <c r="A908" t="s">
        <v>949</v>
      </c>
      <c r="B908">
        <v>55</v>
      </c>
      <c r="C908" t="s">
        <v>27</v>
      </c>
      <c r="D908" t="s">
        <v>32</v>
      </c>
      <c r="E908">
        <v>12.82</v>
      </c>
      <c r="F908">
        <v>47</v>
      </c>
      <c r="G908" t="s">
        <v>49</v>
      </c>
      <c r="H908" t="s">
        <v>24</v>
      </c>
      <c r="I908" s="2">
        <v>17.989999999999998</v>
      </c>
      <c r="J908">
        <v>1</v>
      </c>
      <c r="K908" s="2">
        <f t="shared" si="28"/>
        <v>17.989999999999998</v>
      </c>
      <c r="L908" t="s">
        <v>19</v>
      </c>
      <c r="M908">
        <v>3</v>
      </c>
      <c r="N908">
        <v>0.27</v>
      </c>
      <c r="O908" t="str">
        <f t="shared" si="29"/>
        <v>0.2–0.4 hours</v>
      </c>
      <c r="P908" t="s">
        <v>34</v>
      </c>
    </row>
    <row r="909" spans="1:16" x14ac:dyDescent="0.4">
      <c r="A909" t="s">
        <v>950</v>
      </c>
      <c r="B909">
        <v>70</v>
      </c>
      <c r="C909" t="s">
        <v>27</v>
      </c>
      <c r="D909" t="s">
        <v>16</v>
      </c>
      <c r="E909">
        <v>12.97</v>
      </c>
      <c r="F909">
        <v>34</v>
      </c>
      <c r="G909" t="s">
        <v>49</v>
      </c>
      <c r="H909" t="s">
        <v>46</v>
      </c>
      <c r="I909" s="2">
        <v>8.99</v>
      </c>
      <c r="J909">
        <v>1</v>
      </c>
      <c r="K909" s="2">
        <f t="shared" si="28"/>
        <v>8.99</v>
      </c>
      <c r="L909" t="s">
        <v>19</v>
      </c>
      <c r="M909">
        <v>5</v>
      </c>
      <c r="N909">
        <v>0.37</v>
      </c>
      <c r="O909" t="str">
        <f t="shared" si="29"/>
        <v>0.2–0.4 hours</v>
      </c>
      <c r="P909" t="s">
        <v>20</v>
      </c>
    </row>
    <row r="910" spans="1:16" x14ac:dyDescent="0.4">
      <c r="A910" t="s">
        <v>951</v>
      </c>
      <c r="B910">
        <v>23</v>
      </c>
      <c r="C910" t="s">
        <v>15</v>
      </c>
      <c r="D910" t="s">
        <v>16</v>
      </c>
      <c r="E910">
        <v>11.37</v>
      </c>
      <c r="F910">
        <v>16</v>
      </c>
      <c r="G910" t="s">
        <v>17</v>
      </c>
      <c r="H910" t="s">
        <v>18</v>
      </c>
      <c r="I910" s="2">
        <v>8.99</v>
      </c>
      <c r="J910">
        <v>0</v>
      </c>
      <c r="K910" s="2">
        <f t="shared" si="28"/>
        <v>0</v>
      </c>
      <c r="L910" t="s">
        <v>61</v>
      </c>
      <c r="M910">
        <v>3</v>
      </c>
      <c r="N910">
        <v>0.67</v>
      </c>
      <c r="O910" t="str">
        <f t="shared" si="29"/>
        <v>0.6–0.8 hours</v>
      </c>
      <c r="P910" t="s">
        <v>34</v>
      </c>
    </row>
    <row r="911" spans="1:16" x14ac:dyDescent="0.4">
      <c r="A911" t="s">
        <v>952</v>
      </c>
      <c r="B911">
        <v>25</v>
      </c>
      <c r="C911" t="s">
        <v>41</v>
      </c>
      <c r="D911" t="s">
        <v>32</v>
      </c>
      <c r="E911">
        <v>2.42</v>
      </c>
      <c r="F911">
        <v>1</v>
      </c>
      <c r="G911" t="s">
        <v>70</v>
      </c>
      <c r="H911" t="s">
        <v>57</v>
      </c>
      <c r="I911" s="2">
        <v>17.989999999999998</v>
      </c>
      <c r="J911">
        <v>0</v>
      </c>
      <c r="K911" s="2">
        <f t="shared" si="28"/>
        <v>0</v>
      </c>
      <c r="L911" t="s">
        <v>61</v>
      </c>
      <c r="M911">
        <v>5</v>
      </c>
      <c r="N911">
        <v>1.21</v>
      </c>
      <c r="O911" t="str">
        <f t="shared" si="29"/>
        <v>1+ hours</v>
      </c>
      <c r="P911" t="s">
        <v>25</v>
      </c>
    </row>
    <row r="912" spans="1:16" x14ac:dyDescent="0.4">
      <c r="A912" t="s">
        <v>953</v>
      </c>
      <c r="B912">
        <v>59</v>
      </c>
      <c r="C912" t="s">
        <v>41</v>
      </c>
      <c r="D912" t="s">
        <v>22</v>
      </c>
      <c r="E912">
        <v>22.89</v>
      </c>
      <c r="F912">
        <v>38</v>
      </c>
      <c r="G912" t="s">
        <v>17</v>
      </c>
      <c r="H912" t="s">
        <v>18</v>
      </c>
      <c r="I912" s="2">
        <v>13.99</v>
      </c>
      <c r="J912">
        <v>0</v>
      </c>
      <c r="K912" s="2">
        <f t="shared" si="28"/>
        <v>0</v>
      </c>
      <c r="L912" t="s">
        <v>43</v>
      </c>
      <c r="M912">
        <v>4</v>
      </c>
      <c r="N912">
        <v>0.59</v>
      </c>
      <c r="O912" t="str">
        <f t="shared" si="29"/>
        <v>0.4–0.6 hours</v>
      </c>
      <c r="P912" t="s">
        <v>20</v>
      </c>
    </row>
    <row r="913" spans="1:16" x14ac:dyDescent="0.4">
      <c r="A913" t="s">
        <v>954</v>
      </c>
      <c r="B913">
        <v>51</v>
      </c>
      <c r="C913" t="s">
        <v>15</v>
      </c>
      <c r="D913" t="s">
        <v>16</v>
      </c>
      <c r="E913">
        <v>7.53</v>
      </c>
      <c r="F913">
        <v>39</v>
      </c>
      <c r="G913" t="s">
        <v>17</v>
      </c>
      <c r="H913" t="s">
        <v>24</v>
      </c>
      <c r="I913" s="2">
        <v>8.99</v>
      </c>
      <c r="J913">
        <v>1</v>
      </c>
      <c r="K913" s="2">
        <f t="shared" si="28"/>
        <v>8.99</v>
      </c>
      <c r="L913" t="s">
        <v>61</v>
      </c>
      <c r="M913">
        <v>3</v>
      </c>
      <c r="N913">
        <v>0.19</v>
      </c>
      <c r="O913" t="str">
        <f t="shared" si="29"/>
        <v>0–0.2 hours</v>
      </c>
      <c r="P913" t="s">
        <v>30</v>
      </c>
    </row>
    <row r="914" spans="1:16" x14ac:dyDescent="0.4">
      <c r="A914" t="s">
        <v>955</v>
      </c>
      <c r="B914">
        <v>46</v>
      </c>
      <c r="C914" t="s">
        <v>27</v>
      </c>
      <c r="D914" t="s">
        <v>22</v>
      </c>
      <c r="E914">
        <v>13.41</v>
      </c>
      <c r="F914">
        <v>42</v>
      </c>
      <c r="G914" t="s">
        <v>33</v>
      </c>
      <c r="H914" t="s">
        <v>57</v>
      </c>
      <c r="I914" s="2">
        <v>13.99</v>
      </c>
      <c r="J914">
        <v>1</v>
      </c>
      <c r="K914" s="2">
        <f t="shared" si="28"/>
        <v>13.99</v>
      </c>
      <c r="L914" t="s">
        <v>29</v>
      </c>
      <c r="M914">
        <v>1</v>
      </c>
      <c r="N914">
        <v>0.31</v>
      </c>
      <c r="O914" t="str">
        <f t="shared" si="29"/>
        <v>0.2–0.4 hours</v>
      </c>
      <c r="P914" t="s">
        <v>30</v>
      </c>
    </row>
    <row r="915" spans="1:16" x14ac:dyDescent="0.4">
      <c r="A915" t="s">
        <v>956</v>
      </c>
      <c r="B915">
        <v>27</v>
      </c>
      <c r="C915" t="s">
        <v>15</v>
      </c>
      <c r="D915" t="s">
        <v>16</v>
      </c>
      <c r="E915">
        <v>6.89</v>
      </c>
      <c r="F915">
        <v>6</v>
      </c>
      <c r="G915" t="s">
        <v>23</v>
      </c>
      <c r="H915" t="s">
        <v>57</v>
      </c>
      <c r="I915" s="2">
        <v>8.99</v>
      </c>
      <c r="J915">
        <v>0</v>
      </c>
      <c r="K915" s="2">
        <f t="shared" si="28"/>
        <v>0</v>
      </c>
      <c r="L915" t="s">
        <v>61</v>
      </c>
      <c r="M915">
        <v>5</v>
      </c>
      <c r="N915">
        <v>0.98</v>
      </c>
      <c r="O915" t="str">
        <f t="shared" si="29"/>
        <v>0.8–1 hour</v>
      </c>
      <c r="P915" t="s">
        <v>52</v>
      </c>
    </row>
    <row r="916" spans="1:16" x14ac:dyDescent="0.4">
      <c r="A916" t="s">
        <v>957</v>
      </c>
      <c r="B916">
        <v>70</v>
      </c>
      <c r="C916" t="s">
        <v>27</v>
      </c>
      <c r="D916" t="s">
        <v>16</v>
      </c>
      <c r="E916">
        <v>20.64</v>
      </c>
      <c r="F916">
        <v>34</v>
      </c>
      <c r="G916" t="s">
        <v>17</v>
      </c>
      <c r="H916" t="s">
        <v>24</v>
      </c>
      <c r="I916" s="2">
        <v>8.99</v>
      </c>
      <c r="J916">
        <v>1</v>
      </c>
      <c r="K916" s="2">
        <f t="shared" si="28"/>
        <v>8.99</v>
      </c>
      <c r="L916" t="s">
        <v>29</v>
      </c>
      <c r="M916">
        <v>1</v>
      </c>
      <c r="N916">
        <v>0.59</v>
      </c>
      <c r="O916" t="str">
        <f t="shared" si="29"/>
        <v>0.4–0.6 hours</v>
      </c>
      <c r="P916" t="s">
        <v>25</v>
      </c>
    </row>
    <row r="917" spans="1:16" x14ac:dyDescent="0.4">
      <c r="A917" t="s">
        <v>958</v>
      </c>
      <c r="B917">
        <v>66</v>
      </c>
      <c r="C917" t="s">
        <v>41</v>
      </c>
      <c r="D917" t="s">
        <v>22</v>
      </c>
      <c r="E917">
        <v>3.11</v>
      </c>
      <c r="F917">
        <v>3</v>
      </c>
      <c r="G917" t="s">
        <v>17</v>
      </c>
      <c r="H917" t="s">
        <v>18</v>
      </c>
      <c r="I917" s="2">
        <v>13.99</v>
      </c>
      <c r="J917">
        <v>0</v>
      </c>
      <c r="K917" s="2">
        <f t="shared" si="28"/>
        <v>0</v>
      </c>
      <c r="L917" t="s">
        <v>43</v>
      </c>
      <c r="M917">
        <v>3</v>
      </c>
      <c r="N917">
        <v>0.78</v>
      </c>
      <c r="O917" t="str">
        <f t="shared" si="29"/>
        <v>0.6–0.8 hours</v>
      </c>
      <c r="P917" t="s">
        <v>47</v>
      </c>
    </row>
    <row r="918" spans="1:16" x14ac:dyDescent="0.4">
      <c r="A918" t="s">
        <v>959</v>
      </c>
      <c r="B918">
        <v>68</v>
      </c>
      <c r="C918" t="s">
        <v>41</v>
      </c>
      <c r="D918" t="s">
        <v>16</v>
      </c>
      <c r="E918">
        <v>5.37</v>
      </c>
      <c r="F918">
        <v>49</v>
      </c>
      <c r="G918" t="s">
        <v>23</v>
      </c>
      <c r="H918" t="s">
        <v>55</v>
      </c>
      <c r="I918" s="2">
        <v>8.99</v>
      </c>
      <c r="J918">
        <v>1</v>
      </c>
      <c r="K918" s="2">
        <f t="shared" si="28"/>
        <v>8.99</v>
      </c>
      <c r="L918" t="s">
        <v>37</v>
      </c>
      <c r="M918">
        <v>3</v>
      </c>
      <c r="N918">
        <v>0.11</v>
      </c>
      <c r="O918" t="str">
        <f t="shared" si="29"/>
        <v>0–0.2 hours</v>
      </c>
      <c r="P918" t="s">
        <v>52</v>
      </c>
    </row>
    <row r="919" spans="1:16" x14ac:dyDescent="0.4">
      <c r="A919" t="s">
        <v>960</v>
      </c>
      <c r="B919">
        <v>41</v>
      </c>
      <c r="C919" t="s">
        <v>15</v>
      </c>
      <c r="D919" t="s">
        <v>32</v>
      </c>
      <c r="E919">
        <v>26.57</v>
      </c>
      <c r="F919">
        <v>58</v>
      </c>
      <c r="G919" t="s">
        <v>23</v>
      </c>
      <c r="H919" t="s">
        <v>55</v>
      </c>
      <c r="I919" s="2">
        <v>17.989999999999998</v>
      </c>
      <c r="J919">
        <v>0</v>
      </c>
      <c r="K919" s="2">
        <f t="shared" si="28"/>
        <v>0</v>
      </c>
      <c r="L919" t="s">
        <v>29</v>
      </c>
      <c r="M919">
        <v>3</v>
      </c>
      <c r="N919">
        <v>0.45</v>
      </c>
      <c r="O919" t="str">
        <f t="shared" si="29"/>
        <v>0.4–0.6 hours</v>
      </c>
      <c r="P919" t="s">
        <v>47</v>
      </c>
    </row>
    <row r="920" spans="1:16" x14ac:dyDescent="0.4">
      <c r="A920" t="s">
        <v>961</v>
      </c>
      <c r="B920">
        <v>41</v>
      </c>
      <c r="C920" t="s">
        <v>41</v>
      </c>
      <c r="D920" t="s">
        <v>16</v>
      </c>
      <c r="E920">
        <v>4.32</v>
      </c>
      <c r="F920">
        <v>0</v>
      </c>
      <c r="G920" t="s">
        <v>49</v>
      </c>
      <c r="H920" t="s">
        <v>57</v>
      </c>
      <c r="I920" s="2">
        <v>8.99</v>
      </c>
      <c r="J920">
        <v>1</v>
      </c>
      <c r="K920" s="2">
        <f t="shared" si="28"/>
        <v>8.99</v>
      </c>
      <c r="L920" t="s">
        <v>43</v>
      </c>
      <c r="M920">
        <v>1</v>
      </c>
      <c r="N920">
        <v>4.32</v>
      </c>
      <c r="O920" t="str">
        <f t="shared" si="29"/>
        <v>1+ hours</v>
      </c>
      <c r="P920" t="s">
        <v>34</v>
      </c>
    </row>
    <row r="921" spans="1:16" x14ac:dyDescent="0.4">
      <c r="A921" t="s">
        <v>962</v>
      </c>
      <c r="B921">
        <v>35</v>
      </c>
      <c r="C921" t="s">
        <v>41</v>
      </c>
      <c r="D921" t="s">
        <v>32</v>
      </c>
      <c r="E921">
        <v>14.76</v>
      </c>
      <c r="F921">
        <v>26</v>
      </c>
      <c r="G921" t="s">
        <v>49</v>
      </c>
      <c r="H921" t="s">
        <v>55</v>
      </c>
      <c r="I921" s="2">
        <v>17.989999999999998</v>
      </c>
      <c r="J921">
        <v>0</v>
      </c>
      <c r="K921" s="2">
        <f t="shared" si="28"/>
        <v>0</v>
      </c>
      <c r="L921" t="s">
        <v>61</v>
      </c>
      <c r="M921">
        <v>4</v>
      </c>
      <c r="N921">
        <v>0.55000000000000004</v>
      </c>
      <c r="O921" t="str">
        <f t="shared" si="29"/>
        <v>0.4–0.6 hours</v>
      </c>
      <c r="P921" t="s">
        <v>30</v>
      </c>
    </row>
    <row r="922" spans="1:16" x14ac:dyDescent="0.4">
      <c r="A922" t="s">
        <v>963</v>
      </c>
      <c r="B922">
        <v>27</v>
      </c>
      <c r="C922" t="s">
        <v>27</v>
      </c>
      <c r="D922" t="s">
        <v>22</v>
      </c>
      <c r="E922">
        <v>1.77</v>
      </c>
      <c r="F922">
        <v>41</v>
      </c>
      <c r="G922" t="s">
        <v>49</v>
      </c>
      <c r="H922" t="s">
        <v>24</v>
      </c>
      <c r="I922" s="2">
        <v>13.99</v>
      </c>
      <c r="J922">
        <v>1</v>
      </c>
      <c r="K922" s="2">
        <f t="shared" si="28"/>
        <v>13.99</v>
      </c>
      <c r="L922" t="s">
        <v>43</v>
      </c>
      <c r="M922">
        <v>2</v>
      </c>
      <c r="N922">
        <v>0.04</v>
      </c>
      <c r="O922" t="str">
        <f t="shared" si="29"/>
        <v>0–0.2 hours</v>
      </c>
      <c r="P922" t="s">
        <v>34</v>
      </c>
    </row>
    <row r="923" spans="1:16" x14ac:dyDescent="0.4">
      <c r="A923" t="s">
        <v>964</v>
      </c>
      <c r="B923">
        <v>44</v>
      </c>
      <c r="C923" t="s">
        <v>15</v>
      </c>
      <c r="D923" t="s">
        <v>22</v>
      </c>
      <c r="E923">
        <v>2.14</v>
      </c>
      <c r="F923">
        <v>4</v>
      </c>
      <c r="G923" t="s">
        <v>28</v>
      </c>
      <c r="H923" t="s">
        <v>55</v>
      </c>
      <c r="I923" s="2">
        <v>13.99</v>
      </c>
      <c r="J923">
        <v>1</v>
      </c>
      <c r="K923" s="2">
        <f t="shared" si="28"/>
        <v>13.99</v>
      </c>
      <c r="L923" t="s">
        <v>29</v>
      </c>
      <c r="M923">
        <v>2</v>
      </c>
      <c r="N923">
        <v>0.43</v>
      </c>
      <c r="O923" t="str">
        <f t="shared" si="29"/>
        <v>0.4–0.6 hours</v>
      </c>
      <c r="P923" t="s">
        <v>47</v>
      </c>
    </row>
    <row r="924" spans="1:16" x14ac:dyDescent="0.4">
      <c r="A924" t="s">
        <v>965</v>
      </c>
      <c r="B924">
        <v>38</v>
      </c>
      <c r="C924" t="s">
        <v>15</v>
      </c>
      <c r="D924" t="s">
        <v>16</v>
      </c>
      <c r="E924">
        <v>53.06</v>
      </c>
      <c r="F924">
        <v>55</v>
      </c>
      <c r="G924" t="s">
        <v>17</v>
      </c>
      <c r="H924" t="s">
        <v>46</v>
      </c>
      <c r="I924" s="2">
        <v>8.99</v>
      </c>
      <c r="J924">
        <v>0</v>
      </c>
      <c r="K924" s="2">
        <f t="shared" si="28"/>
        <v>0</v>
      </c>
      <c r="L924" t="s">
        <v>43</v>
      </c>
      <c r="M924">
        <v>4</v>
      </c>
      <c r="N924">
        <v>0.95</v>
      </c>
      <c r="O924" t="str">
        <f t="shared" si="29"/>
        <v>0.8–1 hour</v>
      </c>
      <c r="P924" t="s">
        <v>34</v>
      </c>
    </row>
    <row r="925" spans="1:16" x14ac:dyDescent="0.4">
      <c r="A925" t="s">
        <v>966</v>
      </c>
      <c r="B925">
        <v>18</v>
      </c>
      <c r="C925" t="s">
        <v>27</v>
      </c>
      <c r="D925" t="s">
        <v>22</v>
      </c>
      <c r="E925">
        <v>1.71</v>
      </c>
      <c r="F925">
        <v>49</v>
      </c>
      <c r="G925" t="s">
        <v>49</v>
      </c>
      <c r="H925" t="s">
        <v>18</v>
      </c>
      <c r="I925" s="2">
        <v>13.99</v>
      </c>
      <c r="J925">
        <v>1</v>
      </c>
      <c r="K925" s="2">
        <f t="shared" si="28"/>
        <v>13.99</v>
      </c>
      <c r="L925" t="s">
        <v>43</v>
      </c>
      <c r="M925">
        <v>3</v>
      </c>
      <c r="N925">
        <v>0.03</v>
      </c>
      <c r="O925" t="str">
        <f t="shared" si="29"/>
        <v>0–0.2 hours</v>
      </c>
      <c r="P925" t="s">
        <v>34</v>
      </c>
    </row>
    <row r="926" spans="1:16" x14ac:dyDescent="0.4">
      <c r="A926" t="s">
        <v>967</v>
      </c>
      <c r="B926">
        <v>58</v>
      </c>
      <c r="C926" t="s">
        <v>15</v>
      </c>
      <c r="D926" t="s">
        <v>32</v>
      </c>
      <c r="E926">
        <v>2.75</v>
      </c>
      <c r="F926">
        <v>8</v>
      </c>
      <c r="G926" t="s">
        <v>49</v>
      </c>
      <c r="H926" t="s">
        <v>46</v>
      </c>
      <c r="I926" s="2">
        <v>17.989999999999998</v>
      </c>
      <c r="J926">
        <v>0</v>
      </c>
      <c r="K926" s="2">
        <f t="shared" si="28"/>
        <v>0</v>
      </c>
      <c r="L926" t="s">
        <v>43</v>
      </c>
      <c r="M926">
        <v>4</v>
      </c>
      <c r="N926">
        <v>0.31</v>
      </c>
      <c r="O926" t="str">
        <f t="shared" si="29"/>
        <v>0.2–0.4 hours</v>
      </c>
      <c r="P926" t="s">
        <v>52</v>
      </c>
    </row>
    <row r="927" spans="1:16" x14ac:dyDescent="0.4">
      <c r="A927" t="s">
        <v>968</v>
      </c>
      <c r="B927">
        <v>58</v>
      </c>
      <c r="C927" t="s">
        <v>41</v>
      </c>
      <c r="D927" t="s">
        <v>32</v>
      </c>
      <c r="E927">
        <v>6.28</v>
      </c>
      <c r="F927">
        <v>4</v>
      </c>
      <c r="G927" t="s">
        <v>23</v>
      </c>
      <c r="H927" t="s">
        <v>57</v>
      </c>
      <c r="I927" s="2">
        <v>17.989999999999998</v>
      </c>
      <c r="J927">
        <v>0</v>
      </c>
      <c r="K927" s="2">
        <f t="shared" si="28"/>
        <v>0</v>
      </c>
      <c r="L927" t="s">
        <v>37</v>
      </c>
      <c r="M927">
        <v>4</v>
      </c>
      <c r="N927">
        <v>1.26</v>
      </c>
      <c r="O927" t="str">
        <f t="shared" si="29"/>
        <v>1+ hours</v>
      </c>
      <c r="P927" t="s">
        <v>30</v>
      </c>
    </row>
    <row r="928" spans="1:16" x14ac:dyDescent="0.4">
      <c r="A928" t="s">
        <v>969</v>
      </c>
      <c r="B928">
        <v>70</v>
      </c>
      <c r="C928" t="s">
        <v>41</v>
      </c>
      <c r="D928" t="s">
        <v>16</v>
      </c>
      <c r="E928">
        <v>1.24</v>
      </c>
      <c r="F928">
        <v>29</v>
      </c>
      <c r="G928" t="s">
        <v>33</v>
      </c>
      <c r="H928" t="s">
        <v>46</v>
      </c>
      <c r="I928" s="2">
        <v>8.99</v>
      </c>
      <c r="J928">
        <v>1</v>
      </c>
      <c r="K928" s="2">
        <f t="shared" si="28"/>
        <v>8.99</v>
      </c>
      <c r="L928" t="s">
        <v>43</v>
      </c>
      <c r="M928">
        <v>1</v>
      </c>
      <c r="N928">
        <v>0.04</v>
      </c>
      <c r="O928" t="str">
        <f t="shared" si="29"/>
        <v>0–0.2 hours</v>
      </c>
      <c r="P928" t="s">
        <v>34</v>
      </c>
    </row>
    <row r="929" spans="1:16" x14ac:dyDescent="0.4">
      <c r="A929" t="s">
        <v>970</v>
      </c>
      <c r="B929">
        <v>38</v>
      </c>
      <c r="C929" t="s">
        <v>41</v>
      </c>
      <c r="D929" t="s">
        <v>16</v>
      </c>
      <c r="E929">
        <v>3.86</v>
      </c>
      <c r="F929">
        <v>37</v>
      </c>
      <c r="G929" t="s">
        <v>49</v>
      </c>
      <c r="H929" t="s">
        <v>46</v>
      </c>
      <c r="I929" s="2">
        <v>8.99</v>
      </c>
      <c r="J929">
        <v>1</v>
      </c>
      <c r="K929" s="2">
        <f t="shared" si="28"/>
        <v>8.99</v>
      </c>
      <c r="L929" t="s">
        <v>43</v>
      </c>
      <c r="M929">
        <v>4</v>
      </c>
      <c r="N929">
        <v>0.1</v>
      </c>
      <c r="O929" t="str">
        <f t="shared" si="29"/>
        <v>0–0.2 hours</v>
      </c>
      <c r="P929" t="s">
        <v>39</v>
      </c>
    </row>
    <row r="930" spans="1:16" x14ac:dyDescent="0.4">
      <c r="A930" t="s">
        <v>971</v>
      </c>
      <c r="B930">
        <v>58</v>
      </c>
      <c r="C930" t="s">
        <v>15</v>
      </c>
      <c r="D930" t="s">
        <v>16</v>
      </c>
      <c r="E930">
        <v>14.3</v>
      </c>
      <c r="F930">
        <v>43</v>
      </c>
      <c r="G930" t="s">
        <v>49</v>
      </c>
      <c r="H930" t="s">
        <v>18</v>
      </c>
      <c r="I930" s="2">
        <v>8.99</v>
      </c>
      <c r="J930">
        <v>1</v>
      </c>
      <c r="K930" s="2">
        <f t="shared" si="28"/>
        <v>8.99</v>
      </c>
      <c r="L930" t="s">
        <v>61</v>
      </c>
      <c r="M930">
        <v>2</v>
      </c>
      <c r="N930">
        <v>0.33</v>
      </c>
      <c r="O930" t="str">
        <f t="shared" si="29"/>
        <v>0.2–0.4 hours</v>
      </c>
      <c r="P930" t="s">
        <v>30</v>
      </c>
    </row>
    <row r="931" spans="1:16" x14ac:dyDescent="0.4">
      <c r="A931" t="s">
        <v>972</v>
      </c>
      <c r="B931">
        <v>56</v>
      </c>
      <c r="C931" t="s">
        <v>15</v>
      </c>
      <c r="D931" t="s">
        <v>16</v>
      </c>
      <c r="E931">
        <v>9.1300000000000008</v>
      </c>
      <c r="F931">
        <v>11</v>
      </c>
      <c r="G931" t="s">
        <v>28</v>
      </c>
      <c r="H931" t="s">
        <v>55</v>
      </c>
      <c r="I931" s="2">
        <v>8.99</v>
      </c>
      <c r="J931">
        <v>0</v>
      </c>
      <c r="K931" s="2">
        <f t="shared" si="28"/>
        <v>0</v>
      </c>
      <c r="L931" t="s">
        <v>37</v>
      </c>
      <c r="M931">
        <v>2</v>
      </c>
      <c r="N931">
        <v>0.76</v>
      </c>
      <c r="O931" t="str">
        <f t="shared" si="29"/>
        <v>0.6–0.8 hours</v>
      </c>
      <c r="P931" t="s">
        <v>39</v>
      </c>
    </row>
    <row r="932" spans="1:16" x14ac:dyDescent="0.4">
      <c r="A932" t="s">
        <v>973</v>
      </c>
      <c r="B932">
        <v>38</v>
      </c>
      <c r="C932" t="s">
        <v>27</v>
      </c>
      <c r="D932" t="s">
        <v>32</v>
      </c>
      <c r="E932">
        <v>4.12</v>
      </c>
      <c r="F932">
        <v>54</v>
      </c>
      <c r="G932" t="s">
        <v>33</v>
      </c>
      <c r="H932" t="s">
        <v>57</v>
      </c>
      <c r="I932" s="2">
        <v>17.989999999999998</v>
      </c>
      <c r="J932">
        <v>1</v>
      </c>
      <c r="K932" s="2">
        <f t="shared" si="28"/>
        <v>17.989999999999998</v>
      </c>
      <c r="L932" t="s">
        <v>19</v>
      </c>
      <c r="M932">
        <v>1</v>
      </c>
      <c r="N932">
        <v>7.0000000000000007E-2</v>
      </c>
      <c r="O932" t="str">
        <f t="shared" si="29"/>
        <v>0–0.2 hours</v>
      </c>
      <c r="P932" t="s">
        <v>39</v>
      </c>
    </row>
    <row r="933" spans="1:16" x14ac:dyDescent="0.4">
      <c r="A933" t="s">
        <v>974</v>
      </c>
      <c r="B933">
        <v>70</v>
      </c>
      <c r="C933" t="s">
        <v>15</v>
      </c>
      <c r="D933" t="s">
        <v>22</v>
      </c>
      <c r="E933">
        <v>6.17</v>
      </c>
      <c r="F933">
        <v>25</v>
      </c>
      <c r="G933" t="s">
        <v>33</v>
      </c>
      <c r="H933" t="s">
        <v>24</v>
      </c>
      <c r="I933" s="2">
        <v>13.99</v>
      </c>
      <c r="J933">
        <v>0</v>
      </c>
      <c r="K933" s="2">
        <f t="shared" si="28"/>
        <v>0</v>
      </c>
      <c r="L933" t="s">
        <v>61</v>
      </c>
      <c r="M933">
        <v>2</v>
      </c>
      <c r="N933">
        <v>0.24</v>
      </c>
      <c r="O933" t="str">
        <f t="shared" si="29"/>
        <v>0.2–0.4 hours</v>
      </c>
      <c r="P933" t="s">
        <v>30</v>
      </c>
    </row>
    <row r="934" spans="1:16" x14ac:dyDescent="0.4">
      <c r="A934" t="s">
        <v>975</v>
      </c>
      <c r="B934">
        <v>61</v>
      </c>
      <c r="C934" t="s">
        <v>15</v>
      </c>
      <c r="D934" t="s">
        <v>32</v>
      </c>
      <c r="E934">
        <v>19.93</v>
      </c>
      <c r="F934">
        <v>59</v>
      </c>
      <c r="G934" t="s">
        <v>70</v>
      </c>
      <c r="H934" t="s">
        <v>46</v>
      </c>
      <c r="I934" s="2">
        <v>17.989999999999998</v>
      </c>
      <c r="J934">
        <v>1</v>
      </c>
      <c r="K934" s="2">
        <f t="shared" si="28"/>
        <v>17.989999999999998</v>
      </c>
      <c r="L934" t="s">
        <v>61</v>
      </c>
      <c r="M934">
        <v>1</v>
      </c>
      <c r="N934">
        <v>0.33</v>
      </c>
      <c r="O934" t="str">
        <f t="shared" si="29"/>
        <v>0.2–0.4 hours</v>
      </c>
      <c r="P934" t="s">
        <v>20</v>
      </c>
    </row>
    <row r="935" spans="1:16" x14ac:dyDescent="0.4">
      <c r="A935" t="s">
        <v>976</v>
      </c>
      <c r="B935">
        <v>53</v>
      </c>
      <c r="C935" t="s">
        <v>27</v>
      </c>
      <c r="D935" t="s">
        <v>16</v>
      </c>
      <c r="E935">
        <v>7.94</v>
      </c>
      <c r="F935">
        <v>12</v>
      </c>
      <c r="G935" t="s">
        <v>23</v>
      </c>
      <c r="H935" t="s">
        <v>24</v>
      </c>
      <c r="I935" s="2">
        <v>8.99</v>
      </c>
      <c r="J935">
        <v>0</v>
      </c>
      <c r="K935" s="2">
        <f t="shared" si="28"/>
        <v>0</v>
      </c>
      <c r="L935" t="s">
        <v>43</v>
      </c>
      <c r="M935">
        <v>1</v>
      </c>
      <c r="N935">
        <v>0.61</v>
      </c>
      <c r="O935" t="str">
        <f t="shared" si="29"/>
        <v>0.6–0.8 hours</v>
      </c>
      <c r="P935" t="s">
        <v>52</v>
      </c>
    </row>
    <row r="936" spans="1:16" x14ac:dyDescent="0.4">
      <c r="A936" t="s">
        <v>977</v>
      </c>
      <c r="B936">
        <v>53</v>
      </c>
      <c r="C936" t="s">
        <v>41</v>
      </c>
      <c r="D936" t="s">
        <v>32</v>
      </c>
      <c r="E936">
        <v>2.72</v>
      </c>
      <c r="F936">
        <v>8</v>
      </c>
      <c r="G936" t="s">
        <v>28</v>
      </c>
      <c r="H936" t="s">
        <v>55</v>
      </c>
      <c r="I936" s="2">
        <v>17.989999999999998</v>
      </c>
      <c r="J936">
        <v>1</v>
      </c>
      <c r="K936" s="2">
        <f t="shared" si="28"/>
        <v>17.989999999999998</v>
      </c>
      <c r="L936" t="s">
        <v>29</v>
      </c>
      <c r="M936">
        <v>1</v>
      </c>
      <c r="N936">
        <v>0.3</v>
      </c>
      <c r="O936" t="str">
        <f t="shared" si="29"/>
        <v>0.2–0.4 hours</v>
      </c>
      <c r="P936" t="s">
        <v>39</v>
      </c>
    </row>
    <row r="937" spans="1:16" x14ac:dyDescent="0.4">
      <c r="A937" t="s">
        <v>978</v>
      </c>
      <c r="B937">
        <v>58</v>
      </c>
      <c r="C937" t="s">
        <v>27</v>
      </c>
      <c r="D937" t="s">
        <v>22</v>
      </c>
      <c r="E937">
        <v>17.989999999999998</v>
      </c>
      <c r="F937">
        <v>8</v>
      </c>
      <c r="G937" t="s">
        <v>49</v>
      </c>
      <c r="H937" t="s">
        <v>18</v>
      </c>
      <c r="I937" s="2">
        <v>13.99</v>
      </c>
      <c r="J937">
        <v>0</v>
      </c>
      <c r="K937" s="2">
        <f t="shared" si="28"/>
        <v>0</v>
      </c>
      <c r="L937" t="s">
        <v>37</v>
      </c>
      <c r="M937">
        <v>1</v>
      </c>
      <c r="N937">
        <v>2</v>
      </c>
      <c r="O937" t="str">
        <f t="shared" si="29"/>
        <v>1+ hours</v>
      </c>
      <c r="P937" t="s">
        <v>30</v>
      </c>
    </row>
    <row r="938" spans="1:16" x14ac:dyDescent="0.4">
      <c r="A938" t="s">
        <v>979</v>
      </c>
      <c r="B938">
        <v>19</v>
      </c>
      <c r="C938" t="s">
        <v>27</v>
      </c>
      <c r="D938" t="s">
        <v>22</v>
      </c>
      <c r="E938">
        <v>0.17</v>
      </c>
      <c r="F938">
        <v>34</v>
      </c>
      <c r="G938" t="s">
        <v>23</v>
      </c>
      <c r="H938" t="s">
        <v>46</v>
      </c>
      <c r="I938" s="2">
        <v>13.99</v>
      </c>
      <c r="J938">
        <v>1</v>
      </c>
      <c r="K938" s="2">
        <f t="shared" si="28"/>
        <v>13.99</v>
      </c>
      <c r="L938" t="s">
        <v>19</v>
      </c>
      <c r="M938">
        <v>3</v>
      </c>
      <c r="N938">
        <v>0</v>
      </c>
      <c r="O938" t="str">
        <f t="shared" si="29"/>
        <v>0–0.2 hours</v>
      </c>
      <c r="P938" t="s">
        <v>39</v>
      </c>
    </row>
    <row r="939" spans="1:16" x14ac:dyDescent="0.4">
      <c r="A939" t="s">
        <v>980</v>
      </c>
      <c r="B939">
        <v>47</v>
      </c>
      <c r="C939" t="s">
        <v>27</v>
      </c>
      <c r="D939" t="s">
        <v>16</v>
      </c>
      <c r="E939">
        <v>6.51</v>
      </c>
      <c r="F939">
        <v>58</v>
      </c>
      <c r="G939" t="s">
        <v>28</v>
      </c>
      <c r="H939" t="s">
        <v>46</v>
      </c>
      <c r="I939" s="2">
        <v>8.99</v>
      </c>
      <c r="J939">
        <v>1</v>
      </c>
      <c r="K939" s="2">
        <f t="shared" si="28"/>
        <v>8.99</v>
      </c>
      <c r="L939" t="s">
        <v>19</v>
      </c>
      <c r="M939">
        <v>5</v>
      </c>
      <c r="N939">
        <v>0.11</v>
      </c>
      <c r="O939" t="str">
        <f t="shared" si="29"/>
        <v>0–0.2 hours</v>
      </c>
      <c r="P939" t="s">
        <v>52</v>
      </c>
    </row>
    <row r="940" spans="1:16" x14ac:dyDescent="0.4">
      <c r="A940" t="s">
        <v>981</v>
      </c>
      <c r="B940">
        <v>19</v>
      </c>
      <c r="C940" t="s">
        <v>15</v>
      </c>
      <c r="D940" t="s">
        <v>32</v>
      </c>
      <c r="E940">
        <v>0.24</v>
      </c>
      <c r="F940">
        <v>4</v>
      </c>
      <c r="G940" t="s">
        <v>33</v>
      </c>
      <c r="H940" t="s">
        <v>55</v>
      </c>
      <c r="I940" s="2">
        <v>17.989999999999998</v>
      </c>
      <c r="J940">
        <v>0</v>
      </c>
      <c r="K940" s="2">
        <f t="shared" si="28"/>
        <v>0</v>
      </c>
      <c r="L940" t="s">
        <v>19</v>
      </c>
      <c r="M940">
        <v>4</v>
      </c>
      <c r="N940">
        <v>0.05</v>
      </c>
      <c r="O940" t="str">
        <f t="shared" si="29"/>
        <v>0–0.2 hours</v>
      </c>
      <c r="P940" t="s">
        <v>25</v>
      </c>
    </row>
    <row r="941" spans="1:16" x14ac:dyDescent="0.4">
      <c r="A941" t="s">
        <v>982</v>
      </c>
      <c r="B941">
        <v>67</v>
      </c>
      <c r="C941" t="s">
        <v>15</v>
      </c>
      <c r="D941" t="s">
        <v>22</v>
      </c>
      <c r="E941">
        <v>15.34</v>
      </c>
      <c r="F941">
        <v>39</v>
      </c>
      <c r="G941" t="s">
        <v>70</v>
      </c>
      <c r="H941" t="s">
        <v>46</v>
      </c>
      <c r="I941" s="2">
        <v>13.99</v>
      </c>
      <c r="J941">
        <v>1</v>
      </c>
      <c r="K941" s="2">
        <f t="shared" si="28"/>
        <v>13.99</v>
      </c>
      <c r="L941" t="s">
        <v>61</v>
      </c>
      <c r="M941">
        <v>2</v>
      </c>
      <c r="N941">
        <v>0.38</v>
      </c>
      <c r="O941" t="str">
        <f t="shared" si="29"/>
        <v>0.2–0.4 hours</v>
      </c>
      <c r="P941" t="s">
        <v>34</v>
      </c>
    </row>
    <row r="942" spans="1:16" x14ac:dyDescent="0.4">
      <c r="A942" t="s">
        <v>983</v>
      </c>
      <c r="B942">
        <v>47</v>
      </c>
      <c r="C942" t="s">
        <v>27</v>
      </c>
      <c r="D942" t="s">
        <v>16</v>
      </c>
      <c r="E942">
        <v>16.29</v>
      </c>
      <c r="F942">
        <v>57</v>
      </c>
      <c r="G942" t="s">
        <v>70</v>
      </c>
      <c r="H942" t="s">
        <v>57</v>
      </c>
      <c r="I942" s="2">
        <v>8.99</v>
      </c>
      <c r="J942">
        <v>1</v>
      </c>
      <c r="K942" s="2">
        <f t="shared" si="28"/>
        <v>8.99</v>
      </c>
      <c r="L942" t="s">
        <v>61</v>
      </c>
      <c r="M942">
        <v>3</v>
      </c>
      <c r="N942">
        <v>0.28000000000000003</v>
      </c>
      <c r="O942" t="str">
        <f t="shared" si="29"/>
        <v>0.2–0.4 hours</v>
      </c>
      <c r="P942" t="s">
        <v>34</v>
      </c>
    </row>
    <row r="943" spans="1:16" x14ac:dyDescent="0.4">
      <c r="A943" t="s">
        <v>984</v>
      </c>
      <c r="B943">
        <v>25</v>
      </c>
      <c r="C943" t="s">
        <v>15</v>
      </c>
      <c r="D943" t="s">
        <v>16</v>
      </c>
      <c r="E943">
        <v>35.36</v>
      </c>
      <c r="F943">
        <v>34</v>
      </c>
      <c r="G943" t="s">
        <v>33</v>
      </c>
      <c r="H943" t="s">
        <v>57</v>
      </c>
      <c r="I943" s="2">
        <v>8.99</v>
      </c>
      <c r="J943">
        <v>0</v>
      </c>
      <c r="K943" s="2">
        <f t="shared" si="28"/>
        <v>0</v>
      </c>
      <c r="L943" t="s">
        <v>29</v>
      </c>
      <c r="M943">
        <v>5</v>
      </c>
      <c r="N943">
        <v>1.01</v>
      </c>
      <c r="O943" t="str">
        <f t="shared" si="29"/>
        <v>1+ hours</v>
      </c>
      <c r="P943" t="s">
        <v>25</v>
      </c>
    </row>
    <row r="944" spans="1:16" x14ac:dyDescent="0.4">
      <c r="A944" t="s">
        <v>985</v>
      </c>
      <c r="B944">
        <v>59</v>
      </c>
      <c r="C944" t="s">
        <v>27</v>
      </c>
      <c r="D944" t="s">
        <v>22</v>
      </c>
      <c r="E944">
        <v>20.89</v>
      </c>
      <c r="F944">
        <v>27</v>
      </c>
      <c r="G944" t="s">
        <v>17</v>
      </c>
      <c r="H944" t="s">
        <v>46</v>
      </c>
      <c r="I944" s="2">
        <v>13.99</v>
      </c>
      <c r="J944">
        <v>0</v>
      </c>
      <c r="K944" s="2">
        <f t="shared" si="28"/>
        <v>0</v>
      </c>
      <c r="L944" t="s">
        <v>37</v>
      </c>
      <c r="M944">
        <v>2</v>
      </c>
      <c r="N944">
        <v>0.75</v>
      </c>
      <c r="O944" t="str">
        <f t="shared" si="29"/>
        <v>0.6–0.8 hours</v>
      </c>
      <c r="P944" t="s">
        <v>34</v>
      </c>
    </row>
    <row r="945" spans="1:16" x14ac:dyDescent="0.4">
      <c r="A945" t="s">
        <v>986</v>
      </c>
      <c r="B945">
        <v>39</v>
      </c>
      <c r="C945" t="s">
        <v>15</v>
      </c>
      <c r="D945" t="s">
        <v>32</v>
      </c>
      <c r="E945">
        <v>1.83</v>
      </c>
      <c r="F945">
        <v>12</v>
      </c>
      <c r="G945" t="s">
        <v>17</v>
      </c>
      <c r="H945" t="s">
        <v>24</v>
      </c>
      <c r="I945" s="2">
        <v>17.989999999999998</v>
      </c>
      <c r="J945">
        <v>1</v>
      </c>
      <c r="K945" s="2">
        <f t="shared" si="28"/>
        <v>17.989999999999998</v>
      </c>
      <c r="L945" t="s">
        <v>61</v>
      </c>
      <c r="M945">
        <v>3</v>
      </c>
      <c r="N945">
        <v>0.14000000000000001</v>
      </c>
      <c r="O945" t="str">
        <f t="shared" si="29"/>
        <v>0–0.2 hours</v>
      </c>
      <c r="P945" t="s">
        <v>39</v>
      </c>
    </row>
    <row r="946" spans="1:16" x14ac:dyDescent="0.4">
      <c r="A946" t="s">
        <v>987</v>
      </c>
      <c r="B946">
        <v>27</v>
      </c>
      <c r="C946" t="s">
        <v>15</v>
      </c>
      <c r="D946" t="s">
        <v>16</v>
      </c>
      <c r="E946">
        <v>65.86</v>
      </c>
      <c r="F946">
        <v>40</v>
      </c>
      <c r="G946" t="s">
        <v>23</v>
      </c>
      <c r="H946" t="s">
        <v>24</v>
      </c>
      <c r="I946" s="2">
        <v>8.99</v>
      </c>
      <c r="J946">
        <v>0</v>
      </c>
      <c r="K946" s="2">
        <f t="shared" si="28"/>
        <v>0</v>
      </c>
      <c r="L946" t="s">
        <v>37</v>
      </c>
      <c r="M946">
        <v>5</v>
      </c>
      <c r="N946">
        <v>1.61</v>
      </c>
      <c r="O946" t="str">
        <f t="shared" si="29"/>
        <v>1+ hours</v>
      </c>
      <c r="P946" t="s">
        <v>25</v>
      </c>
    </row>
    <row r="947" spans="1:16" x14ac:dyDescent="0.4">
      <c r="A947" t="s">
        <v>988</v>
      </c>
      <c r="B947">
        <v>68</v>
      </c>
      <c r="C947" t="s">
        <v>15</v>
      </c>
      <c r="D947" t="s">
        <v>32</v>
      </c>
      <c r="E947">
        <v>38.25</v>
      </c>
      <c r="F947">
        <v>16</v>
      </c>
      <c r="G947" t="s">
        <v>49</v>
      </c>
      <c r="H947" t="s">
        <v>55</v>
      </c>
      <c r="I947" s="2">
        <v>17.989999999999998</v>
      </c>
      <c r="J947">
        <v>0</v>
      </c>
      <c r="K947" s="2">
        <f t="shared" si="28"/>
        <v>0</v>
      </c>
      <c r="L947" t="s">
        <v>61</v>
      </c>
      <c r="M947">
        <v>3</v>
      </c>
      <c r="N947">
        <v>2.25</v>
      </c>
      <c r="O947" t="str">
        <f t="shared" si="29"/>
        <v>1+ hours</v>
      </c>
      <c r="P947" t="s">
        <v>25</v>
      </c>
    </row>
    <row r="948" spans="1:16" x14ac:dyDescent="0.4">
      <c r="A948" t="s">
        <v>989</v>
      </c>
      <c r="B948">
        <v>26</v>
      </c>
      <c r="C948" t="s">
        <v>15</v>
      </c>
      <c r="D948" t="s">
        <v>22</v>
      </c>
      <c r="E948">
        <v>24.14</v>
      </c>
      <c r="F948">
        <v>18</v>
      </c>
      <c r="G948" t="s">
        <v>33</v>
      </c>
      <c r="H948" t="s">
        <v>46</v>
      </c>
      <c r="I948" s="2">
        <v>13.99</v>
      </c>
      <c r="J948">
        <v>0</v>
      </c>
      <c r="K948" s="2">
        <f t="shared" si="28"/>
        <v>0</v>
      </c>
      <c r="L948" t="s">
        <v>37</v>
      </c>
      <c r="M948">
        <v>1</v>
      </c>
      <c r="N948">
        <v>1.27</v>
      </c>
      <c r="O948" t="str">
        <f t="shared" si="29"/>
        <v>1+ hours</v>
      </c>
      <c r="P948" t="s">
        <v>34</v>
      </c>
    </row>
    <row r="949" spans="1:16" x14ac:dyDescent="0.4">
      <c r="A949" t="s">
        <v>990</v>
      </c>
      <c r="B949">
        <v>49</v>
      </c>
      <c r="C949" t="s">
        <v>27</v>
      </c>
      <c r="D949" t="s">
        <v>22</v>
      </c>
      <c r="E949">
        <v>10.83</v>
      </c>
      <c r="F949">
        <v>56</v>
      </c>
      <c r="G949" t="s">
        <v>23</v>
      </c>
      <c r="H949" t="s">
        <v>24</v>
      </c>
      <c r="I949" s="2">
        <v>13.99</v>
      </c>
      <c r="J949">
        <v>1</v>
      </c>
      <c r="K949" s="2">
        <f t="shared" si="28"/>
        <v>13.99</v>
      </c>
      <c r="L949" t="s">
        <v>19</v>
      </c>
      <c r="M949">
        <v>1</v>
      </c>
      <c r="N949">
        <v>0.19</v>
      </c>
      <c r="O949" t="str">
        <f t="shared" si="29"/>
        <v>0–0.2 hours</v>
      </c>
      <c r="P949" t="s">
        <v>25</v>
      </c>
    </row>
    <row r="950" spans="1:16" x14ac:dyDescent="0.4">
      <c r="A950" t="s">
        <v>991</v>
      </c>
      <c r="B950">
        <v>41</v>
      </c>
      <c r="C950" t="s">
        <v>15</v>
      </c>
      <c r="D950" t="s">
        <v>16</v>
      </c>
      <c r="E950">
        <v>9.25</v>
      </c>
      <c r="F950">
        <v>47</v>
      </c>
      <c r="G950" t="s">
        <v>33</v>
      </c>
      <c r="H950" t="s">
        <v>55</v>
      </c>
      <c r="I950" s="2">
        <v>8.99</v>
      </c>
      <c r="J950">
        <v>1</v>
      </c>
      <c r="K950" s="2">
        <f t="shared" si="28"/>
        <v>8.99</v>
      </c>
      <c r="L950" t="s">
        <v>37</v>
      </c>
      <c r="M950">
        <v>5</v>
      </c>
      <c r="N950">
        <v>0.19</v>
      </c>
      <c r="O950" t="str">
        <f t="shared" si="29"/>
        <v>0–0.2 hours</v>
      </c>
      <c r="P950" t="s">
        <v>30</v>
      </c>
    </row>
    <row r="951" spans="1:16" x14ac:dyDescent="0.4">
      <c r="A951" t="s">
        <v>992</v>
      </c>
      <c r="B951">
        <v>27</v>
      </c>
      <c r="C951" t="s">
        <v>41</v>
      </c>
      <c r="D951" t="s">
        <v>22</v>
      </c>
      <c r="E951">
        <v>0.43</v>
      </c>
      <c r="F951">
        <v>27</v>
      </c>
      <c r="G951" t="s">
        <v>23</v>
      </c>
      <c r="H951" t="s">
        <v>46</v>
      </c>
      <c r="I951" s="2">
        <v>13.99</v>
      </c>
      <c r="J951">
        <v>1</v>
      </c>
      <c r="K951" s="2">
        <f t="shared" si="28"/>
        <v>13.99</v>
      </c>
      <c r="L951" t="s">
        <v>43</v>
      </c>
      <c r="M951">
        <v>2</v>
      </c>
      <c r="N951">
        <v>0.02</v>
      </c>
      <c r="O951" t="str">
        <f t="shared" si="29"/>
        <v>0–0.2 hours</v>
      </c>
      <c r="P951" t="s">
        <v>25</v>
      </c>
    </row>
    <row r="952" spans="1:16" x14ac:dyDescent="0.4">
      <c r="A952" t="s">
        <v>993</v>
      </c>
      <c r="B952">
        <v>20</v>
      </c>
      <c r="C952" t="s">
        <v>41</v>
      </c>
      <c r="D952" t="s">
        <v>22</v>
      </c>
      <c r="E952">
        <v>41.67</v>
      </c>
      <c r="F952">
        <v>44</v>
      </c>
      <c r="G952" t="s">
        <v>33</v>
      </c>
      <c r="H952" t="s">
        <v>57</v>
      </c>
      <c r="I952" s="2">
        <v>13.99</v>
      </c>
      <c r="J952">
        <v>0</v>
      </c>
      <c r="K952" s="2">
        <f t="shared" si="28"/>
        <v>0</v>
      </c>
      <c r="L952" t="s">
        <v>37</v>
      </c>
      <c r="M952">
        <v>2</v>
      </c>
      <c r="N952">
        <v>0.93</v>
      </c>
      <c r="O952" t="str">
        <f t="shared" si="29"/>
        <v>0.8–1 hour</v>
      </c>
      <c r="P952" t="s">
        <v>25</v>
      </c>
    </row>
    <row r="953" spans="1:16" x14ac:dyDescent="0.4">
      <c r="A953" t="s">
        <v>994</v>
      </c>
      <c r="B953">
        <v>51</v>
      </c>
      <c r="C953" t="s">
        <v>15</v>
      </c>
      <c r="D953" t="s">
        <v>32</v>
      </c>
      <c r="E953">
        <v>8</v>
      </c>
      <c r="F953">
        <v>11</v>
      </c>
      <c r="G953" t="s">
        <v>49</v>
      </c>
      <c r="H953" t="s">
        <v>18</v>
      </c>
      <c r="I953" s="2">
        <v>17.989999999999998</v>
      </c>
      <c r="J953">
        <v>0</v>
      </c>
      <c r="K953" s="2">
        <f t="shared" si="28"/>
        <v>0</v>
      </c>
      <c r="L953" t="s">
        <v>29</v>
      </c>
      <c r="M953">
        <v>1</v>
      </c>
      <c r="N953">
        <v>0.67</v>
      </c>
      <c r="O953" t="str">
        <f t="shared" si="29"/>
        <v>0.6–0.8 hours</v>
      </c>
      <c r="P953" t="s">
        <v>25</v>
      </c>
    </row>
    <row r="954" spans="1:16" x14ac:dyDescent="0.4">
      <c r="A954" t="s">
        <v>995</v>
      </c>
      <c r="B954">
        <v>32</v>
      </c>
      <c r="C954" t="s">
        <v>15</v>
      </c>
      <c r="D954" t="s">
        <v>22</v>
      </c>
      <c r="E954">
        <v>21.32</v>
      </c>
      <c r="F954">
        <v>13</v>
      </c>
      <c r="G954" t="s">
        <v>28</v>
      </c>
      <c r="H954" t="s">
        <v>57</v>
      </c>
      <c r="I954" s="2">
        <v>13.99</v>
      </c>
      <c r="J954">
        <v>0</v>
      </c>
      <c r="K954" s="2">
        <f t="shared" si="28"/>
        <v>0</v>
      </c>
      <c r="L954" t="s">
        <v>29</v>
      </c>
      <c r="M954">
        <v>5</v>
      </c>
      <c r="N954">
        <v>1.52</v>
      </c>
      <c r="O954" t="str">
        <f t="shared" si="29"/>
        <v>1+ hours</v>
      </c>
      <c r="P954" t="s">
        <v>25</v>
      </c>
    </row>
    <row r="955" spans="1:16" x14ac:dyDescent="0.4">
      <c r="A955" t="s">
        <v>996</v>
      </c>
      <c r="B955">
        <v>23</v>
      </c>
      <c r="C955" t="s">
        <v>27</v>
      </c>
      <c r="D955" t="s">
        <v>22</v>
      </c>
      <c r="E955">
        <v>31.27</v>
      </c>
      <c r="F955">
        <v>10</v>
      </c>
      <c r="G955" t="s">
        <v>33</v>
      </c>
      <c r="H955" t="s">
        <v>24</v>
      </c>
      <c r="I955" s="2">
        <v>13.99</v>
      </c>
      <c r="J955">
        <v>0</v>
      </c>
      <c r="K955" s="2">
        <f t="shared" si="28"/>
        <v>0</v>
      </c>
      <c r="L955" t="s">
        <v>37</v>
      </c>
      <c r="M955">
        <v>4</v>
      </c>
      <c r="N955">
        <v>2.84</v>
      </c>
      <c r="O955" t="str">
        <f t="shared" si="29"/>
        <v>1+ hours</v>
      </c>
      <c r="P955" t="s">
        <v>30</v>
      </c>
    </row>
    <row r="956" spans="1:16" x14ac:dyDescent="0.4">
      <c r="A956" t="s">
        <v>997</v>
      </c>
      <c r="B956">
        <v>60</v>
      </c>
      <c r="C956" t="s">
        <v>41</v>
      </c>
      <c r="D956" t="s">
        <v>22</v>
      </c>
      <c r="E956">
        <v>14.57</v>
      </c>
      <c r="F956">
        <v>40</v>
      </c>
      <c r="G956" t="s">
        <v>17</v>
      </c>
      <c r="H956" t="s">
        <v>18</v>
      </c>
      <c r="I956" s="2">
        <v>13.99</v>
      </c>
      <c r="J956">
        <v>1</v>
      </c>
      <c r="K956" s="2">
        <f t="shared" si="28"/>
        <v>13.99</v>
      </c>
      <c r="L956" t="s">
        <v>19</v>
      </c>
      <c r="M956">
        <v>4</v>
      </c>
      <c r="N956">
        <v>0.36</v>
      </c>
      <c r="O956" t="str">
        <f t="shared" si="29"/>
        <v>0.2–0.4 hours</v>
      </c>
      <c r="P956" t="s">
        <v>39</v>
      </c>
    </row>
    <row r="957" spans="1:16" x14ac:dyDescent="0.4">
      <c r="A957" t="s">
        <v>998</v>
      </c>
      <c r="B957">
        <v>39</v>
      </c>
      <c r="C957" t="s">
        <v>15</v>
      </c>
      <c r="D957" t="s">
        <v>22</v>
      </c>
      <c r="E957">
        <v>8.27</v>
      </c>
      <c r="F957">
        <v>36</v>
      </c>
      <c r="G957" t="s">
        <v>49</v>
      </c>
      <c r="H957" t="s">
        <v>46</v>
      </c>
      <c r="I957" s="2">
        <v>13.99</v>
      </c>
      <c r="J957">
        <v>1</v>
      </c>
      <c r="K957" s="2">
        <f t="shared" si="28"/>
        <v>13.99</v>
      </c>
      <c r="L957" t="s">
        <v>19</v>
      </c>
      <c r="M957">
        <v>2</v>
      </c>
      <c r="N957">
        <v>0.22</v>
      </c>
      <c r="O957" t="str">
        <f t="shared" si="29"/>
        <v>0.2–0.4 hours</v>
      </c>
      <c r="P957" t="s">
        <v>52</v>
      </c>
    </row>
    <row r="958" spans="1:16" x14ac:dyDescent="0.4">
      <c r="A958" t="s">
        <v>999</v>
      </c>
      <c r="B958">
        <v>70</v>
      </c>
      <c r="C958" t="s">
        <v>41</v>
      </c>
      <c r="D958" t="s">
        <v>16</v>
      </c>
      <c r="E958">
        <v>5.45</v>
      </c>
      <c r="F958">
        <v>42</v>
      </c>
      <c r="G958" t="s">
        <v>49</v>
      </c>
      <c r="H958" t="s">
        <v>24</v>
      </c>
      <c r="I958" s="2">
        <v>8.99</v>
      </c>
      <c r="J958">
        <v>1</v>
      </c>
      <c r="K958" s="2">
        <f t="shared" si="28"/>
        <v>8.99</v>
      </c>
      <c r="L958" t="s">
        <v>19</v>
      </c>
      <c r="M958">
        <v>5</v>
      </c>
      <c r="N958">
        <v>0.13</v>
      </c>
      <c r="O958" t="str">
        <f t="shared" si="29"/>
        <v>0–0.2 hours</v>
      </c>
      <c r="P958" t="s">
        <v>30</v>
      </c>
    </row>
    <row r="959" spans="1:16" x14ac:dyDescent="0.4">
      <c r="A959" t="s">
        <v>1000</v>
      </c>
      <c r="B959">
        <v>34</v>
      </c>
      <c r="C959" t="s">
        <v>41</v>
      </c>
      <c r="D959" t="s">
        <v>22</v>
      </c>
      <c r="E959">
        <v>22.28</v>
      </c>
      <c r="F959">
        <v>51</v>
      </c>
      <c r="G959" t="s">
        <v>49</v>
      </c>
      <c r="H959" t="s">
        <v>24</v>
      </c>
      <c r="I959" s="2">
        <v>13.99</v>
      </c>
      <c r="J959">
        <v>0</v>
      </c>
      <c r="K959" s="2">
        <f t="shared" si="28"/>
        <v>0</v>
      </c>
      <c r="L959" t="s">
        <v>43</v>
      </c>
      <c r="M959">
        <v>1</v>
      </c>
      <c r="N959">
        <v>0.43</v>
      </c>
      <c r="O959" t="str">
        <f t="shared" si="29"/>
        <v>0.4–0.6 hours</v>
      </c>
      <c r="P959" t="s">
        <v>30</v>
      </c>
    </row>
    <row r="960" spans="1:16" x14ac:dyDescent="0.4">
      <c r="A960" t="s">
        <v>1001</v>
      </c>
      <c r="B960">
        <v>42</v>
      </c>
      <c r="C960" t="s">
        <v>41</v>
      </c>
      <c r="D960" t="s">
        <v>16</v>
      </c>
      <c r="E960">
        <v>14.77</v>
      </c>
      <c r="F960">
        <v>29</v>
      </c>
      <c r="G960" t="s">
        <v>23</v>
      </c>
      <c r="H960" t="s">
        <v>24</v>
      </c>
      <c r="I960" s="2">
        <v>8.99</v>
      </c>
      <c r="J960">
        <v>1</v>
      </c>
      <c r="K960" s="2">
        <f t="shared" si="28"/>
        <v>8.99</v>
      </c>
      <c r="L960" t="s">
        <v>19</v>
      </c>
      <c r="M960">
        <v>3</v>
      </c>
      <c r="N960">
        <v>0.49</v>
      </c>
      <c r="O960" t="str">
        <f t="shared" si="29"/>
        <v>0.4–0.6 hours</v>
      </c>
      <c r="P960" t="s">
        <v>34</v>
      </c>
    </row>
    <row r="961" spans="1:16" x14ac:dyDescent="0.4">
      <c r="A961" t="s">
        <v>1002</v>
      </c>
      <c r="B961">
        <v>32</v>
      </c>
      <c r="C961" t="s">
        <v>27</v>
      </c>
      <c r="D961" t="s">
        <v>22</v>
      </c>
      <c r="E961">
        <v>2.34</v>
      </c>
      <c r="F961">
        <v>32</v>
      </c>
      <c r="G961" t="s">
        <v>33</v>
      </c>
      <c r="H961" t="s">
        <v>24</v>
      </c>
      <c r="I961" s="2">
        <v>13.99</v>
      </c>
      <c r="J961">
        <v>1</v>
      </c>
      <c r="K961" s="2">
        <f t="shared" si="28"/>
        <v>13.99</v>
      </c>
      <c r="L961" t="s">
        <v>29</v>
      </c>
      <c r="M961">
        <v>5</v>
      </c>
      <c r="N961">
        <v>7.0000000000000007E-2</v>
      </c>
      <c r="O961" t="str">
        <f t="shared" si="29"/>
        <v>0–0.2 hours</v>
      </c>
      <c r="P961" t="s">
        <v>20</v>
      </c>
    </row>
    <row r="962" spans="1:16" x14ac:dyDescent="0.4">
      <c r="A962" t="s">
        <v>1003</v>
      </c>
      <c r="B962">
        <v>50</v>
      </c>
      <c r="C962" t="s">
        <v>15</v>
      </c>
      <c r="D962" t="s">
        <v>32</v>
      </c>
      <c r="E962">
        <v>21.92</v>
      </c>
      <c r="F962">
        <v>6</v>
      </c>
      <c r="G962" t="s">
        <v>28</v>
      </c>
      <c r="H962" t="s">
        <v>24</v>
      </c>
      <c r="I962" s="2">
        <v>17.989999999999998</v>
      </c>
      <c r="J962">
        <v>0</v>
      </c>
      <c r="K962" s="2">
        <f t="shared" si="28"/>
        <v>0</v>
      </c>
      <c r="L962" t="s">
        <v>43</v>
      </c>
      <c r="M962">
        <v>1</v>
      </c>
      <c r="N962">
        <v>3.13</v>
      </c>
      <c r="O962" t="str">
        <f t="shared" si="29"/>
        <v>1+ hours</v>
      </c>
      <c r="P962" t="s">
        <v>52</v>
      </c>
    </row>
    <row r="963" spans="1:16" x14ac:dyDescent="0.4">
      <c r="A963" t="s">
        <v>1004</v>
      </c>
      <c r="B963">
        <v>26</v>
      </c>
      <c r="C963" t="s">
        <v>41</v>
      </c>
      <c r="D963" t="s">
        <v>22</v>
      </c>
      <c r="E963">
        <v>2.48</v>
      </c>
      <c r="F963">
        <v>56</v>
      </c>
      <c r="G963" t="s">
        <v>28</v>
      </c>
      <c r="H963" t="s">
        <v>46</v>
      </c>
      <c r="I963" s="2">
        <v>13.99</v>
      </c>
      <c r="J963">
        <v>1</v>
      </c>
      <c r="K963" s="2">
        <f t="shared" ref="K963:K1026" si="30">SUMIF(J963,1,I963)</f>
        <v>13.99</v>
      </c>
      <c r="L963" t="s">
        <v>61</v>
      </c>
      <c r="M963">
        <v>4</v>
      </c>
      <c r="N963">
        <v>0.04</v>
      </c>
      <c r="O963" t="str">
        <f t="shared" ref="O963:O1026" si="31">IF(N963&gt;1,"1+ hours",IF(N963&lt;=0.2,"0–0.2 hours",IF(N963&lt;=0.4,"0.2–0.4 hours",IF(N963&lt;=0.6,"0.4–0.6 hours",IF(N963&lt;=0.8,"0.6–0.8 hours","0.8–1 hour")))))</f>
        <v>0–0.2 hours</v>
      </c>
      <c r="P963" t="s">
        <v>52</v>
      </c>
    </row>
    <row r="964" spans="1:16" x14ac:dyDescent="0.4">
      <c r="A964" t="s">
        <v>1005</v>
      </c>
      <c r="B964">
        <v>29</v>
      </c>
      <c r="C964" t="s">
        <v>15</v>
      </c>
      <c r="D964" t="s">
        <v>32</v>
      </c>
      <c r="E964">
        <v>16.41</v>
      </c>
      <c r="F964">
        <v>25</v>
      </c>
      <c r="G964" t="s">
        <v>49</v>
      </c>
      <c r="H964" t="s">
        <v>24</v>
      </c>
      <c r="I964" s="2">
        <v>17.989999999999998</v>
      </c>
      <c r="J964">
        <v>0</v>
      </c>
      <c r="K964" s="2">
        <f t="shared" si="30"/>
        <v>0</v>
      </c>
      <c r="L964" t="s">
        <v>43</v>
      </c>
      <c r="M964">
        <v>5</v>
      </c>
      <c r="N964">
        <v>0.63</v>
      </c>
      <c r="O964" t="str">
        <f t="shared" si="31"/>
        <v>0.6–0.8 hours</v>
      </c>
      <c r="P964" t="s">
        <v>30</v>
      </c>
    </row>
    <row r="965" spans="1:16" x14ac:dyDescent="0.4">
      <c r="A965" t="s">
        <v>1006</v>
      </c>
      <c r="B965">
        <v>60</v>
      </c>
      <c r="C965" t="s">
        <v>27</v>
      </c>
      <c r="D965" t="s">
        <v>22</v>
      </c>
      <c r="E965">
        <v>9.16</v>
      </c>
      <c r="F965">
        <v>37</v>
      </c>
      <c r="G965" t="s">
        <v>70</v>
      </c>
      <c r="H965" t="s">
        <v>57</v>
      </c>
      <c r="I965" s="2">
        <v>13.99</v>
      </c>
      <c r="J965">
        <v>1</v>
      </c>
      <c r="K965" s="2">
        <f t="shared" si="30"/>
        <v>13.99</v>
      </c>
      <c r="L965" t="s">
        <v>19</v>
      </c>
      <c r="M965">
        <v>5</v>
      </c>
      <c r="N965">
        <v>0.24</v>
      </c>
      <c r="O965" t="str">
        <f t="shared" si="31"/>
        <v>0.2–0.4 hours</v>
      </c>
      <c r="P965" t="s">
        <v>39</v>
      </c>
    </row>
    <row r="966" spans="1:16" x14ac:dyDescent="0.4">
      <c r="A966" t="s">
        <v>1007</v>
      </c>
      <c r="B966">
        <v>58</v>
      </c>
      <c r="C966" t="s">
        <v>41</v>
      </c>
      <c r="D966" t="s">
        <v>32</v>
      </c>
      <c r="E966">
        <v>11.98</v>
      </c>
      <c r="F966">
        <v>41</v>
      </c>
      <c r="G966" t="s">
        <v>49</v>
      </c>
      <c r="H966" t="s">
        <v>57</v>
      </c>
      <c r="I966" s="2">
        <v>17.989999999999998</v>
      </c>
      <c r="J966">
        <v>1</v>
      </c>
      <c r="K966" s="2">
        <f t="shared" si="30"/>
        <v>17.989999999999998</v>
      </c>
      <c r="L966" t="s">
        <v>29</v>
      </c>
      <c r="M966">
        <v>4</v>
      </c>
      <c r="N966">
        <v>0.28999999999999998</v>
      </c>
      <c r="O966" t="str">
        <f t="shared" si="31"/>
        <v>0.2–0.4 hours</v>
      </c>
      <c r="P966" t="s">
        <v>39</v>
      </c>
    </row>
    <row r="967" spans="1:16" x14ac:dyDescent="0.4">
      <c r="A967" t="s">
        <v>1008</v>
      </c>
      <c r="B967">
        <v>55</v>
      </c>
      <c r="C967" t="s">
        <v>27</v>
      </c>
      <c r="D967" t="s">
        <v>22</v>
      </c>
      <c r="E967">
        <v>14.39</v>
      </c>
      <c r="F967">
        <v>54</v>
      </c>
      <c r="G967" t="s">
        <v>33</v>
      </c>
      <c r="H967" t="s">
        <v>18</v>
      </c>
      <c r="I967" s="2">
        <v>13.99</v>
      </c>
      <c r="J967">
        <v>1</v>
      </c>
      <c r="K967" s="2">
        <f t="shared" si="30"/>
        <v>13.99</v>
      </c>
      <c r="L967" t="s">
        <v>61</v>
      </c>
      <c r="M967">
        <v>3</v>
      </c>
      <c r="N967">
        <v>0.26</v>
      </c>
      <c r="O967" t="str">
        <f t="shared" si="31"/>
        <v>0.2–0.4 hours</v>
      </c>
      <c r="P967" t="s">
        <v>39</v>
      </c>
    </row>
    <row r="968" spans="1:16" x14ac:dyDescent="0.4">
      <c r="A968" t="s">
        <v>1009</v>
      </c>
      <c r="B968">
        <v>60</v>
      </c>
      <c r="C968" t="s">
        <v>41</v>
      </c>
      <c r="D968" t="s">
        <v>32</v>
      </c>
      <c r="E968">
        <v>9.15</v>
      </c>
      <c r="F968">
        <v>18</v>
      </c>
      <c r="G968" t="s">
        <v>33</v>
      </c>
      <c r="H968" t="s">
        <v>55</v>
      </c>
      <c r="I968" s="2">
        <v>17.989999999999998</v>
      </c>
      <c r="J968">
        <v>0</v>
      </c>
      <c r="K968" s="2">
        <f t="shared" si="30"/>
        <v>0</v>
      </c>
      <c r="L968" t="s">
        <v>37</v>
      </c>
      <c r="M968">
        <v>1</v>
      </c>
      <c r="N968">
        <v>0.48</v>
      </c>
      <c r="O968" t="str">
        <f t="shared" si="31"/>
        <v>0.4–0.6 hours</v>
      </c>
      <c r="P968" t="s">
        <v>30</v>
      </c>
    </row>
    <row r="969" spans="1:16" x14ac:dyDescent="0.4">
      <c r="A969" t="s">
        <v>1010</v>
      </c>
      <c r="B969">
        <v>24</v>
      </c>
      <c r="C969" t="s">
        <v>15</v>
      </c>
      <c r="D969" t="s">
        <v>32</v>
      </c>
      <c r="E969">
        <v>2.98</v>
      </c>
      <c r="F969">
        <v>11</v>
      </c>
      <c r="G969" t="s">
        <v>23</v>
      </c>
      <c r="H969" t="s">
        <v>18</v>
      </c>
      <c r="I969" s="2">
        <v>17.989999999999998</v>
      </c>
      <c r="J969">
        <v>1</v>
      </c>
      <c r="K969" s="2">
        <f t="shared" si="30"/>
        <v>17.989999999999998</v>
      </c>
      <c r="L969" t="s">
        <v>43</v>
      </c>
      <c r="M969">
        <v>2</v>
      </c>
      <c r="N969">
        <v>0.25</v>
      </c>
      <c r="O969" t="str">
        <f t="shared" si="31"/>
        <v>0.2–0.4 hours</v>
      </c>
      <c r="P969" t="s">
        <v>30</v>
      </c>
    </row>
    <row r="970" spans="1:16" x14ac:dyDescent="0.4">
      <c r="A970" t="s">
        <v>1011</v>
      </c>
      <c r="B970">
        <v>30</v>
      </c>
      <c r="C970" t="s">
        <v>41</v>
      </c>
      <c r="D970" t="s">
        <v>22</v>
      </c>
      <c r="E970">
        <v>29.21</v>
      </c>
      <c r="F970">
        <v>2</v>
      </c>
      <c r="G970" t="s">
        <v>28</v>
      </c>
      <c r="H970" t="s">
        <v>24</v>
      </c>
      <c r="I970" s="2">
        <v>13.99</v>
      </c>
      <c r="J970">
        <v>0</v>
      </c>
      <c r="K970" s="2">
        <f t="shared" si="30"/>
        <v>0</v>
      </c>
      <c r="L970" t="s">
        <v>43</v>
      </c>
      <c r="M970">
        <v>3</v>
      </c>
      <c r="N970">
        <v>9.74</v>
      </c>
      <c r="O970" t="str">
        <f t="shared" si="31"/>
        <v>1+ hours</v>
      </c>
      <c r="P970" t="s">
        <v>39</v>
      </c>
    </row>
    <row r="971" spans="1:16" x14ac:dyDescent="0.4">
      <c r="A971" t="s">
        <v>1012</v>
      </c>
      <c r="B971">
        <v>44</v>
      </c>
      <c r="C971" t="s">
        <v>27</v>
      </c>
      <c r="D971" t="s">
        <v>32</v>
      </c>
      <c r="E971">
        <v>9.89</v>
      </c>
      <c r="F971">
        <v>25</v>
      </c>
      <c r="G971" t="s">
        <v>49</v>
      </c>
      <c r="H971" t="s">
        <v>55</v>
      </c>
      <c r="I971" s="2">
        <v>17.989999999999998</v>
      </c>
      <c r="J971">
        <v>0</v>
      </c>
      <c r="K971" s="2">
        <f t="shared" si="30"/>
        <v>0</v>
      </c>
      <c r="L971" t="s">
        <v>61</v>
      </c>
      <c r="M971">
        <v>4</v>
      </c>
      <c r="N971">
        <v>0.38</v>
      </c>
      <c r="O971" t="str">
        <f t="shared" si="31"/>
        <v>0.2–0.4 hours</v>
      </c>
      <c r="P971" t="s">
        <v>47</v>
      </c>
    </row>
    <row r="972" spans="1:16" x14ac:dyDescent="0.4">
      <c r="A972" t="s">
        <v>1013</v>
      </c>
      <c r="B972">
        <v>63</v>
      </c>
      <c r="C972" t="s">
        <v>15</v>
      </c>
      <c r="D972" t="s">
        <v>16</v>
      </c>
      <c r="E972">
        <v>18.77</v>
      </c>
      <c r="F972">
        <v>56</v>
      </c>
      <c r="G972" t="s">
        <v>49</v>
      </c>
      <c r="H972" t="s">
        <v>24</v>
      </c>
      <c r="I972" s="2">
        <v>8.99</v>
      </c>
      <c r="J972">
        <v>1</v>
      </c>
      <c r="K972" s="2">
        <f t="shared" si="30"/>
        <v>8.99</v>
      </c>
      <c r="L972" t="s">
        <v>29</v>
      </c>
      <c r="M972">
        <v>2</v>
      </c>
      <c r="N972">
        <v>0.33</v>
      </c>
      <c r="O972" t="str">
        <f t="shared" si="31"/>
        <v>0.2–0.4 hours</v>
      </c>
      <c r="P972" t="s">
        <v>25</v>
      </c>
    </row>
    <row r="973" spans="1:16" x14ac:dyDescent="0.4">
      <c r="A973" t="s">
        <v>1014</v>
      </c>
      <c r="B973">
        <v>22</v>
      </c>
      <c r="C973" t="s">
        <v>41</v>
      </c>
      <c r="D973" t="s">
        <v>22</v>
      </c>
      <c r="E973">
        <v>13.57</v>
      </c>
      <c r="F973">
        <v>3</v>
      </c>
      <c r="G973" t="s">
        <v>33</v>
      </c>
      <c r="H973" t="s">
        <v>57</v>
      </c>
      <c r="I973" s="2">
        <v>13.99</v>
      </c>
      <c r="J973">
        <v>0</v>
      </c>
      <c r="K973" s="2">
        <f t="shared" si="30"/>
        <v>0</v>
      </c>
      <c r="L973" t="s">
        <v>37</v>
      </c>
      <c r="M973">
        <v>4</v>
      </c>
      <c r="N973">
        <v>3.39</v>
      </c>
      <c r="O973" t="str">
        <f t="shared" si="31"/>
        <v>1+ hours</v>
      </c>
      <c r="P973" t="s">
        <v>52</v>
      </c>
    </row>
    <row r="974" spans="1:16" x14ac:dyDescent="0.4">
      <c r="A974" t="s">
        <v>1015</v>
      </c>
      <c r="B974">
        <v>49</v>
      </c>
      <c r="C974" t="s">
        <v>41</v>
      </c>
      <c r="D974" t="s">
        <v>22</v>
      </c>
      <c r="E974">
        <v>3.91</v>
      </c>
      <c r="F974">
        <v>10</v>
      </c>
      <c r="G974" t="s">
        <v>33</v>
      </c>
      <c r="H974" t="s">
        <v>18</v>
      </c>
      <c r="I974" s="2">
        <v>13.99</v>
      </c>
      <c r="J974">
        <v>1</v>
      </c>
      <c r="K974" s="2">
        <f t="shared" si="30"/>
        <v>13.99</v>
      </c>
      <c r="L974" t="s">
        <v>19</v>
      </c>
      <c r="M974">
        <v>3</v>
      </c>
      <c r="N974">
        <v>0.36</v>
      </c>
      <c r="O974" t="str">
        <f t="shared" si="31"/>
        <v>0.2–0.4 hours</v>
      </c>
      <c r="P974" t="s">
        <v>39</v>
      </c>
    </row>
    <row r="975" spans="1:16" x14ac:dyDescent="0.4">
      <c r="A975" t="s">
        <v>1016</v>
      </c>
      <c r="B975">
        <v>46</v>
      </c>
      <c r="C975" t="s">
        <v>15</v>
      </c>
      <c r="D975" t="s">
        <v>22</v>
      </c>
      <c r="E975">
        <v>16.420000000000002</v>
      </c>
      <c r="F975">
        <v>58</v>
      </c>
      <c r="G975" t="s">
        <v>17</v>
      </c>
      <c r="H975" t="s">
        <v>24</v>
      </c>
      <c r="I975" s="2">
        <v>13.99</v>
      </c>
      <c r="J975">
        <v>1</v>
      </c>
      <c r="K975" s="2">
        <f t="shared" si="30"/>
        <v>13.99</v>
      </c>
      <c r="L975" t="s">
        <v>37</v>
      </c>
      <c r="M975">
        <v>2</v>
      </c>
      <c r="N975">
        <v>0.28000000000000003</v>
      </c>
      <c r="O975" t="str">
        <f t="shared" si="31"/>
        <v>0.2–0.4 hours</v>
      </c>
      <c r="P975" t="s">
        <v>47</v>
      </c>
    </row>
    <row r="976" spans="1:16" x14ac:dyDescent="0.4">
      <c r="A976" t="s">
        <v>1017</v>
      </c>
      <c r="B976">
        <v>46</v>
      </c>
      <c r="C976" t="s">
        <v>27</v>
      </c>
      <c r="D976" t="s">
        <v>32</v>
      </c>
      <c r="E976">
        <v>2.09</v>
      </c>
      <c r="F976">
        <v>36</v>
      </c>
      <c r="G976" t="s">
        <v>70</v>
      </c>
      <c r="H976" t="s">
        <v>24</v>
      </c>
      <c r="I976" s="2">
        <v>17.989999999999998</v>
      </c>
      <c r="J976">
        <v>1</v>
      </c>
      <c r="K976" s="2">
        <f t="shared" si="30"/>
        <v>17.989999999999998</v>
      </c>
      <c r="L976" t="s">
        <v>37</v>
      </c>
      <c r="M976">
        <v>3</v>
      </c>
      <c r="N976">
        <v>0.06</v>
      </c>
      <c r="O976" t="str">
        <f t="shared" si="31"/>
        <v>0–0.2 hours</v>
      </c>
      <c r="P976" t="s">
        <v>25</v>
      </c>
    </row>
    <row r="977" spans="1:16" x14ac:dyDescent="0.4">
      <c r="A977" t="s">
        <v>1018</v>
      </c>
      <c r="B977">
        <v>48</v>
      </c>
      <c r="C977" t="s">
        <v>27</v>
      </c>
      <c r="D977" t="s">
        <v>16</v>
      </c>
      <c r="E977">
        <v>5.22</v>
      </c>
      <c r="F977">
        <v>51</v>
      </c>
      <c r="G977" t="s">
        <v>23</v>
      </c>
      <c r="H977" t="s">
        <v>18</v>
      </c>
      <c r="I977" s="2">
        <v>8.99</v>
      </c>
      <c r="J977">
        <v>1</v>
      </c>
      <c r="K977" s="2">
        <f t="shared" si="30"/>
        <v>8.99</v>
      </c>
      <c r="L977" t="s">
        <v>19</v>
      </c>
      <c r="M977">
        <v>2</v>
      </c>
      <c r="N977">
        <v>0.1</v>
      </c>
      <c r="O977" t="str">
        <f t="shared" si="31"/>
        <v>0–0.2 hours</v>
      </c>
      <c r="P977" t="s">
        <v>52</v>
      </c>
    </row>
    <row r="978" spans="1:16" x14ac:dyDescent="0.4">
      <c r="A978" t="s">
        <v>1019</v>
      </c>
      <c r="B978">
        <v>34</v>
      </c>
      <c r="C978" t="s">
        <v>27</v>
      </c>
      <c r="D978" t="s">
        <v>22</v>
      </c>
      <c r="E978">
        <v>11.95</v>
      </c>
      <c r="F978">
        <v>47</v>
      </c>
      <c r="G978" t="s">
        <v>49</v>
      </c>
      <c r="H978" t="s">
        <v>46</v>
      </c>
      <c r="I978" s="2">
        <v>13.99</v>
      </c>
      <c r="J978">
        <v>0</v>
      </c>
      <c r="K978" s="2">
        <f t="shared" si="30"/>
        <v>0</v>
      </c>
      <c r="L978" t="s">
        <v>37</v>
      </c>
      <c r="M978">
        <v>5</v>
      </c>
      <c r="N978">
        <v>0.25</v>
      </c>
      <c r="O978" t="str">
        <f t="shared" si="31"/>
        <v>0.2–0.4 hours</v>
      </c>
      <c r="P978" t="s">
        <v>47</v>
      </c>
    </row>
    <row r="979" spans="1:16" x14ac:dyDescent="0.4">
      <c r="A979" t="s">
        <v>1020</v>
      </c>
      <c r="B979">
        <v>27</v>
      </c>
      <c r="C979" t="s">
        <v>41</v>
      </c>
      <c r="D979" t="s">
        <v>22</v>
      </c>
      <c r="E979">
        <v>7.3</v>
      </c>
      <c r="F979">
        <v>54</v>
      </c>
      <c r="G979" t="s">
        <v>49</v>
      </c>
      <c r="H979" t="s">
        <v>18</v>
      </c>
      <c r="I979" s="2">
        <v>13.99</v>
      </c>
      <c r="J979">
        <v>1</v>
      </c>
      <c r="K979" s="2">
        <f t="shared" si="30"/>
        <v>13.99</v>
      </c>
      <c r="L979" t="s">
        <v>61</v>
      </c>
      <c r="M979">
        <v>3</v>
      </c>
      <c r="N979">
        <v>0.13</v>
      </c>
      <c r="O979" t="str">
        <f t="shared" si="31"/>
        <v>0–0.2 hours</v>
      </c>
      <c r="P979" t="s">
        <v>20</v>
      </c>
    </row>
    <row r="980" spans="1:16" x14ac:dyDescent="0.4">
      <c r="A980" t="s">
        <v>1021</v>
      </c>
      <c r="B980">
        <v>42</v>
      </c>
      <c r="C980" t="s">
        <v>15</v>
      </c>
      <c r="D980" t="s">
        <v>22</v>
      </c>
      <c r="E980">
        <v>0.45</v>
      </c>
      <c r="F980">
        <v>15</v>
      </c>
      <c r="G980" t="s">
        <v>17</v>
      </c>
      <c r="H980" t="s">
        <v>46</v>
      </c>
      <c r="I980" s="2">
        <v>13.99</v>
      </c>
      <c r="J980">
        <v>1</v>
      </c>
      <c r="K980" s="2">
        <f t="shared" si="30"/>
        <v>13.99</v>
      </c>
      <c r="L980" t="s">
        <v>19</v>
      </c>
      <c r="M980">
        <v>5</v>
      </c>
      <c r="N980">
        <v>0.03</v>
      </c>
      <c r="O980" t="str">
        <f t="shared" si="31"/>
        <v>0–0.2 hours</v>
      </c>
      <c r="P980" t="s">
        <v>39</v>
      </c>
    </row>
    <row r="981" spans="1:16" x14ac:dyDescent="0.4">
      <c r="A981" t="s">
        <v>1022</v>
      </c>
      <c r="B981">
        <v>34</v>
      </c>
      <c r="C981" t="s">
        <v>15</v>
      </c>
      <c r="D981" t="s">
        <v>32</v>
      </c>
      <c r="E981">
        <v>1.59</v>
      </c>
      <c r="F981">
        <v>8</v>
      </c>
      <c r="G981" t="s">
        <v>49</v>
      </c>
      <c r="H981" t="s">
        <v>46</v>
      </c>
      <c r="I981" s="2">
        <v>17.989999999999998</v>
      </c>
      <c r="J981">
        <v>1</v>
      </c>
      <c r="K981" s="2">
        <f t="shared" si="30"/>
        <v>17.989999999999998</v>
      </c>
      <c r="L981" t="s">
        <v>29</v>
      </c>
      <c r="M981">
        <v>5</v>
      </c>
      <c r="N981">
        <v>0.18</v>
      </c>
      <c r="O981" t="str">
        <f t="shared" si="31"/>
        <v>0–0.2 hours</v>
      </c>
      <c r="P981" t="s">
        <v>20</v>
      </c>
    </row>
    <row r="982" spans="1:16" x14ac:dyDescent="0.4">
      <c r="A982" t="s">
        <v>1023</v>
      </c>
      <c r="B982">
        <v>63</v>
      </c>
      <c r="C982" t="s">
        <v>41</v>
      </c>
      <c r="D982" t="s">
        <v>22</v>
      </c>
      <c r="E982">
        <v>0.4</v>
      </c>
      <c r="F982">
        <v>0</v>
      </c>
      <c r="G982" t="s">
        <v>70</v>
      </c>
      <c r="H982" t="s">
        <v>18</v>
      </c>
      <c r="I982" s="2">
        <v>13.99</v>
      </c>
      <c r="J982">
        <v>0</v>
      </c>
      <c r="K982" s="2">
        <f t="shared" si="30"/>
        <v>0</v>
      </c>
      <c r="L982" t="s">
        <v>43</v>
      </c>
      <c r="M982">
        <v>4</v>
      </c>
      <c r="N982">
        <v>0.4</v>
      </c>
      <c r="O982" t="str">
        <f t="shared" si="31"/>
        <v>0.2–0.4 hours</v>
      </c>
      <c r="P982" t="s">
        <v>47</v>
      </c>
    </row>
    <row r="983" spans="1:16" x14ac:dyDescent="0.4">
      <c r="A983" t="s">
        <v>1024</v>
      </c>
      <c r="B983">
        <v>63</v>
      </c>
      <c r="C983" t="s">
        <v>15</v>
      </c>
      <c r="D983" t="s">
        <v>16</v>
      </c>
      <c r="E983">
        <v>59.23</v>
      </c>
      <c r="F983">
        <v>27</v>
      </c>
      <c r="G983" t="s">
        <v>33</v>
      </c>
      <c r="H983" t="s">
        <v>55</v>
      </c>
      <c r="I983" s="2">
        <v>8.99</v>
      </c>
      <c r="J983">
        <v>0</v>
      </c>
      <c r="K983" s="2">
        <f t="shared" si="30"/>
        <v>0</v>
      </c>
      <c r="L983" t="s">
        <v>37</v>
      </c>
      <c r="M983">
        <v>2</v>
      </c>
      <c r="N983">
        <v>2.12</v>
      </c>
      <c r="O983" t="str">
        <f t="shared" si="31"/>
        <v>1+ hours</v>
      </c>
      <c r="P983" t="s">
        <v>47</v>
      </c>
    </row>
    <row r="984" spans="1:16" x14ac:dyDescent="0.4">
      <c r="A984" t="s">
        <v>1025</v>
      </c>
      <c r="B984">
        <v>52</v>
      </c>
      <c r="C984" t="s">
        <v>15</v>
      </c>
      <c r="D984" t="s">
        <v>32</v>
      </c>
      <c r="E984">
        <v>26.94</v>
      </c>
      <c r="F984">
        <v>6</v>
      </c>
      <c r="G984" t="s">
        <v>70</v>
      </c>
      <c r="H984" t="s">
        <v>55</v>
      </c>
      <c r="I984" s="2">
        <v>17.989999999999998</v>
      </c>
      <c r="J984">
        <v>0</v>
      </c>
      <c r="K984" s="2">
        <f t="shared" si="30"/>
        <v>0</v>
      </c>
      <c r="L984" t="s">
        <v>29</v>
      </c>
      <c r="M984">
        <v>3</v>
      </c>
      <c r="N984">
        <v>3.85</v>
      </c>
      <c r="O984" t="str">
        <f t="shared" si="31"/>
        <v>1+ hours</v>
      </c>
      <c r="P984" t="s">
        <v>52</v>
      </c>
    </row>
    <row r="985" spans="1:16" x14ac:dyDescent="0.4">
      <c r="A985" t="s">
        <v>1026</v>
      </c>
      <c r="B985">
        <v>44</v>
      </c>
      <c r="C985" t="s">
        <v>15</v>
      </c>
      <c r="D985" t="s">
        <v>32</v>
      </c>
      <c r="E985">
        <v>7.91</v>
      </c>
      <c r="F985">
        <v>7</v>
      </c>
      <c r="G985" t="s">
        <v>49</v>
      </c>
      <c r="H985" t="s">
        <v>24</v>
      </c>
      <c r="I985" s="2">
        <v>17.989999999999998</v>
      </c>
      <c r="J985">
        <v>0</v>
      </c>
      <c r="K985" s="2">
        <f t="shared" si="30"/>
        <v>0</v>
      </c>
      <c r="L985" t="s">
        <v>37</v>
      </c>
      <c r="M985">
        <v>1</v>
      </c>
      <c r="N985">
        <v>0.99</v>
      </c>
      <c r="O985" t="str">
        <f t="shared" si="31"/>
        <v>0.8–1 hour</v>
      </c>
      <c r="P985" t="s">
        <v>52</v>
      </c>
    </row>
    <row r="986" spans="1:16" x14ac:dyDescent="0.4">
      <c r="A986" t="s">
        <v>1027</v>
      </c>
      <c r="B986">
        <v>32</v>
      </c>
      <c r="C986" t="s">
        <v>27</v>
      </c>
      <c r="D986" t="s">
        <v>16</v>
      </c>
      <c r="E986">
        <v>8.1199999999999992</v>
      </c>
      <c r="F986">
        <v>36</v>
      </c>
      <c r="G986" t="s">
        <v>33</v>
      </c>
      <c r="H986" t="s">
        <v>46</v>
      </c>
      <c r="I986" s="2">
        <v>8.99</v>
      </c>
      <c r="J986">
        <v>1</v>
      </c>
      <c r="K986" s="2">
        <f t="shared" si="30"/>
        <v>8.99</v>
      </c>
      <c r="L986" t="s">
        <v>37</v>
      </c>
      <c r="M986">
        <v>5</v>
      </c>
      <c r="N986">
        <v>0.22</v>
      </c>
      <c r="O986" t="str">
        <f t="shared" si="31"/>
        <v>0.2–0.4 hours</v>
      </c>
      <c r="P986" t="s">
        <v>30</v>
      </c>
    </row>
    <row r="987" spans="1:16" x14ac:dyDescent="0.4">
      <c r="A987" t="s">
        <v>1028</v>
      </c>
      <c r="B987">
        <v>28</v>
      </c>
      <c r="C987" t="s">
        <v>27</v>
      </c>
      <c r="D987" t="s">
        <v>32</v>
      </c>
      <c r="E987">
        <v>4.0999999999999996</v>
      </c>
      <c r="F987">
        <v>55</v>
      </c>
      <c r="G987" t="s">
        <v>33</v>
      </c>
      <c r="H987" t="s">
        <v>55</v>
      </c>
      <c r="I987" s="2">
        <v>17.989999999999998</v>
      </c>
      <c r="J987">
        <v>1</v>
      </c>
      <c r="K987" s="2">
        <f t="shared" si="30"/>
        <v>17.989999999999998</v>
      </c>
      <c r="L987" t="s">
        <v>43</v>
      </c>
      <c r="M987">
        <v>2</v>
      </c>
      <c r="N987">
        <v>7.0000000000000007E-2</v>
      </c>
      <c r="O987" t="str">
        <f t="shared" si="31"/>
        <v>0–0.2 hours</v>
      </c>
      <c r="P987" t="s">
        <v>25</v>
      </c>
    </row>
    <row r="988" spans="1:16" x14ac:dyDescent="0.4">
      <c r="A988" t="s">
        <v>1029</v>
      </c>
      <c r="B988">
        <v>39</v>
      </c>
      <c r="C988" t="s">
        <v>15</v>
      </c>
      <c r="D988" t="s">
        <v>22</v>
      </c>
      <c r="E988">
        <v>23.44</v>
      </c>
      <c r="F988">
        <v>22</v>
      </c>
      <c r="G988" t="s">
        <v>33</v>
      </c>
      <c r="H988" t="s">
        <v>18</v>
      </c>
      <c r="I988" s="2">
        <v>13.99</v>
      </c>
      <c r="J988">
        <v>0</v>
      </c>
      <c r="K988" s="2">
        <f t="shared" si="30"/>
        <v>0</v>
      </c>
      <c r="L988" t="s">
        <v>37</v>
      </c>
      <c r="M988">
        <v>5</v>
      </c>
      <c r="N988">
        <v>1.02</v>
      </c>
      <c r="O988" t="str">
        <f t="shared" si="31"/>
        <v>1+ hours</v>
      </c>
      <c r="P988" t="s">
        <v>47</v>
      </c>
    </row>
    <row r="989" spans="1:16" x14ac:dyDescent="0.4">
      <c r="A989" t="s">
        <v>1030</v>
      </c>
      <c r="B989">
        <v>51</v>
      </c>
      <c r="C989" t="s">
        <v>15</v>
      </c>
      <c r="D989" t="s">
        <v>22</v>
      </c>
      <c r="E989">
        <v>16.03</v>
      </c>
      <c r="F989">
        <v>48</v>
      </c>
      <c r="G989" t="s">
        <v>17</v>
      </c>
      <c r="H989" t="s">
        <v>57</v>
      </c>
      <c r="I989" s="2">
        <v>13.99</v>
      </c>
      <c r="J989">
        <v>1</v>
      </c>
      <c r="K989" s="2">
        <f t="shared" si="30"/>
        <v>13.99</v>
      </c>
      <c r="L989" t="s">
        <v>29</v>
      </c>
      <c r="M989">
        <v>4</v>
      </c>
      <c r="N989">
        <v>0.33</v>
      </c>
      <c r="O989" t="str">
        <f t="shared" si="31"/>
        <v>0.2–0.4 hours</v>
      </c>
      <c r="P989" t="s">
        <v>39</v>
      </c>
    </row>
    <row r="990" spans="1:16" x14ac:dyDescent="0.4">
      <c r="A990" t="s">
        <v>1031</v>
      </c>
      <c r="B990">
        <v>53</v>
      </c>
      <c r="C990" t="s">
        <v>41</v>
      </c>
      <c r="D990" t="s">
        <v>22</v>
      </c>
      <c r="E990">
        <v>7.88</v>
      </c>
      <c r="F990">
        <v>23</v>
      </c>
      <c r="G990" t="s">
        <v>49</v>
      </c>
      <c r="H990" t="s">
        <v>18</v>
      </c>
      <c r="I990" s="2">
        <v>13.99</v>
      </c>
      <c r="J990">
        <v>0</v>
      </c>
      <c r="K990" s="2">
        <f t="shared" si="30"/>
        <v>0</v>
      </c>
      <c r="L990" t="s">
        <v>61</v>
      </c>
      <c r="M990">
        <v>1</v>
      </c>
      <c r="N990">
        <v>0.33</v>
      </c>
      <c r="O990" t="str">
        <f t="shared" si="31"/>
        <v>0.2–0.4 hours</v>
      </c>
      <c r="P990" t="s">
        <v>34</v>
      </c>
    </row>
    <row r="991" spans="1:16" x14ac:dyDescent="0.4">
      <c r="A991" t="s">
        <v>1032</v>
      </c>
      <c r="B991">
        <v>50</v>
      </c>
      <c r="C991" t="s">
        <v>27</v>
      </c>
      <c r="D991" t="s">
        <v>32</v>
      </c>
      <c r="E991">
        <v>3.81</v>
      </c>
      <c r="F991">
        <v>53</v>
      </c>
      <c r="G991" t="s">
        <v>23</v>
      </c>
      <c r="H991" t="s">
        <v>24</v>
      </c>
      <c r="I991" s="2">
        <v>17.989999999999998</v>
      </c>
      <c r="J991">
        <v>1</v>
      </c>
      <c r="K991" s="2">
        <f t="shared" si="30"/>
        <v>17.989999999999998</v>
      </c>
      <c r="L991" t="s">
        <v>19</v>
      </c>
      <c r="M991">
        <v>1</v>
      </c>
      <c r="N991">
        <v>7.0000000000000007E-2</v>
      </c>
      <c r="O991" t="str">
        <f t="shared" si="31"/>
        <v>0–0.2 hours</v>
      </c>
      <c r="P991" t="s">
        <v>25</v>
      </c>
    </row>
    <row r="992" spans="1:16" x14ac:dyDescent="0.4">
      <c r="A992" t="s">
        <v>1033</v>
      </c>
      <c r="B992">
        <v>37</v>
      </c>
      <c r="C992" t="s">
        <v>41</v>
      </c>
      <c r="D992" t="s">
        <v>32</v>
      </c>
      <c r="E992">
        <v>6.42</v>
      </c>
      <c r="F992">
        <v>3</v>
      </c>
      <c r="G992" t="s">
        <v>70</v>
      </c>
      <c r="H992" t="s">
        <v>46</v>
      </c>
      <c r="I992" s="2">
        <v>17.989999999999998</v>
      </c>
      <c r="J992">
        <v>0</v>
      </c>
      <c r="K992" s="2">
        <f t="shared" si="30"/>
        <v>0</v>
      </c>
      <c r="L992" t="s">
        <v>37</v>
      </c>
      <c r="M992">
        <v>1</v>
      </c>
      <c r="N992">
        <v>1.6</v>
      </c>
      <c r="O992" t="str">
        <f t="shared" si="31"/>
        <v>1+ hours</v>
      </c>
      <c r="P992" t="s">
        <v>47</v>
      </c>
    </row>
    <row r="993" spans="1:16" x14ac:dyDescent="0.4">
      <c r="A993" t="s">
        <v>1034</v>
      </c>
      <c r="B993">
        <v>69</v>
      </c>
      <c r="C993" t="s">
        <v>27</v>
      </c>
      <c r="D993" t="s">
        <v>16</v>
      </c>
      <c r="E993">
        <v>33.340000000000003</v>
      </c>
      <c r="F993">
        <v>42</v>
      </c>
      <c r="G993" t="s">
        <v>28</v>
      </c>
      <c r="H993" t="s">
        <v>46</v>
      </c>
      <c r="I993" s="2">
        <v>8.99</v>
      </c>
      <c r="J993">
        <v>0</v>
      </c>
      <c r="K993" s="2">
        <f t="shared" si="30"/>
        <v>0</v>
      </c>
      <c r="L993" t="s">
        <v>19</v>
      </c>
      <c r="M993">
        <v>3</v>
      </c>
      <c r="N993">
        <v>0.78</v>
      </c>
      <c r="O993" t="str">
        <f t="shared" si="31"/>
        <v>0.6–0.8 hours</v>
      </c>
      <c r="P993" t="s">
        <v>39</v>
      </c>
    </row>
    <row r="994" spans="1:16" x14ac:dyDescent="0.4">
      <c r="A994" t="s">
        <v>1035</v>
      </c>
      <c r="B994">
        <v>26</v>
      </c>
      <c r="C994" t="s">
        <v>27</v>
      </c>
      <c r="D994" t="s">
        <v>22</v>
      </c>
      <c r="E994">
        <v>20.2</v>
      </c>
      <c r="F994">
        <v>46</v>
      </c>
      <c r="G994" t="s">
        <v>70</v>
      </c>
      <c r="H994" t="s">
        <v>55</v>
      </c>
      <c r="I994" s="2">
        <v>13.99</v>
      </c>
      <c r="J994">
        <v>0</v>
      </c>
      <c r="K994" s="2">
        <f t="shared" si="30"/>
        <v>0</v>
      </c>
      <c r="L994" t="s">
        <v>29</v>
      </c>
      <c r="M994">
        <v>5</v>
      </c>
      <c r="N994">
        <v>0.43</v>
      </c>
      <c r="O994" t="str">
        <f t="shared" si="31"/>
        <v>0.4–0.6 hours</v>
      </c>
      <c r="P994" t="s">
        <v>25</v>
      </c>
    </row>
    <row r="995" spans="1:16" x14ac:dyDescent="0.4">
      <c r="A995" t="s">
        <v>1036</v>
      </c>
      <c r="B995">
        <v>38</v>
      </c>
      <c r="C995" t="s">
        <v>27</v>
      </c>
      <c r="D995" t="s">
        <v>16</v>
      </c>
      <c r="E995">
        <v>23.78</v>
      </c>
      <c r="F995">
        <v>1</v>
      </c>
      <c r="G995" t="s">
        <v>33</v>
      </c>
      <c r="H995" t="s">
        <v>55</v>
      </c>
      <c r="I995" s="2">
        <v>8.99</v>
      </c>
      <c r="J995">
        <v>0</v>
      </c>
      <c r="K995" s="2">
        <f t="shared" si="30"/>
        <v>0</v>
      </c>
      <c r="L995" t="s">
        <v>61</v>
      </c>
      <c r="M995">
        <v>2</v>
      </c>
      <c r="N995">
        <v>11.89</v>
      </c>
      <c r="O995" t="str">
        <f t="shared" si="31"/>
        <v>1+ hours</v>
      </c>
      <c r="P995" t="s">
        <v>20</v>
      </c>
    </row>
    <row r="996" spans="1:16" x14ac:dyDescent="0.4">
      <c r="A996" t="s">
        <v>1037</v>
      </c>
      <c r="B996">
        <v>50</v>
      </c>
      <c r="C996" t="s">
        <v>15</v>
      </c>
      <c r="D996" t="s">
        <v>16</v>
      </c>
      <c r="E996">
        <v>7.86</v>
      </c>
      <c r="F996">
        <v>55</v>
      </c>
      <c r="G996" t="s">
        <v>28</v>
      </c>
      <c r="H996" t="s">
        <v>18</v>
      </c>
      <c r="I996" s="2">
        <v>8.99</v>
      </c>
      <c r="J996">
        <v>1</v>
      </c>
      <c r="K996" s="2">
        <f t="shared" si="30"/>
        <v>8.99</v>
      </c>
      <c r="L996" t="s">
        <v>19</v>
      </c>
      <c r="M996">
        <v>1</v>
      </c>
      <c r="N996">
        <v>0.14000000000000001</v>
      </c>
      <c r="O996" t="str">
        <f t="shared" si="31"/>
        <v>0–0.2 hours</v>
      </c>
      <c r="P996" t="s">
        <v>30</v>
      </c>
    </row>
    <row r="997" spans="1:16" x14ac:dyDescent="0.4">
      <c r="A997" t="s">
        <v>1038</v>
      </c>
      <c r="B997">
        <v>61</v>
      </c>
      <c r="C997" t="s">
        <v>15</v>
      </c>
      <c r="D997" t="s">
        <v>22</v>
      </c>
      <c r="E997">
        <v>4.6900000000000004</v>
      </c>
      <c r="F997">
        <v>45</v>
      </c>
      <c r="G997" t="s">
        <v>28</v>
      </c>
      <c r="H997" t="s">
        <v>24</v>
      </c>
      <c r="I997" s="2">
        <v>13.99</v>
      </c>
      <c r="J997">
        <v>1</v>
      </c>
      <c r="K997" s="2">
        <f t="shared" si="30"/>
        <v>13.99</v>
      </c>
      <c r="L997" t="s">
        <v>29</v>
      </c>
      <c r="M997">
        <v>3</v>
      </c>
      <c r="N997">
        <v>0.1</v>
      </c>
      <c r="O997" t="str">
        <f t="shared" si="31"/>
        <v>0–0.2 hours</v>
      </c>
      <c r="P997" t="s">
        <v>34</v>
      </c>
    </row>
    <row r="998" spans="1:16" x14ac:dyDescent="0.4">
      <c r="A998" t="s">
        <v>1039</v>
      </c>
      <c r="B998">
        <v>54</v>
      </c>
      <c r="C998" t="s">
        <v>15</v>
      </c>
      <c r="D998" t="s">
        <v>32</v>
      </c>
      <c r="E998">
        <v>6.83</v>
      </c>
      <c r="F998">
        <v>53</v>
      </c>
      <c r="G998" t="s">
        <v>33</v>
      </c>
      <c r="H998" t="s">
        <v>18</v>
      </c>
      <c r="I998" s="2">
        <v>17.989999999999998</v>
      </c>
      <c r="J998">
        <v>0</v>
      </c>
      <c r="K998" s="2">
        <f t="shared" si="30"/>
        <v>0</v>
      </c>
      <c r="L998" t="s">
        <v>37</v>
      </c>
      <c r="M998">
        <v>4</v>
      </c>
      <c r="N998">
        <v>0.13</v>
      </c>
      <c r="O998" t="str">
        <f t="shared" si="31"/>
        <v>0–0.2 hours</v>
      </c>
      <c r="P998" t="s">
        <v>52</v>
      </c>
    </row>
    <row r="999" spans="1:16" x14ac:dyDescent="0.4">
      <c r="A999" t="s">
        <v>1040</v>
      </c>
      <c r="B999">
        <v>66</v>
      </c>
      <c r="C999" t="s">
        <v>41</v>
      </c>
      <c r="D999" t="s">
        <v>16</v>
      </c>
      <c r="E999">
        <v>56.24</v>
      </c>
      <c r="F999">
        <v>2</v>
      </c>
      <c r="G999" t="s">
        <v>70</v>
      </c>
      <c r="H999" t="s">
        <v>46</v>
      </c>
      <c r="I999" s="2">
        <v>8.99</v>
      </c>
      <c r="J999">
        <v>0</v>
      </c>
      <c r="K999" s="2">
        <f t="shared" si="30"/>
        <v>0</v>
      </c>
      <c r="L999" t="s">
        <v>61</v>
      </c>
      <c r="M999">
        <v>4</v>
      </c>
      <c r="N999">
        <v>18.75</v>
      </c>
      <c r="O999" t="str">
        <f t="shared" si="31"/>
        <v>1+ hours</v>
      </c>
      <c r="P999" t="s">
        <v>39</v>
      </c>
    </row>
    <row r="1000" spans="1:16" x14ac:dyDescent="0.4">
      <c r="A1000" t="s">
        <v>1041</v>
      </c>
      <c r="B1000">
        <v>39</v>
      </c>
      <c r="C1000" t="s">
        <v>27</v>
      </c>
      <c r="D1000" t="s">
        <v>16</v>
      </c>
      <c r="E1000">
        <v>17.350000000000001</v>
      </c>
      <c r="F1000">
        <v>29</v>
      </c>
      <c r="G1000" t="s">
        <v>49</v>
      </c>
      <c r="H1000" t="s">
        <v>57</v>
      </c>
      <c r="I1000" s="2">
        <v>8.99</v>
      </c>
      <c r="J1000">
        <v>0</v>
      </c>
      <c r="K1000" s="2">
        <f t="shared" si="30"/>
        <v>0</v>
      </c>
      <c r="L1000" t="s">
        <v>43</v>
      </c>
      <c r="M1000">
        <v>4</v>
      </c>
      <c r="N1000">
        <v>0.57999999999999996</v>
      </c>
      <c r="O1000" t="str">
        <f t="shared" si="31"/>
        <v>0.4–0.6 hours</v>
      </c>
      <c r="P1000" t="s">
        <v>34</v>
      </c>
    </row>
    <row r="1001" spans="1:16" x14ac:dyDescent="0.4">
      <c r="A1001" t="s">
        <v>1042</v>
      </c>
      <c r="B1001">
        <v>27</v>
      </c>
      <c r="C1001" t="s">
        <v>41</v>
      </c>
      <c r="D1001" t="s">
        <v>16</v>
      </c>
      <c r="E1001">
        <v>4.6100000000000003</v>
      </c>
      <c r="F1001">
        <v>42</v>
      </c>
      <c r="G1001" t="s">
        <v>28</v>
      </c>
      <c r="H1001" t="s">
        <v>24</v>
      </c>
      <c r="I1001" s="2">
        <v>8.99</v>
      </c>
      <c r="J1001">
        <v>1</v>
      </c>
      <c r="K1001" s="2">
        <f t="shared" si="30"/>
        <v>8.99</v>
      </c>
      <c r="L1001" t="s">
        <v>29</v>
      </c>
      <c r="M1001">
        <v>2</v>
      </c>
      <c r="N1001">
        <v>0.11</v>
      </c>
      <c r="O1001" t="str">
        <f t="shared" si="31"/>
        <v>0–0.2 hours</v>
      </c>
      <c r="P1001" t="s">
        <v>47</v>
      </c>
    </row>
    <row r="1002" spans="1:16" x14ac:dyDescent="0.4">
      <c r="A1002" t="s">
        <v>1043</v>
      </c>
      <c r="B1002">
        <v>62</v>
      </c>
      <c r="C1002" t="s">
        <v>27</v>
      </c>
      <c r="D1002" t="s">
        <v>16</v>
      </c>
      <c r="E1002">
        <v>9.41</v>
      </c>
      <c r="F1002">
        <v>31</v>
      </c>
      <c r="G1002" t="s">
        <v>28</v>
      </c>
      <c r="H1002" t="s">
        <v>18</v>
      </c>
      <c r="I1002" s="2">
        <v>8.99</v>
      </c>
      <c r="J1002">
        <v>1</v>
      </c>
      <c r="K1002" s="2">
        <f t="shared" si="30"/>
        <v>8.99</v>
      </c>
      <c r="L1002" t="s">
        <v>61</v>
      </c>
      <c r="M1002">
        <v>1</v>
      </c>
      <c r="N1002">
        <v>0.28999999999999998</v>
      </c>
      <c r="O1002" t="str">
        <f t="shared" si="31"/>
        <v>0.2–0.4 hours</v>
      </c>
      <c r="P1002" t="s">
        <v>30</v>
      </c>
    </row>
    <row r="1003" spans="1:16" x14ac:dyDescent="0.4">
      <c r="A1003" t="s">
        <v>1044</v>
      </c>
      <c r="B1003">
        <v>22</v>
      </c>
      <c r="C1003" t="s">
        <v>41</v>
      </c>
      <c r="D1003" t="s">
        <v>32</v>
      </c>
      <c r="E1003">
        <v>7.49</v>
      </c>
      <c r="F1003">
        <v>29</v>
      </c>
      <c r="G1003" t="s">
        <v>23</v>
      </c>
      <c r="H1003" t="s">
        <v>24</v>
      </c>
      <c r="I1003" s="2">
        <v>17.989999999999998</v>
      </c>
      <c r="J1003">
        <v>0</v>
      </c>
      <c r="K1003" s="2">
        <f t="shared" si="30"/>
        <v>0</v>
      </c>
      <c r="L1003" t="s">
        <v>19</v>
      </c>
      <c r="M1003">
        <v>2</v>
      </c>
      <c r="N1003">
        <v>0.25</v>
      </c>
      <c r="O1003" t="str">
        <f t="shared" si="31"/>
        <v>0.2–0.4 hours</v>
      </c>
      <c r="P1003" t="s">
        <v>39</v>
      </c>
    </row>
    <row r="1004" spans="1:16" x14ac:dyDescent="0.4">
      <c r="A1004" t="s">
        <v>1045</v>
      </c>
      <c r="B1004">
        <v>61</v>
      </c>
      <c r="C1004" t="s">
        <v>27</v>
      </c>
      <c r="D1004" t="s">
        <v>22</v>
      </c>
      <c r="E1004">
        <v>39.090000000000003</v>
      </c>
      <c r="F1004">
        <v>5</v>
      </c>
      <c r="G1004" t="s">
        <v>23</v>
      </c>
      <c r="H1004" t="s">
        <v>57</v>
      </c>
      <c r="I1004" s="2">
        <v>13.99</v>
      </c>
      <c r="J1004">
        <v>0</v>
      </c>
      <c r="K1004" s="2">
        <f t="shared" si="30"/>
        <v>0</v>
      </c>
      <c r="L1004" t="s">
        <v>43</v>
      </c>
      <c r="M1004">
        <v>1</v>
      </c>
      <c r="N1004">
        <v>6.52</v>
      </c>
      <c r="O1004" t="str">
        <f t="shared" si="31"/>
        <v>1+ hours</v>
      </c>
      <c r="P1004" t="s">
        <v>52</v>
      </c>
    </row>
    <row r="1005" spans="1:16" x14ac:dyDescent="0.4">
      <c r="A1005" t="s">
        <v>1046</v>
      </c>
      <c r="B1005">
        <v>49</v>
      </c>
      <c r="C1005" t="s">
        <v>15</v>
      </c>
      <c r="D1005" t="s">
        <v>16</v>
      </c>
      <c r="E1005">
        <v>25.4</v>
      </c>
      <c r="F1005">
        <v>47</v>
      </c>
      <c r="G1005" t="s">
        <v>70</v>
      </c>
      <c r="H1005" t="s">
        <v>46</v>
      </c>
      <c r="I1005" s="2">
        <v>8.99</v>
      </c>
      <c r="J1005">
        <v>0</v>
      </c>
      <c r="K1005" s="2">
        <f t="shared" si="30"/>
        <v>0</v>
      </c>
      <c r="L1005" t="s">
        <v>29</v>
      </c>
      <c r="M1005">
        <v>4</v>
      </c>
      <c r="N1005">
        <v>0.53</v>
      </c>
      <c r="O1005" t="str">
        <f t="shared" si="31"/>
        <v>0.4–0.6 hours</v>
      </c>
      <c r="P1005" t="s">
        <v>52</v>
      </c>
    </row>
    <row r="1006" spans="1:16" x14ac:dyDescent="0.4">
      <c r="A1006" t="s">
        <v>1047</v>
      </c>
      <c r="B1006">
        <v>32</v>
      </c>
      <c r="C1006" t="s">
        <v>27</v>
      </c>
      <c r="D1006" t="s">
        <v>32</v>
      </c>
      <c r="E1006">
        <v>18.28</v>
      </c>
      <c r="F1006">
        <v>10</v>
      </c>
      <c r="G1006" t="s">
        <v>49</v>
      </c>
      <c r="H1006" t="s">
        <v>55</v>
      </c>
      <c r="I1006" s="2">
        <v>17.989999999999998</v>
      </c>
      <c r="J1006">
        <v>0</v>
      </c>
      <c r="K1006" s="2">
        <f t="shared" si="30"/>
        <v>0</v>
      </c>
      <c r="L1006" t="s">
        <v>61</v>
      </c>
      <c r="M1006">
        <v>4</v>
      </c>
      <c r="N1006">
        <v>1.66</v>
      </c>
      <c r="O1006" t="str">
        <f t="shared" si="31"/>
        <v>1+ hours</v>
      </c>
      <c r="P1006" t="s">
        <v>20</v>
      </c>
    </row>
    <row r="1007" spans="1:16" x14ac:dyDescent="0.4">
      <c r="A1007" t="s">
        <v>1048</v>
      </c>
      <c r="B1007">
        <v>49</v>
      </c>
      <c r="C1007" t="s">
        <v>15</v>
      </c>
      <c r="D1007" t="s">
        <v>32</v>
      </c>
      <c r="E1007">
        <v>6.23</v>
      </c>
      <c r="F1007">
        <v>12</v>
      </c>
      <c r="G1007" t="s">
        <v>23</v>
      </c>
      <c r="H1007" t="s">
        <v>46</v>
      </c>
      <c r="I1007" s="2">
        <v>17.989999999999998</v>
      </c>
      <c r="J1007">
        <v>0</v>
      </c>
      <c r="K1007" s="2">
        <f t="shared" si="30"/>
        <v>0</v>
      </c>
      <c r="L1007" t="s">
        <v>37</v>
      </c>
      <c r="M1007">
        <v>2</v>
      </c>
      <c r="N1007">
        <v>0.48</v>
      </c>
      <c r="O1007" t="str">
        <f t="shared" si="31"/>
        <v>0.4–0.6 hours</v>
      </c>
      <c r="P1007" t="s">
        <v>30</v>
      </c>
    </row>
    <row r="1008" spans="1:16" x14ac:dyDescent="0.4">
      <c r="A1008" t="s">
        <v>1049</v>
      </c>
      <c r="B1008">
        <v>38</v>
      </c>
      <c r="C1008" t="s">
        <v>41</v>
      </c>
      <c r="D1008" t="s">
        <v>22</v>
      </c>
      <c r="E1008">
        <v>1.21</v>
      </c>
      <c r="F1008">
        <v>21</v>
      </c>
      <c r="G1008" t="s">
        <v>49</v>
      </c>
      <c r="H1008" t="s">
        <v>18</v>
      </c>
      <c r="I1008" s="2">
        <v>13.99</v>
      </c>
      <c r="J1008">
        <v>0</v>
      </c>
      <c r="K1008" s="2">
        <f t="shared" si="30"/>
        <v>0</v>
      </c>
      <c r="L1008" t="s">
        <v>43</v>
      </c>
      <c r="M1008">
        <v>4</v>
      </c>
      <c r="N1008">
        <v>0.06</v>
      </c>
      <c r="O1008" t="str">
        <f t="shared" si="31"/>
        <v>0–0.2 hours</v>
      </c>
      <c r="P1008" t="s">
        <v>39</v>
      </c>
    </row>
    <row r="1009" spans="1:16" x14ac:dyDescent="0.4">
      <c r="A1009" t="s">
        <v>1050</v>
      </c>
      <c r="B1009">
        <v>29</v>
      </c>
      <c r="C1009" t="s">
        <v>41</v>
      </c>
      <c r="D1009" t="s">
        <v>22</v>
      </c>
      <c r="E1009">
        <v>0.48</v>
      </c>
      <c r="F1009">
        <v>29</v>
      </c>
      <c r="G1009" t="s">
        <v>28</v>
      </c>
      <c r="H1009" t="s">
        <v>18</v>
      </c>
      <c r="I1009" s="2">
        <v>13.99</v>
      </c>
      <c r="J1009">
        <v>1</v>
      </c>
      <c r="K1009" s="2">
        <f t="shared" si="30"/>
        <v>13.99</v>
      </c>
      <c r="L1009" t="s">
        <v>37</v>
      </c>
      <c r="M1009">
        <v>3</v>
      </c>
      <c r="N1009">
        <v>0.02</v>
      </c>
      <c r="O1009" t="str">
        <f t="shared" si="31"/>
        <v>0–0.2 hours</v>
      </c>
      <c r="P1009" t="s">
        <v>20</v>
      </c>
    </row>
    <row r="1010" spans="1:16" x14ac:dyDescent="0.4">
      <c r="A1010" t="s">
        <v>1051</v>
      </c>
      <c r="B1010">
        <v>47</v>
      </c>
      <c r="C1010" t="s">
        <v>27</v>
      </c>
      <c r="D1010" t="s">
        <v>32</v>
      </c>
      <c r="E1010">
        <v>14.8</v>
      </c>
      <c r="F1010">
        <v>43</v>
      </c>
      <c r="G1010" t="s">
        <v>23</v>
      </c>
      <c r="H1010" t="s">
        <v>18</v>
      </c>
      <c r="I1010" s="2">
        <v>17.989999999999998</v>
      </c>
      <c r="J1010">
        <v>1</v>
      </c>
      <c r="K1010" s="2">
        <f t="shared" si="30"/>
        <v>17.989999999999998</v>
      </c>
      <c r="L1010" t="s">
        <v>61</v>
      </c>
      <c r="M1010">
        <v>3</v>
      </c>
      <c r="N1010">
        <v>0.34</v>
      </c>
      <c r="O1010" t="str">
        <f t="shared" si="31"/>
        <v>0.2–0.4 hours</v>
      </c>
      <c r="P1010" t="s">
        <v>39</v>
      </c>
    </row>
    <row r="1011" spans="1:16" x14ac:dyDescent="0.4">
      <c r="A1011" t="s">
        <v>1052</v>
      </c>
      <c r="B1011">
        <v>56</v>
      </c>
      <c r="C1011" t="s">
        <v>15</v>
      </c>
      <c r="D1011" t="s">
        <v>16</v>
      </c>
      <c r="E1011">
        <v>1.22</v>
      </c>
      <c r="F1011">
        <v>23</v>
      </c>
      <c r="G1011" t="s">
        <v>70</v>
      </c>
      <c r="H1011" t="s">
        <v>18</v>
      </c>
      <c r="I1011" s="2">
        <v>8.99</v>
      </c>
      <c r="J1011">
        <v>1</v>
      </c>
      <c r="K1011" s="2">
        <f t="shared" si="30"/>
        <v>8.99</v>
      </c>
      <c r="L1011" t="s">
        <v>43</v>
      </c>
      <c r="M1011">
        <v>5</v>
      </c>
      <c r="N1011">
        <v>0.05</v>
      </c>
      <c r="O1011" t="str">
        <f t="shared" si="31"/>
        <v>0–0.2 hours</v>
      </c>
      <c r="P1011" t="s">
        <v>34</v>
      </c>
    </row>
    <row r="1012" spans="1:16" x14ac:dyDescent="0.4">
      <c r="A1012" t="s">
        <v>1053</v>
      </c>
      <c r="B1012">
        <v>23</v>
      </c>
      <c r="C1012" t="s">
        <v>15</v>
      </c>
      <c r="D1012" t="s">
        <v>22</v>
      </c>
      <c r="E1012">
        <v>7.45</v>
      </c>
      <c r="F1012">
        <v>41</v>
      </c>
      <c r="G1012" t="s">
        <v>28</v>
      </c>
      <c r="H1012" t="s">
        <v>55</v>
      </c>
      <c r="I1012" s="2">
        <v>13.99</v>
      </c>
      <c r="J1012">
        <v>1</v>
      </c>
      <c r="K1012" s="2">
        <f t="shared" si="30"/>
        <v>13.99</v>
      </c>
      <c r="L1012" t="s">
        <v>29</v>
      </c>
      <c r="M1012">
        <v>3</v>
      </c>
      <c r="N1012">
        <v>0.18</v>
      </c>
      <c r="O1012" t="str">
        <f t="shared" si="31"/>
        <v>0–0.2 hours</v>
      </c>
      <c r="P1012" t="s">
        <v>20</v>
      </c>
    </row>
    <row r="1013" spans="1:16" x14ac:dyDescent="0.4">
      <c r="A1013" t="s">
        <v>1054</v>
      </c>
      <c r="B1013">
        <v>28</v>
      </c>
      <c r="C1013" t="s">
        <v>41</v>
      </c>
      <c r="D1013" t="s">
        <v>32</v>
      </c>
      <c r="E1013">
        <v>15.45</v>
      </c>
      <c r="F1013">
        <v>44</v>
      </c>
      <c r="G1013" t="s">
        <v>49</v>
      </c>
      <c r="H1013" t="s">
        <v>55</v>
      </c>
      <c r="I1013" s="2">
        <v>17.989999999999998</v>
      </c>
      <c r="J1013">
        <v>1</v>
      </c>
      <c r="K1013" s="2">
        <f t="shared" si="30"/>
        <v>17.989999999999998</v>
      </c>
      <c r="L1013" t="s">
        <v>29</v>
      </c>
      <c r="M1013">
        <v>4</v>
      </c>
      <c r="N1013">
        <v>0.34</v>
      </c>
      <c r="O1013" t="str">
        <f t="shared" si="31"/>
        <v>0.2–0.4 hours</v>
      </c>
      <c r="P1013" t="s">
        <v>30</v>
      </c>
    </row>
    <row r="1014" spans="1:16" x14ac:dyDescent="0.4">
      <c r="A1014" t="s">
        <v>1055</v>
      </c>
      <c r="B1014">
        <v>19</v>
      </c>
      <c r="C1014" t="s">
        <v>41</v>
      </c>
      <c r="D1014" t="s">
        <v>22</v>
      </c>
      <c r="E1014">
        <v>0.95</v>
      </c>
      <c r="F1014">
        <v>22</v>
      </c>
      <c r="G1014" t="s">
        <v>28</v>
      </c>
      <c r="H1014" t="s">
        <v>46</v>
      </c>
      <c r="I1014" s="2">
        <v>13.99</v>
      </c>
      <c r="J1014">
        <v>1</v>
      </c>
      <c r="K1014" s="2">
        <f t="shared" si="30"/>
        <v>13.99</v>
      </c>
      <c r="L1014" t="s">
        <v>61</v>
      </c>
      <c r="M1014">
        <v>2</v>
      </c>
      <c r="N1014">
        <v>0.04</v>
      </c>
      <c r="O1014" t="str">
        <f t="shared" si="31"/>
        <v>0–0.2 hours</v>
      </c>
      <c r="P1014" t="s">
        <v>52</v>
      </c>
    </row>
    <row r="1015" spans="1:16" x14ac:dyDescent="0.4">
      <c r="A1015" t="s">
        <v>1056</v>
      </c>
      <c r="B1015">
        <v>52</v>
      </c>
      <c r="C1015" t="s">
        <v>27</v>
      </c>
      <c r="D1015" t="s">
        <v>16</v>
      </c>
      <c r="E1015">
        <v>34.130000000000003</v>
      </c>
      <c r="F1015">
        <v>32</v>
      </c>
      <c r="G1015" t="s">
        <v>49</v>
      </c>
      <c r="H1015" t="s">
        <v>55</v>
      </c>
      <c r="I1015" s="2">
        <v>8.99</v>
      </c>
      <c r="J1015">
        <v>0</v>
      </c>
      <c r="K1015" s="2">
        <f t="shared" si="30"/>
        <v>0</v>
      </c>
      <c r="L1015" t="s">
        <v>29</v>
      </c>
      <c r="M1015">
        <v>3</v>
      </c>
      <c r="N1015">
        <v>1.03</v>
      </c>
      <c r="O1015" t="str">
        <f t="shared" si="31"/>
        <v>1+ hours</v>
      </c>
      <c r="P1015" t="s">
        <v>47</v>
      </c>
    </row>
    <row r="1016" spans="1:16" x14ac:dyDescent="0.4">
      <c r="A1016" t="s">
        <v>1057</v>
      </c>
      <c r="B1016">
        <v>62</v>
      </c>
      <c r="C1016" t="s">
        <v>15</v>
      </c>
      <c r="D1016" t="s">
        <v>32</v>
      </c>
      <c r="E1016">
        <v>10.02</v>
      </c>
      <c r="F1016">
        <v>33</v>
      </c>
      <c r="G1016" t="s">
        <v>17</v>
      </c>
      <c r="H1016" t="s">
        <v>18</v>
      </c>
      <c r="I1016" s="2">
        <v>17.989999999999998</v>
      </c>
      <c r="J1016">
        <v>1</v>
      </c>
      <c r="K1016" s="2">
        <f t="shared" si="30"/>
        <v>17.989999999999998</v>
      </c>
      <c r="L1016" t="s">
        <v>43</v>
      </c>
      <c r="M1016">
        <v>2</v>
      </c>
      <c r="N1016">
        <v>0.28999999999999998</v>
      </c>
      <c r="O1016" t="str">
        <f t="shared" si="31"/>
        <v>0.2–0.4 hours</v>
      </c>
      <c r="P1016" t="s">
        <v>47</v>
      </c>
    </row>
    <row r="1017" spans="1:16" x14ac:dyDescent="0.4">
      <c r="A1017" t="s">
        <v>1058</v>
      </c>
      <c r="B1017">
        <v>28</v>
      </c>
      <c r="C1017" t="s">
        <v>41</v>
      </c>
      <c r="D1017" t="s">
        <v>16</v>
      </c>
      <c r="E1017">
        <v>48.58</v>
      </c>
      <c r="F1017">
        <v>10</v>
      </c>
      <c r="G1017" t="s">
        <v>70</v>
      </c>
      <c r="H1017" t="s">
        <v>46</v>
      </c>
      <c r="I1017" s="2">
        <v>8.99</v>
      </c>
      <c r="J1017">
        <v>0</v>
      </c>
      <c r="K1017" s="2">
        <f t="shared" si="30"/>
        <v>0</v>
      </c>
      <c r="L1017" t="s">
        <v>37</v>
      </c>
      <c r="M1017">
        <v>2</v>
      </c>
      <c r="N1017">
        <v>4.42</v>
      </c>
      <c r="O1017" t="str">
        <f t="shared" si="31"/>
        <v>1+ hours</v>
      </c>
      <c r="P1017" t="s">
        <v>30</v>
      </c>
    </row>
    <row r="1018" spans="1:16" x14ac:dyDescent="0.4">
      <c r="A1018" t="s">
        <v>1059</v>
      </c>
      <c r="B1018">
        <v>43</v>
      </c>
      <c r="C1018" t="s">
        <v>27</v>
      </c>
      <c r="D1018" t="s">
        <v>32</v>
      </c>
      <c r="E1018">
        <v>7.18</v>
      </c>
      <c r="F1018">
        <v>14</v>
      </c>
      <c r="G1018" t="s">
        <v>23</v>
      </c>
      <c r="H1018" t="s">
        <v>24</v>
      </c>
      <c r="I1018" s="2">
        <v>17.989999999999998</v>
      </c>
      <c r="J1018">
        <v>0</v>
      </c>
      <c r="K1018" s="2">
        <f t="shared" si="30"/>
        <v>0</v>
      </c>
      <c r="L1018" t="s">
        <v>19</v>
      </c>
      <c r="M1018">
        <v>5</v>
      </c>
      <c r="N1018">
        <v>0.48</v>
      </c>
      <c r="O1018" t="str">
        <f t="shared" si="31"/>
        <v>0.4–0.6 hours</v>
      </c>
      <c r="P1018" t="s">
        <v>39</v>
      </c>
    </row>
    <row r="1019" spans="1:16" x14ac:dyDescent="0.4">
      <c r="A1019" t="s">
        <v>1060</v>
      </c>
      <c r="B1019">
        <v>62</v>
      </c>
      <c r="C1019" t="s">
        <v>27</v>
      </c>
      <c r="D1019" t="s">
        <v>16</v>
      </c>
      <c r="E1019">
        <v>12</v>
      </c>
      <c r="F1019">
        <v>27</v>
      </c>
      <c r="G1019" t="s">
        <v>28</v>
      </c>
      <c r="H1019" t="s">
        <v>18</v>
      </c>
      <c r="I1019" s="2">
        <v>8.99</v>
      </c>
      <c r="J1019">
        <v>1</v>
      </c>
      <c r="K1019" s="2">
        <f t="shared" si="30"/>
        <v>8.99</v>
      </c>
      <c r="L1019" t="s">
        <v>29</v>
      </c>
      <c r="M1019">
        <v>2</v>
      </c>
      <c r="N1019">
        <v>0.43</v>
      </c>
      <c r="O1019" t="str">
        <f t="shared" si="31"/>
        <v>0.4–0.6 hours</v>
      </c>
      <c r="P1019" t="s">
        <v>30</v>
      </c>
    </row>
    <row r="1020" spans="1:16" x14ac:dyDescent="0.4">
      <c r="A1020" t="s">
        <v>1061</v>
      </c>
      <c r="B1020">
        <v>45</v>
      </c>
      <c r="C1020" t="s">
        <v>41</v>
      </c>
      <c r="D1020" t="s">
        <v>22</v>
      </c>
      <c r="E1020">
        <v>13.11</v>
      </c>
      <c r="F1020">
        <v>8</v>
      </c>
      <c r="G1020" t="s">
        <v>28</v>
      </c>
      <c r="H1020" t="s">
        <v>46</v>
      </c>
      <c r="I1020" s="2">
        <v>13.99</v>
      </c>
      <c r="J1020">
        <v>0</v>
      </c>
      <c r="K1020" s="2">
        <f t="shared" si="30"/>
        <v>0</v>
      </c>
      <c r="L1020" t="s">
        <v>19</v>
      </c>
      <c r="M1020">
        <v>1</v>
      </c>
      <c r="N1020">
        <v>1.46</v>
      </c>
      <c r="O1020" t="str">
        <f t="shared" si="31"/>
        <v>1+ hours</v>
      </c>
      <c r="P1020" t="s">
        <v>25</v>
      </c>
    </row>
    <row r="1021" spans="1:16" x14ac:dyDescent="0.4">
      <c r="A1021" t="s">
        <v>1062</v>
      </c>
      <c r="B1021">
        <v>68</v>
      </c>
      <c r="C1021" t="s">
        <v>27</v>
      </c>
      <c r="D1021" t="s">
        <v>16</v>
      </c>
      <c r="E1021">
        <v>1.91</v>
      </c>
      <c r="F1021">
        <v>57</v>
      </c>
      <c r="G1021" t="s">
        <v>17</v>
      </c>
      <c r="H1021" t="s">
        <v>55</v>
      </c>
      <c r="I1021" s="2">
        <v>8.99</v>
      </c>
      <c r="J1021">
        <v>1</v>
      </c>
      <c r="K1021" s="2">
        <f t="shared" si="30"/>
        <v>8.99</v>
      </c>
      <c r="L1021" t="s">
        <v>37</v>
      </c>
      <c r="M1021">
        <v>3</v>
      </c>
      <c r="N1021">
        <v>0.03</v>
      </c>
      <c r="O1021" t="str">
        <f t="shared" si="31"/>
        <v>0–0.2 hours</v>
      </c>
      <c r="P1021" t="s">
        <v>25</v>
      </c>
    </row>
    <row r="1022" spans="1:16" x14ac:dyDescent="0.4">
      <c r="A1022" t="s">
        <v>1063</v>
      </c>
      <c r="B1022">
        <v>24</v>
      </c>
      <c r="C1022" t="s">
        <v>15</v>
      </c>
      <c r="D1022" t="s">
        <v>16</v>
      </c>
      <c r="E1022">
        <v>0.17</v>
      </c>
      <c r="F1022">
        <v>25</v>
      </c>
      <c r="G1022" t="s">
        <v>49</v>
      </c>
      <c r="H1022" t="s">
        <v>18</v>
      </c>
      <c r="I1022" s="2">
        <v>8.99</v>
      </c>
      <c r="J1022">
        <v>1</v>
      </c>
      <c r="K1022" s="2">
        <f t="shared" si="30"/>
        <v>8.99</v>
      </c>
      <c r="L1022" t="s">
        <v>37</v>
      </c>
      <c r="M1022">
        <v>5</v>
      </c>
      <c r="N1022">
        <v>0.01</v>
      </c>
      <c r="O1022" t="str">
        <f t="shared" si="31"/>
        <v>0–0.2 hours</v>
      </c>
      <c r="P1022" t="s">
        <v>47</v>
      </c>
    </row>
    <row r="1023" spans="1:16" x14ac:dyDescent="0.4">
      <c r="A1023" t="s">
        <v>1064</v>
      </c>
      <c r="B1023">
        <v>45</v>
      </c>
      <c r="C1023" t="s">
        <v>41</v>
      </c>
      <c r="D1023" t="s">
        <v>16</v>
      </c>
      <c r="E1023">
        <v>6.78</v>
      </c>
      <c r="F1023">
        <v>23</v>
      </c>
      <c r="G1023" t="s">
        <v>28</v>
      </c>
      <c r="H1023" t="s">
        <v>46</v>
      </c>
      <c r="I1023" s="2">
        <v>8.99</v>
      </c>
      <c r="J1023">
        <v>0</v>
      </c>
      <c r="K1023" s="2">
        <f t="shared" si="30"/>
        <v>0</v>
      </c>
      <c r="L1023" t="s">
        <v>43</v>
      </c>
      <c r="M1023">
        <v>2</v>
      </c>
      <c r="N1023">
        <v>0.28000000000000003</v>
      </c>
      <c r="O1023" t="str">
        <f t="shared" si="31"/>
        <v>0.2–0.4 hours</v>
      </c>
      <c r="P1023" t="s">
        <v>25</v>
      </c>
    </row>
    <row r="1024" spans="1:16" x14ac:dyDescent="0.4">
      <c r="A1024" t="s">
        <v>1065</v>
      </c>
      <c r="B1024">
        <v>64</v>
      </c>
      <c r="C1024" t="s">
        <v>41</v>
      </c>
      <c r="D1024" t="s">
        <v>22</v>
      </c>
      <c r="E1024">
        <v>46.62</v>
      </c>
      <c r="F1024">
        <v>48</v>
      </c>
      <c r="G1024" t="s">
        <v>28</v>
      </c>
      <c r="H1024" t="s">
        <v>46</v>
      </c>
      <c r="I1024" s="2">
        <v>13.99</v>
      </c>
      <c r="J1024">
        <v>0</v>
      </c>
      <c r="K1024" s="2">
        <f t="shared" si="30"/>
        <v>0</v>
      </c>
      <c r="L1024" t="s">
        <v>43</v>
      </c>
      <c r="M1024">
        <v>3</v>
      </c>
      <c r="N1024">
        <v>0.95</v>
      </c>
      <c r="O1024" t="str">
        <f t="shared" si="31"/>
        <v>0.8–1 hour</v>
      </c>
      <c r="P1024" t="s">
        <v>34</v>
      </c>
    </row>
    <row r="1025" spans="1:16" x14ac:dyDescent="0.4">
      <c r="A1025" t="s">
        <v>1066</v>
      </c>
      <c r="B1025">
        <v>21</v>
      </c>
      <c r="C1025" t="s">
        <v>27</v>
      </c>
      <c r="D1025" t="s">
        <v>16</v>
      </c>
      <c r="E1025">
        <v>1.31</v>
      </c>
      <c r="F1025">
        <v>10</v>
      </c>
      <c r="G1025" t="s">
        <v>49</v>
      </c>
      <c r="H1025" t="s">
        <v>24</v>
      </c>
      <c r="I1025" s="2">
        <v>8.99</v>
      </c>
      <c r="J1025">
        <v>1</v>
      </c>
      <c r="K1025" s="2">
        <f t="shared" si="30"/>
        <v>8.99</v>
      </c>
      <c r="L1025" t="s">
        <v>37</v>
      </c>
      <c r="M1025">
        <v>2</v>
      </c>
      <c r="N1025">
        <v>0.12</v>
      </c>
      <c r="O1025" t="str">
        <f t="shared" si="31"/>
        <v>0–0.2 hours</v>
      </c>
      <c r="P1025" t="s">
        <v>47</v>
      </c>
    </row>
    <row r="1026" spans="1:16" x14ac:dyDescent="0.4">
      <c r="A1026" t="s">
        <v>1067</v>
      </c>
      <c r="B1026">
        <v>66</v>
      </c>
      <c r="C1026" t="s">
        <v>15</v>
      </c>
      <c r="D1026" t="s">
        <v>16</v>
      </c>
      <c r="E1026">
        <v>0.83</v>
      </c>
      <c r="F1026">
        <v>30</v>
      </c>
      <c r="G1026" t="s">
        <v>23</v>
      </c>
      <c r="H1026" t="s">
        <v>46</v>
      </c>
      <c r="I1026" s="2">
        <v>8.99</v>
      </c>
      <c r="J1026">
        <v>1</v>
      </c>
      <c r="K1026" s="2">
        <f t="shared" si="30"/>
        <v>8.99</v>
      </c>
      <c r="L1026" t="s">
        <v>43</v>
      </c>
      <c r="M1026">
        <v>5</v>
      </c>
      <c r="N1026">
        <v>0.03</v>
      </c>
      <c r="O1026" t="str">
        <f t="shared" si="31"/>
        <v>0–0.2 hours</v>
      </c>
      <c r="P1026" t="s">
        <v>47</v>
      </c>
    </row>
    <row r="1027" spans="1:16" x14ac:dyDescent="0.4">
      <c r="A1027" t="s">
        <v>1068</v>
      </c>
      <c r="B1027">
        <v>59</v>
      </c>
      <c r="C1027" t="s">
        <v>27</v>
      </c>
      <c r="D1027" t="s">
        <v>32</v>
      </c>
      <c r="E1027">
        <v>4.67</v>
      </c>
      <c r="F1027">
        <v>13</v>
      </c>
      <c r="G1027" t="s">
        <v>33</v>
      </c>
      <c r="H1027" t="s">
        <v>24</v>
      </c>
      <c r="I1027" s="2">
        <v>17.989999999999998</v>
      </c>
      <c r="J1027">
        <v>0</v>
      </c>
      <c r="K1027" s="2">
        <f t="shared" ref="K1027:K1090" si="32">SUMIF(J1027,1,I1027)</f>
        <v>0</v>
      </c>
      <c r="L1027" t="s">
        <v>43</v>
      </c>
      <c r="M1027">
        <v>5</v>
      </c>
      <c r="N1027">
        <v>0.33</v>
      </c>
      <c r="O1027" t="str">
        <f t="shared" ref="O1027:O1090" si="33">IF(N1027&gt;1,"1+ hours",IF(N1027&lt;=0.2,"0–0.2 hours",IF(N1027&lt;=0.4,"0.2–0.4 hours",IF(N1027&lt;=0.6,"0.4–0.6 hours",IF(N1027&lt;=0.8,"0.6–0.8 hours","0.8–1 hour")))))</f>
        <v>0.2–0.4 hours</v>
      </c>
      <c r="P1027" t="s">
        <v>20</v>
      </c>
    </row>
    <row r="1028" spans="1:16" x14ac:dyDescent="0.4">
      <c r="A1028" t="s">
        <v>1069</v>
      </c>
      <c r="B1028">
        <v>25</v>
      </c>
      <c r="C1028" t="s">
        <v>15</v>
      </c>
      <c r="D1028" t="s">
        <v>32</v>
      </c>
      <c r="E1028">
        <v>48.76</v>
      </c>
      <c r="F1028">
        <v>47</v>
      </c>
      <c r="G1028" t="s">
        <v>70</v>
      </c>
      <c r="H1028" t="s">
        <v>46</v>
      </c>
      <c r="I1028" s="2">
        <v>17.989999999999998</v>
      </c>
      <c r="J1028">
        <v>0</v>
      </c>
      <c r="K1028" s="2">
        <f t="shared" si="32"/>
        <v>0</v>
      </c>
      <c r="L1028" t="s">
        <v>29</v>
      </c>
      <c r="M1028">
        <v>1</v>
      </c>
      <c r="N1028">
        <v>1.02</v>
      </c>
      <c r="O1028" t="str">
        <f t="shared" si="33"/>
        <v>1+ hours</v>
      </c>
      <c r="P1028" t="s">
        <v>39</v>
      </c>
    </row>
    <row r="1029" spans="1:16" x14ac:dyDescent="0.4">
      <c r="A1029" t="s">
        <v>1070</v>
      </c>
      <c r="B1029">
        <v>55</v>
      </c>
      <c r="C1029" t="s">
        <v>41</v>
      </c>
      <c r="D1029" t="s">
        <v>16</v>
      </c>
      <c r="E1029">
        <v>3.76</v>
      </c>
      <c r="F1029">
        <v>22</v>
      </c>
      <c r="G1029" t="s">
        <v>28</v>
      </c>
      <c r="H1029" t="s">
        <v>55</v>
      </c>
      <c r="I1029" s="2">
        <v>8.99</v>
      </c>
      <c r="J1029">
        <v>1</v>
      </c>
      <c r="K1029" s="2">
        <f t="shared" si="32"/>
        <v>8.99</v>
      </c>
      <c r="L1029" t="s">
        <v>29</v>
      </c>
      <c r="M1029">
        <v>4</v>
      </c>
      <c r="N1029">
        <v>0.16</v>
      </c>
      <c r="O1029" t="str">
        <f t="shared" si="33"/>
        <v>0–0.2 hours</v>
      </c>
      <c r="P1029" t="s">
        <v>39</v>
      </c>
    </row>
    <row r="1030" spans="1:16" x14ac:dyDescent="0.4">
      <c r="A1030" t="s">
        <v>1071</v>
      </c>
      <c r="B1030">
        <v>46</v>
      </c>
      <c r="C1030" t="s">
        <v>27</v>
      </c>
      <c r="D1030" t="s">
        <v>16</v>
      </c>
      <c r="E1030">
        <v>0.49</v>
      </c>
      <c r="F1030">
        <v>35</v>
      </c>
      <c r="G1030" t="s">
        <v>17</v>
      </c>
      <c r="H1030" t="s">
        <v>24</v>
      </c>
      <c r="I1030" s="2">
        <v>8.99</v>
      </c>
      <c r="J1030">
        <v>1</v>
      </c>
      <c r="K1030" s="2">
        <f t="shared" si="32"/>
        <v>8.99</v>
      </c>
      <c r="L1030" t="s">
        <v>19</v>
      </c>
      <c r="M1030">
        <v>3</v>
      </c>
      <c r="N1030">
        <v>0.01</v>
      </c>
      <c r="O1030" t="str">
        <f t="shared" si="33"/>
        <v>0–0.2 hours</v>
      </c>
      <c r="P1030" t="s">
        <v>30</v>
      </c>
    </row>
    <row r="1031" spans="1:16" x14ac:dyDescent="0.4">
      <c r="A1031" t="s">
        <v>1072</v>
      </c>
      <c r="B1031">
        <v>41</v>
      </c>
      <c r="C1031" t="s">
        <v>41</v>
      </c>
      <c r="D1031" t="s">
        <v>16</v>
      </c>
      <c r="E1031">
        <v>10.68</v>
      </c>
      <c r="F1031">
        <v>14</v>
      </c>
      <c r="G1031" t="s">
        <v>23</v>
      </c>
      <c r="H1031" t="s">
        <v>46</v>
      </c>
      <c r="I1031" s="2">
        <v>8.99</v>
      </c>
      <c r="J1031">
        <v>0</v>
      </c>
      <c r="K1031" s="2">
        <f t="shared" si="32"/>
        <v>0</v>
      </c>
      <c r="L1031" t="s">
        <v>19</v>
      </c>
      <c r="M1031">
        <v>5</v>
      </c>
      <c r="N1031">
        <v>0.71</v>
      </c>
      <c r="O1031" t="str">
        <f t="shared" si="33"/>
        <v>0.6–0.8 hours</v>
      </c>
      <c r="P1031" t="s">
        <v>30</v>
      </c>
    </row>
    <row r="1032" spans="1:16" x14ac:dyDescent="0.4">
      <c r="A1032" t="s">
        <v>1073</v>
      </c>
      <c r="B1032">
        <v>63</v>
      </c>
      <c r="C1032" t="s">
        <v>27</v>
      </c>
      <c r="D1032" t="s">
        <v>32</v>
      </c>
      <c r="E1032">
        <v>15.93</v>
      </c>
      <c r="F1032">
        <v>31</v>
      </c>
      <c r="G1032" t="s">
        <v>33</v>
      </c>
      <c r="H1032" t="s">
        <v>24</v>
      </c>
      <c r="I1032" s="2">
        <v>17.989999999999998</v>
      </c>
      <c r="J1032">
        <v>0</v>
      </c>
      <c r="K1032" s="2">
        <f t="shared" si="32"/>
        <v>0</v>
      </c>
      <c r="L1032" t="s">
        <v>43</v>
      </c>
      <c r="M1032">
        <v>3</v>
      </c>
      <c r="N1032">
        <v>0.5</v>
      </c>
      <c r="O1032" t="str">
        <f t="shared" si="33"/>
        <v>0.4–0.6 hours</v>
      </c>
      <c r="P1032" t="s">
        <v>52</v>
      </c>
    </row>
    <row r="1033" spans="1:16" x14ac:dyDescent="0.4">
      <c r="A1033" t="s">
        <v>1074</v>
      </c>
      <c r="B1033">
        <v>27</v>
      </c>
      <c r="C1033" t="s">
        <v>41</v>
      </c>
      <c r="D1033" t="s">
        <v>32</v>
      </c>
      <c r="E1033">
        <v>11.44</v>
      </c>
      <c r="F1033">
        <v>54</v>
      </c>
      <c r="G1033" t="s">
        <v>49</v>
      </c>
      <c r="H1033" t="s">
        <v>46</v>
      </c>
      <c r="I1033" s="2">
        <v>17.989999999999998</v>
      </c>
      <c r="J1033">
        <v>1</v>
      </c>
      <c r="K1033" s="2">
        <f t="shared" si="32"/>
        <v>17.989999999999998</v>
      </c>
      <c r="L1033" t="s">
        <v>29</v>
      </c>
      <c r="M1033">
        <v>3</v>
      </c>
      <c r="N1033">
        <v>0.21</v>
      </c>
      <c r="O1033" t="str">
        <f t="shared" si="33"/>
        <v>0.2–0.4 hours</v>
      </c>
      <c r="P1033" t="s">
        <v>34</v>
      </c>
    </row>
    <row r="1034" spans="1:16" x14ac:dyDescent="0.4">
      <c r="A1034" t="s">
        <v>1075</v>
      </c>
      <c r="B1034">
        <v>50</v>
      </c>
      <c r="C1034" t="s">
        <v>41</v>
      </c>
      <c r="D1034" t="s">
        <v>32</v>
      </c>
      <c r="E1034">
        <v>4.5999999999999996</v>
      </c>
      <c r="F1034">
        <v>6</v>
      </c>
      <c r="G1034" t="s">
        <v>70</v>
      </c>
      <c r="H1034" t="s">
        <v>57</v>
      </c>
      <c r="I1034" s="2">
        <v>17.989999999999998</v>
      </c>
      <c r="J1034">
        <v>0</v>
      </c>
      <c r="K1034" s="2">
        <f t="shared" si="32"/>
        <v>0</v>
      </c>
      <c r="L1034" t="s">
        <v>43</v>
      </c>
      <c r="M1034">
        <v>4</v>
      </c>
      <c r="N1034">
        <v>0.66</v>
      </c>
      <c r="O1034" t="str">
        <f t="shared" si="33"/>
        <v>0.6–0.8 hours</v>
      </c>
      <c r="P1034" t="s">
        <v>25</v>
      </c>
    </row>
    <row r="1035" spans="1:16" x14ac:dyDescent="0.4">
      <c r="A1035" t="s">
        <v>1076</v>
      </c>
      <c r="B1035">
        <v>42</v>
      </c>
      <c r="C1035" t="s">
        <v>27</v>
      </c>
      <c r="D1035" t="s">
        <v>22</v>
      </c>
      <c r="E1035">
        <v>27.93</v>
      </c>
      <c r="F1035">
        <v>59</v>
      </c>
      <c r="G1035" t="s">
        <v>28</v>
      </c>
      <c r="H1035" t="s">
        <v>18</v>
      </c>
      <c r="I1035" s="2">
        <v>13.99</v>
      </c>
      <c r="J1035">
        <v>0</v>
      </c>
      <c r="K1035" s="2">
        <f t="shared" si="32"/>
        <v>0</v>
      </c>
      <c r="L1035" t="s">
        <v>29</v>
      </c>
      <c r="M1035">
        <v>4</v>
      </c>
      <c r="N1035">
        <v>0.47</v>
      </c>
      <c r="O1035" t="str">
        <f t="shared" si="33"/>
        <v>0.4–0.6 hours</v>
      </c>
      <c r="P1035" t="s">
        <v>34</v>
      </c>
    </row>
    <row r="1036" spans="1:16" x14ac:dyDescent="0.4">
      <c r="A1036" t="s">
        <v>1077</v>
      </c>
      <c r="B1036">
        <v>60</v>
      </c>
      <c r="C1036" t="s">
        <v>27</v>
      </c>
      <c r="D1036" t="s">
        <v>22</v>
      </c>
      <c r="E1036">
        <v>0.76</v>
      </c>
      <c r="F1036">
        <v>59</v>
      </c>
      <c r="G1036" t="s">
        <v>70</v>
      </c>
      <c r="H1036" t="s">
        <v>55</v>
      </c>
      <c r="I1036" s="2">
        <v>13.99</v>
      </c>
      <c r="J1036">
        <v>1</v>
      </c>
      <c r="K1036" s="2">
        <f t="shared" si="32"/>
        <v>13.99</v>
      </c>
      <c r="L1036" t="s">
        <v>61</v>
      </c>
      <c r="M1036">
        <v>2</v>
      </c>
      <c r="N1036">
        <v>0.01</v>
      </c>
      <c r="O1036" t="str">
        <f t="shared" si="33"/>
        <v>0–0.2 hours</v>
      </c>
      <c r="P1036" t="s">
        <v>39</v>
      </c>
    </row>
    <row r="1037" spans="1:16" x14ac:dyDescent="0.4">
      <c r="A1037" t="s">
        <v>1078</v>
      </c>
      <c r="B1037">
        <v>22</v>
      </c>
      <c r="C1037" t="s">
        <v>15</v>
      </c>
      <c r="D1037" t="s">
        <v>32</v>
      </c>
      <c r="E1037">
        <v>3.24</v>
      </c>
      <c r="F1037">
        <v>5</v>
      </c>
      <c r="G1037" t="s">
        <v>49</v>
      </c>
      <c r="H1037" t="s">
        <v>46</v>
      </c>
      <c r="I1037" s="2">
        <v>17.989999999999998</v>
      </c>
      <c r="J1037">
        <v>0</v>
      </c>
      <c r="K1037" s="2">
        <f t="shared" si="32"/>
        <v>0</v>
      </c>
      <c r="L1037" t="s">
        <v>19</v>
      </c>
      <c r="M1037">
        <v>4</v>
      </c>
      <c r="N1037">
        <v>0.54</v>
      </c>
      <c r="O1037" t="str">
        <f t="shared" si="33"/>
        <v>0.4–0.6 hours</v>
      </c>
      <c r="P1037" t="s">
        <v>39</v>
      </c>
    </row>
    <row r="1038" spans="1:16" x14ac:dyDescent="0.4">
      <c r="A1038" t="s">
        <v>1079</v>
      </c>
      <c r="B1038">
        <v>67</v>
      </c>
      <c r="C1038" t="s">
        <v>27</v>
      </c>
      <c r="D1038" t="s">
        <v>32</v>
      </c>
      <c r="E1038">
        <v>5.4</v>
      </c>
      <c r="F1038">
        <v>3</v>
      </c>
      <c r="G1038" t="s">
        <v>28</v>
      </c>
      <c r="H1038" t="s">
        <v>24</v>
      </c>
      <c r="I1038" s="2">
        <v>17.989999999999998</v>
      </c>
      <c r="J1038">
        <v>0</v>
      </c>
      <c r="K1038" s="2">
        <f t="shared" si="32"/>
        <v>0</v>
      </c>
      <c r="L1038" t="s">
        <v>43</v>
      </c>
      <c r="M1038">
        <v>2</v>
      </c>
      <c r="N1038">
        <v>1.35</v>
      </c>
      <c r="O1038" t="str">
        <f t="shared" si="33"/>
        <v>1+ hours</v>
      </c>
      <c r="P1038" t="s">
        <v>25</v>
      </c>
    </row>
    <row r="1039" spans="1:16" x14ac:dyDescent="0.4">
      <c r="A1039" t="s">
        <v>1080</v>
      </c>
      <c r="B1039">
        <v>50</v>
      </c>
      <c r="C1039" t="s">
        <v>15</v>
      </c>
      <c r="D1039" t="s">
        <v>32</v>
      </c>
      <c r="E1039">
        <v>1.21</v>
      </c>
      <c r="F1039">
        <v>44</v>
      </c>
      <c r="G1039" t="s">
        <v>23</v>
      </c>
      <c r="H1039" t="s">
        <v>57</v>
      </c>
      <c r="I1039" s="2">
        <v>17.989999999999998</v>
      </c>
      <c r="J1039">
        <v>1</v>
      </c>
      <c r="K1039" s="2">
        <f t="shared" si="32"/>
        <v>17.989999999999998</v>
      </c>
      <c r="L1039" t="s">
        <v>61</v>
      </c>
      <c r="M1039">
        <v>1</v>
      </c>
      <c r="N1039">
        <v>0.03</v>
      </c>
      <c r="O1039" t="str">
        <f t="shared" si="33"/>
        <v>0–0.2 hours</v>
      </c>
      <c r="P1039" t="s">
        <v>20</v>
      </c>
    </row>
    <row r="1040" spans="1:16" x14ac:dyDescent="0.4">
      <c r="A1040" t="s">
        <v>1081</v>
      </c>
      <c r="B1040">
        <v>64</v>
      </c>
      <c r="C1040" t="s">
        <v>15</v>
      </c>
      <c r="D1040" t="s">
        <v>32</v>
      </c>
      <c r="E1040">
        <v>15</v>
      </c>
      <c r="F1040">
        <v>24</v>
      </c>
      <c r="G1040" t="s">
        <v>28</v>
      </c>
      <c r="H1040" t="s">
        <v>55</v>
      </c>
      <c r="I1040" s="2">
        <v>17.989999999999998</v>
      </c>
      <c r="J1040">
        <v>0</v>
      </c>
      <c r="K1040" s="2">
        <f t="shared" si="32"/>
        <v>0</v>
      </c>
      <c r="L1040" t="s">
        <v>29</v>
      </c>
      <c r="M1040">
        <v>2</v>
      </c>
      <c r="N1040">
        <v>0.6</v>
      </c>
      <c r="O1040" t="str">
        <f t="shared" si="33"/>
        <v>0.4–0.6 hours</v>
      </c>
      <c r="P1040" t="s">
        <v>52</v>
      </c>
    </row>
    <row r="1041" spans="1:16" x14ac:dyDescent="0.4">
      <c r="A1041" t="s">
        <v>1082</v>
      </c>
      <c r="B1041">
        <v>26</v>
      </c>
      <c r="C1041" t="s">
        <v>27</v>
      </c>
      <c r="D1041" t="s">
        <v>32</v>
      </c>
      <c r="E1041">
        <v>5.22</v>
      </c>
      <c r="F1041">
        <v>24</v>
      </c>
      <c r="G1041" t="s">
        <v>28</v>
      </c>
      <c r="H1041" t="s">
        <v>46</v>
      </c>
      <c r="I1041" s="2">
        <v>17.989999999999998</v>
      </c>
      <c r="J1041">
        <v>0</v>
      </c>
      <c r="K1041" s="2">
        <f t="shared" si="32"/>
        <v>0</v>
      </c>
      <c r="L1041" t="s">
        <v>19</v>
      </c>
      <c r="M1041">
        <v>5</v>
      </c>
      <c r="N1041">
        <v>0.21</v>
      </c>
      <c r="O1041" t="str">
        <f t="shared" si="33"/>
        <v>0.2–0.4 hours</v>
      </c>
      <c r="P1041" t="s">
        <v>20</v>
      </c>
    </row>
    <row r="1042" spans="1:16" x14ac:dyDescent="0.4">
      <c r="A1042" s="1" t="s">
        <v>1083</v>
      </c>
      <c r="B1042">
        <v>37</v>
      </c>
      <c r="C1042" t="s">
        <v>27</v>
      </c>
      <c r="D1042" t="s">
        <v>32</v>
      </c>
      <c r="E1042">
        <v>0.52</v>
      </c>
      <c r="F1042">
        <v>37</v>
      </c>
      <c r="G1042" t="s">
        <v>70</v>
      </c>
      <c r="H1042" t="s">
        <v>18</v>
      </c>
      <c r="I1042" s="2">
        <v>17.989999999999998</v>
      </c>
      <c r="J1042">
        <v>1</v>
      </c>
      <c r="K1042" s="2">
        <f t="shared" si="32"/>
        <v>17.989999999999998</v>
      </c>
      <c r="L1042" t="s">
        <v>43</v>
      </c>
      <c r="M1042">
        <v>4</v>
      </c>
      <c r="N1042">
        <v>0.01</v>
      </c>
      <c r="O1042" t="str">
        <f t="shared" si="33"/>
        <v>0–0.2 hours</v>
      </c>
      <c r="P1042" t="s">
        <v>52</v>
      </c>
    </row>
    <row r="1043" spans="1:16" x14ac:dyDescent="0.4">
      <c r="A1043" t="s">
        <v>1084</v>
      </c>
      <c r="B1043">
        <v>64</v>
      </c>
      <c r="C1043" t="s">
        <v>41</v>
      </c>
      <c r="D1043" t="s">
        <v>22</v>
      </c>
      <c r="E1043">
        <v>8.35</v>
      </c>
      <c r="F1043">
        <v>32</v>
      </c>
      <c r="G1043" t="s">
        <v>17</v>
      </c>
      <c r="H1043" t="s">
        <v>18</v>
      </c>
      <c r="I1043" s="2">
        <v>13.99</v>
      </c>
      <c r="J1043">
        <v>1</v>
      </c>
      <c r="K1043" s="2">
        <f t="shared" si="32"/>
        <v>13.99</v>
      </c>
      <c r="L1043" t="s">
        <v>61</v>
      </c>
      <c r="M1043">
        <v>2</v>
      </c>
      <c r="N1043">
        <v>0.25</v>
      </c>
      <c r="O1043" t="str">
        <f t="shared" si="33"/>
        <v>0.2–0.4 hours</v>
      </c>
      <c r="P1043" t="s">
        <v>20</v>
      </c>
    </row>
    <row r="1044" spans="1:16" x14ac:dyDescent="0.4">
      <c r="A1044" t="s">
        <v>1085</v>
      </c>
      <c r="B1044">
        <v>32</v>
      </c>
      <c r="C1044" t="s">
        <v>27</v>
      </c>
      <c r="D1044" t="s">
        <v>22</v>
      </c>
      <c r="E1044">
        <v>13.49</v>
      </c>
      <c r="F1044">
        <v>8</v>
      </c>
      <c r="G1044" t="s">
        <v>17</v>
      </c>
      <c r="H1044" t="s">
        <v>55</v>
      </c>
      <c r="I1044" s="2">
        <v>13.99</v>
      </c>
      <c r="J1044">
        <v>0</v>
      </c>
      <c r="K1044" s="2">
        <f t="shared" si="32"/>
        <v>0</v>
      </c>
      <c r="L1044" t="s">
        <v>19</v>
      </c>
      <c r="M1044">
        <v>4</v>
      </c>
      <c r="N1044">
        <v>1.5</v>
      </c>
      <c r="O1044" t="str">
        <f t="shared" si="33"/>
        <v>1+ hours</v>
      </c>
      <c r="P1044" t="s">
        <v>25</v>
      </c>
    </row>
    <row r="1045" spans="1:16" x14ac:dyDescent="0.4">
      <c r="A1045" t="s">
        <v>1086</v>
      </c>
      <c r="B1045">
        <v>39</v>
      </c>
      <c r="C1045" t="s">
        <v>15</v>
      </c>
      <c r="D1045" t="s">
        <v>32</v>
      </c>
      <c r="E1045">
        <v>3.98</v>
      </c>
      <c r="F1045">
        <v>39</v>
      </c>
      <c r="G1045" t="s">
        <v>28</v>
      </c>
      <c r="H1045" t="s">
        <v>57</v>
      </c>
      <c r="I1045" s="2">
        <v>17.989999999999998</v>
      </c>
      <c r="J1045">
        <v>1</v>
      </c>
      <c r="K1045" s="2">
        <f t="shared" si="32"/>
        <v>17.989999999999998</v>
      </c>
      <c r="L1045" t="s">
        <v>37</v>
      </c>
      <c r="M1045">
        <v>3</v>
      </c>
      <c r="N1045">
        <v>0.1</v>
      </c>
      <c r="O1045" t="str">
        <f t="shared" si="33"/>
        <v>0–0.2 hours</v>
      </c>
      <c r="P1045" t="s">
        <v>30</v>
      </c>
    </row>
    <row r="1046" spans="1:16" x14ac:dyDescent="0.4">
      <c r="A1046" t="s">
        <v>1087</v>
      </c>
      <c r="B1046">
        <v>66</v>
      </c>
      <c r="C1046" t="s">
        <v>41</v>
      </c>
      <c r="D1046" t="s">
        <v>22</v>
      </c>
      <c r="E1046">
        <v>0.24</v>
      </c>
      <c r="F1046">
        <v>13</v>
      </c>
      <c r="G1046" t="s">
        <v>33</v>
      </c>
      <c r="H1046" t="s">
        <v>57</v>
      </c>
      <c r="I1046" s="2">
        <v>13.99</v>
      </c>
      <c r="J1046">
        <v>1</v>
      </c>
      <c r="K1046" s="2">
        <f t="shared" si="32"/>
        <v>13.99</v>
      </c>
      <c r="L1046" t="s">
        <v>29</v>
      </c>
      <c r="M1046">
        <v>5</v>
      </c>
      <c r="N1046">
        <v>0.02</v>
      </c>
      <c r="O1046" t="str">
        <f t="shared" si="33"/>
        <v>0–0.2 hours</v>
      </c>
      <c r="P1046" t="s">
        <v>20</v>
      </c>
    </row>
    <row r="1047" spans="1:16" x14ac:dyDescent="0.4">
      <c r="A1047" t="s">
        <v>1088</v>
      </c>
      <c r="B1047">
        <v>57</v>
      </c>
      <c r="C1047" t="s">
        <v>41</v>
      </c>
      <c r="D1047" t="s">
        <v>32</v>
      </c>
      <c r="E1047">
        <v>20</v>
      </c>
      <c r="F1047">
        <v>41</v>
      </c>
      <c r="G1047" t="s">
        <v>49</v>
      </c>
      <c r="H1047" t="s">
        <v>46</v>
      </c>
      <c r="I1047" s="2">
        <v>17.989999999999998</v>
      </c>
      <c r="J1047">
        <v>1</v>
      </c>
      <c r="K1047" s="2">
        <f t="shared" si="32"/>
        <v>17.989999999999998</v>
      </c>
      <c r="L1047" t="s">
        <v>37</v>
      </c>
      <c r="M1047">
        <v>2</v>
      </c>
      <c r="N1047">
        <v>0.48</v>
      </c>
      <c r="O1047" t="str">
        <f t="shared" si="33"/>
        <v>0.4–0.6 hours</v>
      </c>
      <c r="P1047" t="s">
        <v>30</v>
      </c>
    </row>
    <row r="1048" spans="1:16" x14ac:dyDescent="0.4">
      <c r="A1048" t="s">
        <v>1089</v>
      </c>
      <c r="B1048">
        <v>53</v>
      </c>
      <c r="C1048" t="s">
        <v>27</v>
      </c>
      <c r="D1048" t="s">
        <v>16</v>
      </c>
      <c r="E1048">
        <v>20.8</v>
      </c>
      <c r="F1048">
        <v>27</v>
      </c>
      <c r="G1048" t="s">
        <v>28</v>
      </c>
      <c r="H1048" t="s">
        <v>24</v>
      </c>
      <c r="I1048" s="2">
        <v>8.99</v>
      </c>
      <c r="J1048">
        <v>0</v>
      </c>
      <c r="K1048" s="2">
        <f t="shared" si="32"/>
        <v>0</v>
      </c>
      <c r="L1048" t="s">
        <v>19</v>
      </c>
      <c r="M1048">
        <v>5</v>
      </c>
      <c r="N1048">
        <v>0.74</v>
      </c>
      <c r="O1048" t="str">
        <f t="shared" si="33"/>
        <v>0.6–0.8 hours</v>
      </c>
      <c r="P1048" t="s">
        <v>47</v>
      </c>
    </row>
    <row r="1049" spans="1:16" x14ac:dyDescent="0.4">
      <c r="A1049" t="s">
        <v>1090</v>
      </c>
      <c r="B1049">
        <v>36</v>
      </c>
      <c r="C1049" t="s">
        <v>15</v>
      </c>
      <c r="D1049" t="s">
        <v>16</v>
      </c>
      <c r="E1049">
        <v>0.95</v>
      </c>
      <c r="F1049">
        <v>41</v>
      </c>
      <c r="G1049" t="s">
        <v>70</v>
      </c>
      <c r="H1049" t="s">
        <v>55</v>
      </c>
      <c r="I1049" s="2">
        <v>8.99</v>
      </c>
      <c r="J1049">
        <v>1</v>
      </c>
      <c r="K1049" s="2">
        <f t="shared" si="32"/>
        <v>8.99</v>
      </c>
      <c r="L1049" t="s">
        <v>19</v>
      </c>
      <c r="M1049">
        <v>5</v>
      </c>
      <c r="N1049">
        <v>0.02</v>
      </c>
      <c r="O1049" t="str">
        <f t="shared" si="33"/>
        <v>0–0.2 hours</v>
      </c>
      <c r="P1049" t="s">
        <v>52</v>
      </c>
    </row>
    <row r="1050" spans="1:16" x14ac:dyDescent="0.4">
      <c r="A1050" t="s">
        <v>1091</v>
      </c>
      <c r="B1050">
        <v>67</v>
      </c>
      <c r="C1050" t="s">
        <v>27</v>
      </c>
      <c r="D1050" t="s">
        <v>32</v>
      </c>
      <c r="E1050">
        <v>3.33</v>
      </c>
      <c r="F1050">
        <v>11</v>
      </c>
      <c r="G1050" t="s">
        <v>23</v>
      </c>
      <c r="H1050" t="s">
        <v>24</v>
      </c>
      <c r="I1050" s="2">
        <v>17.989999999999998</v>
      </c>
      <c r="J1050">
        <v>1</v>
      </c>
      <c r="K1050" s="2">
        <f t="shared" si="32"/>
        <v>17.989999999999998</v>
      </c>
      <c r="L1050" t="s">
        <v>29</v>
      </c>
      <c r="M1050">
        <v>3</v>
      </c>
      <c r="N1050">
        <v>0.28000000000000003</v>
      </c>
      <c r="O1050" t="str">
        <f t="shared" si="33"/>
        <v>0.2–0.4 hours</v>
      </c>
      <c r="P1050" t="s">
        <v>20</v>
      </c>
    </row>
    <row r="1051" spans="1:16" x14ac:dyDescent="0.4">
      <c r="A1051" t="s">
        <v>1092</v>
      </c>
      <c r="B1051">
        <v>32</v>
      </c>
      <c r="C1051" t="s">
        <v>15</v>
      </c>
      <c r="D1051" t="s">
        <v>16</v>
      </c>
      <c r="E1051">
        <v>5.21</v>
      </c>
      <c r="F1051">
        <v>9</v>
      </c>
      <c r="G1051" t="s">
        <v>28</v>
      </c>
      <c r="H1051" t="s">
        <v>46</v>
      </c>
      <c r="I1051" s="2">
        <v>8.99</v>
      </c>
      <c r="J1051">
        <v>0</v>
      </c>
      <c r="K1051" s="2">
        <f t="shared" si="32"/>
        <v>0</v>
      </c>
      <c r="L1051" t="s">
        <v>19</v>
      </c>
      <c r="M1051">
        <v>2</v>
      </c>
      <c r="N1051">
        <v>0.52</v>
      </c>
      <c r="O1051" t="str">
        <f t="shared" si="33"/>
        <v>0.4–0.6 hours</v>
      </c>
      <c r="P1051" t="s">
        <v>39</v>
      </c>
    </row>
    <row r="1052" spans="1:16" x14ac:dyDescent="0.4">
      <c r="A1052" t="s">
        <v>1093</v>
      </c>
      <c r="B1052">
        <v>48</v>
      </c>
      <c r="C1052" t="s">
        <v>41</v>
      </c>
      <c r="D1052" t="s">
        <v>32</v>
      </c>
      <c r="E1052">
        <v>8.82</v>
      </c>
      <c r="F1052">
        <v>1</v>
      </c>
      <c r="G1052" t="s">
        <v>49</v>
      </c>
      <c r="H1052" t="s">
        <v>46</v>
      </c>
      <c r="I1052" s="2">
        <v>17.989999999999998</v>
      </c>
      <c r="J1052">
        <v>0</v>
      </c>
      <c r="K1052" s="2">
        <f t="shared" si="32"/>
        <v>0</v>
      </c>
      <c r="L1052" t="s">
        <v>43</v>
      </c>
      <c r="M1052">
        <v>5</v>
      </c>
      <c r="N1052">
        <v>4.41</v>
      </c>
      <c r="O1052" t="str">
        <f t="shared" si="33"/>
        <v>1+ hours</v>
      </c>
      <c r="P1052" t="s">
        <v>39</v>
      </c>
    </row>
    <row r="1053" spans="1:16" x14ac:dyDescent="0.4">
      <c r="A1053" t="s">
        <v>1094</v>
      </c>
      <c r="B1053">
        <v>32</v>
      </c>
      <c r="C1053" t="s">
        <v>27</v>
      </c>
      <c r="D1053" t="s">
        <v>16</v>
      </c>
      <c r="E1053">
        <v>3.15</v>
      </c>
      <c r="F1053">
        <v>26</v>
      </c>
      <c r="G1053" t="s">
        <v>70</v>
      </c>
      <c r="H1053" t="s">
        <v>46</v>
      </c>
      <c r="I1053" s="2">
        <v>8.99</v>
      </c>
      <c r="J1053">
        <v>1</v>
      </c>
      <c r="K1053" s="2">
        <f t="shared" si="32"/>
        <v>8.99</v>
      </c>
      <c r="L1053" t="s">
        <v>37</v>
      </c>
      <c r="M1053">
        <v>2</v>
      </c>
      <c r="N1053">
        <v>0.12</v>
      </c>
      <c r="O1053" t="str">
        <f t="shared" si="33"/>
        <v>0–0.2 hours</v>
      </c>
      <c r="P1053" t="s">
        <v>47</v>
      </c>
    </row>
    <row r="1054" spans="1:16" x14ac:dyDescent="0.4">
      <c r="A1054" t="s">
        <v>1095</v>
      </c>
      <c r="B1054">
        <v>50</v>
      </c>
      <c r="C1054" t="s">
        <v>15</v>
      </c>
      <c r="D1054" t="s">
        <v>32</v>
      </c>
      <c r="E1054">
        <v>75.900000000000006</v>
      </c>
      <c r="F1054">
        <v>40</v>
      </c>
      <c r="G1054" t="s">
        <v>49</v>
      </c>
      <c r="H1054" t="s">
        <v>24</v>
      </c>
      <c r="I1054" s="2">
        <v>17.989999999999998</v>
      </c>
      <c r="J1054">
        <v>0</v>
      </c>
      <c r="K1054" s="2">
        <f t="shared" si="32"/>
        <v>0</v>
      </c>
      <c r="L1054" t="s">
        <v>29</v>
      </c>
      <c r="M1054">
        <v>5</v>
      </c>
      <c r="N1054">
        <v>1.85</v>
      </c>
      <c r="O1054" t="str">
        <f t="shared" si="33"/>
        <v>1+ hours</v>
      </c>
      <c r="P1054" t="s">
        <v>20</v>
      </c>
    </row>
    <row r="1055" spans="1:16" x14ac:dyDescent="0.4">
      <c r="A1055" t="s">
        <v>1096</v>
      </c>
      <c r="B1055">
        <v>55</v>
      </c>
      <c r="C1055" t="s">
        <v>27</v>
      </c>
      <c r="D1055" t="s">
        <v>32</v>
      </c>
      <c r="E1055">
        <v>3.27</v>
      </c>
      <c r="F1055">
        <v>21</v>
      </c>
      <c r="G1055" t="s">
        <v>49</v>
      </c>
      <c r="H1055" t="s">
        <v>18</v>
      </c>
      <c r="I1055" s="2">
        <v>17.989999999999998</v>
      </c>
      <c r="J1055">
        <v>1</v>
      </c>
      <c r="K1055" s="2">
        <f t="shared" si="32"/>
        <v>17.989999999999998</v>
      </c>
      <c r="L1055" t="s">
        <v>43</v>
      </c>
      <c r="M1055">
        <v>1</v>
      </c>
      <c r="N1055">
        <v>0.15</v>
      </c>
      <c r="O1055" t="str">
        <f t="shared" si="33"/>
        <v>0–0.2 hours</v>
      </c>
      <c r="P1055" t="s">
        <v>20</v>
      </c>
    </row>
    <row r="1056" spans="1:16" x14ac:dyDescent="0.4">
      <c r="A1056" t="s">
        <v>1097</v>
      </c>
      <c r="B1056">
        <v>41</v>
      </c>
      <c r="C1056" t="s">
        <v>15</v>
      </c>
      <c r="D1056" t="s">
        <v>16</v>
      </c>
      <c r="E1056">
        <v>4.1500000000000004</v>
      </c>
      <c r="F1056">
        <v>39</v>
      </c>
      <c r="G1056" t="s">
        <v>28</v>
      </c>
      <c r="H1056" t="s">
        <v>46</v>
      </c>
      <c r="I1056" s="2">
        <v>8.99</v>
      </c>
      <c r="J1056">
        <v>1</v>
      </c>
      <c r="K1056" s="2">
        <f t="shared" si="32"/>
        <v>8.99</v>
      </c>
      <c r="L1056" t="s">
        <v>43</v>
      </c>
      <c r="M1056">
        <v>5</v>
      </c>
      <c r="N1056">
        <v>0.1</v>
      </c>
      <c r="O1056" t="str">
        <f t="shared" si="33"/>
        <v>0–0.2 hours</v>
      </c>
      <c r="P1056" t="s">
        <v>47</v>
      </c>
    </row>
    <row r="1057" spans="1:16" x14ac:dyDescent="0.4">
      <c r="A1057" t="s">
        <v>1098</v>
      </c>
      <c r="B1057">
        <v>34</v>
      </c>
      <c r="C1057" t="s">
        <v>41</v>
      </c>
      <c r="D1057" t="s">
        <v>32</v>
      </c>
      <c r="E1057">
        <v>13.49</v>
      </c>
      <c r="F1057">
        <v>51</v>
      </c>
      <c r="G1057" t="s">
        <v>49</v>
      </c>
      <c r="H1057" t="s">
        <v>57</v>
      </c>
      <c r="I1057" s="2">
        <v>17.989999999999998</v>
      </c>
      <c r="J1057">
        <v>1</v>
      </c>
      <c r="K1057" s="2">
        <f t="shared" si="32"/>
        <v>17.989999999999998</v>
      </c>
      <c r="L1057" t="s">
        <v>37</v>
      </c>
      <c r="M1057">
        <v>1</v>
      </c>
      <c r="N1057">
        <v>0.26</v>
      </c>
      <c r="O1057" t="str">
        <f t="shared" si="33"/>
        <v>0.2–0.4 hours</v>
      </c>
      <c r="P1057" t="s">
        <v>34</v>
      </c>
    </row>
    <row r="1058" spans="1:16" x14ac:dyDescent="0.4">
      <c r="A1058" t="s">
        <v>1099</v>
      </c>
      <c r="B1058">
        <v>26</v>
      </c>
      <c r="C1058" t="s">
        <v>27</v>
      </c>
      <c r="D1058" t="s">
        <v>32</v>
      </c>
      <c r="E1058">
        <v>26.05</v>
      </c>
      <c r="F1058">
        <v>42</v>
      </c>
      <c r="G1058" t="s">
        <v>49</v>
      </c>
      <c r="H1058" t="s">
        <v>57</v>
      </c>
      <c r="I1058" s="2">
        <v>17.989999999999998</v>
      </c>
      <c r="J1058">
        <v>0</v>
      </c>
      <c r="K1058" s="2">
        <f t="shared" si="32"/>
        <v>0</v>
      </c>
      <c r="L1058" t="s">
        <v>29</v>
      </c>
      <c r="M1058">
        <v>4</v>
      </c>
      <c r="N1058">
        <v>0.61</v>
      </c>
      <c r="O1058" t="str">
        <f t="shared" si="33"/>
        <v>0.6–0.8 hours</v>
      </c>
      <c r="P1058" t="s">
        <v>25</v>
      </c>
    </row>
    <row r="1059" spans="1:16" x14ac:dyDescent="0.4">
      <c r="A1059" t="s">
        <v>1100</v>
      </c>
      <c r="B1059">
        <v>59</v>
      </c>
      <c r="C1059" t="s">
        <v>27</v>
      </c>
      <c r="D1059" t="s">
        <v>32</v>
      </c>
      <c r="E1059">
        <v>8.86</v>
      </c>
      <c r="F1059">
        <v>35</v>
      </c>
      <c r="G1059" t="s">
        <v>17</v>
      </c>
      <c r="H1059" t="s">
        <v>46</v>
      </c>
      <c r="I1059" s="2">
        <v>17.989999999999998</v>
      </c>
      <c r="J1059">
        <v>0</v>
      </c>
      <c r="K1059" s="2">
        <f t="shared" si="32"/>
        <v>0</v>
      </c>
      <c r="L1059" t="s">
        <v>37</v>
      </c>
      <c r="M1059">
        <v>5</v>
      </c>
      <c r="N1059">
        <v>0.25</v>
      </c>
      <c r="O1059" t="str">
        <f t="shared" si="33"/>
        <v>0.2–0.4 hours</v>
      </c>
      <c r="P1059" t="s">
        <v>30</v>
      </c>
    </row>
    <row r="1060" spans="1:16" x14ac:dyDescent="0.4">
      <c r="A1060" t="s">
        <v>1101</v>
      </c>
      <c r="B1060">
        <v>58</v>
      </c>
      <c r="C1060" t="s">
        <v>27</v>
      </c>
      <c r="D1060" t="s">
        <v>32</v>
      </c>
      <c r="E1060">
        <v>8.74</v>
      </c>
      <c r="F1060">
        <v>49</v>
      </c>
      <c r="G1060" t="s">
        <v>17</v>
      </c>
      <c r="H1060" t="s">
        <v>46</v>
      </c>
      <c r="I1060" s="2">
        <v>17.989999999999998</v>
      </c>
      <c r="J1060">
        <v>1</v>
      </c>
      <c r="K1060" s="2">
        <f t="shared" si="32"/>
        <v>17.989999999999998</v>
      </c>
      <c r="L1060" t="s">
        <v>37</v>
      </c>
      <c r="M1060">
        <v>1</v>
      </c>
      <c r="N1060">
        <v>0.17</v>
      </c>
      <c r="O1060" t="str">
        <f t="shared" si="33"/>
        <v>0–0.2 hours</v>
      </c>
      <c r="P1060" t="s">
        <v>39</v>
      </c>
    </row>
    <row r="1061" spans="1:16" x14ac:dyDescent="0.4">
      <c r="A1061" t="s">
        <v>1102</v>
      </c>
      <c r="B1061">
        <v>22</v>
      </c>
      <c r="C1061" t="s">
        <v>41</v>
      </c>
      <c r="D1061" t="s">
        <v>16</v>
      </c>
      <c r="E1061">
        <v>0.8</v>
      </c>
      <c r="F1061">
        <v>35</v>
      </c>
      <c r="G1061" t="s">
        <v>33</v>
      </c>
      <c r="H1061" t="s">
        <v>18</v>
      </c>
      <c r="I1061" s="2">
        <v>8.99</v>
      </c>
      <c r="J1061">
        <v>1</v>
      </c>
      <c r="K1061" s="2">
        <f t="shared" si="32"/>
        <v>8.99</v>
      </c>
      <c r="L1061" t="s">
        <v>19</v>
      </c>
      <c r="M1061">
        <v>1</v>
      </c>
      <c r="N1061">
        <v>0.02</v>
      </c>
      <c r="O1061" t="str">
        <f t="shared" si="33"/>
        <v>0–0.2 hours</v>
      </c>
      <c r="P1061" t="s">
        <v>25</v>
      </c>
    </row>
    <row r="1062" spans="1:16" x14ac:dyDescent="0.4">
      <c r="A1062" t="s">
        <v>1103</v>
      </c>
      <c r="B1062">
        <v>44</v>
      </c>
      <c r="C1062" t="s">
        <v>15</v>
      </c>
      <c r="D1062" t="s">
        <v>16</v>
      </c>
      <c r="E1062">
        <v>16.91</v>
      </c>
      <c r="F1062">
        <v>23</v>
      </c>
      <c r="G1062" t="s">
        <v>17</v>
      </c>
      <c r="H1062" t="s">
        <v>24</v>
      </c>
      <c r="I1062" s="2">
        <v>8.99</v>
      </c>
      <c r="J1062">
        <v>0</v>
      </c>
      <c r="K1062" s="2">
        <f t="shared" si="32"/>
        <v>0</v>
      </c>
      <c r="L1062" t="s">
        <v>29</v>
      </c>
      <c r="M1062">
        <v>4</v>
      </c>
      <c r="N1062">
        <v>0.7</v>
      </c>
      <c r="O1062" t="str">
        <f t="shared" si="33"/>
        <v>0.6–0.8 hours</v>
      </c>
      <c r="P1062" t="s">
        <v>39</v>
      </c>
    </row>
    <row r="1063" spans="1:16" x14ac:dyDescent="0.4">
      <c r="A1063" t="s">
        <v>1104</v>
      </c>
      <c r="B1063">
        <v>62</v>
      </c>
      <c r="C1063" t="s">
        <v>41</v>
      </c>
      <c r="D1063" t="s">
        <v>16</v>
      </c>
      <c r="E1063">
        <v>7.12</v>
      </c>
      <c r="F1063">
        <v>10</v>
      </c>
      <c r="G1063" t="s">
        <v>70</v>
      </c>
      <c r="H1063" t="s">
        <v>55</v>
      </c>
      <c r="I1063" s="2">
        <v>8.99</v>
      </c>
      <c r="J1063">
        <v>0</v>
      </c>
      <c r="K1063" s="2">
        <f t="shared" si="32"/>
        <v>0</v>
      </c>
      <c r="L1063" t="s">
        <v>19</v>
      </c>
      <c r="M1063">
        <v>1</v>
      </c>
      <c r="N1063">
        <v>0.65</v>
      </c>
      <c r="O1063" t="str">
        <f t="shared" si="33"/>
        <v>0.6–0.8 hours</v>
      </c>
      <c r="P1063" t="s">
        <v>30</v>
      </c>
    </row>
    <row r="1064" spans="1:16" x14ac:dyDescent="0.4">
      <c r="A1064" t="s">
        <v>1105</v>
      </c>
      <c r="B1064">
        <v>20</v>
      </c>
      <c r="C1064" t="s">
        <v>27</v>
      </c>
      <c r="D1064" t="s">
        <v>22</v>
      </c>
      <c r="E1064">
        <v>5.68</v>
      </c>
      <c r="F1064">
        <v>54</v>
      </c>
      <c r="G1064" t="s">
        <v>70</v>
      </c>
      <c r="H1064" t="s">
        <v>18</v>
      </c>
      <c r="I1064" s="2">
        <v>13.99</v>
      </c>
      <c r="J1064">
        <v>1</v>
      </c>
      <c r="K1064" s="2">
        <f t="shared" si="32"/>
        <v>13.99</v>
      </c>
      <c r="L1064" t="s">
        <v>19</v>
      </c>
      <c r="M1064">
        <v>3</v>
      </c>
      <c r="N1064">
        <v>0.1</v>
      </c>
      <c r="O1064" t="str">
        <f t="shared" si="33"/>
        <v>0–0.2 hours</v>
      </c>
      <c r="P1064" t="s">
        <v>25</v>
      </c>
    </row>
    <row r="1065" spans="1:16" x14ac:dyDescent="0.4">
      <c r="A1065" t="s">
        <v>1106</v>
      </c>
      <c r="B1065">
        <v>49</v>
      </c>
      <c r="C1065" t="s">
        <v>27</v>
      </c>
      <c r="D1065" t="s">
        <v>16</v>
      </c>
      <c r="E1065">
        <v>18.190000000000001</v>
      </c>
      <c r="F1065">
        <v>23</v>
      </c>
      <c r="G1065" t="s">
        <v>23</v>
      </c>
      <c r="H1065" t="s">
        <v>24</v>
      </c>
      <c r="I1065" s="2">
        <v>8.99</v>
      </c>
      <c r="J1065">
        <v>0</v>
      </c>
      <c r="K1065" s="2">
        <f t="shared" si="32"/>
        <v>0</v>
      </c>
      <c r="L1065" t="s">
        <v>19</v>
      </c>
      <c r="M1065">
        <v>3</v>
      </c>
      <c r="N1065">
        <v>0.76</v>
      </c>
      <c r="O1065" t="str">
        <f t="shared" si="33"/>
        <v>0.6–0.8 hours</v>
      </c>
      <c r="P1065" t="s">
        <v>25</v>
      </c>
    </row>
    <row r="1066" spans="1:16" x14ac:dyDescent="0.4">
      <c r="A1066" s="1" t="s">
        <v>1107</v>
      </c>
      <c r="B1066">
        <v>52</v>
      </c>
      <c r="C1066" t="s">
        <v>41</v>
      </c>
      <c r="D1066" t="s">
        <v>32</v>
      </c>
      <c r="E1066">
        <v>10.14</v>
      </c>
      <c r="F1066">
        <v>42</v>
      </c>
      <c r="G1066" t="s">
        <v>23</v>
      </c>
      <c r="H1066" t="s">
        <v>46</v>
      </c>
      <c r="I1066" s="2">
        <v>17.989999999999998</v>
      </c>
      <c r="J1066">
        <v>0</v>
      </c>
      <c r="K1066" s="2">
        <f t="shared" si="32"/>
        <v>0</v>
      </c>
      <c r="L1066" t="s">
        <v>61</v>
      </c>
      <c r="M1066">
        <v>5</v>
      </c>
      <c r="N1066">
        <v>0.24</v>
      </c>
      <c r="O1066" t="str">
        <f t="shared" si="33"/>
        <v>0.2–0.4 hours</v>
      </c>
      <c r="P1066" t="s">
        <v>30</v>
      </c>
    </row>
    <row r="1067" spans="1:16" x14ac:dyDescent="0.4">
      <c r="A1067" t="s">
        <v>1108</v>
      </c>
      <c r="B1067">
        <v>69</v>
      </c>
      <c r="C1067" t="s">
        <v>15</v>
      </c>
      <c r="D1067" t="s">
        <v>32</v>
      </c>
      <c r="E1067">
        <v>20.85</v>
      </c>
      <c r="F1067">
        <v>57</v>
      </c>
      <c r="G1067" t="s">
        <v>70</v>
      </c>
      <c r="H1067" t="s">
        <v>46</v>
      </c>
      <c r="I1067" s="2">
        <v>17.989999999999998</v>
      </c>
      <c r="J1067">
        <v>0</v>
      </c>
      <c r="K1067" s="2">
        <f t="shared" si="32"/>
        <v>0</v>
      </c>
      <c r="L1067" t="s">
        <v>19</v>
      </c>
      <c r="M1067">
        <v>4</v>
      </c>
      <c r="N1067">
        <v>0.36</v>
      </c>
      <c r="O1067" t="str">
        <f t="shared" si="33"/>
        <v>0.2–0.4 hours</v>
      </c>
      <c r="P1067" t="s">
        <v>30</v>
      </c>
    </row>
    <row r="1068" spans="1:16" x14ac:dyDescent="0.4">
      <c r="A1068" t="s">
        <v>1109</v>
      </c>
      <c r="B1068">
        <v>55</v>
      </c>
      <c r="C1068" t="s">
        <v>15</v>
      </c>
      <c r="D1068" t="s">
        <v>32</v>
      </c>
      <c r="E1068">
        <v>14.3</v>
      </c>
      <c r="F1068">
        <v>32</v>
      </c>
      <c r="G1068" t="s">
        <v>17</v>
      </c>
      <c r="H1068" t="s">
        <v>18</v>
      </c>
      <c r="I1068" s="2">
        <v>17.989999999999998</v>
      </c>
      <c r="J1068">
        <v>1</v>
      </c>
      <c r="K1068" s="2">
        <f t="shared" si="32"/>
        <v>17.989999999999998</v>
      </c>
      <c r="L1068" t="s">
        <v>19</v>
      </c>
      <c r="M1068">
        <v>5</v>
      </c>
      <c r="N1068">
        <v>0.43</v>
      </c>
      <c r="O1068" t="str">
        <f t="shared" si="33"/>
        <v>0.4–0.6 hours</v>
      </c>
      <c r="P1068" t="s">
        <v>30</v>
      </c>
    </row>
    <row r="1069" spans="1:16" x14ac:dyDescent="0.4">
      <c r="A1069" t="s">
        <v>1110</v>
      </c>
      <c r="B1069">
        <v>51</v>
      </c>
      <c r="C1069" t="s">
        <v>27</v>
      </c>
      <c r="D1069" t="s">
        <v>22</v>
      </c>
      <c r="E1069">
        <v>18.3</v>
      </c>
      <c r="F1069">
        <v>56</v>
      </c>
      <c r="G1069" t="s">
        <v>17</v>
      </c>
      <c r="H1069" t="s">
        <v>18</v>
      </c>
      <c r="I1069" s="2">
        <v>13.99</v>
      </c>
      <c r="J1069">
        <v>1</v>
      </c>
      <c r="K1069" s="2">
        <f t="shared" si="32"/>
        <v>13.99</v>
      </c>
      <c r="L1069" t="s">
        <v>37</v>
      </c>
      <c r="M1069">
        <v>3</v>
      </c>
      <c r="N1069">
        <v>0.32</v>
      </c>
      <c r="O1069" t="str">
        <f t="shared" si="33"/>
        <v>0.2–0.4 hours</v>
      </c>
      <c r="P1069" t="s">
        <v>34</v>
      </c>
    </row>
    <row r="1070" spans="1:16" x14ac:dyDescent="0.4">
      <c r="A1070" t="s">
        <v>1111</v>
      </c>
      <c r="B1070">
        <v>32</v>
      </c>
      <c r="C1070" t="s">
        <v>27</v>
      </c>
      <c r="D1070" t="s">
        <v>32</v>
      </c>
      <c r="E1070">
        <v>3.64</v>
      </c>
      <c r="F1070">
        <v>12</v>
      </c>
      <c r="G1070" t="s">
        <v>23</v>
      </c>
      <c r="H1070" t="s">
        <v>57</v>
      </c>
      <c r="I1070" s="2">
        <v>17.989999999999998</v>
      </c>
      <c r="J1070">
        <v>0</v>
      </c>
      <c r="K1070" s="2">
        <f t="shared" si="32"/>
        <v>0</v>
      </c>
      <c r="L1070" t="s">
        <v>61</v>
      </c>
      <c r="M1070">
        <v>4</v>
      </c>
      <c r="N1070">
        <v>0.28000000000000003</v>
      </c>
      <c r="O1070" t="str">
        <f t="shared" si="33"/>
        <v>0.2–0.4 hours</v>
      </c>
      <c r="P1070" t="s">
        <v>30</v>
      </c>
    </row>
    <row r="1071" spans="1:16" x14ac:dyDescent="0.4">
      <c r="A1071" t="s">
        <v>1112</v>
      </c>
      <c r="B1071">
        <v>53</v>
      </c>
      <c r="C1071" t="s">
        <v>27</v>
      </c>
      <c r="D1071" t="s">
        <v>32</v>
      </c>
      <c r="E1071">
        <v>1.25</v>
      </c>
      <c r="F1071">
        <v>37</v>
      </c>
      <c r="G1071" t="s">
        <v>28</v>
      </c>
      <c r="H1071" t="s">
        <v>24</v>
      </c>
      <c r="I1071" s="2">
        <v>17.989999999999998</v>
      </c>
      <c r="J1071">
        <v>1</v>
      </c>
      <c r="K1071" s="2">
        <f t="shared" si="32"/>
        <v>17.989999999999998</v>
      </c>
      <c r="L1071" t="s">
        <v>43</v>
      </c>
      <c r="M1071">
        <v>5</v>
      </c>
      <c r="N1071">
        <v>0.03</v>
      </c>
      <c r="O1071" t="str">
        <f t="shared" si="33"/>
        <v>0–0.2 hours</v>
      </c>
      <c r="P1071" t="s">
        <v>20</v>
      </c>
    </row>
    <row r="1072" spans="1:16" x14ac:dyDescent="0.4">
      <c r="A1072" t="s">
        <v>1113</v>
      </c>
      <c r="B1072">
        <v>44</v>
      </c>
      <c r="C1072" t="s">
        <v>27</v>
      </c>
      <c r="D1072" t="s">
        <v>16</v>
      </c>
      <c r="E1072">
        <v>3.72</v>
      </c>
      <c r="F1072">
        <v>37</v>
      </c>
      <c r="G1072" t="s">
        <v>33</v>
      </c>
      <c r="H1072" t="s">
        <v>18</v>
      </c>
      <c r="I1072" s="2">
        <v>8.99</v>
      </c>
      <c r="J1072">
        <v>1</v>
      </c>
      <c r="K1072" s="2">
        <f t="shared" si="32"/>
        <v>8.99</v>
      </c>
      <c r="L1072" t="s">
        <v>37</v>
      </c>
      <c r="M1072">
        <v>1</v>
      </c>
      <c r="N1072">
        <v>0.1</v>
      </c>
      <c r="O1072" t="str">
        <f t="shared" si="33"/>
        <v>0–0.2 hours</v>
      </c>
      <c r="P1072" t="s">
        <v>52</v>
      </c>
    </row>
    <row r="1073" spans="1:16" x14ac:dyDescent="0.4">
      <c r="A1073" t="s">
        <v>1114</v>
      </c>
      <c r="B1073">
        <v>25</v>
      </c>
      <c r="C1073" t="s">
        <v>41</v>
      </c>
      <c r="D1073" t="s">
        <v>16</v>
      </c>
      <c r="E1073">
        <v>1.27</v>
      </c>
      <c r="F1073">
        <v>43</v>
      </c>
      <c r="G1073" t="s">
        <v>28</v>
      </c>
      <c r="H1073" t="s">
        <v>24</v>
      </c>
      <c r="I1073" s="2">
        <v>8.99</v>
      </c>
      <c r="J1073">
        <v>1</v>
      </c>
      <c r="K1073" s="2">
        <f t="shared" si="32"/>
        <v>8.99</v>
      </c>
      <c r="L1073" t="s">
        <v>37</v>
      </c>
      <c r="M1073">
        <v>2</v>
      </c>
      <c r="N1073">
        <v>0.03</v>
      </c>
      <c r="O1073" t="str">
        <f t="shared" si="33"/>
        <v>0–0.2 hours</v>
      </c>
      <c r="P1073" t="s">
        <v>25</v>
      </c>
    </row>
    <row r="1074" spans="1:16" x14ac:dyDescent="0.4">
      <c r="A1074" t="s">
        <v>1115</v>
      </c>
      <c r="B1074">
        <v>60</v>
      </c>
      <c r="C1074" t="s">
        <v>41</v>
      </c>
      <c r="D1074" t="s">
        <v>32</v>
      </c>
      <c r="E1074">
        <v>2.52</v>
      </c>
      <c r="F1074">
        <v>32</v>
      </c>
      <c r="G1074" t="s">
        <v>28</v>
      </c>
      <c r="H1074" t="s">
        <v>57</v>
      </c>
      <c r="I1074" s="2">
        <v>17.989999999999998</v>
      </c>
      <c r="J1074">
        <v>1</v>
      </c>
      <c r="K1074" s="2">
        <f t="shared" si="32"/>
        <v>17.989999999999998</v>
      </c>
      <c r="L1074" t="s">
        <v>43</v>
      </c>
      <c r="M1074">
        <v>4</v>
      </c>
      <c r="N1074">
        <v>0.08</v>
      </c>
      <c r="O1074" t="str">
        <f t="shared" si="33"/>
        <v>0–0.2 hours</v>
      </c>
      <c r="P1074" t="s">
        <v>30</v>
      </c>
    </row>
    <row r="1075" spans="1:16" x14ac:dyDescent="0.4">
      <c r="A1075" t="s">
        <v>1116</v>
      </c>
      <c r="B1075">
        <v>68</v>
      </c>
      <c r="C1075" t="s">
        <v>41</v>
      </c>
      <c r="D1075" t="s">
        <v>22</v>
      </c>
      <c r="E1075">
        <v>1.68</v>
      </c>
      <c r="F1075">
        <v>33</v>
      </c>
      <c r="G1075" t="s">
        <v>17</v>
      </c>
      <c r="H1075" t="s">
        <v>55</v>
      </c>
      <c r="I1075" s="2">
        <v>13.99</v>
      </c>
      <c r="J1075">
        <v>1</v>
      </c>
      <c r="K1075" s="2">
        <f t="shared" si="32"/>
        <v>13.99</v>
      </c>
      <c r="L1075" t="s">
        <v>61</v>
      </c>
      <c r="M1075">
        <v>3</v>
      </c>
      <c r="N1075">
        <v>0.05</v>
      </c>
      <c r="O1075" t="str">
        <f t="shared" si="33"/>
        <v>0–0.2 hours</v>
      </c>
      <c r="P1075" t="s">
        <v>30</v>
      </c>
    </row>
    <row r="1076" spans="1:16" x14ac:dyDescent="0.4">
      <c r="A1076" t="s">
        <v>1117</v>
      </c>
      <c r="B1076">
        <v>22</v>
      </c>
      <c r="C1076" t="s">
        <v>15</v>
      </c>
      <c r="D1076" t="s">
        <v>32</v>
      </c>
      <c r="E1076">
        <v>0.43</v>
      </c>
      <c r="F1076">
        <v>23</v>
      </c>
      <c r="G1076" t="s">
        <v>23</v>
      </c>
      <c r="H1076" t="s">
        <v>57</v>
      </c>
      <c r="I1076" s="2">
        <v>17.989999999999998</v>
      </c>
      <c r="J1076">
        <v>0</v>
      </c>
      <c r="K1076" s="2">
        <f t="shared" si="32"/>
        <v>0</v>
      </c>
      <c r="L1076" t="s">
        <v>61</v>
      </c>
      <c r="M1076">
        <v>4</v>
      </c>
      <c r="N1076">
        <v>0.02</v>
      </c>
      <c r="O1076" t="str">
        <f t="shared" si="33"/>
        <v>0–0.2 hours</v>
      </c>
      <c r="P1076" t="s">
        <v>34</v>
      </c>
    </row>
    <row r="1077" spans="1:16" x14ac:dyDescent="0.4">
      <c r="A1077" t="s">
        <v>1118</v>
      </c>
      <c r="B1077">
        <v>43</v>
      </c>
      <c r="C1077" t="s">
        <v>41</v>
      </c>
      <c r="D1077" t="s">
        <v>16</v>
      </c>
      <c r="E1077">
        <v>50.47</v>
      </c>
      <c r="F1077">
        <v>37</v>
      </c>
      <c r="G1077" t="s">
        <v>17</v>
      </c>
      <c r="H1077" t="s">
        <v>46</v>
      </c>
      <c r="I1077" s="2">
        <v>8.99</v>
      </c>
      <c r="J1077">
        <v>0</v>
      </c>
      <c r="K1077" s="2">
        <f t="shared" si="32"/>
        <v>0</v>
      </c>
      <c r="L1077" t="s">
        <v>37</v>
      </c>
      <c r="M1077">
        <v>4</v>
      </c>
      <c r="N1077">
        <v>1.33</v>
      </c>
      <c r="O1077" t="str">
        <f t="shared" si="33"/>
        <v>1+ hours</v>
      </c>
      <c r="P1077" t="s">
        <v>25</v>
      </c>
    </row>
    <row r="1078" spans="1:16" x14ac:dyDescent="0.4">
      <c r="A1078" t="s">
        <v>1119</v>
      </c>
      <c r="B1078">
        <v>65</v>
      </c>
      <c r="C1078" t="s">
        <v>27</v>
      </c>
      <c r="D1078" t="s">
        <v>16</v>
      </c>
      <c r="E1078">
        <v>3.46</v>
      </c>
      <c r="F1078">
        <v>48</v>
      </c>
      <c r="G1078" t="s">
        <v>33</v>
      </c>
      <c r="H1078" t="s">
        <v>57</v>
      </c>
      <c r="I1078" s="2">
        <v>8.99</v>
      </c>
      <c r="J1078">
        <v>1</v>
      </c>
      <c r="K1078" s="2">
        <f t="shared" si="32"/>
        <v>8.99</v>
      </c>
      <c r="L1078" t="s">
        <v>61</v>
      </c>
      <c r="M1078">
        <v>4</v>
      </c>
      <c r="N1078">
        <v>7.0000000000000007E-2</v>
      </c>
      <c r="O1078" t="str">
        <f t="shared" si="33"/>
        <v>0–0.2 hours</v>
      </c>
      <c r="P1078" t="s">
        <v>30</v>
      </c>
    </row>
    <row r="1079" spans="1:16" x14ac:dyDescent="0.4">
      <c r="A1079" t="s">
        <v>1120</v>
      </c>
      <c r="B1079">
        <v>38</v>
      </c>
      <c r="C1079" t="s">
        <v>41</v>
      </c>
      <c r="D1079" t="s">
        <v>16</v>
      </c>
      <c r="E1079">
        <v>5.46</v>
      </c>
      <c r="F1079">
        <v>5</v>
      </c>
      <c r="G1079" t="s">
        <v>33</v>
      </c>
      <c r="H1079" t="s">
        <v>18</v>
      </c>
      <c r="I1079" s="2">
        <v>8.99</v>
      </c>
      <c r="J1079">
        <v>0</v>
      </c>
      <c r="K1079" s="2">
        <f t="shared" si="32"/>
        <v>0</v>
      </c>
      <c r="L1079" t="s">
        <v>19</v>
      </c>
      <c r="M1079">
        <v>2</v>
      </c>
      <c r="N1079">
        <v>0.91</v>
      </c>
      <c r="O1079" t="str">
        <f t="shared" si="33"/>
        <v>0.8–1 hour</v>
      </c>
      <c r="P1079" t="s">
        <v>34</v>
      </c>
    </row>
    <row r="1080" spans="1:16" x14ac:dyDescent="0.4">
      <c r="A1080" t="s">
        <v>1121</v>
      </c>
      <c r="B1080">
        <v>61</v>
      </c>
      <c r="C1080" t="s">
        <v>15</v>
      </c>
      <c r="D1080" t="s">
        <v>32</v>
      </c>
      <c r="E1080">
        <v>2.2200000000000002</v>
      </c>
      <c r="F1080">
        <v>43</v>
      </c>
      <c r="G1080" t="s">
        <v>28</v>
      </c>
      <c r="H1080" t="s">
        <v>18</v>
      </c>
      <c r="I1080" s="2">
        <v>17.989999999999998</v>
      </c>
      <c r="J1080">
        <v>1</v>
      </c>
      <c r="K1080" s="2">
        <f t="shared" si="32"/>
        <v>17.989999999999998</v>
      </c>
      <c r="L1080" t="s">
        <v>19</v>
      </c>
      <c r="M1080">
        <v>4</v>
      </c>
      <c r="N1080">
        <v>0.05</v>
      </c>
      <c r="O1080" t="str">
        <f t="shared" si="33"/>
        <v>0–0.2 hours</v>
      </c>
      <c r="P1080" t="s">
        <v>52</v>
      </c>
    </row>
    <row r="1081" spans="1:16" x14ac:dyDescent="0.4">
      <c r="A1081" t="s">
        <v>1122</v>
      </c>
      <c r="B1081">
        <v>68</v>
      </c>
      <c r="C1081" t="s">
        <v>27</v>
      </c>
      <c r="D1081" t="s">
        <v>32</v>
      </c>
      <c r="E1081">
        <v>27.23</v>
      </c>
      <c r="F1081">
        <v>53</v>
      </c>
      <c r="G1081" t="s">
        <v>70</v>
      </c>
      <c r="H1081" t="s">
        <v>55</v>
      </c>
      <c r="I1081" s="2">
        <v>17.989999999999998</v>
      </c>
      <c r="J1081">
        <v>0</v>
      </c>
      <c r="K1081" s="2">
        <f t="shared" si="32"/>
        <v>0</v>
      </c>
      <c r="L1081" t="s">
        <v>19</v>
      </c>
      <c r="M1081">
        <v>3</v>
      </c>
      <c r="N1081">
        <v>0.5</v>
      </c>
      <c r="O1081" t="str">
        <f t="shared" si="33"/>
        <v>0.4–0.6 hours</v>
      </c>
      <c r="P1081" t="s">
        <v>52</v>
      </c>
    </row>
    <row r="1082" spans="1:16" x14ac:dyDescent="0.4">
      <c r="A1082" t="s">
        <v>1123</v>
      </c>
      <c r="B1082">
        <v>54</v>
      </c>
      <c r="C1082" t="s">
        <v>41</v>
      </c>
      <c r="D1082" t="s">
        <v>22</v>
      </c>
      <c r="E1082">
        <v>8.18</v>
      </c>
      <c r="F1082">
        <v>36</v>
      </c>
      <c r="G1082" t="s">
        <v>33</v>
      </c>
      <c r="H1082" t="s">
        <v>24</v>
      </c>
      <c r="I1082" s="2">
        <v>13.99</v>
      </c>
      <c r="J1082">
        <v>1</v>
      </c>
      <c r="K1082" s="2">
        <f t="shared" si="32"/>
        <v>13.99</v>
      </c>
      <c r="L1082" t="s">
        <v>61</v>
      </c>
      <c r="M1082">
        <v>2</v>
      </c>
      <c r="N1082">
        <v>0.22</v>
      </c>
      <c r="O1082" t="str">
        <f t="shared" si="33"/>
        <v>0.2–0.4 hours</v>
      </c>
      <c r="P1082" t="s">
        <v>52</v>
      </c>
    </row>
    <row r="1083" spans="1:16" x14ac:dyDescent="0.4">
      <c r="A1083" t="s">
        <v>1124</v>
      </c>
      <c r="B1083">
        <v>28</v>
      </c>
      <c r="C1083" t="s">
        <v>41</v>
      </c>
      <c r="D1083" t="s">
        <v>32</v>
      </c>
      <c r="E1083">
        <v>4.5999999999999996</v>
      </c>
      <c r="F1083">
        <v>16</v>
      </c>
      <c r="G1083" t="s">
        <v>49</v>
      </c>
      <c r="H1083" t="s">
        <v>24</v>
      </c>
      <c r="I1083" s="2">
        <v>17.989999999999998</v>
      </c>
      <c r="J1083">
        <v>0</v>
      </c>
      <c r="K1083" s="2">
        <f t="shared" si="32"/>
        <v>0</v>
      </c>
      <c r="L1083" t="s">
        <v>43</v>
      </c>
      <c r="M1083">
        <v>4</v>
      </c>
      <c r="N1083">
        <v>0.27</v>
      </c>
      <c r="O1083" t="str">
        <f t="shared" si="33"/>
        <v>0.2–0.4 hours</v>
      </c>
      <c r="P1083" t="s">
        <v>20</v>
      </c>
    </row>
    <row r="1084" spans="1:16" x14ac:dyDescent="0.4">
      <c r="A1084" t="s">
        <v>1125</v>
      </c>
      <c r="B1084">
        <v>54</v>
      </c>
      <c r="C1084" t="s">
        <v>15</v>
      </c>
      <c r="D1084" t="s">
        <v>16</v>
      </c>
      <c r="E1084">
        <v>12.13</v>
      </c>
      <c r="F1084">
        <v>50</v>
      </c>
      <c r="G1084" t="s">
        <v>49</v>
      </c>
      <c r="H1084" t="s">
        <v>57</v>
      </c>
      <c r="I1084" s="2">
        <v>8.99</v>
      </c>
      <c r="J1084">
        <v>1</v>
      </c>
      <c r="K1084" s="2">
        <f t="shared" si="32"/>
        <v>8.99</v>
      </c>
      <c r="L1084" t="s">
        <v>29</v>
      </c>
      <c r="M1084">
        <v>1</v>
      </c>
      <c r="N1084">
        <v>0.24</v>
      </c>
      <c r="O1084" t="str">
        <f t="shared" si="33"/>
        <v>0.2–0.4 hours</v>
      </c>
      <c r="P1084" t="s">
        <v>39</v>
      </c>
    </row>
    <row r="1085" spans="1:16" x14ac:dyDescent="0.4">
      <c r="A1085" t="s">
        <v>1126</v>
      </c>
      <c r="B1085">
        <v>63</v>
      </c>
      <c r="C1085" t="s">
        <v>27</v>
      </c>
      <c r="D1085" t="s">
        <v>16</v>
      </c>
      <c r="E1085">
        <v>3.65</v>
      </c>
      <c r="F1085">
        <v>55</v>
      </c>
      <c r="G1085" t="s">
        <v>49</v>
      </c>
      <c r="H1085" t="s">
        <v>55</v>
      </c>
      <c r="I1085" s="2">
        <v>8.99</v>
      </c>
      <c r="J1085">
        <v>1</v>
      </c>
      <c r="K1085" s="2">
        <f t="shared" si="32"/>
        <v>8.99</v>
      </c>
      <c r="L1085" t="s">
        <v>29</v>
      </c>
      <c r="M1085">
        <v>5</v>
      </c>
      <c r="N1085">
        <v>7.0000000000000007E-2</v>
      </c>
      <c r="O1085" t="str">
        <f t="shared" si="33"/>
        <v>0–0.2 hours</v>
      </c>
      <c r="P1085" t="s">
        <v>47</v>
      </c>
    </row>
    <row r="1086" spans="1:16" x14ac:dyDescent="0.4">
      <c r="A1086" t="s">
        <v>1127</v>
      </c>
      <c r="B1086">
        <v>59</v>
      </c>
      <c r="C1086" t="s">
        <v>15</v>
      </c>
      <c r="D1086" t="s">
        <v>16</v>
      </c>
      <c r="E1086">
        <v>10.87</v>
      </c>
      <c r="F1086">
        <v>31</v>
      </c>
      <c r="G1086" t="s">
        <v>49</v>
      </c>
      <c r="H1086" t="s">
        <v>46</v>
      </c>
      <c r="I1086" s="2">
        <v>8.99</v>
      </c>
      <c r="J1086">
        <v>1</v>
      </c>
      <c r="K1086" s="2">
        <f t="shared" si="32"/>
        <v>8.99</v>
      </c>
      <c r="L1086" t="s">
        <v>37</v>
      </c>
      <c r="M1086">
        <v>4</v>
      </c>
      <c r="N1086">
        <v>0.34</v>
      </c>
      <c r="O1086" t="str">
        <f t="shared" si="33"/>
        <v>0.2–0.4 hours</v>
      </c>
      <c r="P1086" t="s">
        <v>47</v>
      </c>
    </row>
    <row r="1087" spans="1:16" x14ac:dyDescent="0.4">
      <c r="A1087" t="s">
        <v>1128</v>
      </c>
      <c r="B1087">
        <v>54</v>
      </c>
      <c r="C1087" t="s">
        <v>15</v>
      </c>
      <c r="D1087" t="s">
        <v>16</v>
      </c>
      <c r="E1087">
        <v>30.06</v>
      </c>
      <c r="F1087">
        <v>37</v>
      </c>
      <c r="G1087" t="s">
        <v>33</v>
      </c>
      <c r="H1087" t="s">
        <v>18</v>
      </c>
      <c r="I1087" s="2">
        <v>8.99</v>
      </c>
      <c r="J1087">
        <v>0</v>
      </c>
      <c r="K1087" s="2">
        <f t="shared" si="32"/>
        <v>0</v>
      </c>
      <c r="L1087" t="s">
        <v>19</v>
      </c>
      <c r="M1087">
        <v>2</v>
      </c>
      <c r="N1087">
        <v>0.79</v>
      </c>
      <c r="O1087" t="str">
        <f t="shared" si="33"/>
        <v>0.6–0.8 hours</v>
      </c>
      <c r="P1087" t="s">
        <v>20</v>
      </c>
    </row>
    <row r="1088" spans="1:16" x14ac:dyDescent="0.4">
      <c r="A1088" t="s">
        <v>1129</v>
      </c>
      <c r="B1088">
        <v>62</v>
      </c>
      <c r="C1088" t="s">
        <v>41</v>
      </c>
      <c r="D1088" t="s">
        <v>32</v>
      </c>
      <c r="E1088">
        <v>2.68</v>
      </c>
      <c r="F1088">
        <v>55</v>
      </c>
      <c r="G1088" t="s">
        <v>17</v>
      </c>
      <c r="H1088" t="s">
        <v>18</v>
      </c>
      <c r="I1088" s="2">
        <v>17.989999999999998</v>
      </c>
      <c r="J1088">
        <v>1</v>
      </c>
      <c r="K1088" s="2">
        <f t="shared" si="32"/>
        <v>17.989999999999998</v>
      </c>
      <c r="L1088" t="s">
        <v>19</v>
      </c>
      <c r="M1088">
        <v>1</v>
      </c>
      <c r="N1088">
        <v>0.05</v>
      </c>
      <c r="O1088" t="str">
        <f t="shared" si="33"/>
        <v>0–0.2 hours</v>
      </c>
      <c r="P1088" t="s">
        <v>20</v>
      </c>
    </row>
    <row r="1089" spans="1:16" x14ac:dyDescent="0.4">
      <c r="A1089" t="s">
        <v>1130</v>
      </c>
      <c r="B1089">
        <v>54</v>
      </c>
      <c r="C1089" t="s">
        <v>27</v>
      </c>
      <c r="D1089" t="s">
        <v>22</v>
      </c>
      <c r="E1089">
        <v>15.72</v>
      </c>
      <c r="F1089">
        <v>0</v>
      </c>
      <c r="G1089" t="s">
        <v>17</v>
      </c>
      <c r="H1089" t="s">
        <v>24</v>
      </c>
      <c r="I1089" s="2">
        <v>13.99</v>
      </c>
      <c r="J1089">
        <v>0</v>
      </c>
      <c r="K1089" s="2">
        <f t="shared" si="32"/>
        <v>0</v>
      </c>
      <c r="L1089" t="s">
        <v>43</v>
      </c>
      <c r="M1089">
        <v>5</v>
      </c>
      <c r="N1089">
        <v>15.72</v>
      </c>
      <c r="O1089" t="str">
        <f t="shared" si="33"/>
        <v>1+ hours</v>
      </c>
      <c r="P1089" t="s">
        <v>39</v>
      </c>
    </row>
    <row r="1090" spans="1:16" x14ac:dyDescent="0.4">
      <c r="A1090" t="s">
        <v>1131</v>
      </c>
      <c r="B1090">
        <v>37</v>
      </c>
      <c r="C1090" t="s">
        <v>41</v>
      </c>
      <c r="D1090" t="s">
        <v>22</v>
      </c>
      <c r="E1090">
        <v>2.31</v>
      </c>
      <c r="F1090">
        <v>28</v>
      </c>
      <c r="G1090" t="s">
        <v>28</v>
      </c>
      <c r="H1090" t="s">
        <v>46</v>
      </c>
      <c r="I1090" s="2">
        <v>13.99</v>
      </c>
      <c r="J1090">
        <v>1</v>
      </c>
      <c r="K1090" s="2">
        <f t="shared" si="32"/>
        <v>13.99</v>
      </c>
      <c r="L1090" t="s">
        <v>43</v>
      </c>
      <c r="M1090">
        <v>1</v>
      </c>
      <c r="N1090">
        <v>0.08</v>
      </c>
      <c r="O1090" t="str">
        <f t="shared" si="33"/>
        <v>0–0.2 hours</v>
      </c>
      <c r="P1090" t="s">
        <v>34</v>
      </c>
    </row>
    <row r="1091" spans="1:16" x14ac:dyDescent="0.4">
      <c r="A1091" t="s">
        <v>1132</v>
      </c>
      <c r="B1091">
        <v>64</v>
      </c>
      <c r="C1091" t="s">
        <v>41</v>
      </c>
      <c r="D1091" t="s">
        <v>22</v>
      </c>
      <c r="E1091">
        <v>22.72</v>
      </c>
      <c r="F1091">
        <v>32</v>
      </c>
      <c r="G1091" t="s">
        <v>70</v>
      </c>
      <c r="H1091" t="s">
        <v>46</v>
      </c>
      <c r="I1091" s="2">
        <v>13.99</v>
      </c>
      <c r="J1091">
        <v>0</v>
      </c>
      <c r="K1091" s="2">
        <f t="shared" ref="K1091:K1154" si="34">SUMIF(J1091,1,I1091)</f>
        <v>0</v>
      </c>
      <c r="L1091" t="s">
        <v>43</v>
      </c>
      <c r="M1091">
        <v>1</v>
      </c>
      <c r="N1091">
        <v>0.69</v>
      </c>
      <c r="O1091" t="str">
        <f t="shared" ref="O1091:O1154" si="35">IF(N1091&gt;1,"1+ hours",IF(N1091&lt;=0.2,"0–0.2 hours",IF(N1091&lt;=0.4,"0.2–0.4 hours",IF(N1091&lt;=0.6,"0.4–0.6 hours",IF(N1091&lt;=0.8,"0.6–0.8 hours","0.8–1 hour")))))</f>
        <v>0.6–0.8 hours</v>
      </c>
      <c r="P1091" t="s">
        <v>39</v>
      </c>
    </row>
    <row r="1092" spans="1:16" x14ac:dyDescent="0.4">
      <c r="A1092" t="s">
        <v>1133</v>
      </c>
      <c r="B1092">
        <v>26</v>
      </c>
      <c r="C1092" t="s">
        <v>15</v>
      </c>
      <c r="D1092" t="s">
        <v>32</v>
      </c>
      <c r="E1092">
        <v>4.76</v>
      </c>
      <c r="F1092">
        <v>27</v>
      </c>
      <c r="G1092" t="s">
        <v>33</v>
      </c>
      <c r="H1092" t="s">
        <v>24</v>
      </c>
      <c r="I1092" s="2">
        <v>17.989999999999998</v>
      </c>
      <c r="J1092">
        <v>1</v>
      </c>
      <c r="K1092" s="2">
        <f t="shared" si="34"/>
        <v>17.989999999999998</v>
      </c>
      <c r="L1092" t="s">
        <v>29</v>
      </c>
      <c r="M1092">
        <v>4</v>
      </c>
      <c r="N1092">
        <v>0.17</v>
      </c>
      <c r="O1092" t="str">
        <f t="shared" si="35"/>
        <v>0–0.2 hours</v>
      </c>
      <c r="P1092" t="s">
        <v>52</v>
      </c>
    </row>
    <row r="1093" spans="1:16" x14ac:dyDescent="0.4">
      <c r="A1093" t="s">
        <v>1134</v>
      </c>
      <c r="B1093">
        <v>41</v>
      </c>
      <c r="C1093" t="s">
        <v>15</v>
      </c>
      <c r="D1093" t="s">
        <v>32</v>
      </c>
      <c r="E1093">
        <v>2.74</v>
      </c>
      <c r="F1093">
        <v>19</v>
      </c>
      <c r="G1093" t="s">
        <v>28</v>
      </c>
      <c r="H1093" t="s">
        <v>46</v>
      </c>
      <c r="I1093" s="2">
        <v>17.989999999999998</v>
      </c>
      <c r="J1093">
        <v>1</v>
      </c>
      <c r="K1093" s="2">
        <f t="shared" si="34"/>
        <v>17.989999999999998</v>
      </c>
      <c r="L1093" t="s">
        <v>37</v>
      </c>
      <c r="M1093">
        <v>3</v>
      </c>
      <c r="N1093">
        <v>0.14000000000000001</v>
      </c>
      <c r="O1093" t="str">
        <f t="shared" si="35"/>
        <v>0–0.2 hours</v>
      </c>
      <c r="P1093" t="s">
        <v>25</v>
      </c>
    </row>
    <row r="1094" spans="1:16" x14ac:dyDescent="0.4">
      <c r="A1094" t="s">
        <v>1135</v>
      </c>
      <c r="B1094">
        <v>60</v>
      </c>
      <c r="C1094" t="s">
        <v>27</v>
      </c>
      <c r="D1094" t="s">
        <v>22</v>
      </c>
      <c r="E1094">
        <v>17.420000000000002</v>
      </c>
      <c r="F1094">
        <v>27</v>
      </c>
      <c r="G1094" t="s">
        <v>28</v>
      </c>
      <c r="H1094" t="s">
        <v>55</v>
      </c>
      <c r="I1094" s="2">
        <v>13.99</v>
      </c>
      <c r="J1094">
        <v>0</v>
      </c>
      <c r="K1094" s="2">
        <f t="shared" si="34"/>
        <v>0</v>
      </c>
      <c r="L1094" t="s">
        <v>61</v>
      </c>
      <c r="M1094">
        <v>5</v>
      </c>
      <c r="N1094">
        <v>0.62</v>
      </c>
      <c r="O1094" t="str">
        <f t="shared" si="35"/>
        <v>0.6–0.8 hours</v>
      </c>
      <c r="P1094" t="s">
        <v>20</v>
      </c>
    </row>
    <row r="1095" spans="1:16" x14ac:dyDescent="0.4">
      <c r="A1095" t="s">
        <v>1136</v>
      </c>
      <c r="B1095">
        <v>56</v>
      </c>
      <c r="C1095" t="s">
        <v>27</v>
      </c>
      <c r="D1095" t="s">
        <v>32</v>
      </c>
      <c r="E1095">
        <v>10.220000000000001</v>
      </c>
      <c r="F1095">
        <v>56</v>
      </c>
      <c r="G1095" t="s">
        <v>17</v>
      </c>
      <c r="H1095" t="s">
        <v>18</v>
      </c>
      <c r="I1095" s="2">
        <v>17.989999999999998</v>
      </c>
      <c r="J1095">
        <v>0</v>
      </c>
      <c r="K1095" s="2">
        <f t="shared" si="34"/>
        <v>0</v>
      </c>
      <c r="L1095" t="s">
        <v>37</v>
      </c>
      <c r="M1095">
        <v>5</v>
      </c>
      <c r="N1095">
        <v>0.18</v>
      </c>
      <c r="O1095" t="str">
        <f t="shared" si="35"/>
        <v>0–0.2 hours</v>
      </c>
      <c r="P1095" t="s">
        <v>30</v>
      </c>
    </row>
    <row r="1096" spans="1:16" x14ac:dyDescent="0.4">
      <c r="A1096" t="s">
        <v>1137</v>
      </c>
      <c r="B1096">
        <v>20</v>
      </c>
      <c r="C1096" t="s">
        <v>15</v>
      </c>
      <c r="D1096" t="s">
        <v>32</v>
      </c>
      <c r="E1096">
        <v>5.12</v>
      </c>
      <c r="F1096">
        <v>18</v>
      </c>
      <c r="G1096" t="s">
        <v>33</v>
      </c>
      <c r="H1096" t="s">
        <v>55</v>
      </c>
      <c r="I1096" s="2">
        <v>17.989999999999998</v>
      </c>
      <c r="J1096">
        <v>0</v>
      </c>
      <c r="K1096" s="2">
        <f t="shared" si="34"/>
        <v>0</v>
      </c>
      <c r="L1096" t="s">
        <v>43</v>
      </c>
      <c r="M1096">
        <v>1</v>
      </c>
      <c r="N1096">
        <v>0.27</v>
      </c>
      <c r="O1096" t="str">
        <f t="shared" si="35"/>
        <v>0.2–0.4 hours</v>
      </c>
      <c r="P1096" t="s">
        <v>20</v>
      </c>
    </row>
    <row r="1097" spans="1:16" x14ac:dyDescent="0.4">
      <c r="A1097" t="s">
        <v>1138</v>
      </c>
      <c r="B1097">
        <v>19</v>
      </c>
      <c r="C1097" t="s">
        <v>27</v>
      </c>
      <c r="D1097" t="s">
        <v>32</v>
      </c>
      <c r="E1097">
        <v>2.2999999999999998</v>
      </c>
      <c r="F1097">
        <v>1</v>
      </c>
      <c r="G1097" t="s">
        <v>49</v>
      </c>
      <c r="H1097" t="s">
        <v>24</v>
      </c>
      <c r="I1097" s="2">
        <v>17.989999999999998</v>
      </c>
      <c r="J1097">
        <v>0</v>
      </c>
      <c r="K1097" s="2">
        <f t="shared" si="34"/>
        <v>0</v>
      </c>
      <c r="L1097" t="s">
        <v>29</v>
      </c>
      <c r="M1097">
        <v>3</v>
      </c>
      <c r="N1097">
        <v>1.1499999999999999</v>
      </c>
      <c r="O1097" t="str">
        <f t="shared" si="35"/>
        <v>1+ hours</v>
      </c>
      <c r="P1097" t="s">
        <v>47</v>
      </c>
    </row>
    <row r="1098" spans="1:16" x14ac:dyDescent="0.4">
      <c r="A1098" t="s">
        <v>1139</v>
      </c>
      <c r="B1098">
        <v>20</v>
      </c>
      <c r="C1098" t="s">
        <v>27</v>
      </c>
      <c r="D1098" t="s">
        <v>22</v>
      </c>
      <c r="E1098">
        <v>1.45</v>
      </c>
      <c r="F1098">
        <v>0</v>
      </c>
      <c r="G1098" t="s">
        <v>70</v>
      </c>
      <c r="H1098" t="s">
        <v>57</v>
      </c>
      <c r="I1098" s="2">
        <v>13.99</v>
      </c>
      <c r="J1098">
        <v>0</v>
      </c>
      <c r="K1098" s="2">
        <f t="shared" si="34"/>
        <v>0</v>
      </c>
      <c r="L1098" t="s">
        <v>19</v>
      </c>
      <c r="M1098">
        <v>5</v>
      </c>
      <c r="N1098">
        <v>1.45</v>
      </c>
      <c r="O1098" t="str">
        <f t="shared" si="35"/>
        <v>1+ hours</v>
      </c>
      <c r="P1098" t="s">
        <v>34</v>
      </c>
    </row>
    <row r="1099" spans="1:16" x14ac:dyDescent="0.4">
      <c r="A1099" t="s">
        <v>1140</v>
      </c>
      <c r="B1099">
        <v>57</v>
      </c>
      <c r="C1099" t="s">
        <v>27</v>
      </c>
      <c r="D1099" t="s">
        <v>32</v>
      </c>
      <c r="E1099">
        <v>19.3</v>
      </c>
      <c r="F1099">
        <v>42</v>
      </c>
      <c r="G1099" t="s">
        <v>23</v>
      </c>
      <c r="H1099" t="s">
        <v>55</v>
      </c>
      <c r="I1099" s="2">
        <v>17.989999999999998</v>
      </c>
      <c r="J1099">
        <v>1</v>
      </c>
      <c r="K1099" s="2">
        <f t="shared" si="34"/>
        <v>17.989999999999998</v>
      </c>
      <c r="L1099" t="s">
        <v>19</v>
      </c>
      <c r="M1099">
        <v>4</v>
      </c>
      <c r="N1099">
        <v>0.45</v>
      </c>
      <c r="O1099" t="str">
        <f t="shared" si="35"/>
        <v>0.4–0.6 hours</v>
      </c>
      <c r="P1099" t="s">
        <v>39</v>
      </c>
    </row>
    <row r="1100" spans="1:16" x14ac:dyDescent="0.4">
      <c r="A1100" t="s">
        <v>1141</v>
      </c>
      <c r="B1100">
        <v>61</v>
      </c>
      <c r="C1100" t="s">
        <v>41</v>
      </c>
      <c r="D1100" t="s">
        <v>32</v>
      </c>
      <c r="E1100">
        <v>34.86</v>
      </c>
      <c r="F1100">
        <v>23</v>
      </c>
      <c r="G1100" t="s">
        <v>33</v>
      </c>
      <c r="H1100" t="s">
        <v>24</v>
      </c>
      <c r="I1100" s="2">
        <v>17.989999999999998</v>
      </c>
      <c r="J1100">
        <v>0</v>
      </c>
      <c r="K1100" s="2">
        <f t="shared" si="34"/>
        <v>0</v>
      </c>
      <c r="L1100" t="s">
        <v>29</v>
      </c>
      <c r="M1100">
        <v>3</v>
      </c>
      <c r="N1100">
        <v>1.45</v>
      </c>
      <c r="O1100" t="str">
        <f t="shared" si="35"/>
        <v>1+ hours</v>
      </c>
      <c r="P1100" t="s">
        <v>52</v>
      </c>
    </row>
    <row r="1101" spans="1:16" x14ac:dyDescent="0.4">
      <c r="A1101" t="s">
        <v>1142</v>
      </c>
      <c r="B1101">
        <v>24</v>
      </c>
      <c r="C1101" t="s">
        <v>15</v>
      </c>
      <c r="D1101" t="s">
        <v>22</v>
      </c>
      <c r="E1101">
        <v>4.8899999999999997</v>
      </c>
      <c r="F1101">
        <v>58</v>
      </c>
      <c r="G1101" t="s">
        <v>49</v>
      </c>
      <c r="H1101" t="s">
        <v>24</v>
      </c>
      <c r="I1101" s="2">
        <v>13.99</v>
      </c>
      <c r="J1101">
        <v>1</v>
      </c>
      <c r="K1101" s="2">
        <f t="shared" si="34"/>
        <v>13.99</v>
      </c>
      <c r="L1101" t="s">
        <v>37</v>
      </c>
      <c r="M1101">
        <v>2</v>
      </c>
      <c r="N1101">
        <v>0.08</v>
      </c>
      <c r="O1101" t="str">
        <f t="shared" si="35"/>
        <v>0–0.2 hours</v>
      </c>
      <c r="P1101" t="s">
        <v>20</v>
      </c>
    </row>
    <row r="1102" spans="1:16" x14ac:dyDescent="0.4">
      <c r="A1102" t="s">
        <v>1143</v>
      </c>
      <c r="B1102">
        <v>47</v>
      </c>
      <c r="C1102" t="s">
        <v>15</v>
      </c>
      <c r="D1102" t="s">
        <v>22</v>
      </c>
      <c r="E1102">
        <v>24.11</v>
      </c>
      <c r="F1102">
        <v>31</v>
      </c>
      <c r="G1102" t="s">
        <v>23</v>
      </c>
      <c r="H1102" t="s">
        <v>46</v>
      </c>
      <c r="I1102" s="2">
        <v>13.99</v>
      </c>
      <c r="J1102">
        <v>0</v>
      </c>
      <c r="K1102" s="2">
        <f t="shared" si="34"/>
        <v>0</v>
      </c>
      <c r="L1102" t="s">
        <v>43</v>
      </c>
      <c r="M1102">
        <v>3</v>
      </c>
      <c r="N1102">
        <v>0.75</v>
      </c>
      <c r="O1102" t="str">
        <f t="shared" si="35"/>
        <v>0.6–0.8 hours</v>
      </c>
      <c r="P1102" t="s">
        <v>25</v>
      </c>
    </row>
    <row r="1103" spans="1:16" x14ac:dyDescent="0.4">
      <c r="A1103" t="s">
        <v>1144</v>
      </c>
      <c r="B1103">
        <v>68</v>
      </c>
      <c r="C1103" t="s">
        <v>27</v>
      </c>
      <c r="D1103" t="s">
        <v>22</v>
      </c>
      <c r="E1103">
        <v>81.069999999999993</v>
      </c>
      <c r="F1103">
        <v>42</v>
      </c>
      <c r="G1103" t="s">
        <v>70</v>
      </c>
      <c r="H1103" t="s">
        <v>46</v>
      </c>
      <c r="I1103" s="2">
        <v>13.99</v>
      </c>
      <c r="J1103">
        <v>0</v>
      </c>
      <c r="K1103" s="2">
        <f t="shared" si="34"/>
        <v>0</v>
      </c>
      <c r="L1103" t="s">
        <v>37</v>
      </c>
      <c r="M1103">
        <v>1</v>
      </c>
      <c r="N1103">
        <v>1.89</v>
      </c>
      <c r="O1103" t="str">
        <f t="shared" si="35"/>
        <v>1+ hours</v>
      </c>
      <c r="P1103" t="s">
        <v>52</v>
      </c>
    </row>
    <row r="1104" spans="1:16" x14ac:dyDescent="0.4">
      <c r="A1104" t="s">
        <v>1145</v>
      </c>
      <c r="B1104">
        <v>40</v>
      </c>
      <c r="C1104" t="s">
        <v>15</v>
      </c>
      <c r="D1104" t="s">
        <v>16</v>
      </c>
      <c r="E1104">
        <v>0.86</v>
      </c>
      <c r="F1104">
        <v>5</v>
      </c>
      <c r="G1104" t="s">
        <v>33</v>
      </c>
      <c r="H1104" t="s">
        <v>57</v>
      </c>
      <c r="I1104" s="2">
        <v>8.99</v>
      </c>
      <c r="J1104">
        <v>1</v>
      </c>
      <c r="K1104" s="2">
        <f t="shared" si="34"/>
        <v>8.99</v>
      </c>
      <c r="L1104" t="s">
        <v>37</v>
      </c>
      <c r="M1104">
        <v>2</v>
      </c>
      <c r="N1104">
        <v>0.14000000000000001</v>
      </c>
      <c r="O1104" t="str">
        <f t="shared" si="35"/>
        <v>0–0.2 hours</v>
      </c>
      <c r="P1104" t="s">
        <v>52</v>
      </c>
    </row>
    <row r="1105" spans="1:16" x14ac:dyDescent="0.4">
      <c r="A1105" t="s">
        <v>1146</v>
      </c>
      <c r="B1105">
        <v>42</v>
      </c>
      <c r="C1105" t="s">
        <v>41</v>
      </c>
      <c r="D1105" t="s">
        <v>32</v>
      </c>
      <c r="E1105">
        <v>1.91</v>
      </c>
      <c r="F1105">
        <v>44</v>
      </c>
      <c r="G1105" t="s">
        <v>23</v>
      </c>
      <c r="H1105" t="s">
        <v>24</v>
      </c>
      <c r="I1105" s="2">
        <v>17.989999999999998</v>
      </c>
      <c r="J1105">
        <v>1</v>
      </c>
      <c r="K1105" s="2">
        <f t="shared" si="34"/>
        <v>17.989999999999998</v>
      </c>
      <c r="L1105" t="s">
        <v>29</v>
      </c>
      <c r="M1105">
        <v>1</v>
      </c>
      <c r="N1105">
        <v>0.04</v>
      </c>
      <c r="O1105" t="str">
        <f t="shared" si="35"/>
        <v>0–0.2 hours</v>
      </c>
      <c r="P1105" t="s">
        <v>20</v>
      </c>
    </row>
    <row r="1106" spans="1:16" x14ac:dyDescent="0.4">
      <c r="A1106" t="s">
        <v>1147</v>
      </c>
      <c r="B1106">
        <v>59</v>
      </c>
      <c r="C1106" t="s">
        <v>15</v>
      </c>
      <c r="D1106" t="s">
        <v>16</v>
      </c>
      <c r="E1106">
        <v>14.32</v>
      </c>
      <c r="F1106">
        <v>47</v>
      </c>
      <c r="G1106" t="s">
        <v>49</v>
      </c>
      <c r="H1106" t="s">
        <v>46</v>
      </c>
      <c r="I1106" s="2">
        <v>8.99</v>
      </c>
      <c r="J1106">
        <v>1</v>
      </c>
      <c r="K1106" s="2">
        <f t="shared" si="34"/>
        <v>8.99</v>
      </c>
      <c r="L1106" t="s">
        <v>61</v>
      </c>
      <c r="M1106">
        <v>1</v>
      </c>
      <c r="N1106">
        <v>0.3</v>
      </c>
      <c r="O1106" t="str">
        <f t="shared" si="35"/>
        <v>0.2–0.4 hours</v>
      </c>
      <c r="P1106" t="s">
        <v>34</v>
      </c>
    </row>
    <row r="1107" spans="1:16" x14ac:dyDescent="0.4">
      <c r="A1107" t="s">
        <v>1148</v>
      </c>
      <c r="B1107">
        <v>59</v>
      </c>
      <c r="C1107" t="s">
        <v>15</v>
      </c>
      <c r="D1107" t="s">
        <v>16</v>
      </c>
      <c r="E1107">
        <v>0.09</v>
      </c>
      <c r="F1107">
        <v>25</v>
      </c>
      <c r="G1107" t="s">
        <v>23</v>
      </c>
      <c r="H1107" t="s">
        <v>46</v>
      </c>
      <c r="I1107" s="2">
        <v>8.99</v>
      </c>
      <c r="J1107">
        <v>1</v>
      </c>
      <c r="K1107" s="2">
        <f t="shared" si="34"/>
        <v>8.99</v>
      </c>
      <c r="L1107" t="s">
        <v>29</v>
      </c>
      <c r="M1107">
        <v>2</v>
      </c>
      <c r="N1107">
        <v>0</v>
      </c>
      <c r="O1107" t="str">
        <f t="shared" si="35"/>
        <v>0–0.2 hours</v>
      </c>
      <c r="P1107" t="s">
        <v>25</v>
      </c>
    </row>
    <row r="1108" spans="1:16" x14ac:dyDescent="0.4">
      <c r="A1108" t="s">
        <v>1149</v>
      </c>
      <c r="B1108">
        <v>33</v>
      </c>
      <c r="C1108" t="s">
        <v>41</v>
      </c>
      <c r="D1108" t="s">
        <v>32</v>
      </c>
      <c r="E1108">
        <v>9.68</v>
      </c>
      <c r="F1108">
        <v>57</v>
      </c>
      <c r="G1108" t="s">
        <v>28</v>
      </c>
      <c r="H1108" t="s">
        <v>46</v>
      </c>
      <c r="I1108" s="2">
        <v>17.989999999999998</v>
      </c>
      <c r="J1108">
        <v>1</v>
      </c>
      <c r="K1108" s="2">
        <f t="shared" si="34"/>
        <v>17.989999999999998</v>
      </c>
      <c r="L1108" t="s">
        <v>19</v>
      </c>
      <c r="M1108">
        <v>1</v>
      </c>
      <c r="N1108">
        <v>0.17</v>
      </c>
      <c r="O1108" t="str">
        <f t="shared" si="35"/>
        <v>0–0.2 hours</v>
      </c>
      <c r="P1108" t="s">
        <v>52</v>
      </c>
    </row>
    <row r="1109" spans="1:16" x14ac:dyDescent="0.4">
      <c r="A1109" t="s">
        <v>1150</v>
      </c>
      <c r="B1109">
        <v>24</v>
      </c>
      <c r="C1109" t="s">
        <v>41</v>
      </c>
      <c r="D1109" t="s">
        <v>22</v>
      </c>
      <c r="E1109">
        <v>13.71</v>
      </c>
      <c r="F1109">
        <v>51</v>
      </c>
      <c r="G1109" t="s">
        <v>33</v>
      </c>
      <c r="H1109" t="s">
        <v>24</v>
      </c>
      <c r="I1109" s="2">
        <v>13.99</v>
      </c>
      <c r="J1109">
        <v>1</v>
      </c>
      <c r="K1109" s="2">
        <f t="shared" si="34"/>
        <v>13.99</v>
      </c>
      <c r="L1109" t="s">
        <v>37</v>
      </c>
      <c r="M1109">
        <v>1</v>
      </c>
      <c r="N1109">
        <v>0.26</v>
      </c>
      <c r="O1109" t="str">
        <f t="shared" si="35"/>
        <v>0.2–0.4 hours</v>
      </c>
      <c r="P1109" t="s">
        <v>34</v>
      </c>
    </row>
    <row r="1110" spans="1:16" x14ac:dyDescent="0.4">
      <c r="A1110" t="s">
        <v>1151</v>
      </c>
      <c r="B1110">
        <v>45</v>
      </c>
      <c r="C1110" t="s">
        <v>27</v>
      </c>
      <c r="D1110" t="s">
        <v>32</v>
      </c>
      <c r="E1110">
        <v>11.99</v>
      </c>
      <c r="F1110">
        <v>54</v>
      </c>
      <c r="G1110" t="s">
        <v>70</v>
      </c>
      <c r="H1110" t="s">
        <v>55</v>
      </c>
      <c r="I1110" s="2">
        <v>17.989999999999998</v>
      </c>
      <c r="J1110">
        <v>1</v>
      </c>
      <c r="K1110" s="2">
        <f t="shared" si="34"/>
        <v>17.989999999999998</v>
      </c>
      <c r="L1110" t="s">
        <v>61</v>
      </c>
      <c r="M1110">
        <v>2</v>
      </c>
      <c r="N1110">
        <v>0.22</v>
      </c>
      <c r="O1110" t="str">
        <f t="shared" si="35"/>
        <v>0.2–0.4 hours</v>
      </c>
      <c r="P1110" t="s">
        <v>34</v>
      </c>
    </row>
    <row r="1111" spans="1:16" x14ac:dyDescent="0.4">
      <c r="A1111" t="s">
        <v>1152</v>
      </c>
      <c r="B1111">
        <v>48</v>
      </c>
      <c r="C1111" t="s">
        <v>41</v>
      </c>
      <c r="D1111" t="s">
        <v>32</v>
      </c>
      <c r="E1111">
        <v>7.18</v>
      </c>
      <c r="F1111">
        <v>53</v>
      </c>
      <c r="G1111" t="s">
        <v>28</v>
      </c>
      <c r="H1111" t="s">
        <v>57</v>
      </c>
      <c r="I1111" s="2">
        <v>17.989999999999998</v>
      </c>
      <c r="J1111">
        <v>0</v>
      </c>
      <c r="K1111" s="2">
        <f t="shared" si="34"/>
        <v>0</v>
      </c>
      <c r="L1111" t="s">
        <v>37</v>
      </c>
      <c r="M1111">
        <v>4</v>
      </c>
      <c r="N1111">
        <v>0.13</v>
      </c>
      <c r="O1111" t="str">
        <f t="shared" si="35"/>
        <v>0–0.2 hours</v>
      </c>
      <c r="P1111" t="s">
        <v>47</v>
      </c>
    </row>
    <row r="1112" spans="1:16" x14ac:dyDescent="0.4">
      <c r="A1112" t="s">
        <v>1153</v>
      </c>
      <c r="B1112">
        <v>39</v>
      </c>
      <c r="C1112" t="s">
        <v>41</v>
      </c>
      <c r="D1112" t="s">
        <v>22</v>
      </c>
      <c r="E1112">
        <v>31.83</v>
      </c>
      <c r="F1112">
        <v>2</v>
      </c>
      <c r="G1112" t="s">
        <v>17</v>
      </c>
      <c r="H1112" t="s">
        <v>24</v>
      </c>
      <c r="I1112" s="2">
        <v>13.99</v>
      </c>
      <c r="J1112">
        <v>0</v>
      </c>
      <c r="K1112" s="2">
        <f t="shared" si="34"/>
        <v>0</v>
      </c>
      <c r="L1112" t="s">
        <v>29</v>
      </c>
      <c r="M1112">
        <v>5</v>
      </c>
      <c r="N1112">
        <v>10.61</v>
      </c>
      <c r="O1112" t="str">
        <f t="shared" si="35"/>
        <v>1+ hours</v>
      </c>
      <c r="P1112" t="s">
        <v>34</v>
      </c>
    </row>
    <row r="1113" spans="1:16" x14ac:dyDescent="0.4">
      <c r="A1113" t="s">
        <v>1154</v>
      </c>
      <c r="B1113">
        <v>25</v>
      </c>
      <c r="C1113" t="s">
        <v>41</v>
      </c>
      <c r="D1113" t="s">
        <v>22</v>
      </c>
      <c r="E1113">
        <v>7.26</v>
      </c>
      <c r="F1113">
        <v>43</v>
      </c>
      <c r="G1113" t="s">
        <v>33</v>
      </c>
      <c r="H1113" t="s">
        <v>55</v>
      </c>
      <c r="I1113" s="2">
        <v>13.99</v>
      </c>
      <c r="J1113">
        <v>1</v>
      </c>
      <c r="K1113" s="2">
        <f t="shared" si="34"/>
        <v>13.99</v>
      </c>
      <c r="L1113" t="s">
        <v>43</v>
      </c>
      <c r="M1113">
        <v>1</v>
      </c>
      <c r="N1113">
        <v>0.17</v>
      </c>
      <c r="O1113" t="str">
        <f t="shared" si="35"/>
        <v>0–0.2 hours</v>
      </c>
      <c r="P1113" t="s">
        <v>20</v>
      </c>
    </row>
    <row r="1114" spans="1:16" x14ac:dyDescent="0.4">
      <c r="A1114" t="s">
        <v>1155</v>
      </c>
      <c r="B1114">
        <v>64</v>
      </c>
      <c r="C1114" t="s">
        <v>41</v>
      </c>
      <c r="D1114" t="s">
        <v>32</v>
      </c>
      <c r="E1114">
        <v>3.51</v>
      </c>
      <c r="F1114">
        <v>30</v>
      </c>
      <c r="G1114" t="s">
        <v>23</v>
      </c>
      <c r="H1114" t="s">
        <v>57</v>
      </c>
      <c r="I1114" s="2">
        <v>17.989999999999998</v>
      </c>
      <c r="J1114">
        <v>0</v>
      </c>
      <c r="K1114" s="2">
        <f t="shared" si="34"/>
        <v>0</v>
      </c>
      <c r="L1114" t="s">
        <v>43</v>
      </c>
      <c r="M1114">
        <v>5</v>
      </c>
      <c r="N1114">
        <v>0.11</v>
      </c>
      <c r="O1114" t="str">
        <f t="shared" si="35"/>
        <v>0–0.2 hours</v>
      </c>
      <c r="P1114" t="s">
        <v>20</v>
      </c>
    </row>
    <row r="1115" spans="1:16" x14ac:dyDescent="0.4">
      <c r="A1115" t="s">
        <v>1156</v>
      </c>
      <c r="B1115">
        <v>25</v>
      </c>
      <c r="C1115" t="s">
        <v>41</v>
      </c>
      <c r="D1115" t="s">
        <v>32</v>
      </c>
      <c r="E1115">
        <v>16.61</v>
      </c>
      <c r="F1115">
        <v>34</v>
      </c>
      <c r="G1115" t="s">
        <v>33</v>
      </c>
      <c r="H1115" t="s">
        <v>24</v>
      </c>
      <c r="I1115" s="2">
        <v>17.989999999999998</v>
      </c>
      <c r="J1115">
        <v>0</v>
      </c>
      <c r="K1115" s="2">
        <f t="shared" si="34"/>
        <v>0</v>
      </c>
      <c r="L1115" t="s">
        <v>37</v>
      </c>
      <c r="M1115">
        <v>4</v>
      </c>
      <c r="N1115">
        <v>0.47</v>
      </c>
      <c r="O1115" t="str">
        <f t="shared" si="35"/>
        <v>0.4–0.6 hours</v>
      </c>
      <c r="P1115" t="s">
        <v>47</v>
      </c>
    </row>
    <row r="1116" spans="1:16" x14ac:dyDescent="0.4">
      <c r="A1116" t="s">
        <v>1157</v>
      </c>
      <c r="B1116">
        <v>59</v>
      </c>
      <c r="C1116" t="s">
        <v>27</v>
      </c>
      <c r="D1116" t="s">
        <v>16</v>
      </c>
      <c r="E1116">
        <v>6.96</v>
      </c>
      <c r="F1116">
        <v>4</v>
      </c>
      <c r="G1116" t="s">
        <v>28</v>
      </c>
      <c r="H1116" t="s">
        <v>18</v>
      </c>
      <c r="I1116" s="2">
        <v>8.99</v>
      </c>
      <c r="J1116">
        <v>0</v>
      </c>
      <c r="K1116" s="2">
        <f t="shared" si="34"/>
        <v>0</v>
      </c>
      <c r="L1116" t="s">
        <v>43</v>
      </c>
      <c r="M1116">
        <v>2</v>
      </c>
      <c r="N1116">
        <v>1.39</v>
      </c>
      <c r="O1116" t="str">
        <f t="shared" si="35"/>
        <v>1+ hours</v>
      </c>
      <c r="P1116" t="s">
        <v>34</v>
      </c>
    </row>
    <row r="1117" spans="1:16" x14ac:dyDescent="0.4">
      <c r="A1117" t="s">
        <v>1158</v>
      </c>
      <c r="B1117">
        <v>64</v>
      </c>
      <c r="C1117" t="s">
        <v>41</v>
      </c>
      <c r="D1117" t="s">
        <v>32</v>
      </c>
      <c r="E1117">
        <v>15.22</v>
      </c>
      <c r="F1117">
        <v>4</v>
      </c>
      <c r="G1117" t="s">
        <v>70</v>
      </c>
      <c r="H1117" t="s">
        <v>46</v>
      </c>
      <c r="I1117" s="2">
        <v>17.989999999999998</v>
      </c>
      <c r="J1117">
        <v>0</v>
      </c>
      <c r="K1117" s="2">
        <f t="shared" si="34"/>
        <v>0</v>
      </c>
      <c r="L1117" t="s">
        <v>19</v>
      </c>
      <c r="M1117">
        <v>1</v>
      </c>
      <c r="N1117">
        <v>3.04</v>
      </c>
      <c r="O1117" t="str">
        <f t="shared" si="35"/>
        <v>1+ hours</v>
      </c>
      <c r="P1117" t="s">
        <v>52</v>
      </c>
    </row>
    <row r="1118" spans="1:16" x14ac:dyDescent="0.4">
      <c r="A1118" t="s">
        <v>1159</v>
      </c>
      <c r="B1118">
        <v>62</v>
      </c>
      <c r="C1118" t="s">
        <v>15</v>
      </c>
      <c r="D1118" t="s">
        <v>32</v>
      </c>
      <c r="E1118">
        <v>4.99</v>
      </c>
      <c r="F1118">
        <v>10</v>
      </c>
      <c r="G1118" t="s">
        <v>70</v>
      </c>
      <c r="H1118" t="s">
        <v>18</v>
      </c>
      <c r="I1118" s="2">
        <v>17.989999999999998</v>
      </c>
      <c r="J1118">
        <v>1</v>
      </c>
      <c r="K1118" s="2">
        <f t="shared" si="34"/>
        <v>17.989999999999998</v>
      </c>
      <c r="L1118" t="s">
        <v>37</v>
      </c>
      <c r="M1118">
        <v>2</v>
      </c>
      <c r="N1118">
        <v>0.45</v>
      </c>
      <c r="O1118" t="str">
        <f t="shared" si="35"/>
        <v>0.4–0.6 hours</v>
      </c>
      <c r="P1118" t="s">
        <v>47</v>
      </c>
    </row>
    <row r="1119" spans="1:16" x14ac:dyDescent="0.4">
      <c r="A1119" t="s">
        <v>1160</v>
      </c>
      <c r="B1119">
        <v>57</v>
      </c>
      <c r="C1119" t="s">
        <v>41</v>
      </c>
      <c r="D1119" t="s">
        <v>22</v>
      </c>
      <c r="E1119">
        <v>3.73</v>
      </c>
      <c r="F1119">
        <v>5</v>
      </c>
      <c r="G1119" t="s">
        <v>23</v>
      </c>
      <c r="H1119" t="s">
        <v>46</v>
      </c>
      <c r="I1119" s="2">
        <v>13.99</v>
      </c>
      <c r="J1119">
        <v>0</v>
      </c>
      <c r="K1119" s="2">
        <f t="shared" si="34"/>
        <v>0</v>
      </c>
      <c r="L1119" t="s">
        <v>43</v>
      </c>
      <c r="M1119">
        <v>2</v>
      </c>
      <c r="N1119">
        <v>0.62</v>
      </c>
      <c r="O1119" t="str">
        <f t="shared" si="35"/>
        <v>0.6–0.8 hours</v>
      </c>
      <c r="P1119" t="s">
        <v>47</v>
      </c>
    </row>
    <row r="1120" spans="1:16" x14ac:dyDescent="0.4">
      <c r="A1120" t="s">
        <v>1161</v>
      </c>
      <c r="B1120">
        <v>24</v>
      </c>
      <c r="C1120" t="s">
        <v>27</v>
      </c>
      <c r="D1120" t="s">
        <v>32</v>
      </c>
      <c r="E1120">
        <v>30.8</v>
      </c>
      <c r="F1120">
        <v>19</v>
      </c>
      <c r="G1120" t="s">
        <v>23</v>
      </c>
      <c r="H1120" t="s">
        <v>24</v>
      </c>
      <c r="I1120" s="2">
        <v>17.989999999999998</v>
      </c>
      <c r="J1120">
        <v>0</v>
      </c>
      <c r="K1120" s="2">
        <f t="shared" si="34"/>
        <v>0</v>
      </c>
      <c r="L1120" t="s">
        <v>61</v>
      </c>
      <c r="M1120">
        <v>5</v>
      </c>
      <c r="N1120">
        <v>1.54</v>
      </c>
      <c r="O1120" t="str">
        <f t="shared" si="35"/>
        <v>1+ hours</v>
      </c>
      <c r="P1120" t="s">
        <v>39</v>
      </c>
    </row>
    <row r="1121" spans="1:16" x14ac:dyDescent="0.4">
      <c r="A1121" t="s">
        <v>1162</v>
      </c>
      <c r="B1121">
        <v>51</v>
      </c>
      <c r="C1121" t="s">
        <v>15</v>
      </c>
      <c r="D1121" t="s">
        <v>16</v>
      </c>
      <c r="E1121">
        <v>36.619999999999997</v>
      </c>
      <c r="F1121">
        <v>43</v>
      </c>
      <c r="G1121" t="s">
        <v>70</v>
      </c>
      <c r="H1121" t="s">
        <v>46</v>
      </c>
      <c r="I1121" s="2">
        <v>8.99</v>
      </c>
      <c r="J1121">
        <v>0</v>
      </c>
      <c r="K1121" s="2">
        <f t="shared" si="34"/>
        <v>0</v>
      </c>
      <c r="L1121" t="s">
        <v>61</v>
      </c>
      <c r="M1121">
        <v>4</v>
      </c>
      <c r="N1121">
        <v>0.83</v>
      </c>
      <c r="O1121" t="str">
        <f t="shared" si="35"/>
        <v>0.8–1 hour</v>
      </c>
      <c r="P1121" t="s">
        <v>34</v>
      </c>
    </row>
    <row r="1122" spans="1:16" x14ac:dyDescent="0.4">
      <c r="A1122" t="s">
        <v>1163</v>
      </c>
      <c r="B1122">
        <v>69</v>
      </c>
      <c r="C1122" t="s">
        <v>27</v>
      </c>
      <c r="D1122" t="s">
        <v>16</v>
      </c>
      <c r="E1122">
        <v>4.8099999999999996</v>
      </c>
      <c r="F1122">
        <v>22</v>
      </c>
      <c r="G1122" t="s">
        <v>49</v>
      </c>
      <c r="H1122" t="s">
        <v>18</v>
      </c>
      <c r="I1122" s="2">
        <v>8.99</v>
      </c>
      <c r="J1122">
        <v>1</v>
      </c>
      <c r="K1122" s="2">
        <f t="shared" si="34"/>
        <v>8.99</v>
      </c>
      <c r="L1122" t="s">
        <v>19</v>
      </c>
      <c r="M1122">
        <v>2</v>
      </c>
      <c r="N1122">
        <v>0.21</v>
      </c>
      <c r="O1122" t="str">
        <f t="shared" si="35"/>
        <v>0.2–0.4 hours</v>
      </c>
      <c r="P1122" t="s">
        <v>20</v>
      </c>
    </row>
    <row r="1123" spans="1:16" x14ac:dyDescent="0.4">
      <c r="A1123" t="s">
        <v>1164</v>
      </c>
      <c r="B1123">
        <v>20</v>
      </c>
      <c r="C1123" t="s">
        <v>27</v>
      </c>
      <c r="D1123" t="s">
        <v>22</v>
      </c>
      <c r="E1123">
        <v>4.28</v>
      </c>
      <c r="F1123">
        <v>14</v>
      </c>
      <c r="G1123" t="s">
        <v>70</v>
      </c>
      <c r="H1123" t="s">
        <v>57</v>
      </c>
      <c r="I1123" s="2">
        <v>13.99</v>
      </c>
      <c r="J1123">
        <v>0</v>
      </c>
      <c r="K1123" s="2">
        <f t="shared" si="34"/>
        <v>0</v>
      </c>
      <c r="L1123" t="s">
        <v>37</v>
      </c>
      <c r="M1123">
        <v>5</v>
      </c>
      <c r="N1123">
        <v>0.28999999999999998</v>
      </c>
      <c r="O1123" t="str">
        <f t="shared" si="35"/>
        <v>0.2–0.4 hours</v>
      </c>
      <c r="P1123" t="s">
        <v>25</v>
      </c>
    </row>
    <row r="1124" spans="1:16" x14ac:dyDescent="0.4">
      <c r="A1124" t="s">
        <v>1165</v>
      </c>
      <c r="B1124">
        <v>46</v>
      </c>
      <c r="C1124" t="s">
        <v>27</v>
      </c>
      <c r="D1124" t="s">
        <v>22</v>
      </c>
      <c r="E1124">
        <v>10.98</v>
      </c>
      <c r="F1124">
        <v>20</v>
      </c>
      <c r="G1124" t="s">
        <v>17</v>
      </c>
      <c r="H1124" t="s">
        <v>24</v>
      </c>
      <c r="I1124" s="2">
        <v>13.99</v>
      </c>
      <c r="J1124">
        <v>0</v>
      </c>
      <c r="K1124" s="2">
        <f t="shared" si="34"/>
        <v>0</v>
      </c>
      <c r="L1124" t="s">
        <v>19</v>
      </c>
      <c r="M1124">
        <v>5</v>
      </c>
      <c r="N1124">
        <v>0.52</v>
      </c>
      <c r="O1124" t="str">
        <f t="shared" si="35"/>
        <v>0.4–0.6 hours</v>
      </c>
      <c r="P1124" t="s">
        <v>25</v>
      </c>
    </row>
    <row r="1125" spans="1:16" x14ac:dyDescent="0.4">
      <c r="A1125" t="s">
        <v>1166</v>
      </c>
      <c r="B1125">
        <v>21</v>
      </c>
      <c r="C1125" t="s">
        <v>41</v>
      </c>
      <c r="D1125" t="s">
        <v>32</v>
      </c>
      <c r="E1125">
        <v>3.06</v>
      </c>
      <c r="F1125">
        <v>24</v>
      </c>
      <c r="G1125" t="s">
        <v>70</v>
      </c>
      <c r="H1125" t="s">
        <v>24</v>
      </c>
      <c r="I1125" s="2">
        <v>17.989999999999998</v>
      </c>
      <c r="J1125">
        <v>0</v>
      </c>
      <c r="K1125" s="2">
        <f t="shared" si="34"/>
        <v>0</v>
      </c>
      <c r="L1125" t="s">
        <v>43</v>
      </c>
      <c r="M1125">
        <v>4</v>
      </c>
      <c r="N1125">
        <v>0.12</v>
      </c>
      <c r="O1125" t="str">
        <f t="shared" si="35"/>
        <v>0–0.2 hours</v>
      </c>
      <c r="P1125" t="s">
        <v>39</v>
      </c>
    </row>
    <row r="1126" spans="1:16" x14ac:dyDescent="0.4">
      <c r="A1126" t="s">
        <v>1167</v>
      </c>
      <c r="B1126">
        <v>56</v>
      </c>
      <c r="C1126" t="s">
        <v>15</v>
      </c>
      <c r="D1126" t="s">
        <v>22</v>
      </c>
      <c r="E1126">
        <v>16.86</v>
      </c>
      <c r="F1126">
        <v>34</v>
      </c>
      <c r="G1126" t="s">
        <v>49</v>
      </c>
      <c r="H1126" t="s">
        <v>18</v>
      </c>
      <c r="I1126" s="2">
        <v>13.99</v>
      </c>
      <c r="J1126">
        <v>1</v>
      </c>
      <c r="K1126" s="2">
        <f t="shared" si="34"/>
        <v>13.99</v>
      </c>
      <c r="L1126" t="s">
        <v>61</v>
      </c>
      <c r="M1126">
        <v>2</v>
      </c>
      <c r="N1126">
        <v>0.48</v>
      </c>
      <c r="O1126" t="str">
        <f t="shared" si="35"/>
        <v>0.4–0.6 hours</v>
      </c>
      <c r="P1126" t="s">
        <v>20</v>
      </c>
    </row>
    <row r="1127" spans="1:16" x14ac:dyDescent="0.4">
      <c r="A1127" t="s">
        <v>1168</v>
      </c>
      <c r="B1127">
        <v>40</v>
      </c>
      <c r="C1127" t="s">
        <v>15</v>
      </c>
      <c r="D1127" t="s">
        <v>22</v>
      </c>
      <c r="E1127">
        <v>9.41</v>
      </c>
      <c r="F1127">
        <v>46</v>
      </c>
      <c r="G1127" t="s">
        <v>17</v>
      </c>
      <c r="H1127" t="s">
        <v>18</v>
      </c>
      <c r="I1127" s="2">
        <v>13.99</v>
      </c>
      <c r="J1127">
        <v>1</v>
      </c>
      <c r="K1127" s="2">
        <f t="shared" si="34"/>
        <v>13.99</v>
      </c>
      <c r="L1127" t="s">
        <v>29</v>
      </c>
      <c r="M1127">
        <v>3</v>
      </c>
      <c r="N1127">
        <v>0.2</v>
      </c>
      <c r="O1127" t="str">
        <f t="shared" si="35"/>
        <v>0–0.2 hours</v>
      </c>
      <c r="P1127" t="s">
        <v>30</v>
      </c>
    </row>
    <row r="1128" spans="1:16" x14ac:dyDescent="0.4">
      <c r="A1128" t="s">
        <v>1169</v>
      </c>
      <c r="B1128">
        <v>21</v>
      </c>
      <c r="C1128" t="s">
        <v>15</v>
      </c>
      <c r="D1128" t="s">
        <v>16</v>
      </c>
      <c r="E1128">
        <v>54.56</v>
      </c>
      <c r="F1128">
        <v>11</v>
      </c>
      <c r="G1128" t="s">
        <v>70</v>
      </c>
      <c r="H1128" t="s">
        <v>55</v>
      </c>
      <c r="I1128" s="2">
        <v>8.99</v>
      </c>
      <c r="J1128">
        <v>0</v>
      </c>
      <c r="K1128" s="2">
        <f t="shared" si="34"/>
        <v>0</v>
      </c>
      <c r="L1128" t="s">
        <v>61</v>
      </c>
      <c r="M1128">
        <v>5</v>
      </c>
      <c r="N1128">
        <v>4.55</v>
      </c>
      <c r="O1128" t="str">
        <f t="shared" si="35"/>
        <v>1+ hours</v>
      </c>
      <c r="P1128" t="s">
        <v>39</v>
      </c>
    </row>
    <row r="1129" spans="1:16" x14ac:dyDescent="0.4">
      <c r="A1129" t="s">
        <v>1170</v>
      </c>
      <c r="B1129">
        <v>18</v>
      </c>
      <c r="C1129" t="s">
        <v>41</v>
      </c>
      <c r="D1129" t="s">
        <v>32</v>
      </c>
      <c r="E1129">
        <v>1.61</v>
      </c>
      <c r="F1129">
        <v>29</v>
      </c>
      <c r="G1129" t="s">
        <v>28</v>
      </c>
      <c r="H1129" t="s">
        <v>24</v>
      </c>
      <c r="I1129" s="2">
        <v>17.989999999999998</v>
      </c>
      <c r="J1129">
        <v>1</v>
      </c>
      <c r="K1129" s="2">
        <f t="shared" si="34"/>
        <v>17.989999999999998</v>
      </c>
      <c r="L1129" t="s">
        <v>43</v>
      </c>
      <c r="M1129">
        <v>1</v>
      </c>
      <c r="N1129">
        <v>0.05</v>
      </c>
      <c r="O1129" t="str">
        <f t="shared" si="35"/>
        <v>0–0.2 hours</v>
      </c>
      <c r="P1129" t="s">
        <v>30</v>
      </c>
    </row>
    <row r="1130" spans="1:16" x14ac:dyDescent="0.4">
      <c r="A1130" t="s">
        <v>1171</v>
      </c>
      <c r="B1130">
        <v>18</v>
      </c>
      <c r="C1130" t="s">
        <v>27</v>
      </c>
      <c r="D1130" t="s">
        <v>32</v>
      </c>
      <c r="E1130">
        <v>0.38</v>
      </c>
      <c r="F1130">
        <v>37</v>
      </c>
      <c r="G1130" t="s">
        <v>70</v>
      </c>
      <c r="H1130" t="s">
        <v>18</v>
      </c>
      <c r="I1130" s="2">
        <v>17.989999999999998</v>
      </c>
      <c r="J1130">
        <v>1</v>
      </c>
      <c r="K1130" s="2">
        <f t="shared" si="34"/>
        <v>17.989999999999998</v>
      </c>
      <c r="L1130" t="s">
        <v>29</v>
      </c>
      <c r="M1130">
        <v>5</v>
      </c>
      <c r="N1130">
        <v>0.01</v>
      </c>
      <c r="O1130" t="str">
        <f t="shared" si="35"/>
        <v>0–0.2 hours</v>
      </c>
      <c r="P1130" t="s">
        <v>20</v>
      </c>
    </row>
    <row r="1131" spans="1:16" x14ac:dyDescent="0.4">
      <c r="A1131" t="s">
        <v>1172</v>
      </c>
      <c r="B1131">
        <v>31</v>
      </c>
      <c r="C1131" t="s">
        <v>27</v>
      </c>
      <c r="D1131" t="s">
        <v>32</v>
      </c>
      <c r="E1131">
        <v>0.54</v>
      </c>
      <c r="F1131">
        <v>16</v>
      </c>
      <c r="G1131" t="s">
        <v>70</v>
      </c>
      <c r="H1131" t="s">
        <v>55</v>
      </c>
      <c r="I1131" s="2">
        <v>17.989999999999998</v>
      </c>
      <c r="J1131">
        <v>1</v>
      </c>
      <c r="K1131" s="2">
        <f t="shared" si="34"/>
        <v>17.989999999999998</v>
      </c>
      <c r="L1131" t="s">
        <v>61</v>
      </c>
      <c r="M1131">
        <v>1</v>
      </c>
      <c r="N1131">
        <v>0.03</v>
      </c>
      <c r="O1131" t="str">
        <f t="shared" si="35"/>
        <v>0–0.2 hours</v>
      </c>
      <c r="P1131" t="s">
        <v>25</v>
      </c>
    </row>
    <row r="1132" spans="1:16" x14ac:dyDescent="0.4">
      <c r="A1132" t="s">
        <v>1173</v>
      </c>
      <c r="B1132">
        <v>45</v>
      </c>
      <c r="C1132" t="s">
        <v>41</v>
      </c>
      <c r="D1132" t="s">
        <v>16</v>
      </c>
      <c r="E1132">
        <v>5.8</v>
      </c>
      <c r="F1132">
        <v>39</v>
      </c>
      <c r="G1132" t="s">
        <v>70</v>
      </c>
      <c r="H1132" t="s">
        <v>24</v>
      </c>
      <c r="I1132" s="2">
        <v>8.99</v>
      </c>
      <c r="J1132">
        <v>1</v>
      </c>
      <c r="K1132" s="2">
        <f t="shared" si="34"/>
        <v>8.99</v>
      </c>
      <c r="L1132" t="s">
        <v>37</v>
      </c>
      <c r="M1132">
        <v>4</v>
      </c>
      <c r="N1132">
        <v>0.14000000000000001</v>
      </c>
      <c r="O1132" t="str">
        <f t="shared" si="35"/>
        <v>0–0.2 hours</v>
      </c>
      <c r="P1132" t="s">
        <v>52</v>
      </c>
    </row>
    <row r="1133" spans="1:16" x14ac:dyDescent="0.4">
      <c r="A1133" t="s">
        <v>1174</v>
      </c>
      <c r="B1133">
        <v>33</v>
      </c>
      <c r="C1133" t="s">
        <v>27</v>
      </c>
      <c r="D1133" t="s">
        <v>22</v>
      </c>
      <c r="E1133">
        <v>6.15</v>
      </c>
      <c r="F1133">
        <v>13</v>
      </c>
      <c r="G1133" t="s">
        <v>70</v>
      </c>
      <c r="H1133" t="s">
        <v>57</v>
      </c>
      <c r="I1133" s="2">
        <v>13.99</v>
      </c>
      <c r="J1133">
        <v>0</v>
      </c>
      <c r="K1133" s="2">
        <f t="shared" si="34"/>
        <v>0</v>
      </c>
      <c r="L1133" t="s">
        <v>19</v>
      </c>
      <c r="M1133">
        <v>5</v>
      </c>
      <c r="N1133">
        <v>0.44</v>
      </c>
      <c r="O1133" t="str">
        <f t="shared" si="35"/>
        <v>0.4–0.6 hours</v>
      </c>
      <c r="P1133" t="s">
        <v>34</v>
      </c>
    </row>
    <row r="1134" spans="1:16" x14ac:dyDescent="0.4">
      <c r="A1134" t="s">
        <v>1175</v>
      </c>
      <c r="B1134">
        <v>33</v>
      </c>
      <c r="C1134" t="s">
        <v>27</v>
      </c>
      <c r="D1134" t="s">
        <v>22</v>
      </c>
      <c r="E1134">
        <v>3.98</v>
      </c>
      <c r="F1134">
        <v>49</v>
      </c>
      <c r="G1134" t="s">
        <v>33</v>
      </c>
      <c r="H1134" t="s">
        <v>57</v>
      </c>
      <c r="I1134" s="2">
        <v>13.99</v>
      </c>
      <c r="J1134">
        <v>1</v>
      </c>
      <c r="K1134" s="2">
        <f t="shared" si="34"/>
        <v>13.99</v>
      </c>
      <c r="L1134" t="s">
        <v>37</v>
      </c>
      <c r="M1134">
        <v>4</v>
      </c>
      <c r="N1134">
        <v>0.08</v>
      </c>
      <c r="O1134" t="str">
        <f t="shared" si="35"/>
        <v>0–0.2 hours</v>
      </c>
      <c r="P1134" t="s">
        <v>30</v>
      </c>
    </row>
    <row r="1135" spans="1:16" x14ac:dyDescent="0.4">
      <c r="A1135" t="s">
        <v>1176</v>
      </c>
      <c r="B1135">
        <v>31</v>
      </c>
      <c r="C1135" t="s">
        <v>41</v>
      </c>
      <c r="D1135" t="s">
        <v>32</v>
      </c>
      <c r="E1135">
        <v>1.9</v>
      </c>
      <c r="F1135">
        <v>31</v>
      </c>
      <c r="G1135" t="s">
        <v>23</v>
      </c>
      <c r="H1135" t="s">
        <v>24</v>
      </c>
      <c r="I1135" s="2">
        <v>17.989999999999998</v>
      </c>
      <c r="J1135">
        <v>1</v>
      </c>
      <c r="K1135" s="2">
        <f t="shared" si="34"/>
        <v>17.989999999999998</v>
      </c>
      <c r="L1135" t="s">
        <v>19</v>
      </c>
      <c r="M1135">
        <v>1</v>
      </c>
      <c r="N1135">
        <v>0.06</v>
      </c>
      <c r="O1135" t="str">
        <f t="shared" si="35"/>
        <v>0–0.2 hours</v>
      </c>
      <c r="P1135" t="s">
        <v>34</v>
      </c>
    </row>
    <row r="1136" spans="1:16" x14ac:dyDescent="0.4">
      <c r="A1136" t="s">
        <v>1177</v>
      </c>
      <c r="B1136">
        <v>18</v>
      </c>
      <c r="C1136" t="s">
        <v>15</v>
      </c>
      <c r="D1136" t="s">
        <v>32</v>
      </c>
      <c r="E1136">
        <v>7.93</v>
      </c>
      <c r="F1136">
        <v>60</v>
      </c>
      <c r="G1136" t="s">
        <v>33</v>
      </c>
      <c r="H1136" t="s">
        <v>24</v>
      </c>
      <c r="I1136" s="2">
        <v>17.989999999999998</v>
      </c>
      <c r="J1136">
        <v>0</v>
      </c>
      <c r="K1136" s="2">
        <f t="shared" si="34"/>
        <v>0</v>
      </c>
      <c r="L1136" t="s">
        <v>37</v>
      </c>
      <c r="M1136">
        <v>4</v>
      </c>
      <c r="N1136">
        <v>0.13</v>
      </c>
      <c r="O1136" t="str">
        <f t="shared" si="35"/>
        <v>0–0.2 hours</v>
      </c>
      <c r="P1136" t="s">
        <v>52</v>
      </c>
    </row>
    <row r="1137" spans="1:16" x14ac:dyDescent="0.4">
      <c r="A1137" t="s">
        <v>1178</v>
      </c>
      <c r="B1137">
        <v>29</v>
      </c>
      <c r="C1137" t="s">
        <v>41</v>
      </c>
      <c r="D1137" t="s">
        <v>22</v>
      </c>
      <c r="E1137">
        <v>1.23</v>
      </c>
      <c r="F1137">
        <v>50</v>
      </c>
      <c r="G1137" t="s">
        <v>28</v>
      </c>
      <c r="H1137" t="s">
        <v>55</v>
      </c>
      <c r="I1137" s="2">
        <v>13.99</v>
      </c>
      <c r="J1137">
        <v>1</v>
      </c>
      <c r="K1137" s="2">
        <f t="shared" si="34"/>
        <v>13.99</v>
      </c>
      <c r="L1137" t="s">
        <v>43</v>
      </c>
      <c r="M1137">
        <v>3</v>
      </c>
      <c r="N1137">
        <v>0.02</v>
      </c>
      <c r="O1137" t="str">
        <f t="shared" si="35"/>
        <v>0–0.2 hours</v>
      </c>
      <c r="P1137" t="s">
        <v>47</v>
      </c>
    </row>
    <row r="1138" spans="1:16" x14ac:dyDescent="0.4">
      <c r="A1138" t="s">
        <v>1179</v>
      </c>
      <c r="B1138">
        <v>46</v>
      </c>
      <c r="C1138" t="s">
        <v>15</v>
      </c>
      <c r="D1138" t="s">
        <v>16</v>
      </c>
      <c r="E1138">
        <v>8.69</v>
      </c>
      <c r="F1138">
        <v>35</v>
      </c>
      <c r="G1138" t="s">
        <v>33</v>
      </c>
      <c r="H1138" t="s">
        <v>18</v>
      </c>
      <c r="I1138" s="2">
        <v>8.99</v>
      </c>
      <c r="J1138">
        <v>1</v>
      </c>
      <c r="K1138" s="2">
        <f t="shared" si="34"/>
        <v>8.99</v>
      </c>
      <c r="L1138" t="s">
        <v>19</v>
      </c>
      <c r="M1138">
        <v>1</v>
      </c>
      <c r="N1138">
        <v>0.24</v>
      </c>
      <c r="O1138" t="str">
        <f t="shared" si="35"/>
        <v>0.2–0.4 hours</v>
      </c>
      <c r="P1138" t="s">
        <v>47</v>
      </c>
    </row>
    <row r="1139" spans="1:16" x14ac:dyDescent="0.4">
      <c r="A1139" t="s">
        <v>1180</v>
      </c>
      <c r="B1139">
        <v>60</v>
      </c>
      <c r="C1139" t="s">
        <v>41</v>
      </c>
      <c r="D1139" t="s">
        <v>16</v>
      </c>
      <c r="E1139">
        <v>21.16</v>
      </c>
      <c r="F1139">
        <v>23</v>
      </c>
      <c r="G1139" t="s">
        <v>23</v>
      </c>
      <c r="H1139" t="s">
        <v>18</v>
      </c>
      <c r="I1139" s="2">
        <v>8.99</v>
      </c>
      <c r="J1139">
        <v>0</v>
      </c>
      <c r="K1139" s="2">
        <f t="shared" si="34"/>
        <v>0</v>
      </c>
      <c r="L1139" t="s">
        <v>61</v>
      </c>
      <c r="M1139">
        <v>5</v>
      </c>
      <c r="N1139">
        <v>0.88</v>
      </c>
      <c r="O1139" t="str">
        <f t="shared" si="35"/>
        <v>0.8–1 hour</v>
      </c>
      <c r="P1139" t="s">
        <v>39</v>
      </c>
    </row>
    <row r="1140" spans="1:16" x14ac:dyDescent="0.4">
      <c r="A1140" t="s">
        <v>1181</v>
      </c>
      <c r="B1140">
        <v>52</v>
      </c>
      <c r="C1140" t="s">
        <v>15</v>
      </c>
      <c r="D1140" t="s">
        <v>22</v>
      </c>
      <c r="E1140">
        <v>8.61</v>
      </c>
      <c r="F1140">
        <v>45</v>
      </c>
      <c r="G1140" t="s">
        <v>70</v>
      </c>
      <c r="H1140" t="s">
        <v>24</v>
      </c>
      <c r="I1140" s="2">
        <v>13.99</v>
      </c>
      <c r="J1140">
        <v>1</v>
      </c>
      <c r="K1140" s="2">
        <f t="shared" si="34"/>
        <v>13.99</v>
      </c>
      <c r="L1140" t="s">
        <v>29</v>
      </c>
      <c r="M1140">
        <v>3</v>
      </c>
      <c r="N1140">
        <v>0.19</v>
      </c>
      <c r="O1140" t="str">
        <f t="shared" si="35"/>
        <v>0–0.2 hours</v>
      </c>
      <c r="P1140" t="s">
        <v>34</v>
      </c>
    </row>
    <row r="1141" spans="1:16" x14ac:dyDescent="0.4">
      <c r="A1141" t="s">
        <v>1182</v>
      </c>
      <c r="B1141">
        <v>30</v>
      </c>
      <c r="C1141" t="s">
        <v>15</v>
      </c>
      <c r="D1141" t="s">
        <v>22</v>
      </c>
      <c r="E1141">
        <v>14.41</v>
      </c>
      <c r="F1141">
        <v>51</v>
      </c>
      <c r="G1141" t="s">
        <v>28</v>
      </c>
      <c r="H1141" t="s">
        <v>57</v>
      </c>
      <c r="I1141" s="2">
        <v>13.99</v>
      </c>
      <c r="J1141">
        <v>1</v>
      </c>
      <c r="K1141" s="2">
        <f t="shared" si="34"/>
        <v>13.99</v>
      </c>
      <c r="L1141" t="s">
        <v>19</v>
      </c>
      <c r="M1141">
        <v>1</v>
      </c>
      <c r="N1141">
        <v>0.28000000000000003</v>
      </c>
      <c r="O1141" t="str">
        <f t="shared" si="35"/>
        <v>0.2–0.4 hours</v>
      </c>
      <c r="P1141" t="s">
        <v>47</v>
      </c>
    </row>
    <row r="1142" spans="1:16" x14ac:dyDescent="0.4">
      <c r="A1142" t="s">
        <v>1183</v>
      </c>
      <c r="B1142">
        <v>25</v>
      </c>
      <c r="C1142" t="s">
        <v>41</v>
      </c>
      <c r="D1142" t="s">
        <v>22</v>
      </c>
      <c r="E1142">
        <v>1.36</v>
      </c>
      <c r="F1142">
        <v>4</v>
      </c>
      <c r="G1142" t="s">
        <v>70</v>
      </c>
      <c r="H1142" t="s">
        <v>46</v>
      </c>
      <c r="I1142" s="2">
        <v>13.99</v>
      </c>
      <c r="J1142">
        <v>0</v>
      </c>
      <c r="K1142" s="2">
        <f t="shared" si="34"/>
        <v>0</v>
      </c>
      <c r="L1142" t="s">
        <v>19</v>
      </c>
      <c r="M1142">
        <v>5</v>
      </c>
      <c r="N1142">
        <v>0.27</v>
      </c>
      <c r="O1142" t="str">
        <f t="shared" si="35"/>
        <v>0.2–0.4 hours</v>
      </c>
      <c r="P1142" t="s">
        <v>39</v>
      </c>
    </row>
    <row r="1143" spans="1:16" x14ac:dyDescent="0.4">
      <c r="A1143" t="s">
        <v>1184</v>
      </c>
      <c r="B1143">
        <v>33</v>
      </c>
      <c r="C1143" t="s">
        <v>27</v>
      </c>
      <c r="D1143" t="s">
        <v>16</v>
      </c>
      <c r="E1143">
        <v>0.03</v>
      </c>
      <c r="F1143">
        <v>51</v>
      </c>
      <c r="G1143" t="s">
        <v>70</v>
      </c>
      <c r="H1143" t="s">
        <v>46</v>
      </c>
      <c r="I1143" s="2">
        <v>8.99</v>
      </c>
      <c r="J1143">
        <v>1</v>
      </c>
      <c r="K1143" s="2">
        <f t="shared" si="34"/>
        <v>8.99</v>
      </c>
      <c r="L1143" t="s">
        <v>61</v>
      </c>
      <c r="M1143">
        <v>1</v>
      </c>
      <c r="N1143">
        <v>0</v>
      </c>
      <c r="O1143" t="str">
        <f t="shared" si="35"/>
        <v>0–0.2 hours</v>
      </c>
      <c r="P1143" t="s">
        <v>34</v>
      </c>
    </row>
    <row r="1144" spans="1:16" x14ac:dyDescent="0.4">
      <c r="A1144" t="s">
        <v>1185</v>
      </c>
      <c r="B1144">
        <v>63</v>
      </c>
      <c r="C1144" t="s">
        <v>27</v>
      </c>
      <c r="D1144" t="s">
        <v>22</v>
      </c>
      <c r="E1144">
        <v>45.57</v>
      </c>
      <c r="F1144">
        <v>53</v>
      </c>
      <c r="G1144" t="s">
        <v>23</v>
      </c>
      <c r="H1144" t="s">
        <v>55</v>
      </c>
      <c r="I1144" s="2">
        <v>13.99</v>
      </c>
      <c r="J1144">
        <v>0</v>
      </c>
      <c r="K1144" s="2">
        <f t="shared" si="34"/>
        <v>0</v>
      </c>
      <c r="L1144" t="s">
        <v>37</v>
      </c>
      <c r="M1144">
        <v>4</v>
      </c>
      <c r="N1144">
        <v>0.84</v>
      </c>
      <c r="O1144" t="str">
        <f t="shared" si="35"/>
        <v>0.8–1 hour</v>
      </c>
      <c r="P1144" t="s">
        <v>39</v>
      </c>
    </row>
    <row r="1145" spans="1:16" x14ac:dyDescent="0.4">
      <c r="A1145" t="s">
        <v>1186</v>
      </c>
      <c r="B1145">
        <v>21</v>
      </c>
      <c r="C1145" t="s">
        <v>15</v>
      </c>
      <c r="D1145" t="s">
        <v>16</v>
      </c>
      <c r="E1145">
        <v>19.21</v>
      </c>
      <c r="F1145">
        <v>57</v>
      </c>
      <c r="G1145" t="s">
        <v>28</v>
      </c>
      <c r="H1145" t="s">
        <v>46</v>
      </c>
      <c r="I1145" s="2">
        <v>8.99</v>
      </c>
      <c r="J1145">
        <v>1</v>
      </c>
      <c r="K1145" s="2">
        <f t="shared" si="34"/>
        <v>8.99</v>
      </c>
      <c r="L1145" t="s">
        <v>19</v>
      </c>
      <c r="M1145">
        <v>4</v>
      </c>
      <c r="N1145">
        <v>0.33</v>
      </c>
      <c r="O1145" t="str">
        <f t="shared" si="35"/>
        <v>0.2–0.4 hours</v>
      </c>
      <c r="P1145" t="s">
        <v>52</v>
      </c>
    </row>
    <row r="1146" spans="1:16" x14ac:dyDescent="0.4">
      <c r="A1146" t="s">
        <v>1187</v>
      </c>
      <c r="B1146">
        <v>46</v>
      </c>
      <c r="C1146" t="s">
        <v>15</v>
      </c>
      <c r="D1146" t="s">
        <v>22</v>
      </c>
      <c r="E1146">
        <v>0.83</v>
      </c>
      <c r="F1146">
        <v>12</v>
      </c>
      <c r="G1146" t="s">
        <v>49</v>
      </c>
      <c r="H1146" t="s">
        <v>24</v>
      </c>
      <c r="I1146" s="2">
        <v>13.99</v>
      </c>
      <c r="J1146">
        <v>1</v>
      </c>
      <c r="K1146" s="2">
        <f t="shared" si="34"/>
        <v>13.99</v>
      </c>
      <c r="L1146" t="s">
        <v>29</v>
      </c>
      <c r="M1146">
        <v>4</v>
      </c>
      <c r="N1146">
        <v>0.06</v>
      </c>
      <c r="O1146" t="str">
        <f t="shared" si="35"/>
        <v>0–0.2 hours</v>
      </c>
      <c r="P1146" t="s">
        <v>47</v>
      </c>
    </row>
    <row r="1147" spans="1:16" x14ac:dyDescent="0.4">
      <c r="A1147" t="s">
        <v>1188</v>
      </c>
      <c r="B1147">
        <v>21</v>
      </c>
      <c r="C1147" t="s">
        <v>27</v>
      </c>
      <c r="D1147" t="s">
        <v>22</v>
      </c>
      <c r="E1147">
        <v>9.39</v>
      </c>
      <c r="F1147">
        <v>41</v>
      </c>
      <c r="G1147" t="s">
        <v>49</v>
      </c>
      <c r="H1147" t="s">
        <v>24</v>
      </c>
      <c r="I1147" s="2">
        <v>13.99</v>
      </c>
      <c r="J1147">
        <v>0</v>
      </c>
      <c r="K1147" s="2">
        <f t="shared" si="34"/>
        <v>0</v>
      </c>
      <c r="L1147" t="s">
        <v>43</v>
      </c>
      <c r="M1147">
        <v>5</v>
      </c>
      <c r="N1147">
        <v>0.22</v>
      </c>
      <c r="O1147" t="str">
        <f t="shared" si="35"/>
        <v>0.2–0.4 hours</v>
      </c>
      <c r="P1147" t="s">
        <v>30</v>
      </c>
    </row>
    <row r="1148" spans="1:16" x14ac:dyDescent="0.4">
      <c r="A1148" t="s">
        <v>1189</v>
      </c>
      <c r="B1148">
        <v>49</v>
      </c>
      <c r="C1148" t="s">
        <v>27</v>
      </c>
      <c r="D1148" t="s">
        <v>32</v>
      </c>
      <c r="E1148">
        <v>3.31</v>
      </c>
      <c r="F1148">
        <v>59</v>
      </c>
      <c r="G1148" t="s">
        <v>23</v>
      </c>
      <c r="H1148" t="s">
        <v>46</v>
      </c>
      <c r="I1148" s="2">
        <v>17.989999999999998</v>
      </c>
      <c r="J1148">
        <v>1</v>
      </c>
      <c r="K1148" s="2">
        <f t="shared" si="34"/>
        <v>17.989999999999998</v>
      </c>
      <c r="L1148" t="s">
        <v>43</v>
      </c>
      <c r="M1148">
        <v>1</v>
      </c>
      <c r="N1148">
        <v>0.06</v>
      </c>
      <c r="O1148" t="str">
        <f t="shared" si="35"/>
        <v>0–0.2 hours</v>
      </c>
      <c r="P1148" t="s">
        <v>25</v>
      </c>
    </row>
    <row r="1149" spans="1:16" x14ac:dyDescent="0.4">
      <c r="A1149" t="s">
        <v>1190</v>
      </c>
      <c r="B1149">
        <v>55</v>
      </c>
      <c r="C1149" t="s">
        <v>41</v>
      </c>
      <c r="D1149" t="s">
        <v>32</v>
      </c>
      <c r="E1149">
        <v>0.87</v>
      </c>
      <c r="F1149">
        <v>48</v>
      </c>
      <c r="G1149" t="s">
        <v>28</v>
      </c>
      <c r="H1149" t="s">
        <v>57</v>
      </c>
      <c r="I1149" s="2">
        <v>17.989999999999998</v>
      </c>
      <c r="J1149">
        <v>1</v>
      </c>
      <c r="K1149" s="2">
        <f t="shared" si="34"/>
        <v>17.989999999999998</v>
      </c>
      <c r="L1149" t="s">
        <v>37</v>
      </c>
      <c r="M1149">
        <v>4</v>
      </c>
      <c r="N1149">
        <v>0.02</v>
      </c>
      <c r="O1149" t="str">
        <f t="shared" si="35"/>
        <v>0–0.2 hours</v>
      </c>
      <c r="P1149" t="s">
        <v>20</v>
      </c>
    </row>
    <row r="1150" spans="1:16" x14ac:dyDescent="0.4">
      <c r="A1150" t="s">
        <v>1191</v>
      </c>
      <c r="B1150">
        <v>39</v>
      </c>
      <c r="C1150" t="s">
        <v>15</v>
      </c>
      <c r="D1150" t="s">
        <v>32</v>
      </c>
      <c r="E1150">
        <v>2.99</v>
      </c>
      <c r="F1150">
        <v>46</v>
      </c>
      <c r="G1150" t="s">
        <v>23</v>
      </c>
      <c r="H1150" t="s">
        <v>57</v>
      </c>
      <c r="I1150" s="2">
        <v>17.989999999999998</v>
      </c>
      <c r="J1150">
        <v>1</v>
      </c>
      <c r="K1150" s="2">
        <f t="shared" si="34"/>
        <v>17.989999999999998</v>
      </c>
      <c r="L1150" t="s">
        <v>29</v>
      </c>
      <c r="M1150">
        <v>4</v>
      </c>
      <c r="N1150">
        <v>0.06</v>
      </c>
      <c r="O1150" t="str">
        <f t="shared" si="35"/>
        <v>0–0.2 hours</v>
      </c>
      <c r="P1150" t="s">
        <v>39</v>
      </c>
    </row>
    <row r="1151" spans="1:16" x14ac:dyDescent="0.4">
      <c r="A1151" t="s">
        <v>1192</v>
      </c>
      <c r="B1151">
        <v>67</v>
      </c>
      <c r="C1151" t="s">
        <v>27</v>
      </c>
      <c r="D1151" t="s">
        <v>32</v>
      </c>
      <c r="E1151">
        <v>15.71</v>
      </c>
      <c r="F1151">
        <v>20</v>
      </c>
      <c r="G1151" t="s">
        <v>70</v>
      </c>
      <c r="H1151" t="s">
        <v>24</v>
      </c>
      <c r="I1151" s="2">
        <v>17.989999999999998</v>
      </c>
      <c r="J1151">
        <v>0</v>
      </c>
      <c r="K1151" s="2">
        <f t="shared" si="34"/>
        <v>0</v>
      </c>
      <c r="L1151" t="s">
        <v>61</v>
      </c>
      <c r="M1151">
        <v>5</v>
      </c>
      <c r="N1151">
        <v>0.75</v>
      </c>
      <c r="O1151" t="str">
        <f t="shared" si="35"/>
        <v>0.6–0.8 hours</v>
      </c>
      <c r="P1151" t="s">
        <v>25</v>
      </c>
    </row>
    <row r="1152" spans="1:16" x14ac:dyDescent="0.4">
      <c r="A1152" t="s">
        <v>1193</v>
      </c>
      <c r="B1152">
        <v>55</v>
      </c>
      <c r="C1152" t="s">
        <v>41</v>
      </c>
      <c r="D1152" t="s">
        <v>22</v>
      </c>
      <c r="E1152">
        <v>55.93</v>
      </c>
      <c r="F1152">
        <v>43</v>
      </c>
      <c r="G1152" t="s">
        <v>28</v>
      </c>
      <c r="H1152" t="s">
        <v>18</v>
      </c>
      <c r="I1152" s="2">
        <v>13.99</v>
      </c>
      <c r="J1152">
        <v>0</v>
      </c>
      <c r="K1152" s="2">
        <f t="shared" si="34"/>
        <v>0</v>
      </c>
      <c r="L1152" t="s">
        <v>19</v>
      </c>
      <c r="M1152">
        <v>1</v>
      </c>
      <c r="N1152">
        <v>1.27</v>
      </c>
      <c r="O1152" t="str">
        <f t="shared" si="35"/>
        <v>1+ hours</v>
      </c>
      <c r="P1152" t="s">
        <v>20</v>
      </c>
    </row>
    <row r="1153" spans="1:16" x14ac:dyDescent="0.4">
      <c r="A1153" t="s">
        <v>1194</v>
      </c>
      <c r="B1153">
        <v>19</v>
      </c>
      <c r="C1153" t="s">
        <v>27</v>
      </c>
      <c r="D1153" t="s">
        <v>16</v>
      </c>
      <c r="E1153">
        <v>40.159999999999997</v>
      </c>
      <c r="F1153">
        <v>20</v>
      </c>
      <c r="G1153" t="s">
        <v>33</v>
      </c>
      <c r="H1153" t="s">
        <v>55</v>
      </c>
      <c r="I1153" s="2">
        <v>8.99</v>
      </c>
      <c r="J1153">
        <v>0</v>
      </c>
      <c r="K1153" s="2">
        <f t="shared" si="34"/>
        <v>0</v>
      </c>
      <c r="L1153" t="s">
        <v>43</v>
      </c>
      <c r="M1153">
        <v>3</v>
      </c>
      <c r="N1153">
        <v>1.91</v>
      </c>
      <c r="O1153" t="str">
        <f t="shared" si="35"/>
        <v>1+ hours</v>
      </c>
      <c r="P1153" t="s">
        <v>20</v>
      </c>
    </row>
    <row r="1154" spans="1:16" x14ac:dyDescent="0.4">
      <c r="A1154" t="s">
        <v>1195</v>
      </c>
      <c r="B1154">
        <v>65</v>
      </c>
      <c r="C1154" t="s">
        <v>41</v>
      </c>
      <c r="D1154" t="s">
        <v>32</v>
      </c>
      <c r="E1154">
        <v>11.56</v>
      </c>
      <c r="F1154">
        <v>18</v>
      </c>
      <c r="G1154" t="s">
        <v>49</v>
      </c>
      <c r="H1154" t="s">
        <v>55</v>
      </c>
      <c r="I1154" s="2">
        <v>17.989999999999998</v>
      </c>
      <c r="J1154">
        <v>0</v>
      </c>
      <c r="K1154" s="2">
        <f t="shared" si="34"/>
        <v>0</v>
      </c>
      <c r="L1154" t="s">
        <v>29</v>
      </c>
      <c r="M1154">
        <v>1</v>
      </c>
      <c r="N1154">
        <v>0.61</v>
      </c>
      <c r="O1154" t="str">
        <f t="shared" si="35"/>
        <v>0.6–0.8 hours</v>
      </c>
      <c r="P1154" t="s">
        <v>25</v>
      </c>
    </row>
    <row r="1155" spans="1:16" x14ac:dyDescent="0.4">
      <c r="A1155" t="s">
        <v>1196</v>
      </c>
      <c r="B1155">
        <v>34</v>
      </c>
      <c r="C1155" t="s">
        <v>27</v>
      </c>
      <c r="D1155" t="s">
        <v>16</v>
      </c>
      <c r="E1155">
        <v>7.93</v>
      </c>
      <c r="F1155">
        <v>60</v>
      </c>
      <c r="G1155" t="s">
        <v>28</v>
      </c>
      <c r="H1155" t="s">
        <v>55</v>
      </c>
      <c r="I1155" s="2">
        <v>8.99</v>
      </c>
      <c r="J1155">
        <v>1</v>
      </c>
      <c r="K1155" s="2">
        <f t="shared" ref="K1155:K1218" si="36">SUMIF(J1155,1,I1155)</f>
        <v>8.99</v>
      </c>
      <c r="L1155" t="s">
        <v>29</v>
      </c>
      <c r="M1155">
        <v>1</v>
      </c>
      <c r="N1155">
        <v>0.13</v>
      </c>
      <c r="O1155" t="str">
        <f t="shared" ref="O1155:O1218" si="37">IF(N1155&gt;1,"1+ hours",IF(N1155&lt;=0.2,"0–0.2 hours",IF(N1155&lt;=0.4,"0.2–0.4 hours",IF(N1155&lt;=0.6,"0.4–0.6 hours",IF(N1155&lt;=0.8,"0.6–0.8 hours","0.8–1 hour")))))</f>
        <v>0–0.2 hours</v>
      </c>
      <c r="P1155" t="s">
        <v>20</v>
      </c>
    </row>
    <row r="1156" spans="1:16" x14ac:dyDescent="0.4">
      <c r="A1156" t="s">
        <v>1197</v>
      </c>
      <c r="B1156">
        <v>58</v>
      </c>
      <c r="C1156" t="s">
        <v>27</v>
      </c>
      <c r="D1156" t="s">
        <v>22</v>
      </c>
      <c r="E1156">
        <v>23.72</v>
      </c>
      <c r="F1156">
        <v>34</v>
      </c>
      <c r="G1156" t="s">
        <v>70</v>
      </c>
      <c r="H1156" t="s">
        <v>57</v>
      </c>
      <c r="I1156" s="2">
        <v>13.99</v>
      </c>
      <c r="J1156">
        <v>0</v>
      </c>
      <c r="K1156" s="2">
        <f t="shared" si="36"/>
        <v>0</v>
      </c>
      <c r="L1156" t="s">
        <v>43</v>
      </c>
      <c r="M1156">
        <v>4</v>
      </c>
      <c r="N1156">
        <v>0.68</v>
      </c>
      <c r="O1156" t="str">
        <f t="shared" si="37"/>
        <v>0.6–0.8 hours</v>
      </c>
      <c r="P1156" t="s">
        <v>47</v>
      </c>
    </row>
    <row r="1157" spans="1:16" x14ac:dyDescent="0.4">
      <c r="A1157" t="s">
        <v>1198</v>
      </c>
      <c r="B1157">
        <v>25</v>
      </c>
      <c r="C1157" t="s">
        <v>27</v>
      </c>
      <c r="D1157" t="s">
        <v>32</v>
      </c>
      <c r="E1157">
        <v>17.57</v>
      </c>
      <c r="F1157">
        <v>16</v>
      </c>
      <c r="G1157" t="s">
        <v>33</v>
      </c>
      <c r="H1157" t="s">
        <v>57</v>
      </c>
      <c r="I1157" s="2">
        <v>17.989999999999998</v>
      </c>
      <c r="J1157">
        <v>0</v>
      </c>
      <c r="K1157" s="2">
        <f t="shared" si="36"/>
        <v>0</v>
      </c>
      <c r="L1157" t="s">
        <v>43</v>
      </c>
      <c r="M1157">
        <v>4</v>
      </c>
      <c r="N1157">
        <v>1.03</v>
      </c>
      <c r="O1157" t="str">
        <f t="shared" si="37"/>
        <v>1+ hours</v>
      </c>
      <c r="P1157" t="s">
        <v>47</v>
      </c>
    </row>
    <row r="1158" spans="1:16" x14ac:dyDescent="0.4">
      <c r="A1158" t="s">
        <v>1199</v>
      </c>
      <c r="B1158">
        <v>65</v>
      </c>
      <c r="C1158" t="s">
        <v>27</v>
      </c>
      <c r="D1158" t="s">
        <v>22</v>
      </c>
      <c r="E1158">
        <v>0.53</v>
      </c>
      <c r="F1158">
        <v>1</v>
      </c>
      <c r="G1158" t="s">
        <v>23</v>
      </c>
      <c r="H1158" t="s">
        <v>46</v>
      </c>
      <c r="I1158" s="2">
        <v>13.99</v>
      </c>
      <c r="J1158">
        <v>0</v>
      </c>
      <c r="K1158" s="2">
        <f t="shared" si="36"/>
        <v>0</v>
      </c>
      <c r="L1158" t="s">
        <v>61</v>
      </c>
      <c r="M1158">
        <v>5</v>
      </c>
      <c r="N1158">
        <v>0.27</v>
      </c>
      <c r="O1158" t="str">
        <f t="shared" si="37"/>
        <v>0.2–0.4 hours</v>
      </c>
      <c r="P1158" t="s">
        <v>25</v>
      </c>
    </row>
    <row r="1159" spans="1:16" x14ac:dyDescent="0.4">
      <c r="A1159" t="s">
        <v>1200</v>
      </c>
      <c r="B1159">
        <v>65</v>
      </c>
      <c r="C1159" t="s">
        <v>15</v>
      </c>
      <c r="D1159" t="s">
        <v>32</v>
      </c>
      <c r="E1159">
        <v>27.63</v>
      </c>
      <c r="F1159">
        <v>8</v>
      </c>
      <c r="G1159" t="s">
        <v>28</v>
      </c>
      <c r="H1159" t="s">
        <v>18</v>
      </c>
      <c r="I1159" s="2">
        <v>17.989999999999998</v>
      </c>
      <c r="J1159">
        <v>0</v>
      </c>
      <c r="K1159" s="2">
        <f t="shared" si="36"/>
        <v>0</v>
      </c>
      <c r="L1159" t="s">
        <v>29</v>
      </c>
      <c r="M1159">
        <v>5</v>
      </c>
      <c r="N1159">
        <v>3.07</v>
      </c>
      <c r="O1159" t="str">
        <f t="shared" si="37"/>
        <v>1+ hours</v>
      </c>
      <c r="P1159" t="s">
        <v>39</v>
      </c>
    </row>
    <row r="1160" spans="1:16" x14ac:dyDescent="0.4">
      <c r="A1160" t="s">
        <v>1201</v>
      </c>
      <c r="B1160">
        <v>28</v>
      </c>
      <c r="C1160" t="s">
        <v>41</v>
      </c>
      <c r="D1160" t="s">
        <v>32</v>
      </c>
      <c r="E1160">
        <v>50.96</v>
      </c>
      <c r="F1160">
        <v>23</v>
      </c>
      <c r="G1160" t="s">
        <v>70</v>
      </c>
      <c r="H1160" t="s">
        <v>24</v>
      </c>
      <c r="I1160" s="2">
        <v>17.989999999999998</v>
      </c>
      <c r="J1160">
        <v>0</v>
      </c>
      <c r="K1160" s="2">
        <f t="shared" si="36"/>
        <v>0</v>
      </c>
      <c r="L1160" t="s">
        <v>29</v>
      </c>
      <c r="M1160">
        <v>3</v>
      </c>
      <c r="N1160">
        <v>2.12</v>
      </c>
      <c r="O1160" t="str">
        <f t="shared" si="37"/>
        <v>1+ hours</v>
      </c>
      <c r="P1160" t="s">
        <v>34</v>
      </c>
    </row>
    <row r="1161" spans="1:16" x14ac:dyDescent="0.4">
      <c r="A1161" t="s">
        <v>1202</v>
      </c>
      <c r="B1161">
        <v>57</v>
      </c>
      <c r="C1161" t="s">
        <v>41</v>
      </c>
      <c r="D1161" t="s">
        <v>16</v>
      </c>
      <c r="E1161">
        <v>3.09</v>
      </c>
      <c r="F1161">
        <v>43</v>
      </c>
      <c r="G1161" t="s">
        <v>49</v>
      </c>
      <c r="H1161" t="s">
        <v>24</v>
      </c>
      <c r="I1161" s="2">
        <v>8.99</v>
      </c>
      <c r="J1161">
        <v>1</v>
      </c>
      <c r="K1161" s="2">
        <f t="shared" si="36"/>
        <v>8.99</v>
      </c>
      <c r="L1161" t="s">
        <v>37</v>
      </c>
      <c r="M1161">
        <v>5</v>
      </c>
      <c r="N1161">
        <v>7.0000000000000007E-2</v>
      </c>
      <c r="O1161" t="str">
        <f t="shared" si="37"/>
        <v>0–0.2 hours</v>
      </c>
      <c r="P1161" t="s">
        <v>34</v>
      </c>
    </row>
    <row r="1162" spans="1:16" x14ac:dyDescent="0.4">
      <c r="A1162" t="s">
        <v>1203</v>
      </c>
      <c r="B1162">
        <v>64</v>
      </c>
      <c r="C1162" t="s">
        <v>15</v>
      </c>
      <c r="D1162" t="s">
        <v>22</v>
      </c>
      <c r="E1162">
        <v>1.0900000000000001</v>
      </c>
      <c r="F1162">
        <v>37</v>
      </c>
      <c r="G1162" t="s">
        <v>49</v>
      </c>
      <c r="H1162" t="s">
        <v>46</v>
      </c>
      <c r="I1162" s="2">
        <v>13.99</v>
      </c>
      <c r="J1162">
        <v>1</v>
      </c>
      <c r="K1162" s="2">
        <f t="shared" si="36"/>
        <v>13.99</v>
      </c>
      <c r="L1162" t="s">
        <v>61</v>
      </c>
      <c r="M1162">
        <v>5</v>
      </c>
      <c r="N1162">
        <v>0.03</v>
      </c>
      <c r="O1162" t="str">
        <f t="shared" si="37"/>
        <v>0–0.2 hours</v>
      </c>
      <c r="P1162" t="s">
        <v>52</v>
      </c>
    </row>
    <row r="1163" spans="1:16" x14ac:dyDescent="0.4">
      <c r="A1163" t="s">
        <v>1204</v>
      </c>
      <c r="B1163">
        <v>66</v>
      </c>
      <c r="C1163" t="s">
        <v>15</v>
      </c>
      <c r="D1163" t="s">
        <v>22</v>
      </c>
      <c r="E1163">
        <v>10.25</v>
      </c>
      <c r="F1163">
        <v>28</v>
      </c>
      <c r="G1163" t="s">
        <v>70</v>
      </c>
      <c r="H1163" t="s">
        <v>55</v>
      </c>
      <c r="I1163" s="2">
        <v>13.99</v>
      </c>
      <c r="J1163">
        <v>0</v>
      </c>
      <c r="K1163" s="2">
        <f t="shared" si="36"/>
        <v>0</v>
      </c>
      <c r="L1163" t="s">
        <v>37</v>
      </c>
      <c r="M1163">
        <v>4</v>
      </c>
      <c r="N1163">
        <v>0.35</v>
      </c>
      <c r="O1163" t="str">
        <f t="shared" si="37"/>
        <v>0.2–0.4 hours</v>
      </c>
      <c r="P1163" t="s">
        <v>47</v>
      </c>
    </row>
    <row r="1164" spans="1:16" x14ac:dyDescent="0.4">
      <c r="A1164" t="s">
        <v>1205</v>
      </c>
      <c r="B1164">
        <v>29</v>
      </c>
      <c r="C1164" t="s">
        <v>41</v>
      </c>
      <c r="D1164" t="s">
        <v>32</v>
      </c>
      <c r="E1164">
        <v>17.559999999999999</v>
      </c>
      <c r="F1164">
        <v>13</v>
      </c>
      <c r="G1164" t="s">
        <v>28</v>
      </c>
      <c r="H1164" t="s">
        <v>18</v>
      </c>
      <c r="I1164" s="2">
        <v>17.989999999999998</v>
      </c>
      <c r="J1164">
        <v>0</v>
      </c>
      <c r="K1164" s="2">
        <f t="shared" si="36"/>
        <v>0</v>
      </c>
      <c r="L1164" t="s">
        <v>37</v>
      </c>
      <c r="M1164">
        <v>3</v>
      </c>
      <c r="N1164">
        <v>1.25</v>
      </c>
      <c r="O1164" t="str">
        <f t="shared" si="37"/>
        <v>1+ hours</v>
      </c>
      <c r="P1164" t="s">
        <v>39</v>
      </c>
    </row>
    <row r="1165" spans="1:16" x14ac:dyDescent="0.4">
      <c r="A1165" t="s">
        <v>1206</v>
      </c>
      <c r="B1165">
        <v>66</v>
      </c>
      <c r="C1165" t="s">
        <v>41</v>
      </c>
      <c r="D1165" t="s">
        <v>32</v>
      </c>
      <c r="E1165">
        <v>32.92</v>
      </c>
      <c r="F1165">
        <v>33</v>
      </c>
      <c r="G1165" t="s">
        <v>28</v>
      </c>
      <c r="H1165" t="s">
        <v>24</v>
      </c>
      <c r="I1165" s="2">
        <v>17.989999999999998</v>
      </c>
      <c r="J1165">
        <v>0</v>
      </c>
      <c r="K1165" s="2">
        <f t="shared" si="36"/>
        <v>0</v>
      </c>
      <c r="L1165" t="s">
        <v>37</v>
      </c>
      <c r="M1165">
        <v>4</v>
      </c>
      <c r="N1165">
        <v>0.97</v>
      </c>
      <c r="O1165" t="str">
        <f t="shared" si="37"/>
        <v>0.8–1 hour</v>
      </c>
      <c r="P1165" t="s">
        <v>30</v>
      </c>
    </row>
    <row r="1166" spans="1:16" x14ac:dyDescent="0.4">
      <c r="A1166" t="s">
        <v>1207</v>
      </c>
      <c r="B1166">
        <v>24</v>
      </c>
      <c r="C1166" t="s">
        <v>27</v>
      </c>
      <c r="D1166" t="s">
        <v>16</v>
      </c>
      <c r="E1166">
        <v>1.71</v>
      </c>
      <c r="F1166">
        <v>3</v>
      </c>
      <c r="G1166" t="s">
        <v>17</v>
      </c>
      <c r="H1166" t="s">
        <v>24</v>
      </c>
      <c r="I1166" s="2">
        <v>8.99</v>
      </c>
      <c r="J1166">
        <v>1</v>
      </c>
      <c r="K1166" s="2">
        <f t="shared" si="36"/>
        <v>8.99</v>
      </c>
      <c r="L1166" t="s">
        <v>29</v>
      </c>
      <c r="M1166">
        <v>3</v>
      </c>
      <c r="N1166">
        <v>0.43</v>
      </c>
      <c r="O1166" t="str">
        <f t="shared" si="37"/>
        <v>0.4–0.6 hours</v>
      </c>
      <c r="P1166" t="s">
        <v>25</v>
      </c>
    </row>
    <row r="1167" spans="1:16" x14ac:dyDescent="0.4">
      <c r="A1167" t="s">
        <v>1208</v>
      </c>
      <c r="B1167">
        <v>36</v>
      </c>
      <c r="C1167" t="s">
        <v>15</v>
      </c>
      <c r="D1167" t="s">
        <v>16</v>
      </c>
      <c r="E1167">
        <v>18.510000000000002</v>
      </c>
      <c r="F1167">
        <v>11</v>
      </c>
      <c r="G1167" t="s">
        <v>49</v>
      </c>
      <c r="H1167" t="s">
        <v>18</v>
      </c>
      <c r="I1167" s="2">
        <v>8.99</v>
      </c>
      <c r="J1167">
        <v>0</v>
      </c>
      <c r="K1167" s="2">
        <f t="shared" si="36"/>
        <v>0</v>
      </c>
      <c r="L1167" t="s">
        <v>37</v>
      </c>
      <c r="M1167">
        <v>3</v>
      </c>
      <c r="N1167">
        <v>1.54</v>
      </c>
      <c r="O1167" t="str">
        <f t="shared" si="37"/>
        <v>1+ hours</v>
      </c>
      <c r="P1167" t="s">
        <v>25</v>
      </c>
    </row>
    <row r="1168" spans="1:16" x14ac:dyDescent="0.4">
      <c r="A1168" t="s">
        <v>1209</v>
      </c>
      <c r="B1168">
        <v>51</v>
      </c>
      <c r="C1168" t="s">
        <v>27</v>
      </c>
      <c r="D1168" t="s">
        <v>22</v>
      </c>
      <c r="E1168">
        <v>13.68</v>
      </c>
      <c r="F1168">
        <v>3</v>
      </c>
      <c r="G1168" t="s">
        <v>17</v>
      </c>
      <c r="H1168" t="s">
        <v>55</v>
      </c>
      <c r="I1168" s="2">
        <v>13.99</v>
      </c>
      <c r="J1168">
        <v>0</v>
      </c>
      <c r="K1168" s="2">
        <f t="shared" si="36"/>
        <v>0</v>
      </c>
      <c r="L1168" t="s">
        <v>43</v>
      </c>
      <c r="M1168">
        <v>4</v>
      </c>
      <c r="N1168">
        <v>3.42</v>
      </c>
      <c r="O1168" t="str">
        <f t="shared" si="37"/>
        <v>1+ hours</v>
      </c>
      <c r="P1168" t="s">
        <v>52</v>
      </c>
    </row>
    <row r="1169" spans="1:16" x14ac:dyDescent="0.4">
      <c r="A1169" t="s">
        <v>1210</v>
      </c>
      <c r="B1169">
        <v>23</v>
      </c>
      <c r="C1169" t="s">
        <v>15</v>
      </c>
      <c r="D1169" t="s">
        <v>32</v>
      </c>
      <c r="E1169">
        <v>11.61</v>
      </c>
      <c r="F1169">
        <v>38</v>
      </c>
      <c r="G1169" t="s">
        <v>70</v>
      </c>
      <c r="H1169" t="s">
        <v>24</v>
      </c>
      <c r="I1169" s="2">
        <v>17.989999999999998</v>
      </c>
      <c r="J1169">
        <v>1</v>
      </c>
      <c r="K1169" s="2">
        <f t="shared" si="36"/>
        <v>17.989999999999998</v>
      </c>
      <c r="L1169" t="s">
        <v>61</v>
      </c>
      <c r="M1169">
        <v>3</v>
      </c>
      <c r="N1169">
        <v>0.3</v>
      </c>
      <c r="O1169" t="str">
        <f t="shared" si="37"/>
        <v>0.2–0.4 hours</v>
      </c>
      <c r="P1169" t="s">
        <v>34</v>
      </c>
    </row>
    <row r="1170" spans="1:16" x14ac:dyDescent="0.4">
      <c r="A1170" t="s">
        <v>1211</v>
      </c>
      <c r="B1170">
        <v>66</v>
      </c>
      <c r="C1170" t="s">
        <v>15</v>
      </c>
      <c r="D1170" t="s">
        <v>32</v>
      </c>
      <c r="E1170">
        <v>14.44</v>
      </c>
      <c r="F1170">
        <v>48</v>
      </c>
      <c r="G1170" t="s">
        <v>17</v>
      </c>
      <c r="H1170" t="s">
        <v>18</v>
      </c>
      <c r="I1170" s="2">
        <v>17.989999999999998</v>
      </c>
      <c r="J1170">
        <v>1</v>
      </c>
      <c r="K1170" s="2">
        <f t="shared" si="36"/>
        <v>17.989999999999998</v>
      </c>
      <c r="L1170" t="s">
        <v>29</v>
      </c>
      <c r="M1170">
        <v>3</v>
      </c>
      <c r="N1170">
        <v>0.28999999999999998</v>
      </c>
      <c r="O1170" t="str">
        <f t="shared" si="37"/>
        <v>0.2–0.4 hours</v>
      </c>
      <c r="P1170" t="s">
        <v>47</v>
      </c>
    </row>
    <row r="1171" spans="1:16" x14ac:dyDescent="0.4">
      <c r="A1171" t="s">
        <v>1212</v>
      </c>
      <c r="B1171">
        <v>29</v>
      </c>
      <c r="C1171" t="s">
        <v>15</v>
      </c>
      <c r="D1171" t="s">
        <v>22</v>
      </c>
      <c r="E1171">
        <v>8.31</v>
      </c>
      <c r="F1171">
        <v>30</v>
      </c>
      <c r="G1171" t="s">
        <v>28</v>
      </c>
      <c r="H1171" t="s">
        <v>24</v>
      </c>
      <c r="I1171" s="2">
        <v>13.99</v>
      </c>
      <c r="J1171">
        <v>0</v>
      </c>
      <c r="K1171" s="2">
        <f t="shared" si="36"/>
        <v>0</v>
      </c>
      <c r="L1171" t="s">
        <v>43</v>
      </c>
      <c r="M1171">
        <v>1</v>
      </c>
      <c r="N1171">
        <v>0.27</v>
      </c>
      <c r="O1171" t="str">
        <f t="shared" si="37"/>
        <v>0.2–0.4 hours</v>
      </c>
      <c r="P1171" t="s">
        <v>20</v>
      </c>
    </row>
    <row r="1172" spans="1:16" x14ac:dyDescent="0.4">
      <c r="A1172" t="s">
        <v>1213</v>
      </c>
      <c r="B1172">
        <v>32</v>
      </c>
      <c r="C1172" t="s">
        <v>27</v>
      </c>
      <c r="D1172" t="s">
        <v>16</v>
      </c>
      <c r="E1172">
        <v>11.48</v>
      </c>
      <c r="F1172">
        <v>34</v>
      </c>
      <c r="G1172" t="s">
        <v>33</v>
      </c>
      <c r="H1172" t="s">
        <v>57</v>
      </c>
      <c r="I1172" s="2">
        <v>8.99</v>
      </c>
      <c r="J1172">
        <v>1</v>
      </c>
      <c r="K1172" s="2">
        <f t="shared" si="36"/>
        <v>8.99</v>
      </c>
      <c r="L1172" t="s">
        <v>37</v>
      </c>
      <c r="M1172">
        <v>1</v>
      </c>
      <c r="N1172">
        <v>0.33</v>
      </c>
      <c r="O1172" t="str">
        <f t="shared" si="37"/>
        <v>0.2–0.4 hours</v>
      </c>
      <c r="P1172" t="s">
        <v>34</v>
      </c>
    </row>
    <row r="1173" spans="1:16" x14ac:dyDescent="0.4">
      <c r="A1173" t="s">
        <v>1214</v>
      </c>
      <c r="B1173">
        <v>43</v>
      </c>
      <c r="C1173" t="s">
        <v>41</v>
      </c>
      <c r="D1173" t="s">
        <v>32</v>
      </c>
      <c r="E1173">
        <v>1.99</v>
      </c>
      <c r="F1173">
        <v>17</v>
      </c>
      <c r="G1173" t="s">
        <v>17</v>
      </c>
      <c r="H1173" t="s">
        <v>18</v>
      </c>
      <c r="I1173" s="2">
        <v>17.989999999999998</v>
      </c>
      <c r="J1173">
        <v>1</v>
      </c>
      <c r="K1173" s="2">
        <f t="shared" si="36"/>
        <v>17.989999999999998</v>
      </c>
      <c r="L1173" t="s">
        <v>29</v>
      </c>
      <c r="M1173">
        <v>5</v>
      </c>
      <c r="N1173">
        <v>0.11</v>
      </c>
      <c r="O1173" t="str">
        <f t="shared" si="37"/>
        <v>0–0.2 hours</v>
      </c>
      <c r="P1173" t="s">
        <v>20</v>
      </c>
    </row>
    <row r="1174" spans="1:16" x14ac:dyDescent="0.4">
      <c r="A1174" t="s">
        <v>1215</v>
      </c>
      <c r="B1174">
        <v>61</v>
      </c>
      <c r="C1174" t="s">
        <v>15</v>
      </c>
      <c r="D1174" t="s">
        <v>22</v>
      </c>
      <c r="E1174">
        <v>8.1199999999999992</v>
      </c>
      <c r="F1174">
        <v>56</v>
      </c>
      <c r="G1174" t="s">
        <v>17</v>
      </c>
      <c r="H1174" t="s">
        <v>18</v>
      </c>
      <c r="I1174" s="2">
        <v>13.99</v>
      </c>
      <c r="J1174">
        <v>0</v>
      </c>
      <c r="K1174" s="2">
        <f t="shared" si="36"/>
        <v>0</v>
      </c>
      <c r="L1174" t="s">
        <v>61</v>
      </c>
      <c r="M1174">
        <v>4</v>
      </c>
      <c r="N1174">
        <v>0.14000000000000001</v>
      </c>
      <c r="O1174" t="str">
        <f t="shared" si="37"/>
        <v>0–0.2 hours</v>
      </c>
      <c r="P1174" t="s">
        <v>34</v>
      </c>
    </row>
    <row r="1175" spans="1:16" x14ac:dyDescent="0.4">
      <c r="A1175" t="s">
        <v>1216</v>
      </c>
      <c r="B1175">
        <v>44</v>
      </c>
      <c r="C1175" t="s">
        <v>15</v>
      </c>
      <c r="D1175" t="s">
        <v>16</v>
      </c>
      <c r="E1175">
        <v>1.4</v>
      </c>
      <c r="F1175">
        <v>58</v>
      </c>
      <c r="G1175" t="s">
        <v>28</v>
      </c>
      <c r="H1175" t="s">
        <v>18</v>
      </c>
      <c r="I1175" s="2">
        <v>8.99</v>
      </c>
      <c r="J1175">
        <v>1</v>
      </c>
      <c r="K1175" s="2">
        <f t="shared" si="36"/>
        <v>8.99</v>
      </c>
      <c r="L1175" t="s">
        <v>37</v>
      </c>
      <c r="M1175">
        <v>5</v>
      </c>
      <c r="N1175">
        <v>0.02</v>
      </c>
      <c r="O1175" t="str">
        <f t="shared" si="37"/>
        <v>0–0.2 hours</v>
      </c>
      <c r="P1175" t="s">
        <v>30</v>
      </c>
    </row>
    <row r="1176" spans="1:16" x14ac:dyDescent="0.4">
      <c r="A1176" t="s">
        <v>1217</v>
      </c>
      <c r="B1176">
        <v>35</v>
      </c>
      <c r="C1176" t="s">
        <v>41</v>
      </c>
      <c r="D1176" t="s">
        <v>22</v>
      </c>
      <c r="E1176">
        <v>4.13</v>
      </c>
      <c r="F1176">
        <v>32</v>
      </c>
      <c r="G1176" t="s">
        <v>17</v>
      </c>
      <c r="H1176" t="s">
        <v>18</v>
      </c>
      <c r="I1176" s="2">
        <v>13.99</v>
      </c>
      <c r="J1176">
        <v>1</v>
      </c>
      <c r="K1176" s="2">
        <f t="shared" si="36"/>
        <v>13.99</v>
      </c>
      <c r="L1176" t="s">
        <v>61</v>
      </c>
      <c r="M1176">
        <v>1</v>
      </c>
      <c r="N1176">
        <v>0.13</v>
      </c>
      <c r="O1176" t="str">
        <f t="shared" si="37"/>
        <v>0–0.2 hours</v>
      </c>
      <c r="P1176" t="s">
        <v>34</v>
      </c>
    </row>
    <row r="1177" spans="1:16" x14ac:dyDescent="0.4">
      <c r="A1177" t="s">
        <v>1218</v>
      </c>
      <c r="B1177">
        <v>67</v>
      </c>
      <c r="C1177" t="s">
        <v>27</v>
      </c>
      <c r="D1177" t="s">
        <v>16</v>
      </c>
      <c r="E1177">
        <v>23.72</v>
      </c>
      <c r="F1177">
        <v>49</v>
      </c>
      <c r="G1177" t="s">
        <v>33</v>
      </c>
      <c r="H1177" t="s">
        <v>55</v>
      </c>
      <c r="I1177" s="2">
        <v>8.99</v>
      </c>
      <c r="J1177">
        <v>1</v>
      </c>
      <c r="K1177" s="2">
        <f t="shared" si="36"/>
        <v>8.99</v>
      </c>
      <c r="L1177" t="s">
        <v>19</v>
      </c>
      <c r="M1177">
        <v>5</v>
      </c>
      <c r="N1177">
        <v>0.47</v>
      </c>
      <c r="O1177" t="str">
        <f t="shared" si="37"/>
        <v>0.4–0.6 hours</v>
      </c>
      <c r="P1177" t="s">
        <v>52</v>
      </c>
    </row>
    <row r="1178" spans="1:16" x14ac:dyDescent="0.4">
      <c r="A1178" t="s">
        <v>1219</v>
      </c>
      <c r="B1178">
        <v>67</v>
      </c>
      <c r="C1178" t="s">
        <v>27</v>
      </c>
      <c r="D1178" t="s">
        <v>22</v>
      </c>
      <c r="E1178">
        <v>8.1199999999999992</v>
      </c>
      <c r="F1178">
        <v>26</v>
      </c>
      <c r="G1178" t="s">
        <v>49</v>
      </c>
      <c r="H1178" t="s">
        <v>18</v>
      </c>
      <c r="I1178" s="2">
        <v>13.99</v>
      </c>
      <c r="J1178">
        <v>0</v>
      </c>
      <c r="K1178" s="2">
        <f t="shared" si="36"/>
        <v>0</v>
      </c>
      <c r="L1178" t="s">
        <v>61</v>
      </c>
      <c r="M1178">
        <v>3</v>
      </c>
      <c r="N1178">
        <v>0.3</v>
      </c>
      <c r="O1178" t="str">
        <f t="shared" si="37"/>
        <v>0.2–0.4 hours</v>
      </c>
      <c r="P1178" t="s">
        <v>30</v>
      </c>
    </row>
    <row r="1179" spans="1:16" x14ac:dyDescent="0.4">
      <c r="A1179" t="s">
        <v>1220</v>
      </c>
      <c r="B1179">
        <v>46</v>
      </c>
      <c r="C1179" t="s">
        <v>15</v>
      </c>
      <c r="D1179" t="s">
        <v>22</v>
      </c>
      <c r="E1179">
        <v>1.24</v>
      </c>
      <c r="F1179">
        <v>60</v>
      </c>
      <c r="G1179" t="s">
        <v>23</v>
      </c>
      <c r="H1179" t="s">
        <v>18</v>
      </c>
      <c r="I1179" s="2">
        <v>13.99</v>
      </c>
      <c r="J1179">
        <v>1</v>
      </c>
      <c r="K1179" s="2">
        <f t="shared" si="36"/>
        <v>13.99</v>
      </c>
      <c r="L1179" t="s">
        <v>37</v>
      </c>
      <c r="M1179">
        <v>5</v>
      </c>
      <c r="N1179">
        <v>0.02</v>
      </c>
      <c r="O1179" t="str">
        <f t="shared" si="37"/>
        <v>0–0.2 hours</v>
      </c>
      <c r="P1179" t="s">
        <v>34</v>
      </c>
    </row>
    <row r="1180" spans="1:16" x14ac:dyDescent="0.4">
      <c r="A1180" t="s">
        <v>1221</v>
      </c>
      <c r="B1180">
        <v>41</v>
      </c>
      <c r="C1180" t="s">
        <v>15</v>
      </c>
      <c r="D1180" t="s">
        <v>22</v>
      </c>
      <c r="E1180">
        <v>22.67</v>
      </c>
      <c r="F1180">
        <v>51</v>
      </c>
      <c r="G1180" t="s">
        <v>70</v>
      </c>
      <c r="H1180" t="s">
        <v>55</v>
      </c>
      <c r="I1180" s="2">
        <v>13.99</v>
      </c>
      <c r="J1180">
        <v>0</v>
      </c>
      <c r="K1180" s="2">
        <f t="shared" si="36"/>
        <v>0</v>
      </c>
      <c r="L1180" t="s">
        <v>43</v>
      </c>
      <c r="M1180">
        <v>2</v>
      </c>
      <c r="N1180">
        <v>0.44</v>
      </c>
      <c r="O1180" t="str">
        <f t="shared" si="37"/>
        <v>0.4–0.6 hours</v>
      </c>
      <c r="P1180" t="s">
        <v>52</v>
      </c>
    </row>
    <row r="1181" spans="1:16" x14ac:dyDescent="0.4">
      <c r="A1181" t="s">
        <v>1222</v>
      </c>
      <c r="B1181">
        <v>28</v>
      </c>
      <c r="C1181" t="s">
        <v>27</v>
      </c>
      <c r="D1181" t="s">
        <v>16</v>
      </c>
      <c r="E1181">
        <v>13.35</v>
      </c>
      <c r="F1181">
        <v>17</v>
      </c>
      <c r="G1181" t="s">
        <v>70</v>
      </c>
      <c r="H1181" t="s">
        <v>57</v>
      </c>
      <c r="I1181" s="2">
        <v>8.99</v>
      </c>
      <c r="J1181">
        <v>0</v>
      </c>
      <c r="K1181" s="2">
        <f t="shared" si="36"/>
        <v>0</v>
      </c>
      <c r="L1181" t="s">
        <v>43</v>
      </c>
      <c r="M1181">
        <v>1</v>
      </c>
      <c r="N1181">
        <v>0.74</v>
      </c>
      <c r="O1181" t="str">
        <f t="shared" si="37"/>
        <v>0.6–0.8 hours</v>
      </c>
      <c r="P1181" t="s">
        <v>47</v>
      </c>
    </row>
    <row r="1182" spans="1:16" x14ac:dyDescent="0.4">
      <c r="A1182" t="s">
        <v>1223</v>
      </c>
      <c r="B1182">
        <v>48</v>
      </c>
      <c r="C1182" t="s">
        <v>15</v>
      </c>
      <c r="D1182" t="s">
        <v>32</v>
      </c>
      <c r="E1182">
        <v>25.07</v>
      </c>
      <c r="F1182">
        <v>29</v>
      </c>
      <c r="G1182" t="s">
        <v>70</v>
      </c>
      <c r="H1182" t="s">
        <v>57</v>
      </c>
      <c r="I1182" s="2">
        <v>17.989999999999998</v>
      </c>
      <c r="J1182">
        <v>0</v>
      </c>
      <c r="K1182" s="2">
        <f t="shared" si="36"/>
        <v>0</v>
      </c>
      <c r="L1182" t="s">
        <v>61</v>
      </c>
      <c r="M1182">
        <v>4</v>
      </c>
      <c r="N1182">
        <v>0.84</v>
      </c>
      <c r="O1182" t="str">
        <f t="shared" si="37"/>
        <v>0.8–1 hour</v>
      </c>
      <c r="P1182" t="s">
        <v>30</v>
      </c>
    </row>
    <row r="1183" spans="1:16" x14ac:dyDescent="0.4">
      <c r="A1183" t="s">
        <v>1224</v>
      </c>
      <c r="B1183">
        <v>62</v>
      </c>
      <c r="C1183" t="s">
        <v>27</v>
      </c>
      <c r="D1183" t="s">
        <v>22</v>
      </c>
      <c r="E1183">
        <v>5.47</v>
      </c>
      <c r="F1183">
        <v>31</v>
      </c>
      <c r="G1183" t="s">
        <v>49</v>
      </c>
      <c r="H1183" t="s">
        <v>18</v>
      </c>
      <c r="I1183" s="2">
        <v>13.99</v>
      </c>
      <c r="J1183">
        <v>1</v>
      </c>
      <c r="K1183" s="2">
        <f t="shared" si="36"/>
        <v>13.99</v>
      </c>
      <c r="L1183" t="s">
        <v>37</v>
      </c>
      <c r="M1183">
        <v>1</v>
      </c>
      <c r="N1183">
        <v>0.17</v>
      </c>
      <c r="O1183" t="str">
        <f t="shared" si="37"/>
        <v>0–0.2 hours</v>
      </c>
      <c r="P1183" t="s">
        <v>25</v>
      </c>
    </row>
    <row r="1184" spans="1:16" x14ac:dyDescent="0.4">
      <c r="A1184" t="s">
        <v>1225</v>
      </c>
      <c r="B1184">
        <v>29</v>
      </c>
      <c r="C1184" t="s">
        <v>41</v>
      </c>
      <c r="D1184" t="s">
        <v>16</v>
      </c>
      <c r="E1184">
        <v>11.65</v>
      </c>
      <c r="F1184">
        <v>22</v>
      </c>
      <c r="G1184" t="s">
        <v>28</v>
      </c>
      <c r="H1184" t="s">
        <v>46</v>
      </c>
      <c r="I1184" s="2">
        <v>8.99</v>
      </c>
      <c r="J1184">
        <v>0</v>
      </c>
      <c r="K1184" s="2">
        <f t="shared" si="36"/>
        <v>0</v>
      </c>
      <c r="L1184" t="s">
        <v>43</v>
      </c>
      <c r="M1184">
        <v>2</v>
      </c>
      <c r="N1184">
        <v>0.51</v>
      </c>
      <c r="O1184" t="str">
        <f t="shared" si="37"/>
        <v>0.4–0.6 hours</v>
      </c>
      <c r="P1184" t="s">
        <v>47</v>
      </c>
    </row>
    <row r="1185" spans="1:16" x14ac:dyDescent="0.4">
      <c r="A1185" t="s">
        <v>1226</v>
      </c>
      <c r="B1185">
        <v>40</v>
      </c>
      <c r="C1185" t="s">
        <v>27</v>
      </c>
      <c r="D1185" t="s">
        <v>16</v>
      </c>
      <c r="E1185">
        <v>1.79</v>
      </c>
      <c r="F1185">
        <v>14</v>
      </c>
      <c r="G1185" t="s">
        <v>49</v>
      </c>
      <c r="H1185" t="s">
        <v>46</v>
      </c>
      <c r="I1185" s="2">
        <v>8.99</v>
      </c>
      <c r="J1185">
        <v>1</v>
      </c>
      <c r="K1185" s="2">
        <f t="shared" si="36"/>
        <v>8.99</v>
      </c>
      <c r="L1185" t="s">
        <v>43</v>
      </c>
      <c r="M1185">
        <v>1</v>
      </c>
      <c r="N1185">
        <v>0.12</v>
      </c>
      <c r="O1185" t="str">
        <f t="shared" si="37"/>
        <v>0–0.2 hours</v>
      </c>
      <c r="P1185" t="s">
        <v>52</v>
      </c>
    </row>
    <row r="1186" spans="1:16" x14ac:dyDescent="0.4">
      <c r="A1186" t="s">
        <v>1227</v>
      </c>
      <c r="B1186">
        <v>35</v>
      </c>
      <c r="C1186" t="s">
        <v>27</v>
      </c>
      <c r="D1186" t="s">
        <v>16</v>
      </c>
      <c r="E1186">
        <v>5.61</v>
      </c>
      <c r="F1186">
        <v>18</v>
      </c>
      <c r="G1186" t="s">
        <v>23</v>
      </c>
      <c r="H1186" t="s">
        <v>24</v>
      </c>
      <c r="I1186" s="2">
        <v>8.99</v>
      </c>
      <c r="J1186">
        <v>1</v>
      </c>
      <c r="K1186" s="2">
        <f t="shared" si="36"/>
        <v>8.99</v>
      </c>
      <c r="L1186" t="s">
        <v>29</v>
      </c>
      <c r="M1186">
        <v>2</v>
      </c>
      <c r="N1186">
        <v>0.3</v>
      </c>
      <c r="O1186" t="str">
        <f t="shared" si="37"/>
        <v>0.2–0.4 hours</v>
      </c>
      <c r="P1186" t="s">
        <v>34</v>
      </c>
    </row>
    <row r="1187" spans="1:16" x14ac:dyDescent="0.4">
      <c r="A1187" t="s">
        <v>1228</v>
      </c>
      <c r="B1187">
        <v>35</v>
      </c>
      <c r="C1187" t="s">
        <v>27</v>
      </c>
      <c r="D1187" t="s">
        <v>22</v>
      </c>
      <c r="E1187">
        <v>3.26</v>
      </c>
      <c r="F1187">
        <v>39</v>
      </c>
      <c r="G1187" t="s">
        <v>23</v>
      </c>
      <c r="H1187" t="s">
        <v>57</v>
      </c>
      <c r="I1187" s="2">
        <v>13.99</v>
      </c>
      <c r="J1187">
        <v>1</v>
      </c>
      <c r="K1187" s="2">
        <f t="shared" si="36"/>
        <v>13.99</v>
      </c>
      <c r="L1187" t="s">
        <v>37</v>
      </c>
      <c r="M1187">
        <v>2</v>
      </c>
      <c r="N1187">
        <v>0.08</v>
      </c>
      <c r="O1187" t="str">
        <f t="shared" si="37"/>
        <v>0–0.2 hours</v>
      </c>
      <c r="P1187" t="s">
        <v>30</v>
      </c>
    </row>
    <row r="1188" spans="1:16" x14ac:dyDescent="0.4">
      <c r="A1188" t="s">
        <v>1229</v>
      </c>
      <c r="B1188">
        <v>42</v>
      </c>
      <c r="C1188" t="s">
        <v>27</v>
      </c>
      <c r="D1188" t="s">
        <v>22</v>
      </c>
      <c r="E1188">
        <v>3.67</v>
      </c>
      <c r="F1188">
        <v>13</v>
      </c>
      <c r="G1188" t="s">
        <v>33</v>
      </c>
      <c r="H1188" t="s">
        <v>18</v>
      </c>
      <c r="I1188" s="2">
        <v>13.99</v>
      </c>
      <c r="J1188">
        <v>1</v>
      </c>
      <c r="K1188" s="2">
        <f t="shared" si="36"/>
        <v>13.99</v>
      </c>
      <c r="L1188" t="s">
        <v>37</v>
      </c>
      <c r="M1188">
        <v>3</v>
      </c>
      <c r="N1188">
        <v>0.26</v>
      </c>
      <c r="O1188" t="str">
        <f t="shared" si="37"/>
        <v>0.2–0.4 hours</v>
      </c>
      <c r="P1188" t="s">
        <v>20</v>
      </c>
    </row>
    <row r="1189" spans="1:16" x14ac:dyDescent="0.4">
      <c r="A1189" t="s">
        <v>1230</v>
      </c>
      <c r="B1189">
        <v>24</v>
      </c>
      <c r="C1189" t="s">
        <v>41</v>
      </c>
      <c r="D1189" t="s">
        <v>32</v>
      </c>
      <c r="E1189">
        <v>1.1200000000000001</v>
      </c>
      <c r="F1189">
        <v>55</v>
      </c>
      <c r="G1189" t="s">
        <v>28</v>
      </c>
      <c r="H1189" t="s">
        <v>57</v>
      </c>
      <c r="I1189" s="2">
        <v>17.989999999999998</v>
      </c>
      <c r="J1189">
        <v>1</v>
      </c>
      <c r="K1189" s="2">
        <f t="shared" si="36"/>
        <v>17.989999999999998</v>
      </c>
      <c r="L1189" t="s">
        <v>29</v>
      </c>
      <c r="M1189">
        <v>5</v>
      </c>
      <c r="N1189">
        <v>0.02</v>
      </c>
      <c r="O1189" t="str">
        <f t="shared" si="37"/>
        <v>0–0.2 hours</v>
      </c>
      <c r="P1189" t="s">
        <v>52</v>
      </c>
    </row>
    <row r="1190" spans="1:16" x14ac:dyDescent="0.4">
      <c r="A1190" t="s">
        <v>1231</v>
      </c>
      <c r="B1190">
        <v>38</v>
      </c>
      <c r="C1190" t="s">
        <v>27</v>
      </c>
      <c r="D1190" t="s">
        <v>32</v>
      </c>
      <c r="E1190">
        <v>15.94</v>
      </c>
      <c r="F1190">
        <v>54</v>
      </c>
      <c r="G1190" t="s">
        <v>33</v>
      </c>
      <c r="H1190" t="s">
        <v>55</v>
      </c>
      <c r="I1190" s="2">
        <v>17.989999999999998</v>
      </c>
      <c r="J1190">
        <v>1</v>
      </c>
      <c r="K1190" s="2">
        <f t="shared" si="36"/>
        <v>17.989999999999998</v>
      </c>
      <c r="L1190" t="s">
        <v>29</v>
      </c>
      <c r="M1190">
        <v>2</v>
      </c>
      <c r="N1190">
        <v>0.28999999999999998</v>
      </c>
      <c r="O1190" t="str">
        <f t="shared" si="37"/>
        <v>0.2–0.4 hours</v>
      </c>
      <c r="P1190" t="s">
        <v>20</v>
      </c>
    </row>
    <row r="1191" spans="1:16" x14ac:dyDescent="0.4">
      <c r="A1191" t="s">
        <v>1232</v>
      </c>
      <c r="B1191">
        <v>26</v>
      </c>
      <c r="C1191" t="s">
        <v>15</v>
      </c>
      <c r="D1191" t="s">
        <v>32</v>
      </c>
      <c r="E1191">
        <v>8.32</v>
      </c>
      <c r="F1191">
        <v>48</v>
      </c>
      <c r="G1191" t="s">
        <v>17</v>
      </c>
      <c r="H1191" t="s">
        <v>46</v>
      </c>
      <c r="I1191" s="2">
        <v>17.989999999999998</v>
      </c>
      <c r="J1191">
        <v>1</v>
      </c>
      <c r="K1191" s="2">
        <f t="shared" si="36"/>
        <v>17.989999999999998</v>
      </c>
      <c r="L1191" t="s">
        <v>29</v>
      </c>
      <c r="M1191">
        <v>5</v>
      </c>
      <c r="N1191">
        <v>0.17</v>
      </c>
      <c r="O1191" t="str">
        <f t="shared" si="37"/>
        <v>0–0.2 hours</v>
      </c>
      <c r="P1191" t="s">
        <v>25</v>
      </c>
    </row>
    <row r="1192" spans="1:16" x14ac:dyDescent="0.4">
      <c r="A1192" t="s">
        <v>1233</v>
      </c>
      <c r="B1192">
        <v>65</v>
      </c>
      <c r="C1192" t="s">
        <v>27</v>
      </c>
      <c r="D1192" t="s">
        <v>32</v>
      </c>
      <c r="E1192">
        <v>22.68</v>
      </c>
      <c r="F1192">
        <v>40</v>
      </c>
      <c r="G1192" t="s">
        <v>23</v>
      </c>
      <c r="H1192" t="s">
        <v>57</v>
      </c>
      <c r="I1192" s="2">
        <v>17.989999999999998</v>
      </c>
      <c r="J1192">
        <v>0</v>
      </c>
      <c r="K1192" s="2">
        <f t="shared" si="36"/>
        <v>0</v>
      </c>
      <c r="L1192" t="s">
        <v>29</v>
      </c>
      <c r="M1192">
        <v>2</v>
      </c>
      <c r="N1192">
        <v>0.55000000000000004</v>
      </c>
      <c r="O1192" t="str">
        <f t="shared" si="37"/>
        <v>0.4–0.6 hours</v>
      </c>
      <c r="P1192" t="s">
        <v>34</v>
      </c>
    </row>
    <row r="1193" spans="1:16" x14ac:dyDescent="0.4">
      <c r="A1193" t="s">
        <v>1234</v>
      </c>
      <c r="B1193">
        <v>24</v>
      </c>
      <c r="C1193" t="s">
        <v>41</v>
      </c>
      <c r="D1193" t="s">
        <v>32</v>
      </c>
      <c r="E1193">
        <v>0.57999999999999996</v>
      </c>
      <c r="F1193">
        <v>57</v>
      </c>
      <c r="G1193" t="s">
        <v>23</v>
      </c>
      <c r="H1193" t="s">
        <v>57</v>
      </c>
      <c r="I1193" s="2">
        <v>17.989999999999998</v>
      </c>
      <c r="J1193">
        <v>1</v>
      </c>
      <c r="K1193" s="2">
        <f t="shared" si="36"/>
        <v>17.989999999999998</v>
      </c>
      <c r="L1193" t="s">
        <v>43</v>
      </c>
      <c r="M1193">
        <v>3</v>
      </c>
      <c r="N1193">
        <v>0.01</v>
      </c>
      <c r="O1193" t="str">
        <f t="shared" si="37"/>
        <v>0–0.2 hours</v>
      </c>
      <c r="P1193" t="s">
        <v>25</v>
      </c>
    </row>
    <row r="1194" spans="1:16" x14ac:dyDescent="0.4">
      <c r="A1194" t="s">
        <v>1235</v>
      </c>
      <c r="B1194">
        <v>56</v>
      </c>
      <c r="C1194" t="s">
        <v>15</v>
      </c>
      <c r="D1194" t="s">
        <v>16</v>
      </c>
      <c r="E1194">
        <v>11.81</v>
      </c>
      <c r="F1194">
        <v>14</v>
      </c>
      <c r="G1194" t="s">
        <v>28</v>
      </c>
      <c r="H1194" t="s">
        <v>46</v>
      </c>
      <c r="I1194" s="2">
        <v>8.99</v>
      </c>
      <c r="J1194">
        <v>0</v>
      </c>
      <c r="K1194" s="2">
        <f t="shared" si="36"/>
        <v>0</v>
      </c>
      <c r="L1194" t="s">
        <v>43</v>
      </c>
      <c r="M1194">
        <v>2</v>
      </c>
      <c r="N1194">
        <v>0.79</v>
      </c>
      <c r="O1194" t="str">
        <f t="shared" si="37"/>
        <v>0.6–0.8 hours</v>
      </c>
      <c r="P1194" t="s">
        <v>30</v>
      </c>
    </row>
    <row r="1195" spans="1:16" x14ac:dyDescent="0.4">
      <c r="A1195" t="s">
        <v>1236</v>
      </c>
      <c r="B1195">
        <v>34</v>
      </c>
      <c r="C1195" t="s">
        <v>27</v>
      </c>
      <c r="D1195" t="s">
        <v>16</v>
      </c>
      <c r="E1195">
        <v>0.95</v>
      </c>
      <c r="F1195">
        <v>44</v>
      </c>
      <c r="G1195" t="s">
        <v>28</v>
      </c>
      <c r="H1195" t="s">
        <v>24</v>
      </c>
      <c r="I1195" s="2">
        <v>8.99</v>
      </c>
      <c r="J1195">
        <v>1</v>
      </c>
      <c r="K1195" s="2">
        <f t="shared" si="36"/>
        <v>8.99</v>
      </c>
      <c r="L1195" t="s">
        <v>43</v>
      </c>
      <c r="M1195">
        <v>4</v>
      </c>
      <c r="N1195">
        <v>0.02</v>
      </c>
      <c r="O1195" t="str">
        <f t="shared" si="37"/>
        <v>0–0.2 hours</v>
      </c>
      <c r="P1195" t="s">
        <v>20</v>
      </c>
    </row>
    <row r="1196" spans="1:16" x14ac:dyDescent="0.4">
      <c r="A1196" t="s">
        <v>1237</v>
      </c>
      <c r="B1196">
        <v>26</v>
      </c>
      <c r="C1196" t="s">
        <v>27</v>
      </c>
      <c r="D1196" t="s">
        <v>32</v>
      </c>
      <c r="E1196">
        <v>0.67</v>
      </c>
      <c r="F1196">
        <v>8</v>
      </c>
      <c r="G1196" t="s">
        <v>28</v>
      </c>
      <c r="H1196" t="s">
        <v>46</v>
      </c>
      <c r="I1196" s="2">
        <v>17.989999999999998</v>
      </c>
      <c r="J1196">
        <v>0</v>
      </c>
      <c r="K1196" s="2">
        <f t="shared" si="36"/>
        <v>0</v>
      </c>
      <c r="L1196" t="s">
        <v>37</v>
      </c>
      <c r="M1196">
        <v>4</v>
      </c>
      <c r="N1196">
        <v>7.0000000000000007E-2</v>
      </c>
      <c r="O1196" t="str">
        <f t="shared" si="37"/>
        <v>0–0.2 hours</v>
      </c>
      <c r="P1196" t="s">
        <v>25</v>
      </c>
    </row>
    <row r="1197" spans="1:16" x14ac:dyDescent="0.4">
      <c r="A1197" t="s">
        <v>1238</v>
      </c>
      <c r="B1197">
        <v>56</v>
      </c>
      <c r="C1197" t="s">
        <v>15</v>
      </c>
      <c r="D1197" t="s">
        <v>32</v>
      </c>
      <c r="E1197">
        <v>3.67</v>
      </c>
      <c r="F1197">
        <v>19</v>
      </c>
      <c r="G1197" t="s">
        <v>28</v>
      </c>
      <c r="H1197" t="s">
        <v>18</v>
      </c>
      <c r="I1197" s="2">
        <v>17.989999999999998</v>
      </c>
      <c r="J1197">
        <v>0</v>
      </c>
      <c r="K1197" s="2">
        <f t="shared" si="36"/>
        <v>0</v>
      </c>
      <c r="L1197" t="s">
        <v>37</v>
      </c>
      <c r="M1197">
        <v>5</v>
      </c>
      <c r="N1197">
        <v>0.18</v>
      </c>
      <c r="O1197" t="str">
        <f t="shared" si="37"/>
        <v>0–0.2 hours</v>
      </c>
      <c r="P1197" t="s">
        <v>20</v>
      </c>
    </row>
    <row r="1198" spans="1:16" x14ac:dyDescent="0.4">
      <c r="A1198" t="s">
        <v>1239</v>
      </c>
      <c r="B1198">
        <v>57</v>
      </c>
      <c r="C1198" t="s">
        <v>27</v>
      </c>
      <c r="D1198" t="s">
        <v>22</v>
      </c>
      <c r="E1198">
        <v>16.97</v>
      </c>
      <c r="F1198">
        <v>55</v>
      </c>
      <c r="G1198" t="s">
        <v>28</v>
      </c>
      <c r="H1198" t="s">
        <v>18</v>
      </c>
      <c r="I1198" s="2">
        <v>13.99</v>
      </c>
      <c r="J1198">
        <v>1</v>
      </c>
      <c r="K1198" s="2">
        <f t="shared" si="36"/>
        <v>13.99</v>
      </c>
      <c r="L1198" t="s">
        <v>19</v>
      </c>
      <c r="M1198">
        <v>4</v>
      </c>
      <c r="N1198">
        <v>0.3</v>
      </c>
      <c r="O1198" t="str">
        <f t="shared" si="37"/>
        <v>0.2–0.4 hours</v>
      </c>
      <c r="P1198" t="s">
        <v>47</v>
      </c>
    </row>
    <row r="1199" spans="1:16" x14ac:dyDescent="0.4">
      <c r="A1199" t="s">
        <v>1240</v>
      </c>
      <c r="B1199">
        <v>54</v>
      </c>
      <c r="C1199" t="s">
        <v>15</v>
      </c>
      <c r="D1199" t="s">
        <v>22</v>
      </c>
      <c r="E1199">
        <v>8.61</v>
      </c>
      <c r="F1199">
        <v>11</v>
      </c>
      <c r="G1199" t="s">
        <v>17</v>
      </c>
      <c r="H1199" t="s">
        <v>57</v>
      </c>
      <c r="I1199" s="2">
        <v>13.99</v>
      </c>
      <c r="J1199">
        <v>0</v>
      </c>
      <c r="K1199" s="2">
        <f t="shared" si="36"/>
        <v>0</v>
      </c>
      <c r="L1199" t="s">
        <v>19</v>
      </c>
      <c r="M1199">
        <v>3</v>
      </c>
      <c r="N1199">
        <v>0.72</v>
      </c>
      <c r="O1199" t="str">
        <f t="shared" si="37"/>
        <v>0.6–0.8 hours</v>
      </c>
      <c r="P1199" t="s">
        <v>39</v>
      </c>
    </row>
    <row r="1200" spans="1:16" x14ac:dyDescent="0.4">
      <c r="A1200" t="s">
        <v>1241</v>
      </c>
      <c r="B1200">
        <v>48</v>
      </c>
      <c r="C1200" t="s">
        <v>41</v>
      </c>
      <c r="D1200" t="s">
        <v>32</v>
      </c>
      <c r="E1200">
        <v>4.1500000000000004</v>
      </c>
      <c r="F1200">
        <v>53</v>
      </c>
      <c r="G1200" t="s">
        <v>17</v>
      </c>
      <c r="H1200" t="s">
        <v>46</v>
      </c>
      <c r="I1200" s="2">
        <v>17.989999999999998</v>
      </c>
      <c r="J1200">
        <v>1</v>
      </c>
      <c r="K1200" s="2">
        <f t="shared" si="36"/>
        <v>17.989999999999998</v>
      </c>
      <c r="L1200" t="s">
        <v>61</v>
      </c>
      <c r="M1200">
        <v>4</v>
      </c>
      <c r="N1200">
        <v>0.08</v>
      </c>
      <c r="O1200" t="str">
        <f t="shared" si="37"/>
        <v>0–0.2 hours</v>
      </c>
      <c r="P1200" t="s">
        <v>52</v>
      </c>
    </row>
    <row r="1201" spans="1:16" x14ac:dyDescent="0.4">
      <c r="A1201" t="s">
        <v>1242</v>
      </c>
      <c r="B1201">
        <v>38</v>
      </c>
      <c r="C1201" t="s">
        <v>27</v>
      </c>
      <c r="D1201" t="s">
        <v>16</v>
      </c>
      <c r="E1201">
        <v>6.63</v>
      </c>
      <c r="F1201">
        <v>24</v>
      </c>
      <c r="G1201" t="s">
        <v>23</v>
      </c>
      <c r="H1201" t="s">
        <v>24</v>
      </c>
      <c r="I1201" s="2">
        <v>8.99</v>
      </c>
      <c r="J1201">
        <v>1</v>
      </c>
      <c r="K1201" s="2">
        <f t="shared" si="36"/>
        <v>8.99</v>
      </c>
      <c r="L1201" t="s">
        <v>29</v>
      </c>
      <c r="M1201">
        <v>3</v>
      </c>
      <c r="N1201">
        <v>0.27</v>
      </c>
      <c r="O1201" t="str">
        <f t="shared" si="37"/>
        <v>0.2–0.4 hours</v>
      </c>
      <c r="P1201" t="s">
        <v>30</v>
      </c>
    </row>
    <row r="1202" spans="1:16" x14ac:dyDescent="0.4">
      <c r="A1202" t="s">
        <v>1243</v>
      </c>
      <c r="B1202">
        <v>70</v>
      </c>
      <c r="C1202" t="s">
        <v>27</v>
      </c>
      <c r="D1202" t="s">
        <v>16</v>
      </c>
      <c r="E1202">
        <v>13.01</v>
      </c>
      <c r="F1202">
        <v>32</v>
      </c>
      <c r="G1202" t="s">
        <v>28</v>
      </c>
      <c r="H1202" t="s">
        <v>18</v>
      </c>
      <c r="I1202" s="2">
        <v>8.99</v>
      </c>
      <c r="J1202">
        <v>1</v>
      </c>
      <c r="K1202" s="2">
        <f t="shared" si="36"/>
        <v>8.99</v>
      </c>
      <c r="L1202" t="s">
        <v>29</v>
      </c>
      <c r="M1202">
        <v>2</v>
      </c>
      <c r="N1202">
        <v>0.39</v>
      </c>
      <c r="O1202" t="str">
        <f t="shared" si="37"/>
        <v>0.2–0.4 hours</v>
      </c>
      <c r="P1202" t="s">
        <v>47</v>
      </c>
    </row>
    <row r="1203" spans="1:16" x14ac:dyDescent="0.4">
      <c r="A1203" t="s">
        <v>1244</v>
      </c>
      <c r="B1203">
        <v>53</v>
      </c>
      <c r="C1203" t="s">
        <v>27</v>
      </c>
      <c r="D1203" t="s">
        <v>22</v>
      </c>
      <c r="E1203">
        <v>20.82</v>
      </c>
      <c r="F1203">
        <v>13</v>
      </c>
      <c r="G1203" t="s">
        <v>28</v>
      </c>
      <c r="H1203" t="s">
        <v>46</v>
      </c>
      <c r="I1203" s="2">
        <v>13.99</v>
      </c>
      <c r="J1203">
        <v>0</v>
      </c>
      <c r="K1203" s="2">
        <f t="shared" si="36"/>
        <v>0</v>
      </c>
      <c r="L1203" t="s">
        <v>61</v>
      </c>
      <c r="M1203">
        <v>2</v>
      </c>
      <c r="N1203">
        <v>1.49</v>
      </c>
      <c r="O1203" t="str">
        <f t="shared" si="37"/>
        <v>1+ hours</v>
      </c>
      <c r="P1203" t="s">
        <v>39</v>
      </c>
    </row>
    <row r="1204" spans="1:16" x14ac:dyDescent="0.4">
      <c r="A1204" t="s">
        <v>1245</v>
      </c>
      <c r="B1204">
        <v>48</v>
      </c>
      <c r="C1204" t="s">
        <v>27</v>
      </c>
      <c r="D1204" t="s">
        <v>32</v>
      </c>
      <c r="E1204">
        <v>5.85</v>
      </c>
      <c r="F1204">
        <v>3</v>
      </c>
      <c r="G1204" t="s">
        <v>70</v>
      </c>
      <c r="H1204" t="s">
        <v>57</v>
      </c>
      <c r="I1204" s="2">
        <v>17.989999999999998</v>
      </c>
      <c r="J1204">
        <v>0</v>
      </c>
      <c r="K1204" s="2">
        <f t="shared" si="36"/>
        <v>0</v>
      </c>
      <c r="L1204" t="s">
        <v>61</v>
      </c>
      <c r="M1204">
        <v>4</v>
      </c>
      <c r="N1204">
        <v>1.46</v>
      </c>
      <c r="O1204" t="str">
        <f t="shared" si="37"/>
        <v>1+ hours</v>
      </c>
      <c r="P1204" t="s">
        <v>20</v>
      </c>
    </row>
    <row r="1205" spans="1:16" x14ac:dyDescent="0.4">
      <c r="A1205" t="s">
        <v>1246</v>
      </c>
      <c r="B1205">
        <v>63</v>
      </c>
      <c r="C1205" t="s">
        <v>27</v>
      </c>
      <c r="D1205" t="s">
        <v>16</v>
      </c>
      <c r="E1205">
        <v>8.83</v>
      </c>
      <c r="F1205">
        <v>13</v>
      </c>
      <c r="G1205" t="s">
        <v>28</v>
      </c>
      <c r="H1205" t="s">
        <v>46</v>
      </c>
      <c r="I1205" s="2">
        <v>8.99</v>
      </c>
      <c r="J1205">
        <v>0</v>
      </c>
      <c r="K1205" s="2">
        <f t="shared" si="36"/>
        <v>0</v>
      </c>
      <c r="L1205" t="s">
        <v>29</v>
      </c>
      <c r="M1205">
        <v>4</v>
      </c>
      <c r="N1205">
        <v>0.63</v>
      </c>
      <c r="O1205" t="str">
        <f t="shared" si="37"/>
        <v>0.6–0.8 hours</v>
      </c>
      <c r="P1205" t="s">
        <v>25</v>
      </c>
    </row>
    <row r="1206" spans="1:16" x14ac:dyDescent="0.4">
      <c r="A1206" t="s">
        <v>1247</v>
      </c>
      <c r="B1206">
        <v>67</v>
      </c>
      <c r="C1206" t="s">
        <v>27</v>
      </c>
      <c r="D1206" t="s">
        <v>32</v>
      </c>
      <c r="E1206">
        <v>31.33</v>
      </c>
      <c r="F1206">
        <v>29</v>
      </c>
      <c r="G1206" t="s">
        <v>70</v>
      </c>
      <c r="H1206" t="s">
        <v>24</v>
      </c>
      <c r="I1206" s="2">
        <v>17.989999999999998</v>
      </c>
      <c r="J1206">
        <v>0</v>
      </c>
      <c r="K1206" s="2">
        <f t="shared" si="36"/>
        <v>0</v>
      </c>
      <c r="L1206" t="s">
        <v>19</v>
      </c>
      <c r="M1206">
        <v>2</v>
      </c>
      <c r="N1206">
        <v>1.04</v>
      </c>
      <c r="O1206" t="str">
        <f t="shared" si="37"/>
        <v>1+ hours</v>
      </c>
      <c r="P1206" t="s">
        <v>34</v>
      </c>
    </row>
    <row r="1207" spans="1:16" x14ac:dyDescent="0.4">
      <c r="A1207" t="s">
        <v>1248</v>
      </c>
      <c r="B1207">
        <v>54</v>
      </c>
      <c r="C1207" t="s">
        <v>15</v>
      </c>
      <c r="D1207" t="s">
        <v>16</v>
      </c>
      <c r="E1207">
        <v>0.5</v>
      </c>
      <c r="F1207">
        <v>54</v>
      </c>
      <c r="G1207" t="s">
        <v>28</v>
      </c>
      <c r="H1207" t="s">
        <v>55</v>
      </c>
      <c r="I1207" s="2">
        <v>8.99</v>
      </c>
      <c r="J1207">
        <v>1</v>
      </c>
      <c r="K1207" s="2">
        <f t="shared" si="36"/>
        <v>8.99</v>
      </c>
      <c r="L1207" t="s">
        <v>29</v>
      </c>
      <c r="M1207">
        <v>1</v>
      </c>
      <c r="N1207">
        <v>0.01</v>
      </c>
      <c r="O1207" t="str">
        <f t="shared" si="37"/>
        <v>0–0.2 hours</v>
      </c>
      <c r="P1207" t="s">
        <v>47</v>
      </c>
    </row>
    <row r="1208" spans="1:16" x14ac:dyDescent="0.4">
      <c r="A1208" s="1" t="s">
        <v>1249</v>
      </c>
      <c r="B1208">
        <v>59</v>
      </c>
      <c r="C1208" t="s">
        <v>41</v>
      </c>
      <c r="D1208" t="s">
        <v>32</v>
      </c>
      <c r="E1208">
        <v>8.39</v>
      </c>
      <c r="F1208">
        <v>59</v>
      </c>
      <c r="G1208" t="s">
        <v>17</v>
      </c>
      <c r="H1208" t="s">
        <v>24</v>
      </c>
      <c r="I1208" s="2">
        <v>17.989999999999998</v>
      </c>
      <c r="J1208">
        <v>1</v>
      </c>
      <c r="K1208" s="2">
        <f t="shared" si="36"/>
        <v>17.989999999999998</v>
      </c>
      <c r="L1208" t="s">
        <v>37</v>
      </c>
      <c r="M1208">
        <v>3</v>
      </c>
      <c r="N1208">
        <v>0.14000000000000001</v>
      </c>
      <c r="O1208" t="str">
        <f t="shared" si="37"/>
        <v>0–0.2 hours</v>
      </c>
      <c r="P1208" t="s">
        <v>34</v>
      </c>
    </row>
    <row r="1209" spans="1:16" x14ac:dyDescent="0.4">
      <c r="A1209" t="s">
        <v>1250</v>
      </c>
      <c r="B1209">
        <v>22</v>
      </c>
      <c r="C1209" t="s">
        <v>15</v>
      </c>
      <c r="D1209" t="s">
        <v>16</v>
      </c>
      <c r="E1209">
        <v>18.39</v>
      </c>
      <c r="F1209">
        <v>44</v>
      </c>
      <c r="G1209" t="s">
        <v>17</v>
      </c>
      <c r="H1209" t="s">
        <v>18</v>
      </c>
      <c r="I1209" s="2">
        <v>8.99</v>
      </c>
      <c r="J1209">
        <v>1</v>
      </c>
      <c r="K1209" s="2">
        <f t="shared" si="36"/>
        <v>8.99</v>
      </c>
      <c r="L1209" t="s">
        <v>61</v>
      </c>
      <c r="M1209">
        <v>1</v>
      </c>
      <c r="N1209">
        <v>0.41</v>
      </c>
      <c r="O1209" t="str">
        <f t="shared" si="37"/>
        <v>0.4–0.6 hours</v>
      </c>
      <c r="P1209" t="s">
        <v>47</v>
      </c>
    </row>
    <row r="1210" spans="1:16" x14ac:dyDescent="0.4">
      <c r="A1210" t="s">
        <v>1251</v>
      </c>
      <c r="B1210">
        <v>24</v>
      </c>
      <c r="C1210" t="s">
        <v>27</v>
      </c>
      <c r="D1210" t="s">
        <v>16</v>
      </c>
      <c r="E1210">
        <v>12.03</v>
      </c>
      <c r="F1210">
        <v>28</v>
      </c>
      <c r="G1210" t="s">
        <v>28</v>
      </c>
      <c r="H1210" t="s">
        <v>24</v>
      </c>
      <c r="I1210" s="2">
        <v>8.99</v>
      </c>
      <c r="J1210">
        <v>0</v>
      </c>
      <c r="K1210" s="2">
        <f t="shared" si="36"/>
        <v>0</v>
      </c>
      <c r="L1210" t="s">
        <v>37</v>
      </c>
      <c r="M1210">
        <v>4</v>
      </c>
      <c r="N1210">
        <v>0.41</v>
      </c>
      <c r="O1210" t="str">
        <f t="shared" si="37"/>
        <v>0.4–0.6 hours</v>
      </c>
      <c r="P1210" t="s">
        <v>47</v>
      </c>
    </row>
    <row r="1211" spans="1:16" x14ac:dyDescent="0.4">
      <c r="A1211" t="s">
        <v>1252</v>
      </c>
      <c r="B1211">
        <v>69</v>
      </c>
      <c r="C1211" t="s">
        <v>27</v>
      </c>
      <c r="D1211" t="s">
        <v>16</v>
      </c>
      <c r="E1211">
        <v>0.64</v>
      </c>
      <c r="F1211">
        <v>21</v>
      </c>
      <c r="G1211" t="s">
        <v>49</v>
      </c>
      <c r="H1211" t="s">
        <v>24</v>
      </c>
      <c r="I1211" s="2">
        <v>8.99</v>
      </c>
      <c r="J1211">
        <v>1</v>
      </c>
      <c r="K1211" s="2">
        <f t="shared" si="36"/>
        <v>8.99</v>
      </c>
      <c r="L1211" t="s">
        <v>43</v>
      </c>
      <c r="M1211">
        <v>1</v>
      </c>
      <c r="N1211">
        <v>0.03</v>
      </c>
      <c r="O1211" t="str">
        <f t="shared" si="37"/>
        <v>0–0.2 hours</v>
      </c>
      <c r="P1211" t="s">
        <v>30</v>
      </c>
    </row>
    <row r="1212" spans="1:16" x14ac:dyDescent="0.4">
      <c r="A1212" t="s">
        <v>1253</v>
      </c>
      <c r="B1212">
        <v>24</v>
      </c>
      <c r="C1212" t="s">
        <v>27</v>
      </c>
      <c r="D1212" t="s">
        <v>22</v>
      </c>
      <c r="E1212">
        <v>3.9</v>
      </c>
      <c r="F1212">
        <v>32</v>
      </c>
      <c r="G1212" t="s">
        <v>49</v>
      </c>
      <c r="H1212" t="s">
        <v>18</v>
      </c>
      <c r="I1212" s="2">
        <v>13.99</v>
      </c>
      <c r="J1212">
        <v>1</v>
      </c>
      <c r="K1212" s="2">
        <f t="shared" si="36"/>
        <v>13.99</v>
      </c>
      <c r="L1212" t="s">
        <v>43</v>
      </c>
      <c r="M1212">
        <v>5</v>
      </c>
      <c r="N1212">
        <v>0.12</v>
      </c>
      <c r="O1212" t="str">
        <f t="shared" si="37"/>
        <v>0–0.2 hours</v>
      </c>
      <c r="P1212" t="s">
        <v>25</v>
      </c>
    </row>
    <row r="1213" spans="1:16" x14ac:dyDescent="0.4">
      <c r="A1213" t="s">
        <v>1254</v>
      </c>
      <c r="B1213">
        <v>64</v>
      </c>
      <c r="C1213" t="s">
        <v>15</v>
      </c>
      <c r="D1213" t="s">
        <v>16</v>
      </c>
      <c r="E1213">
        <v>4.8600000000000003</v>
      </c>
      <c r="F1213">
        <v>33</v>
      </c>
      <c r="G1213" t="s">
        <v>49</v>
      </c>
      <c r="H1213" t="s">
        <v>18</v>
      </c>
      <c r="I1213" s="2">
        <v>8.99</v>
      </c>
      <c r="J1213">
        <v>1</v>
      </c>
      <c r="K1213" s="2">
        <f t="shared" si="36"/>
        <v>8.99</v>
      </c>
      <c r="L1213" t="s">
        <v>37</v>
      </c>
      <c r="M1213">
        <v>5</v>
      </c>
      <c r="N1213">
        <v>0.14000000000000001</v>
      </c>
      <c r="O1213" t="str">
        <f t="shared" si="37"/>
        <v>0–0.2 hours</v>
      </c>
      <c r="P1213" t="s">
        <v>52</v>
      </c>
    </row>
    <row r="1214" spans="1:16" x14ac:dyDescent="0.4">
      <c r="A1214" t="s">
        <v>1255</v>
      </c>
      <c r="B1214">
        <v>57</v>
      </c>
      <c r="C1214" t="s">
        <v>27</v>
      </c>
      <c r="D1214" t="s">
        <v>32</v>
      </c>
      <c r="E1214">
        <v>28.21</v>
      </c>
      <c r="F1214">
        <v>1</v>
      </c>
      <c r="G1214" t="s">
        <v>28</v>
      </c>
      <c r="H1214" t="s">
        <v>55</v>
      </c>
      <c r="I1214" s="2">
        <v>17.989999999999998</v>
      </c>
      <c r="J1214">
        <v>0</v>
      </c>
      <c r="K1214" s="2">
        <f t="shared" si="36"/>
        <v>0</v>
      </c>
      <c r="L1214" t="s">
        <v>29</v>
      </c>
      <c r="M1214">
        <v>5</v>
      </c>
      <c r="N1214">
        <v>14.11</v>
      </c>
      <c r="O1214" t="str">
        <f t="shared" si="37"/>
        <v>1+ hours</v>
      </c>
      <c r="P1214" t="s">
        <v>52</v>
      </c>
    </row>
    <row r="1215" spans="1:16" x14ac:dyDescent="0.4">
      <c r="A1215" t="s">
        <v>1256</v>
      </c>
      <c r="B1215">
        <v>45</v>
      </c>
      <c r="C1215" t="s">
        <v>15</v>
      </c>
      <c r="D1215" t="s">
        <v>16</v>
      </c>
      <c r="E1215">
        <v>10.01</v>
      </c>
      <c r="F1215">
        <v>46</v>
      </c>
      <c r="G1215" t="s">
        <v>28</v>
      </c>
      <c r="H1215" t="s">
        <v>24</v>
      </c>
      <c r="I1215" s="2">
        <v>8.99</v>
      </c>
      <c r="J1215">
        <v>1</v>
      </c>
      <c r="K1215" s="2">
        <f t="shared" si="36"/>
        <v>8.99</v>
      </c>
      <c r="L1215" t="s">
        <v>43</v>
      </c>
      <c r="M1215">
        <v>3</v>
      </c>
      <c r="N1215">
        <v>0.21</v>
      </c>
      <c r="O1215" t="str">
        <f t="shared" si="37"/>
        <v>0.2–0.4 hours</v>
      </c>
      <c r="P1215" t="s">
        <v>47</v>
      </c>
    </row>
    <row r="1216" spans="1:16" x14ac:dyDescent="0.4">
      <c r="A1216" t="s">
        <v>1257</v>
      </c>
      <c r="B1216">
        <v>34</v>
      </c>
      <c r="C1216" t="s">
        <v>27</v>
      </c>
      <c r="D1216" t="s">
        <v>16</v>
      </c>
      <c r="E1216">
        <v>4.45</v>
      </c>
      <c r="F1216">
        <v>60</v>
      </c>
      <c r="G1216" t="s">
        <v>70</v>
      </c>
      <c r="H1216" t="s">
        <v>46</v>
      </c>
      <c r="I1216" s="2">
        <v>8.99</v>
      </c>
      <c r="J1216">
        <v>1</v>
      </c>
      <c r="K1216" s="2">
        <f t="shared" si="36"/>
        <v>8.99</v>
      </c>
      <c r="L1216" t="s">
        <v>19</v>
      </c>
      <c r="M1216">
        <v>4</v>
      </c>
      <c r="N1216">
        <v>7.0000000000000007E-2</v>
      </c>
      <c r="O1216" t="str">
        <f t="shared" si="37"/>
        <v>0–0.2 hours</v>
      </c>
      <c r="P1216" t="s">
        <v>20</v>
      </c>
    </row>
    <row r="1217" spans="1:16" x14ac:dyDescent="0.4">
      <c r="A1217" t="s">
        <v>1258</v>
      </c>
      <c r="B1217">
        <v>18</v>
      </c>
      <c r="C1217" t="s">
        <v>27</v>
      </c>
      <c r="D1217" t="s">
        <v>32</v>
      </c>
      <c r="E1217">
        <v>33.81</v>
      </c>
      <c r="F1217">
        <v>5</v>
      </c>
      <c r="G1217" t="s">
        <v>28</v>
      </c>
      <c r="H1217" t="s">
        <v>18</v>
      </c>
      <c r="I1217" s="2">
        <v>17.989999999999998</v>
      </c>
      <c r="J1217">
        <v>0</v>
      </c>
      <c r="K1217" s="2">
        <f t="shared" si="36"/>
        <v>0</v>
      </c>
      <c r="L1217" t="s">
        <v>29</v>
      </c>
      <c r="M1217">
        <v>2</v>
      </c>
      <c r="N1217">
        <v>5.64</v>
      </c>
      <c r="O1217" t="str">
        <f t="shared" si="37"/>
        <v>1+ hours</v>
      </c>
      <c r="P1217" t="s">
        <v>39</v>
      </c>
    </row>
    <row r="1218" spans="1:16" x14ac:dyDescent="0.4">
      <c r="A1218" t="s">
        <v>1259</v>
      </c>
      <c r="B1218">
        <v>21</v>
      </c>
      <c r="C1218" t="s">
        <v>15</v>
      </c>
      <c r="D1218" t="s">
        <v>32</v>
      </c>
      <c r="E1218">
        <v>9.85</v>
      </c>
      <c r="F1218">
        <v>54</v>
      </c>
      <c r="G1218" t="s">
        <v>49</v>
      </c>
      <c r="H1218" t="s">
        <v>55</v>
      </c>
      <c r="I1218" s="2">
        <v>17.989999999999998</v>
      </c>
      <c r="J1218">
        <v>1</v>
      </c>
      <c r="K1218" s="2">
        <f t="shared" si="36"/>
        <v>17.989999999999998</v>
      </c>
      <c r="L1218" t="s">
        <v>37</v>
      </c>
      <c r="M1218">
        <v>1</v>
      </c>
      <c r="N1218">
        <v>0.18</v>
      </c>
      <c r="O1218" t="str">
        <f t="shared" si="37"/>
        <v>0–0.2 hours</v>
      </c>
      <c r="P1218" t="s">
        <v>20</v>
      </c>
    </row>
    <row r="1219" spans="1:16" x14ac:dyDescent="0.4">
      <c r="A1219" t="s">
        <v>1260</v>
      </c>
      <c r="B1219">
        <v>63</v>
      </c>
      <c r="C1219" t="s">
        <v>27</v>
      </c>
      <c r="D1219" t="s">
        <v>22</v>
      </c>
      <c r="E1219">
        <v>6.37</v>
      </c>
      <c r="F1219">
        <v>48</v>
      </c>
      <c r="G1219" t="s">
        <v>28</v>
      </c>
      <c r="H1219" t="s">
        <v>24</v>
      </c>
      <c r="I1219" s="2">
        <v>13.99</v>
      </c>
      <c r="J1219">
        <v>0</v>
      </c>
      <c r="K1219" s="2">
        <f t="shared" ref="K1219:K1282" si="38">SUMIF(J1219,1,I1219)</f>
        <v>0</v>
      </c>
      <c r="L1219" t="s">
        <v>61</v>
      </c>
      <c r="M1219">
        <v>5</v>
      </c>
      <c r="N1219">
        <v>0.13</v>
      </c>
      <c r="O1219" t="str">
        <f t="shared" ref="O1219:O1282" si="39">IF(N1219&gt;1,"1+ hours",IF(N1219&lt;=0.2,"0–0.2 hours",IF(N1219&lt;=0.4,"0.2–0.4 hours",IF(N1219&lt;=0.6,"0.4–0.6 hours",IF(N1219&lt;=0.8,"0.6–0.8 hours","0.8–1 hour")))))</f>
        <v>0–0.2 hours</v>
      </c>
      <c r="P1219" t="s">
        <v>39</v>
      </c>
    </row>
    <row r="1220" spans="1:16" x14ac:dyDescent="0.4">
      <c r="A1220" t="s">
        <v>1261</v>
      </c>
      <c r="B1220">
        <v>23</v>
      </c>
      <c r="C1220" t="s">
        <v>15</v>
      </c>
      <c r="D1220" t="s">
        <v>22</v>
      </c>
      <c r="E1220">
        <v>24.23</v>
      </c>
      <c r="F1220">
        <v>52</v>
      </c>
      <c r="G1220" t="s">
        <v>17</v>
      </c>
      <c r="H1220" t="s">
        <v>18</v>
      </c>
      <c r="I1220" s="2">
        <v>13.99</v>
      </c>
      <c r="J1220">
        <v>0</v>
      </c>
      <c r="K1220" s="2">
        <f t="shared" si="38"/>
        <v>0</v>
      </c>
      <c r="L1220" t="s">
        <v>19</v>
      </c>
      <c r="M1220">
        <v>2</v>
      </c>
      <c r="N1220">
        <v>0.46</v>
      </c>
      <c r="O1220" t="str">
        <f t="shared" si="39"/>
        <v>0.4–0.6 hours</v>
      </c>
      <c r="P1220" t="s">
        <v>52</v>
      </c>
    </row>
    <row r="1221" spans="1:16" x14ac:dyDescent="0.4">
      <c r="A1221" t="s">
        <v>1262</v>
      </c>
      <c r="B1221">
        <v>57</v>
      </c>
      <c r="C1221" t="s">
        <v>15</v>
      </c>
      <c r="D1221" t="s">
        <v>16</v>
      </c>
      <c r="E1221">
        <v>52.8</v>
      </c>
      <c r="F1221">
        <v>0</v>
      </c>
      <c r="G1221" t="s">
        <v>23</v>
      </c>
      <c r="H1221" t="s">
        <v>57</v>
      </c>
      <c r="I1221" s="2">
        <v>8.99</v>
      </c>
      <c r="J1221">
        <v>0</v>
      </c>
      <c r="K1221" s="2">
        <f t="shared" si="38"/>
        <v>0</v>
      </c>
      <c r="L1221" t="s">
        <v>43</v>
      </c>
      <c r="M1221">
        <v>2</v>
      </c>
      <c r="N1221">
        <v>52.8</v>
      </c>
      <c r="O1221" t="str">
        <f t="shared" si="39"/>
        <v>1+ hours</v>
      </c>
      <c r="P1221" t="s">
        <v>25</v>
      </c>
    </row>
    <row r="1222" spans="1:16" x14ac:dyDescent="0.4">
      <c r="A1222" t="s">
        <v>1263</v>
      </c>
      <c r="B1222">
        <v>63</v>
      </c>
      <c r="C1222" t="s">
        <v>15</v>
      </c>
      <c r="D1222" t="s">
        <v>16</v>
      </c>
      <c r="E1222">
        <v>15.77</v>
      </c>
      <c r="F1222">
        <v>2</v>
      </c>
      <c r="G1222" t="s">
        <v>23</v>
      </c>
      <c r="H1222" t="s">
        <v>57</v>
      </c>
      <c r="I1222" s="2">
        <v>8.99</v>
      </c>
      <c r="J1222">
        <v>0</v>
      </c>
      <c r="K1222" s="2">
        <f t="shared" si="38"/>
        <v>0</v>
      </c>
      <c r="L1222" t="s">
        <v>43</v>
      </c>
      <c r="M1222">
        <v>4</v>
      </c>
      <c r="N1222">
        <v>5.26</v>
      </c>
      <c r="O1222" t="str">
        <f t="shared" si="39"/>
        <v>1+ hours</v>
      </c>
      <c r="P1222" t="s">
        <v>30</v>
      </c>
    </row>
    <row r="1223" spans="1:16" x14ac:dyDescent="0.4">
      <c r="A1223" t="s">
        <v>1264</v>
      </c>
      <c r="B1223">
        <v>69</v>
      </c>
      <c r="C1223" t="s">
        <v>15</v>
      </c>
      <c r="D1223" t="s">
        <v>16</v>
      </c>
      <c r="E1223">
        <v>13.94</v>
      </c>
      <c r="F1223">
        <v>32</v>
      </c>
      <c r="G1223" t="s">
        <v>70</v>
      </c>
      <c r="H1223" t="s">
        <v>18</v>
      </c>
      <c r="I1223" s="2">
        <v>8.99</v>
      </c>
      <c r="J1223">
        <v>1</v>
      </c>
      <c r="K1223" s="2">
        <f t="shared" si="38"/>
        <v>8.99</v>
      </c>
      <c r="L1223" t="s">
        <v>43</v>
      </c>
      <c r="M1223">
        <v>1</v>
      </c>
      <c r="N1223">
        <v>0.42</v>
      </c>
      <c r="O1223" t="str">
        <f t="shared" si="39"/>
        <v>0.4–0.6 hours</v>
      </c>
      <c r="P1223" t="s">
        <v>20</v>
      </c>
    </row>
    <row r="1224" spans="1:16" x14ac:dyDescent="0.4">
      <c r="A1224" t="s">
        <v>1265</v>
      </c>
      <c r="B1224">
        <v>64</v>
      </c>
      <c r="C1224" t="s">
        <v>27</v>
      </c>
      <c r="D1224" t="s">
        <v>22</v>
      </c>
      <c r="E1224">
        <v>2.56</v>
      </c>
      <c r="F1224">
        <v>3</v>
      </c>
      <c r="G1224" t="s">
        <v>70</v>
      </c>
      <c r="H1224" t="s">
        <v>46</v>
      </c>
      <c r="I1224" s="2">
        <v>13.99</v>
      </c>
      <c r="J1224">
        <v>0</v>
      </c>
      <c r="K1224" s="2">
        <f t="shared" si="38"/>
        <v>0</v>
      </c>
      <c r="L1224" t="s">
        <v>37</v>
      </c>
      <c r="M1224">
        <v>4</v>
      </c>
      <c r="N1224">
        <v>0.64</v>
      </c>
      <c r="O1224" t="str">
        <f t="shared" si="39"/>
        <v>0.6–0.8 hours</v>
      </c>
      <c r="P1224" t="s">
        <v>52</v>
      </c>
    </row>
    <row r="1225" spans="1:16" x14ac:dyDescent="0.4">
      <c r="A1225" t="s">
        <v>1266</v>
      </c>
      <c r="B1225">
        <v>65</v>
      </c>
      <c r="C1225" t="s">
        <v>41</v>
      </c>
      <c r="D1225" t="s">
        <v>22</v>
      </c>
      <c r="E1225">
        <v>1.55</v>
      </c>
      <c r="F1225">
        <v>1</v>
      </c>
      <c r="G1225" t="s">
        <v>28</v>
      </c>
      <c r="H1225" t="s">
        <v>46</v>
      </c>
      <c r="I1225" s="2">
        <v>13.99</v>
      </c>
      <c r="J1225">
        <v>0</v>
      </c>
      <c r="K1225" s="2">
        <f t="shared" si="38"/>
        <v>0</v>
      </c>
      <c r="L1225" t="s">
        <v>37</v>
      </c>
      <c r="M1225">
        <v>2</v>
      </c>
      <c r="N1225">
        <v>0.78</v>
      </c>
      <c r="O1225" t="str">
        <f t="shared" si="39"/>
        <v>0.6–0.8 hours</v>
      </c>
      <c r="P1225" t="s">
        <v>34</v>
      </c>
    </row>
    <row r="1226" spans="1:16" x14ac:dyDescent="0.4">
      <c r="A1226" t="s">
        <v>1267</v>
      </c>
      <c r="B1226">
        <v>32</v>
      </c>
      <c r="C1226" t="s">
        <v>27</v>
      </c>
      <c r="D1226" t="s">
        <v>32</v>
      </c>
      <c r="E1226">
        <v>4.46</v>
      </c>
      <c r="F1226">
        <v>40</v>
      </c>
      <c r="G1226" t="s">
        <v>49</v>
      </c>
      <c r="H1226" t="s">
        <v>24</v>
      </c>
      <c r="I1226" s="2">
        <v>17.989999999999998</v>
      </c>
      <c r="J1226">
        <v>1</v>
      </c>
      <c r="K1226" s="2">
        <f t="shared" si="38"/>
        <v>17.989999999999998</v>
      </c>
      <c r="L1226" t="s">
        <v>29</v>
      </c>
      <c r="M1226">
        <v>1</v>
      </c>
      <c r="N1226">
        <v>0.11</v>
      </c>
      <c r="O1226" t="str">
        <f t="shared" si="39"/>
        <v>0–0.2 hours</v>
      </c>
      <c r="P1226" t="s">
        <v>47</v>
      </c>
    </row>
    <row r="1227" spans="1:16" x14ac:dyDescent="0.4">
      <c r="A1227" t="s">
        <v>1268</v>
      </c>
      <c r="B1227">
        <v>53</v>
      </c>
      <c r="C1227" t="s">
        <v>41</v>
      </c>
      <c r="D1227" t="s">
        <v>32</v>
      </c>
      <c r="E1227">
        <v>7.98</v>
      </c>
      <c r="F1227">
        <v>20</v>
      </c>
      <c r="G1227" t="s">
        <v>23</v>
      </c>
      <c r="H1227" t="s">
        <v>55</v>
      </c>
      <c r="I1227" s="2">
        <v>17.989999999999998</v>
      </c>
      <c r="J1227">
        <v>0</v>
      </c>
      <c r="K1227" s="2">
        <f t="shared" si="38"/>
        <v>0</v>
      </c>
      <c r="L1227" t="s">
        <v>61</v>
      </c>
      <c r="M1227">
        <v>3</v>
      </c>
      <c r="N1227">
        <v>0.38</v>
      </c>
      <c r="O1227" t="str">
        <f t="shared" si="39"/>
        <v>0.2–0.4 hours</v>
      </c>
      <c r="P1227" t="s">
        <v>20</v>
      </c>
    </row>
    <row r="1228" spans="1:16" x14ac:dyDescent="0.4">
      <c r="A1228" t="s">
        <v>1269</v>
      </c>
      <c r="B1228">
        <v>23</v>
      </c>
      <c r="C1228" t="s">
        <v>15</v>
      </c>
      <c r="D1228" t="s">
        <v>22</v>
      </c>
      <c r="E1228">
        <v>9.6</v>
      </c>
      <c r="F1228">
        <v>54</v>
      </c>
      <c r="G1228" t="s">
        <v>28</v>
      </c>
      <c r="H1228" t="s">
        <v>46</v>
      </c>
      <c r="I1228" s="2">
        <v>13.99</v>
      </c>
      <c r="J1228">
        <v>1</v>
      </c>
      <c r="K1228" s="2">
        <f t="shared" si="38"/>
        <v>13.99</v>
      </c>
      <c r="L1228" t="s">
        <v>19</v>
      </c>
      <c r="M1228">
        <v>4</v>
      </c>
      <c r="N1228">
        <v>0.17</v>
      </c>
      <c r="O1228" t="str">
        <f t="shared" si="39"/>
        <v>0–0.2 hours</v>
      </c>
      <c r="P1228" t="s">
        <v>20</v>
      </c>
    </row>
    <row r="1229" spans="1:16" x14ac:dyDescent="0.4">
      <c r="A1229" t="s">
        <v>1270</v>
      </c>
      <c r="B1229">
        <v>28</v>
      </c>
      <c r="C1229" t="s">
        <v>27</v>
      </c>
      <c r="D1229" t="s">
        <v>32</v>
      </c>
      <c r="E1229">
        <v>3.16</v>
      </c>
      <c r="F1229">
        <v>8</v>
      </c>
      <c r="G1229" t="s">
        <v>23</v>
      </c>
      <c r="H1229" t="s">
        <v>57</v>
      </c>
      <c r="I1229" s="2">
        <v>17.989999999999998</v>
      </c>
      <c r="J1229">
        <v>1</v>
      </c>
      <c r="K1229" s="2">
        <f t="shared" si="38"/>
        <v>17.989999999999998</v>
      </c>
      <c r="L1229" t="s">
        <v>29</v>
      </c>
      <c r="M1229">
        <v>1</v>
      </c>
      <c r="N1229">
        <v>0.35</v>
      </c>
      <c r="O1229" t="str">
        <f t="shared" si="39"/>
        <v>0.2–0.4 hours</v>
      </c>
      <c r="P1229" t="s">
        <v>34</v>
      </c>
    </row>
    <row r="1230" spans="1:16" x14ac:dyDescent="0.4">
      <c r="A1230" t="s">
        <v>1271</v>
      </c>
      <c r="B1230">
        <v>69</v>
      </c>
      <c r="C1230" t="s">
        <v>15</v>
      </c>
      <c r="D1230" t="s">
        <v>32</v>
      </c>
      <c r="E1230">
        <v>1.85</v>
      </c>
      <c r="F1230">
        <v>33</v>
      </c>
      <c r="G1230" t="s">
        <v>33</v>
      </c>
      <c r="H1230" t="s">
        <v>46</v>
      </c>
      <c r="I1230" s="2">
        <v>17.989999999999998</v>
      </c>
      <c r="J1230">
        <v>1</v>
      </c>
      <c r="K1230" s="2">
        <f t="shared" si="38"/>
        <v>17.989999999999998</v>
      </c>
      <c r="L1230" t="s">
        <v>37</v>
      </c>
      <c r="M1230">
        <v>2</v>
      </c>
      <c r="N1230">
        <v>0.05</v>
      </c>
      <c r="O1230" t="str">
        <f t="shared" si="39"/>
        <v>0–0.2 hours</v>
      </c>
      <c r="P1230" t="s">
        <v>30</v>
      </c>
    </row>
    <row r="1231" spans="1:16" x14ac:dyDescent="0.4">
      <c r="A1231" t="s">
        <v>1272</v>
      </c>
      <c r="B1231">
        <v>21</v>
      </c>
      <c r="C1231" t="s">
        <v>15</v>
      </c>
      <c r="D1231" t="s">
        <v>22</v>
      </c>
      <c r="E1231">
        <v>14.71</v>
      </c>
      <c r="F1231">
        <v>11</v>
      </c>
      <c r="G1231" t="s">
        <v>28</v>
      </c>
      <c r="H1231" t="s">
        <v>46</v>
      </c>
      <c r="I1231" s="2">
        <v>13.99</v>
      </c>
      <c r="J1231">
        <v>0</v>
      </c>
      <c r="K1231" s="2">
        <f t="shared" si="38"/>
        <v>0</v>
      </c>
      <c r="L1231" t="s">
        <v>29</v>
      </c>
      <c r="M1231">
        <v>1</v>
      </c>
      <c r="N1231">
        <v>1.23</v>
      </c>
      <c r="O1231" t="str">
        <f t="shared" si="39"/>
        <v>1+ hours</v>
      </c>
      <c r="P1231" t="s">
        <v>25</v>
      </c>
    </row>
    <row r="1232" spans="1:16" x14ac:dyDescent="0.4">
      <c r="A1232" t="s">
        <v>1273</v>
      </c>
      <c r="B1232">
        <v>29</v>
      </c>
      <c r="C1232" t="s">
        <v>27</v>
      </c>
      <c r="D1232" t="s">
        <v>32</v>
      </c>
      <c r="E1232">
        <v>0.19</v>
      </c>
      <c r="F1232">
        <v>54</v>
      </c>
      <c r="G1232" t="s">
        <v>23</v>
      </c>
      <c r="H1232" t="s">
        <v>24</v>
      </c>
      <c r="I1232" s="2">
        <v>17.989999999999998</v>
      </c>
      <c r="J1232">
        <v>1</v>
      </c>
      <c r="K1232" s="2">
        <f t="shared" si="38"/>
        <v>17.989999999999998</v>
      </c>
      <c r="L1232" t="s">
        <v>43</v>
      </c>
      <c r="M1232">
        <v>2</v>
      </c>
      <c r="N1232">
        <v>0</v>
      </c>
      <c r="O1232" t="str">
        <f t="shared" si="39"/>
        <v>0–0.2 hours</v>
      </c>
      <c r="P1232" t="s">
        <v>30</v>
      </c>
    </row>
    <row r="1233" spans="1:16" x14ac:dyDescent="0.4">
      <c r="A1233" t="s">
        <v>1274</v>
      </c>
      <c r="B1233">
        <v>21</v>
      </c>
      <c r="C1233" t="s">
        <v>41</v>
      </c>
      <c r="D1233" t="s">
        <v>32</v>
      </c>
      <c r="E1233">
        <v>20</v>
      </c>
      <c r="F1233">
        <v>22</v>
      </c>
      <c r="G1233" t="s">
        <v>70</v>
      </c>
      <c r="H1233" t="s">
        <v>46</v>
      </c>
      <c r="I1233" s="2">
        <v>17.989999999999998</v>
      </c>
      <c r="J1233">
        <v>0</v>
      </c>
      <c r="K1233" s="2">
        <f t="shared" si="38"/>
        <v>0</v>
      </c>
      <c r="L1233" t="s">
        <v>37</v>
      </c>
      <c r="M1233">
        <v>5</v>
      </c>
      <c r="N1233">
        <v>0.87</v>
      </c>
      <c r="O1233" t="str">
        <f t="shared" si="39"/>
        <v>0.8–1 hour</v>
      </c>
      <c r="P1233" t="s">
        <v>25</v>
      </c>
    </row>
    <row r="1234" spans="1:16" x14ac:dyDescent="0.4">
      <c r="A1234" t="s">
        <v>1275</v>
      </c>
      <c r="B1234">
        <v>32</v>
      </c>
      <c r="C1234" t="s">
        <v>41</v>
      </c>
      <c r="D1234" t="s">
        <v>16</v>
      </c>
      <c r="E1234">
        <v>12.51</v>
      </c>
      <c r="F1234">
        <v>30</v>
      </c>
      <c r="G1234" t="s">
        <v>49</v>
      </c>
      <c r="H1234" t="s">
        <v>24</v>
      </c>
      <c r="I1234" s="2">
        <v>8.99</v>
      </c>
      <c r="J1234">
        <v>0</v>
      </c>
      <c r="K1234" s="2">
        <f t="shared" si="38"/>
        <v>0</v>
      </c>
      <c r="L1234" t="s">
        <v>43</v>
      </c>
      <c r="M1234">
        <v>2</v>
      </c>
      <c r="N1234">
        <v>0.4</v>
      </c>
      <c r="O1234" t="str">
        <f t="shared" si="39"/>
        <v>0.2–0.4 hours</v>
      </c>
      <c r="P1234" t="s">
        <v>39</v>
      </c>
    </row>
    <row r="1235" spans="1:16" x14ac:dyDescent="0.4">
      <c r="A1235" t="s">
        <v>1276</v>
      </c>
      <c r="B1235">
        <v>47</v>
      </c>
      <c r="C1235" t="s">
        <v>41</v>
      </c>
      <c r="D1235" t="s">
        <v>22</v>
      </c>
      <c r="E1235">
        <v>26.18</v>
      </c>
      <c r="F1235">
        <v>8</v>
      </c>
      <c r="G1235" t="s">
        <v>70</v>
      </c>
      <c r="H1235" t="s">
        <v>18</v>
      </c>
      <c r="I1235" s="2">
        <v>13.99</v>
      </c>
      <c r="J1235">
        <v>0</v>
      </c>
      <c r="K1235" s="2">
        <f t="shared" si="38"/>
        <v>0</v>
      </c>
      <c r="L1235" t="s">
        <v>37</v>
      </c>
      <c r="M1235">
        <v>1</v>
      </c>
      <c r="N1235">
        <v>2.91</v>
      </c>
      <c r="O1235" t="str">
        <f t="shared" si="39"/>
        <v>1+ hours</v>
      </c>
      <c r="P1235" t="s">
        <v>20</v>
      </c>
    </row>
    <row r="1236" spans="1:16" x14ac:dyDescent="0.4">
      <c r="A1236" t="s">
        <v>1277</v>
      </c>
      <c r="B1236">
        <v>66</v>
      </c>
      <c r="C1236" t="s">
        <v>41</v>
      </c>
      <c r="D1236" t="s">
        <v>22</v>
      </c>
      <c r="E1236">
        <v>12.19</v>
      </c>
      <c r="F1236">
        <v>24</v>
      </c>
      <c r="G1236" t="s">
        <v>33</v>
      </c>
      <c r="H1236" t="s">
        <v>57</v>
      </c>
      <c r="I1236" s="2">
        <v>13.99</v>
      </c>
      <c r="J1236">
        <v>0</v>
      </c>
      <c r="K1236" s="2">
        <f t="shared" si="38"/>
        <v>0</v>
      </c>
      <c r="L1236" t="s">
        <v>37</v>
      </c>
      <c r="M1236">
        <v>1</v>
      </c>
      <c r="N1236">
        <v>0.49</v>
      </c>
      <c r="O1236" t="str">
        <f t="shared" si="39"/>
        <v>0.4–0.6 hours</v>
      </c>
      <c r="P1236" t="s">
        <v>20</v>
      </c>
    </row>
    <row r="1237" spans="1:16" x14ac:dyDescent="0.4">
      <c r="A1237" t="s">
        <v>1278</v>
      </c>
      <c r="B1237">
        <v>60</v>
      </c>
      <c r="C1237" t="s">
        <v>41</v>
      </c>
      <c r="D1237" t="s">
        <v>16</v>
      </c>
      <c r="E1237">
        <v>17.3</v>
      </c>
      <c r="F1237">
        <v>36</v>
      </c>
      <c r="G1237" t="s">
        <v>23</v>
      </c>
      <c r="H1237" t="s">
        <v>57</v>
      </c>
      <c r="I1237" s="2">
        <v>8.99</v>
      </c>
      <c r="J1237">
        <v>1</v>
      </c>
      <c r="K1237" s="2">
        <f t="shared" si="38"/>
        <v>8.99</v>
      </c>
      <c r="L1237" t="s">
        <v>19</v>
      </c>
      <c r="M1237">
        <v>3</v>
      </c>
      <c r="N1237">
        <v>0.47</v>
      </c>
      <c r="O1237" t="str">
        <f t="shared" si="39"/>
        <v>0.4–0.6 hours</v>
      </c>
      <c r="P1237" t="s">
        <v>30</v>
      </c>
    </row>
    <row r="1238" spans="1:16" x14ac:dyDescent="0.4">
      <c r="A1238" t="s">
        <v>1279</v>
      </c>
      <c r="B1238">
        <v>18</v>
      </c>
      <c r="C1238" t="s">
        <v>41</v>
      </c>
      <c r="D1238" t="s">
        <v>32</v>
      </c>
      <c r="E1238">
        <v>17.829999999999998</v>
      </c>
      <c r="F1238">
        <v>37</v>
      </c>
      <c r="G1238" t="s">
        <v>28</v>
      </c>
      <c r="H1238" t="s">
        <v>46</v>
      </c>
      <c r="I1238" s="2">
        <v>17.989999999999998</v>
      </c>
      <c r="J1238">
        <v>0</v>
      </c>
      <c r="K1238" s="2">
        <f t="shared" si="38"/>
        <v>0</v>
      </c>
      <c r="L1238" t="s">
        <v>61</v>
      </c>
      <c r="M1238">
        <v>4</v>
      </c>
      <c r="N1238">
        <v>0.47</v>
      </c>
      <c r="O1238" t="str">
        <f t="shared" si="39"/>
        <v>0.4–0.6 hours</v>
      </c>
      <c r="P1238" t="s">
        <v>20</v>
      </c>
    </row>
    <row r="1239" spans="1:16" x14ac:dyDescent="0.4">
      <c r="A1239" t="s">
        <v>1280</v>
      </c>
      <c r="B1239">
        <v>46</v>
      </c>
      <c r="C1239" t="s">
        <v>41</v>
      </c>
      <c r="D1239" t="s">
        <v>16</v>
      </c>
      <c r="E1239">
        <v>7.08</v>
      </c>
      <c r="F1239">
        <v>23</v>
      </c>
      <c r="G1239" t="s">
        <v>28</v>
      </c>
      <c r="H1239" t="s">
        <v>55</v>
      </c>
      <c r="I1239" s="2">
        <v>8.99</v>
      </c>
      <c r="J1239">
        <v>0</v>
      </c>
      <c r="K1239" s="2">
        <f t="shared" si="38"/>
        <v>0</v>
      </c>
      <c r="L1239" t="s">
        <v>61</v>
      </c>
      <c r="M1239">
        <v>5</v>
      </c>
      <c r="N1239">
        <v>0.28999999999999998</v>
      </c>
      <c r="O1239" t="str">
        <f t="shared" si="39"/>
        <v>0.2–0.4 hours</v>
      </c>
      <c r="P1239" t="s">
        <v>20</v>
      </c>
    </row>
    <row r="1240" spans="1:16" x14ac:dyDescent="0.4">
      <c r="A1240" t="s">
        <v>1281</v>
      </c>
      <c r="B1240">
        <v>25</v>
      </c>
      <c r="C1240" t="s">
        <v>41</v>
      </c>
      <c r="D1240" t="s">
        <v>32</v>
      </c>
      <c r="E1240">
        <v>22.64</v>
      </c>
      <c r="F1240">
        <v>14</v>
      </c>
      <c r="G1240" t="s">
        <v>17</v>
      </c>
      <c r="H1240" t="s">
        <v>55</v>
      </c>
      <c r="I1240" s="2">
        <v>17.989999999999998</v>
      </c>
      <c r="J1240">
        <v>0</v>
      </c>
      <c r="K1240" s="2">
        <f t="shared" si="38"/>
        <v>0</v>
      </c>
      <c r="L1240" t="s">
        <v>43</v>
      </c>
      <c r="M1240">
        <v>2</v>
      </c>
      <c r="N1240">
        <v>1.51</v>
      </c>
      <c r="O1240" t="str">
        <f t="shared" si="39"/>
        <v>1+ hours</v>
      </c>
      <c r="P1240" t="s">
        <v>34</v>
      </c>
    </row>
    <row r="1241" spans="1:16" x14ac:dyDescent="0.4">
      <c r="A1241" t="s">
        <v>1282</v>
      </c>
      <c r="B1241">
        <v>51</v>
      </c>
      <c r="C1241" t="s">
        <v>41</v>
      </c>
      <c r="D1241" t="s">
        <v>16</v>
      </c>
      <c r="E1241">
        <v>26.04</v>
      </c>
      <c r="F1241">
        <v>8</v>
      </c>
      <c r="G1241" t="s">
        <v>49</v>
      </c>
      <c r="H1241" t="s">
        <v>46</v>
      </c>
      <c r="I1241" s="2">
        <v>8.99</v>
      </c>
      <c r="J1241">
        <v>0</v>
      </c>
      <c r="K1241" s="2">
        <f t="shared" si="38"/>
        <v>0</v>
      </c>
      <c r="L1241" t="s">
        <v>61</v>
      </c>
      <c r="M1241">
        <v>1</v>
      </c>
      <c r="N1241">
        <v>2.89</v>
      </c>
      <c r="O1241" t="str">
        <f t="shared" si="39"/>
        <v>1+ hours</v>
      </c>
      <c r="P1241" t="s">
        <v>39</v>
      </c>
    </row>
    <row r="1242" spans="1:16" x14ac:dyDescent="0.4">
      <c r="A1242" t="s">
        <v>1283</v>
      </c>
      <c r="B1242">
        <v>39</v>
      </c>
      <c r="C1242" t="s">
        <v>27</v>
      </c>
      <c r="D1242" t="s">
        <v>32</v>
      </c>
      <c r="E1242">
        <v>12.07</v>
      </c>
      <c r="F1242">
        <v>15</v>
      </c>
      <c r="G1242" t="s">
        <v>49</v>
      </c>
      <c r="H1242" t="s">
        <v>55</v>
      </c>
      <c r="I1242" s="2">
        <v>17.989999999999998</v>
      </c>
      <c r="J1242">
        <v>0</v>
      </c>
      <c r="K1242" s="2">
        <f t="shared" si="38"/>
        <v>0</v>
      </c>
      <c r="L1242" t="s">
        <v>37</v>
      </c>
      <c r="M1242">
        <v>1</v>
      </c>
      <c r="N1242">
        <v>0.75</v>
      </c>
      <c r="O1242" t="str">
        <f t="shared" si="39"/>
        <v>0.6–0.8 hours</v>
      </c>
      <c r="P1242" t="s">
        <v>52</v>
      </c>
    </row>
    <row r="1243" spans="1:16" x14ac:dyDescent="0.4">
      <c r="A1243" t="s">
        <v>1284</v>
      </c>
      <c r="B1243">
        <v>69</v>
      </c>
      <c r="C1243" t="s">
        <v>41</v>
      </c>
      <c r="D1243" t="s">
        <v>16</v>
      </c>
      <c r="E1243">
        <v>6.06</v>
      </c>
      <c r="F1243">
        <v>30</v>
      </c>
      <c r="G1243" t="s">
        <v>23</v>
      </c>
      <c r="H1243" t="s">
        <v>18</v>
      </c>
      <c r="I1243" s="2">
        <v>8.99</v>
      </c>
      <c r="J1243">
        <v>0</v>
      </c>
      <c r="K1243" s="2">
        <f t="shared" si="38"/>
        <v>0</v>
      </c>
      <c r="L1243" t="s">
        <v>61</v>
      </c>
      <c r="M1243">
        <v>4</v>
      </c>
      <c r="N1243">
        <v>0.2</v>
      </c>
      <c r="O1243" t="str">
        <f t="shared" si="39"/>
        <v>0–0.2 hours</v>
      </c>
      <c r="P1243" t="s">
        <v>39</v>
      </c>
    </row>
    <row r="1244" spans="1:16" x14ac:dyDescent="0.4">
      <c r="A1244" t="s">
        <v>1285</v>
      </c>
      <c r="B1244">
        <v>55</v>
      </c>
      <c r="C1244" t="s">
        <v>27</v>
      </c>
      <c r="D1244" t="s">
        <v>16</v>
      </c>
      <c r="E1244">
        <v>24.21</v>
      </c>
      <c r="F1244">
        <v>35</v>
      </c>
      <c r="G1244" t="s">
        <v>33</v>
      </c>
      <c r="H1244" t="s">
        <v>46</v>
      </c>
      <c r="I1244" s="2">
        <v>8.99</v>
      </c>
      <c r="J1244">
        <v>0</v>
      </c>
      <c r="K1244" s="2">
        <f t="shared" si="38"/>
        <v>0</v>
      </c>
      <c r="L1244" t="s">
        <v>43</v>
      </c>
      <c r="M1244">
        <v>1</v>
      </c>
      <c r="N1244">
        <v>0.67</v>
      </c>
      <c r="O1244" t="str">
        <f t="shared" si="39"/>
        <v>0.6–0.8 hours</v>
      </c>
      <c r="P1244" t="s">
        <v>30</v>
      </c>
    </row>
    <row r="1245" spans="1:16" x14ac:dyDescent="0.4">
      <c r="A1245" t="s">
        <v>1286</v>
      </c>
      <c r="B1245">
        <v>20</v>
      </c>
      <c r="C1245" t="s">
        <v>15</v>
      </c>
      <c r="D1245" t="s">
        <v>22</v>
      </c>
      <c r="E1245">
        <v>3.19</v>
      </c>
      <c r="F1245">
        <v>53</v>
      </c>
      <c r="G1245" t="s">
        <v>49</v>
      </c>
      <c r="H1245" t="s">
        <v>57</v>
      </c>
      <c r="I1245" s="2">
        <v>13.99</v>
      </c>
      <c r="J1245">
        <v>1</v>
      </c>
      <c r="K1245" s="2">
        <f t="shared" si="38"/>
        <v>13.99</v>
      </c>
      <c r="L1245" t="s">
        <v>19</v>
      </c>
      <c r="M1245">
        <v>4</v>
      </c>
      <c r="N1245">
        <v>0.06</v>
      </c>
      <c r="O1245" t="str">
        <f t="shared" si="39"/>
        <v>0–0.2 hours</v>
      </c>
      <c r="P1245" t="s">
        <v>25</v>
      </c>
    </row>
    <row r="1246" spans="1:16" x14ac:dyDescent="0.4">
      <c r="A1246" t="s">
        <v>1287</v>
      </c>
      <c r="B1246">
        <v>20</v>
      </c>
      <c r="C1246" t="s">
        <v>41</v>
      </c>
      <c r="D1246" t="s">
        <v>32</v>
      </c>
      <c r="E1246">
        <v>39.85</v>
      </c>
      <c r="F1246">
        <v>26</v>
      </c>
      <c r="G1246" t="s">
        <v>23</v>
      </c>
      <c r="H1246" t="s">
        <v>55</v>
      </c>
      <c r="I1246" s="2">
        <v>17.989999999999998</v>
      </c>
      <c r="J1246">
        <v>0</v>
      </c>
      <c r="K1246" s="2">
        <f t="shared" si="38"/>
        <v>0</v>
      </c>
      <c r="L1246" t="s">
        <v>37</v>
      </c>
      <c r="M1246">
        <v>1</v>
      </c>
      <c r="N1246">
        <v>1.48</v>
      </c>
      <c r="O1246" t="str">
        <f t="shared" si="39"/>
        <v>1+ hours</v>
      </c>
      <c r="P1246" t="s">
        <v>34</v>
      </c>
    </row>
    <row r="1247" spans="1:16" x14ac:dyDescent="0.4">
      <c r="A1247" t="s">
        <v>1288</v>
      </c>
      <c r="B1247">
        <v>31</v>
      </c>
      <c r="C1247" t="s">
        <v>15</v>
      </c>
      <c r="D1247" t="s">
        <v>22</v>
      </c>
      <c r="E1247">
        <v>31.29</v>
      </c>
      <c r="F1247">
        <v>9</v>
      </c>
      <c r="G1247" t="s">
        <v>49</v>
      </c>
      <c r="H1247" t="s">
        <v>18</v>
      </c>
      <c r="I1247" s="2">
        <v>13.99</v>
      </c>
      <c r="J1247">
        <v>0</v>
      </c>
      <c r="K1247" s="2">
        <f t="shared" si="38"/>
        <v>0</v>
      </c>
      <c r="L1247" t="s">
        <v>29</v>
      </c>
      <c r="M1247">
        <v>4</v>
      </c>
      <c r="N1247">
        <v>3.13</v>
      </c>
      <c r="O1247" t="str">
        <f t="shared" si="39"/>
        <v>1+ hours</v>
      </c>
      <c r="P1247" t="s">
        <v>52</v>
      </c>
    </row>
    <row r="1248" spans="1:16" x14ac:dyDescent="0.4">
      <c r="A1248" t="s">
        <v>1289</v>
      </c>
      <c r="B1248">
        <v>18</v>
      </c>
      <c r="C1248" t="s">
        <v>27</v>
      </c>
      <c r="D1248" t="s">
        <v>22</v>
      </c>
      <c r="E1248">
        <v>11.81</v>
      </c>
      <c r="F1248">
        <v>9</v>
      </c>
      <c r="G1248" t="s">
        <v>49</v>
      </c>
      <c r="H1248" t="s">
        <v>24</v>
      </c>
      <c r="I1248" s="2">
        <v>13.99</v>
      </c>
      <c r="J1248">
        <v>0</v>
      </c>
      <c r="K1248" s="2">
        <f t="shared" si="38"/>
        <v>0</v>
      </c>
      <c r="L1248" t="s">
        <v>61</v>
      </c>
      <c r="M1248">
        <v>4</v>
      </c>
      <c r="N1248">
        <v>1.18</v>
      </c>
      <c r="O1248" t="str">
        <f t="shared" si="39"/>
        <v>1+ hours</v>
      </c>
      <c r="P1248" t="s">
        <v>34</v>
      </c>
    </row>
    <row r="1249" spans="1:16" x14ac:dyDescent="0.4">
      <c r="A1249" t="s">
        <v>1290</v>
      </c>
      <c r="B1249">
        <v>58</v>
      </c>
      <c r="C1249" t="s">
        <v>15</v>
      </c>
      <c r="D1249" t="s">
        <v>16</v>
      </c>
      <c r="E1249">
        <v>6.1</v>
      </c>
      <c r="F1249">
        <v>26</v>
      </c>
      <c r="G1249" t="s">
        <v>33</v>
      </c>
      <c r="H1249" t="s">
        <v>57</v>
      </c>
      <c r="I1249" s="2">
        <v>8.99</v>
      </c>
      <c r="J1249">
        <v>0</v>
      </c>
      <c r="K1249" s="2">
        <f t="shared" si="38"/>
        <v>0</v>
      </c>
      <c r="L1249" t="s">
        <v>61</v>
      </c>
      <c r="M1249">
        <v>2</v>
      </c>
      <c r="N1249">
        <v>0.23</v>
      </c>
      <c r="O1249" t="str">
        <f t="shared" si="39"/>
        <v>0.2–0.4 hours</v>
      </c>
      <c r="P1249" t="s">
        <v>47</v>
      </c>
    </row>
    <row r="1250" spans="1:16" x14ac:dyDescent="0.4">
      <c r="A1250" t="s">
        <v>1291</v>
      </c>
      <c r="B1250">
        <v>37</v>
      </c>
      <c r="C1250" t="s">
        <v>15</v>
      </c>
      <c r="D1250" t="s">
        <v>32</v>
      </c>
      <c r="E1250">
        <v>26.5</v>
      </c>
      <c r="F1250">
        <v>12</v>
      </c>
      <c r="G1250" t="s">
        <v>49</v>
      </c>
      <c r="H1250" t="s">
        <v>57</v>
      </c>
      <c r="I1250" s="2">
        <v>17.989999999999998</v>
      </c>
      <c r="J1250">
        <v>0</v>
      </c>
      <c r="K1250" s="2">
        <f t="shared" si="38"/>
        <v>0</v>
      </c>
      <c r="L1250" t="s">
        <v>37</v>
      </c>
      <c r="M1250">
        <v>5</v>
      </c>
      <c r="N1250">
        <v>2.04</v>
      </c>
      <c r="O1250" t="str">
        <f t="shared" si="39"/>
        <v>1+ hours</v>
      </c>
      <c r="P1250" t="s">
        <v>30</v>
      </c>
    </row>
    <row r="1251" spans="1:16" x14ac:dyDescent="0.4">
      <c r="A1251" t="s">
        <v>1292</v>
      </c>
      <c r="B1251">
        <v>23</v>
      </c>
      <c r="C1251" t="s">
        <v>41</v>
      </c>
      <c r="D1251" t="s">
        <v>22</v>
      </c>
      <c r="E1251">
        <v>10.77</v>
      </c>
      <c r="F1251">
        <v>23</v>
      </c>
      <c r="G1251" t="s">
        <v>70</v>
      </c>
      <c r="H1251" t="s">
        <v>46</v>
      </c>
      <c r="I1251" s="2">
        <v>13.99</v>
      </c>
      <c r="J1251">
        <v>0</v>
      </c>
      <c r="K1251" s="2">
        <f t="shared" si="38"/>
        <v>0</v>
      </c>
      <c r="L1251" t="s">
        <v>43</v>
      </c>
      <c r="M1251">
        <v>3</v>
      </c>
      <c r="N1251">
        <v>0.45</v>
      </c>
      <c r="O1251" t="str">
        <f t="shared" si="39"/>
        <v>0.4–0.6 hours</v>
      </c>
      <c r="P1251" t="s">
        <v>25</v>
      </c>
    </row>
    <row r="1252" spans="1:16" x14ac:dyDescent="0.4">
      <c r="A1252" t="s">
        <v>1293</v>
      </c>
      <c r="B1252">
        <v>46</v>
      </c>
      <c r="C1252" t="s">
        <v>27</v>
      </c>
      <c r="D1252" t="s">
        <v>22</v>
      </c>
      <c r="E1252">
        <v>4.68</v>
      </c>
      <c r="F1252">
        <v>11</v>
      </c>
      <c r="G1252" t="s">
        <v>17</v>
      </c>
      <c r="H1252" t="s">
        <v>57</v>
      </c>
      <c r="I1252" s="2">
        <v>13.99</v>
      </c>
      <c r="J1252">
        <v>1</v>
      </c>
      <c r="K1252" s="2">
        <f t="shared" si="38"/>
        <v>13.99</v>
      </c>
      <c r="L1252" t="s">
        <v>19</v>
      </c>
      <c r="M1252">
        <v>5</v>
      </c>
      <c r="N1252">
        <v>0.39</v>
      </c>
      <c r="O1252" t="str">
        <f t="shared" si="39"/>
        <v>0.2–0.4 hours</v>
      </c>
      <c r="P1252" t="s">
        <v>47</v>
      </c>
    </row>
    <row r="1253" spans="1:16" x14ac:dyDescent="0.4">
      <c r="A1253" t="s">
        <v>1294</v>
      </c>
      <c r="B1253">
        <v>22</v>
      </c>
      <c r="C1253" t="s">
        <v>41</v>
      </c>
      <c r="D1253" t="s">
        <v>22</v>
      </c>
      <c r="E1253">
        <v>17.8</v>
      </c>
      <c r="F1253">
        <v>54</v>
      </c>
      <c r="G1253" t="s">
        <v>70</v>
      </c>
      <c r="H1253" t="s">
        <v>55</v>
      </c>
      <c r="I1253" s="2">
        <v>13.99</v>
      </c>
      <c r="J1253">
        <v>1</v>
      </c>
      <c r="K1253" s="2">
        <f t="shared" si="38"/>
        <v>13.99</v>
      </c>
      <c r="L1253" t="s">
        <v>37</v>
      </c>
      <c r="M1253">
        <v>1</v>
      </c>
      <c r="N1253">
        <v>0.32</v>
      </c>
      <c r="O1253" t="str">
        <f t="shared" si="39"/>
        <v>0.2–0.4 hours</v>
      </c>
      <c r="P1253" t="s">
        <v>20</v>
      </c>
    </row>
    <row r="1254" spans="1:16" x14ac:dyDescent="0.4">
      <c r="A1254" t="s">
        <v>1295</v>
      </c>
      <c r="B1254">
        <v>36</v>
      </c>
      <c r="C1254" t="s">
        <v>15</v>
      </c>
      <c r="D1254" t="s">
        <v>22</v>
      </c>
      <c r="E1254">
        <v>2.79</v>
      </c>
      <c r="F1254">
        <v>10</v>
      </c>
      <c r="G1254" t="s">
        <v>23</v>
      </c>
      <c r="H1254" t="s">
        <v>55</v>
      </c>
      <c r="I1254" s="2">
        <v>13.99</v>
      </c>
      <c r="J1254">
        <v>1</v>
      </c>
      <c r="K1254" s="2">
        <f t="shared" si="38"/>
        <v>13.99</v>
      </c>
      <c r="L1254" t="s">
        <v>19</v>
      </c>
      <c r="M1254">
        <v>1</v>
      </c>
      <c r="N1254">
        <v>0.25</v>
      </c>
      <c r="O1254" t="str">
        <f t="shared" si="39"/>
        <v>0.2–0.4 hours</v>
      </c>
      <c r="P1254" t="s">
        <v>25</v>
      </c>
    </row>
    <row r="1255" spans="1:16" x14ac:dyDescent="0.4">
      <c r="A1255" t="s">
        <v>1296</v>
      </c>
      <c r="B1255">
        <v>51</v>
      </c>
      <c r="C1255" t="s">
        <v>27</v>
      </c>
      <c r="D1255" t="s">
        <v>32</v>
      </c>
      <c r="E1255">
        <v>8.6</v>
      </c>
      <c r="F1255">
        <v>9</v>
      </c>
      <c r="G1255" t="s">
        <v>23</v>
      </c>
      <c r="H1255" t="s">
        <v>18</v>
      </c>
      <c r="I1255" s="2">
        <v>17.989999999999998</v>
      </c>
      <c r="J1255">
        <v>0</v>
      </c>
      <c r="K1255" s="2">
        <f t="shared" si="38"/>
        <v>0</v>
      </c>
      <c r="L1255" t="s">
        <v>19</v>
      </c>
      <c r="M1255">
        <v>1</v>
      </c>
      <c r="N1255">
        <v>0.86</v>
      </c>
      <c r="O1255" t="str">
        <f t="shared" si="39"/>
        <v>0.8–1 hour</v>
      </c>
      <c r="P1255" t="s">
        <v>25</v>
      </c>
    </row>
    <row r="1256" spans="1:16" x14ac:dyDescent="0.4">
      <c r="A1256" t="s">
        <v>1297</v>
      </c>
      <c r="B1256">
        <v>60</v>
      </c>
      <c r="C1256" t="s">
        <v>15</v>
      </c>
      <c r="D1256" t="s">
        <v>22</v>
      </c>
      <c r="E1256">
        <v>4.57</v>
      </c>
      <c r="F1256">
        <v>60</v>
      </c>
      <c r="G1256" t="s">
        <v>33</v>
      </c>
      <c r="H1256" t="s">
        <v>18</v>
      </c>
      <c r="I1256" s="2">
        <v>13.99</v>
      </c>
      <c r="J1256">
        <v>1</v>
      </c>
      <c r="K1256" s="2">
        <f t="shared" si="38"/>
        <v>13.99</v>
      </c>
      <c r="L1256" t="s">
        <v>19</v>
      </c>
      <c r="M1256">
        <v>3</v>
      </c>
      <c r="N1256">
        <v>7.0000000000000007E-2</v>
      </c>
      <c r="O1256" t="str">
        <f t="shared" si="39"/>
        <v>0–0.2 hours</v>
      </c>
      <c r="P1256" t="s">
        <v>39</v>
      </c>
    </row>
    <row r="1257" spans="1:16" x14ac:dyDescent="0.4">
      <c r="A1257" t="s">
        <v>1298</v>
      </c>
      <c r="B1257">
        <v>37</v>
      </c>
      <c r="C1257" t="s">
        <v>41</v>
      </c>
      <c r="D1257" t="s">
        <v>22</v>
      </c>
      <c r="E1257">
        <v>2.4300000000000002</v>
      </c>
      <c r="F1257">
        <v>6</v>
      </c>
      <c r="G1257" t="s">
        <v>70</v>
      </c>
      <c r="H1257" t="s">
        <v>57</v>
      </c>
      <c r="I1257" s="2">
        <v>13.99</v>
      </c>
      <c r="J1257">
        <v>0</v>
      </c>
      <c r="K1257" s="2">
        <f t="shared" si="38"/>
        <v>0</v>
      </c>
      <c r="L1257" t="s">
        <v>29</v>
      </c>
      <c r="M1257">
        <v>5</v>
      </c>
      <c r="N1257">
        <v>0.35</v>
      </c>
      <c r="O1257" t="str">
        <f t="shared" si="39"/>
        <v>0.2–0.4 hours</v>
      </c>
      <c r="P1257" t="s">
        <v>39</v>
      </c>
    </row>
    <row r="1258" spans="1:16" x14ac:dyDescent="0.4">
      <c r="A1258" t="s">
        <v>1299</v>
      </c>
      <c r="B1258">
        <v>55</v>
      </c>
      <c r="C1258" t="s">
        <v>41</v>
      </c>
      <c r="D1258" t="s">
        <v>22</v>
      </c>
      <c r="E1258">
        <v>43.73</v>
      </c>
      <c r="F1258">
        <v>28</v>
      </c>
      <c r="G1258" t="s">
        <v>70</v>
      </c>
      <c r="H1258" t="s">
        <v>46</v>
      </c>
      <c r="I1258" s="2">
        <v>13.99</v>
      </c>
      <c r="J1258">
        <v>0</v>
      </c>
      <c r="K1258" s="2">
        <f t="shared" si="38"/>
        <v>0</v>
      </c>
      <c r="L1258" t="s">
        <v>43</v>
      </c>
      <c r="M1258">
        <v>4</v>
      </c>
      <c r="N1258">
        <v>1.51</v>
      </c>
      <c r="O1258" t="str">
        <f t="shared" si="39"/>
        <v>1+ hours</v>
      </c>
      <c r="P1258" t="s">
        <v>34</v>
      </c>
    </row>
    <row r="1259" spans="1:16" x14ac:dyDescent="0.4">
      <c r="A1259" t="s">
        <v>1300</v>
      </c>
      <c r="B1259">
        <v>22</v>
      </c>
      <c r="C1259" t="s">
        <v>41</v>
      </c>
      <c r="D1259" t="s">
        <v>32</v>
      </c>
      <c r="E1259">
        <v>21.47</v>
      </c>
      <c r="F1259">
        <v>51</v>
      </c>
      <c r="G1259" t="s">
        <v>49</v>
      </c>
      <c r="H1259" t="s">
        <v>18</v>
      </c>
      <c r="I1259" s="2">
        <v>17.989999999999998</v>
      </c>
      <c r="J1259">
        <v>0</v>
      </c>
      <c r="K1259" s="2">
        <f t="shared" si="38"/>
        <v>0</v>
      </c>
      <c r="L1259" t="s">
        <v>43</v>
      </c>
      <c r="M1259">
        <v>3</v>
      </c>
      <c r="N1259">
        <v>0.41</v>
      </c>
      <c r="O1259" t="str">
        <f t="shared" si="39"/>
        <v>0.4–0.6 hours</v>
      </c>
      <c r="P1259" t="s">
        <v>25</v>
      </c>
    </row>
    <row r="1260" spans="1:16" x14ac:dyDescent="0.4">
      <c r="A1260" t="s">
        <v>1301</v>
      </c>
      <c r="B1260">
        <v>18</v>
      </c>
      <c r="C1260" t="s">
        <v>15</v>
      </c>
      <c r="D1260" t="s">
        <v>32</v>
      </c>
      <c r="E1260">
        <v>16.89</v>
      </c>
      <c r="F1260">
        <v>33</v>
      </c>
      <c r="G1260" t="s">
        <v>49</v>
      </c>
      <c r="H1260" t="s">
        <v>46</v>
      </c>
      <c r="I1260" s="2">
        <v>17.989999999999998</v>
      </c>
      <c r="J1260">
        <v>0</v>
      </c>
      <c r="K1260" s="2">
        <f t="shared" si="38"/>
        <v>0</v>
      </c>
      <c r="L1260" t="s">
        <v>37</v>
      </c>
      <c r="M1260">
        <v>4</v>
      </c>
      <c r="N1260">
        <v>0.5</v>
      </c>
      <c r="O1260" t="str">
        <f t="shared" si="39"/>
        <v>0.4–0.6 hours</v>
      </c>
      <c r="P1260" t="s">
        <v>39</v>
      </c>
    </row>
    <row r="1261" spans="1:16" x14ac:dyDescent="0.4">
      <c r="A1261" t="s">
        <v>1302</v>
      </c>
      <c r="B1261">
        <v>46</v>
      </c>
      <c r="C1261" t="s">
        <v>41</v>
      </c>
      <c r="D1261" t="s">
        <v>32</v>
      </c>
      <c r="E1261">
        <v>2.96</v>
      </c>
      <c r="F1261">
        <v>33</v>
      </c>
      <c r="G1261" t="s">
        <v>49</v>
      </c>
      <c r="H1261" t="s">
        <v>18</v>
      </c>
      <c r="I1261" s="2">
        <v>17.989999999999998</v>
      </c>
      <c r="J1261">
        <v>1</v>
      </c>
      <c r="K1261" s="2">
        <f t="shared" si="38"/>
        <v>17.989999999999998</v>
      </c>
      <c r="L1261" t="s">
        <v>43</v>
      </c>
      <c r="M1261">
        <v>5</v>
      </c>
      <c r="N1261">
        <v>0.09</v>
      </c>
      <c r="O1261" t="str">
        <f t="shared" si="39"/>
        <v>0–0.2 hours</v>
      </c>
      <c r="P1261" t="s">
        <v>20</v>
      </c>
    </row>
    <row r="1262" spans="1:16" x14ac:dyDescent="0.4">
      <c r="A1262" t="s">
        <v>1303</v>
      </c>
      <c r="B1262">
        <v>49</v>
      </c>
      <c r="C1262" t="s">
        <v>15</v>
      </c>
      <c r="D1262" t="s">
        <v>32</v>
      </c>
      <c r="E1262">
        <v>22.29</v>
      </c>
      <c r="F1262">
        <v>19</v>
      </c>
      <c r="G1262" t="s">
        <v>17</v>
      </c>
      <c r="H1262" t="s">
        <v>57</v>
      </c>
      <c r="I1262" s="2">
        <v>17.989999999999998</v>
      </c>
      <c r="J1262">
        <v>0</v>
      </c>
      <c r="K1262" s="2">
        <f t="shared" si="38"/>
        <v>0</v>
      </c>
      <c r="L1262" t="s">
        <v>19</v>
      </c>
      <c r="M1262">
        <v>1</v>
      </c>
      <c r="N1262">
        <v>1.1100000000000001</v>
      </c>
      <c r="O1262" t="str">
        <f t="shared" si="39"/>
        <v>1+ hours</v>
      </c>
      <c r="P1262" t="s">
        <v>47</v>
      </c>
    </row>
    <row r="1263" spans="1:16" x14ac:dyDescent="0.4">
      <c r="A1263" t="s">
        <v>1304</v>
      </c>
      <c r="B1263">
        <v>23</v>
      </c>
      <c r="C1263" t="s">
        <v>41</v>
      </c>
      <c r="D1263" t="s">
        <v>16</v>
      </c>
      <c r="E1263">
        <v>10.37</v>
      </c>
      <c r="F1263">
        <v>30</v>
      </c>
      <c r="G1263" t="s">
        <v>33</v>
      </c>
      <c r="H1263" t="s">
        <v>57</v>
      </c>
      <c r="I1263" s="2">
        <v>8.99</v>
      </c>
      <c r="J1263">
        <v>0</v>
      </c>
      <c r="K1263" s="2">
        <f t="shared" si="38"/>
        <v>0</v>
      </c>
      <c r="L1263" t="s">
        <v>43</v>
      </c>
      <c r="M1263">
        <v>2</v>
      </c>
      <c r="N1263">
        <v>0.33</v>
      </c>
      <c r="O1263" t="str">
        <f t="shared" si="39"/>
        <v>0.2–0.4 hours</v>
      </c>
      <c r="P1263" t="s">
        <v>30</v>
      </c>
    </row>
    <row r="1264" spans="1:16" x14ac:dyDescent="0.4">
      <c r="A1264" t="s">
        <v>1305</v>
      </c>
      <c r="B1264">
        <v>24</v>
      </c>
      <c r="C1264" t="s">
        <v>27</v>
      </c>
      <c r="D1264" t="s">
        <v>16</v>
      </c>
      <c r="E1264">
        <v>21.04</v>
      </c>
      <c r="F1264">
        <v>10</v>
      </c>
      <c r="G1264" t="s">
        <v>33</v>
      </c>
      <c r="H1264" t="s">
        <v>57</v>
      </c>
      <c r="I1264" s="2">
        <v>8.99</v>
      </c>
      <c r="J1264">
        <v>0</v>
      </c>
      <c r="K1264" s="2">
        <f t="shared" si="38"/>
        <v>0</v>
      </c>
      <c r="L1264" t="s">
        <v>19</v>
      </c>
      <c r="M1264">
        <v>2</v>
      </c>
      <c r="N1264">
        <v>1.91</v>
      </c>
      <c r="O1264" t="str">
        <f t="shared" si="39"/>
        <v>1+ hours</v>
      </c>
      <c r="P1264" t="s">
        <v>20</v>
      </c>
    </row>
    <row r="1265" spans="1:16" x14ac:dyDescent="0.4">
      <c r="A1265" s="1" t="s">
        <v>1306</v>
      </c>
      <c r="B1265">
        <v>31</v>
      </c>
      <c r="C1265" t="s">
        <v>15</v>
      </c>
      <c r="D1265" t="s">
        <v>22</v>
      </c>
      <c r="E1265">
        <v>8.02</v>
      </c>
      <c r="F1265">
        <v>28</v>
      </c>
      <c r="G1265" t="s">
        <v>33</v>
      </c>
      <c r="H1265" t="s">
        <v>18</v>
      </c>
      <c r="I1265" s="2">
        <v>13.99</v>
      </c>
      <c r="J1265">
        <v>0</v>
      </c>
      <c r="K1265" s="2">
        <f t="shared" si="38"/>
        <v>0</v>
      </c>
      <c r="L1265" t="s">
        <v>19</v>
      </c>
      <c r="M1265">
        <v>5</v>
      </c>
      <c r="N1265">
        <v>0.28000000000000003</v>
      </c>
      <c r="O1265" t="str">
        <f t="shared" si="39"/>
        <v>0.2–0.4 hours</v>
      </c>
      <c r="P1265" t="s">
        <v>30</v>
      </c>
    </row>
    <row r="1266" spans="1:16" x14ac:dyDescent="0.4">
      <c r="A1266" t="s">
        <v>1307</v>
      </c>
      <c r="B1266">
        <v>66</v>
      </c>
      <c r="C1266" t="s">
        <v>27</v>
      </c>
      <c r="D1266" t="s">
        <v>22</v>
      </c>
      <c r="E1266">
        <v>18.96</v>
      </c>
      <c r="F1266">
        <v>6</v>
      </c>
      <c r="G1266" t="s">
        <v>49</v>
      </c>
      <c r="H1266" t="s">
        <v>46</v>
      </c>
      <c r="I1266" s="2">
        <v>13.99</v>
      </c>
      <c r="J1266">
        <v>0</v>
      </c>
      <c r="K1266" s="2">
        <f t="shared" si="38"/>
        <v>0</v>
      </c>
      <c r="L1266" t="s">
        <v>19</v>
      </c>
      <c r="M1266">
        <v>3</v>
      </c>
      <c r="N1266">
        <v>2.71</v>
      </c>
      <c r="O1266" t="str">
        <f t="shared" si="39"/>
        <v>1+ hours</v>
      </c>
      <c r="P1266" t="s">
        <v>20</v>
      </c>
    </row>
    <row r="1267" spans="1:16" x14ac:dyDescent="0.4">
      <c r="A1267" t="s">
        <v>1308</v>
      </c>
      <c r="B1267">
        <v>65</v>
      </c>
      <c r="C1267" t="s">
        <v>15</v>
      </c>
      <c r="D1267" t="s">
        <v>16</v>
      </c>
      <c r="E1267">
        <v>15.79</v>
      </c>
      <c r="F1267">
        <v>22</v>
      </c>
      <c r="G1267" t="s">
        <v>49</v>
      </c>
      <c r="H1267" t="s">
        <v>24</v>
      </c>
      <c r="I1267" s="2">
        <v>8.99</v>
      </c>
      <c r="J1267">
        <v>0</v>
      </c>
      <c r="K1267" s="2">
        <f t="shared" si="38"/>
        <v>0</v>
      </c>
      <c r="L1267" t="s">
        <v>37</v>
      </c>
      <c r="M1267">
        <v>5</v>
      </c>
      <c r="N1267">
        <v>0.69</v>
      </c>
      <c r="O1267" t="str">
        <f t="shared" si="39"/>
        <v>0.6–0.8 hours</v>
      </c>
      <c r="P1267" t="s">
        <v>25</v>
      </c>
    </row>
    <row r="1268" spans="1:16" x14ac:dyDescent="0.4">
      <c r="A1268" t="s">
        <v>1309</v>
      </c>
      <c r="B1268">
        <v>64</v>
      </c>
      <c r="C1268" t="s">
        <v>15</v>
      </c>
      <c r="D1268" t="s">
        <v>16</v>
      </c>
      <c r="E1268">
        <v>15.26</v>
      </c>
      <c r="F1268">
        <v>48</v>
      </c>
      <c r="G1268" t="s">
        <v>28</v>
      </c>
      <c r="H1268" t="s">
        <v>24</v>
      </c>
      <c r="I1268" s="2">
        <v>8.99</v>
      </c>
      <c r="J1268">
        <v>1</v>
      </c>
      <c r="K1268" s="2">
        <f t="shared" si="38"/>
        <v>8.99</v>
      </c>
      <c r="L1268" t="s">
        <v>61</v>
      </c>
      <c r="M1268">
        <v>1</v>
      </c>
      <c r="N1268">
        <v>0.31</v>
      </c>
      <c r="O1268" t="str">
        <f t="shared" si="39"/>
        <v>0.2–0.4 hours</v>
      </c>
      <c r="P1268" t="s">
        <v>47</v>
      </c>
    </row>
    <row r="1269" spans="1:16" x14ac:dyDescent="0.4">
      <c r="A1269" t="s">
        <v>1310</v>
      </c>
      <c r="B1269">
        <v>29</v>
      </c>
      <c r="C1269" t="s">
        <v>27</v>
      </c>
      <c r="D1269" t="s">
        <v>16</v>
      </c>
      <c r="E1269">
        <v>0.36</v>
      </c>
      <c r="F1269">
        <v>3</v>
      </c>
      <c r="G1269" t="s">
        <v>28</v>
      </c>
      <c r="H1269" t="s">
        <v>24</v>
      </c>
      <c r="I1269" s="2">
        <v>8.99</v>
      </c>
      <c r="J1269">
        <v>1</v>
      </c>
      <c r="K1269" s="2">
        <f t="shared" si="38"/>
        <v>8.99</v>
      </c>
      <c r="L1269" t="s">
        <v>37</v>
      </c>
      <c r="M1269">
        <v>4</v>
      </c>
      <c r="N1269">
        <v>0.09</v>
      </c>
      <c r="O1269" t="str">
        <f t="shared" si="39"/>
        <v>0–0.2 hours</v>
      </c>
      <c r="P1269" t="s">
        <v>34</v>
      </c>
    </row>
    <row r="1270" spans="1:16" x14ac:dyDescent="0.4">
      <c r="A1270" t="s">
        <v>1311</v>
      </c>
      <c r="B1270">
        <v>55</v>
      </c>
      <c r="C1270" t="s">
        <v>27</v>
      </c>
      <c r="D1270" t="s">
        <v>32</v>
      </c>
      <c r="E1270">
        <v>20.71</v>
      </c>
      <c r="F1270">
        <v>7</v>
      </c>
      <c r="G1270" t="s">
        <v>70</v>
      </c>
      <c r="H1270" t="s">
        <v>24</v>
      </c>
      <c r="I1270" s="2">
        <v>17.989999999999998</v>
      </c>
      <c r="J1270">
        <v>0</v>
      </c>
      <c r="K1270" s="2">
        <f t="shared" si="38"/>
        <v>0</v>
      </c>
      <c r="L1270" t="s">
        <v>37</v>
      </c>
      <c r="M1270">
        <v>5</v>
      </c>
      <c r="N1270">
        <v>2.59</v>
      </c>
      <c r="O1270" t="str">
        <f t="shared" si="39"/>
        <v>1+ hours</v>
      </c>
      <c r="P1270" t="s">
        <v>25</v>
      </c>
    </row>
    <row r="1271" spans="1:16" x14ac:dyDescent="0.4">
      <c r="A1271" t="s">
        <v>1312</v>
      </c>
      <c r="B1271">
        <v>62</v>
      </c>
      <c r="C1271" t="s">
        <v>41</v>
      </c>
      <c r="D1271" t="s">
        <v>16</v>
      </c>
      <c r="E1271">
        <v>11.99</v>
      </c>
      <c r="F1271">
        <v>7</v>
      </c>
      <c r="G1271" t="s">
        <v>23</v>
      </c>
      <c r="H1271" t="s">
        <v>18</v>
      </c>
      <c r="I1271" s="2">
        <v>8.99</v>
      </c>
      <c r="J1271">
        <v>0</v>
      </c>
      <c r="K1271" s="2">
        <f t="shared" si="38"/>
        <v>0</v>
      </c>
      <c r="L1271" t="s">
        <v>43</v>
      </c>
      <c r="M1271">
        <v>2</v>
      </c>
      <c r="N1271">
        <v>1.5</v>
      </c>
      <c r="O1271" t="str">
        <f t="shared" si="39"/>
        <v>1+ hours</v>
      </c>
      <c r="P1271" t="s">
        <v>39</v>
      </c>
    </row>
    <row r="1272" spans="1:16" x14ac:dyDescent="0.4">
      <c r="A1272" t="s">
        <v>1313</v>
      </c>
      <c r="B1272">
        <v>59</v>
      </c>
      <c r="C1272" t="s">
        <v>27</v>
      </c>
      <c r="D1272" t="s">
        <v>16</v>
      </c>
      <c r="E1272">
        <v>0.75</v>
      </c>
      <c r="F1272">
        <v>6</v>
      </c>
      <c r="G1272" t="s">
        <v>33</v>
      </c>
      <c r="H1272" t="s">
        <v>18</v>
      </c>
      <c r="I1272" s="2">
        <v>8.99</v>
      </c>
      <c r="J1272">
        <v>1</v>
      </c>
      <c r="K1272" s="2">
        <f t="shared" si="38"/>
        <v>8.99</v>
      </c>
      <c r="L1272" t="s">
        <v>37</v>
      </c>
      <c r="M1272">
        <v>3</v>
      </c>
      <c r="N1272">
        <v>0.11</v>
      </c>
      <c r="O1272" t="str">
        <f t="shared" si="39"/>
        <v>0–0.2 hours</v>
      </c>
      <c r="P1272" t="s">
        <v>39</v>
      </c>
    </row>
    <row r="1273" spans="1:16" x14ac:dyDescent="0.4">
      <c r="A1273" t="s">
        <v>1314</v>
      </c>
      <c r="B1273">
        <v>55</v>
      </c>
      <c r="C1273" t="s">
        <v>15</v>
      </c>
      <c r="D1273" t="s">
        <v>22</v>
      </c>
      <c r="E1273">
        <v>3.19</v>
      </c>
      <c r="F1273">
        <v>45</v>
      </c>
      <c r="G1273" t="s">
        <v>49</v>
      </c>
      <c r="H1273" t="s">
        <v>24</v>
      </c>
      <c r="I1273" s="2">
        <v>13.99</v>
      </c>
      <c r="J1273">
        <v>1</v>
      </c>
      <c r="K1273" s="2">
        <f t="shared" si="38"/>
        <v>13.99</v>
      </c>
      <c r="L1273" t="s">
        <v>19</v>
      </c>
      <c r="M1273">
        <v>2</v>
      </c>
      <c r="N1273">
        <v>7.0000000000000007E-2</v>
      </c>
      <c r="O1273" t="str">
        <f t="shared" si="39"/>
        <v>0–0.2 hours</v>
      </c>
      <c r="P1273" t="s">
        <v>47</v>
      </c>
    </row>
    <row r="1274" spans="1:16" x14ac:dyDescent="0.4">
      <c r="A1274" t="s">
        <v>1315</v>
      </c>
      <c r="B1274">
        <v>52</v>
      </c>
      <c r="C1274" t="s">
        <v>41</v>
      </c>
      <c r="D1274" t="s">
        <v>32</v>
      </c>
      <c r="E1274">
        <v>1.92</v>
      </c>
      <c r="F1274">
        <v>0</v>
      </c>
      <c r="G1274" t="s">
        <v>70</v>
      </c>
      <c r="H1274" t="s">
        <v>18</v>
      </c>
      <c r="I1274" s="2">
        <v>17.989999999999998</v>
      </c>
      <c r="J1274">
        <v>0</v>
      </c>
      <c r="K1274" s="2">
        <f t="shared" si="38"/>
        <v>0</v>
      </c>
      <c r="L1274" t="s">
        <v>37</v>
      </c>
      <c r="M1274">
        <v>4</v>
      </c>
      <c r="N1274">
        <v>1.92</v>
      </c>
      <c r="O1274" t="str">
        <f t="shared" si="39"/>
        <v>1+ hours</v>
      </c>
      <c r="P1274" t="s">
        <v>20</v>
      </c>
    </row>
    <row r="1275" spans="1:16" x14ac:dyDescent="0.4">
      <c r="A1275" t="s">
        <v>1316</v>
      </c>
      <c r="B1275">
        <v>26</v>
      </c>
      <c r="C1275" t="s">
        <v>41</v>
      </c>
      <c r="D1275" t="s">
        <v>16</v>
      </c>
      <c r="E1275">
        <v>2.04</v>
      </c>
      <c r="F1275">
        <v>59</v>
      </c>
      <c r="G1275" t="s">
        <v>49</v>
      </c>
      <c r="H1275" t="s">
        <v>46</v>
      </c>
      <c r="I1275" s="2">
        <v>8.99</v>
      </c>
      <c r="J1275">
        <v>1</v>
      </c>
      <c r="K1275" s="2">
        <f t="shared" si="38"/>
        <v>8.99</v>
      </c>
      <c r="L1275" t="s">
        <v>61</v>
      </c>
      <c r="M1275">
        <v>5</v>
      </c>
      <c r="N1275">
        <v>0.03</v>
      </c>
      <c r="O1275" t="str">
        <f t="shared" si="39"/>
        <v>0–0.2 hours</v>
      </c>
      <c r="P1275" t="s">
        <v>30</v>
      </c>
    </row>
    <row r="1276" spans="1:16" x14ac:dyDescent="0.4">
      <c r="A1276" t="s">
        <v>1317</v>
      </c>
      <c r="B1276">
        <v>25</v>
      </c>
      <c r="C1276" t="s">
        <v>41</v>
      </c>
      <c r="D1276" t="s">
        <v>22</v>
      </c>
      <c r="E1276">
        <v>30.99</v>
      </c>
      <c r="F1276">
        <v>52</v>
      </c>
      <c r="G1276" t="s">
        <v>23</v>
      </c>
      <c r="H1276" t="s">
        <v>18</v>
      </c>
      <c r="I1276" s="2">
        <v>13.99</v>
      </c>
      <c r="J1276">
        <v>0</v>
      </c>
      <c r="K1276" s="2">
        <f t="shared" si="38"/>
        <v>0</v>
      </c>
      <c r="L1276" t="s">
        <v>19</v>
      </c>
      <c r="M1276">
        <v>4</v>
      </c>
      <c r="N1276">
        <v>0.57999999999999996</v>
      </c>
      <c r="O1276" t="str">
        <f t="shared" si="39"/>
        <v>0.4–0.6 hours</v>
      </c>
      <c r="P1276" t="s">
        <v>34</v>
      </c>
    </row>
    <row r="1277" spans="1:16" x14ac:dyDescent="0.4">
      <c r="A1277" t="s">
        <v>1318</v>
      </c>
      <c r="B1277">
        <v>33</v>
      </c>
      <c r="C1277" t="s">
        <v>15</v>
      </c>
      <c r="D1277" t="s">
        <v>16</v>
      </c>
      <c r="E1277">
        <v>20.059999999999999</v>
      </c>
      <c r="F1277">
        <v>32</v>
      </c>
      <c r="G1277" t="s">
        <v>49</v>
      </c>
      <c r="H1277" t="s">
        <v>57</v>
      </c>
      <c r="I1277" s="2">
        <v>8.99</v>
      </c>
      <c r="J1277">
        <v>0</v>
      </c>
      <c r="K1277" s="2">
        <f t="shared" si="38"/>
        <v>0</v>
      </c>
      <c r="L1277" t="s">
        <v>37</v>
      </c>
      <c r="M1277">
        <v>3</v>
      </c>
      <c r="N1277">
        <v>0.61</v>
      </c>
      <c r="O1277" t="str">
        <f t="shared" si="39"/>
        <v>0.6–0.8 hours</v>
      </c>
      <c r="P1277" t="s">
        <v>30</v>
      </c>
    </row>
    <row r="1278" spans="1:16" x14ac:dyDescent="0.4">
      <c r="A1278" t="s">
        <v>1319</v>
      </c>
      <c r="B1278">
        <v>40</v>
      </c>
      <c r="C1278" t="s">
        <v>27</v>
      </c>
      <c r="D1278" t="s">
        <v>32</v>
      </c>
      <c r="E1278">
        <v>3.91</v>
      </c>
      <c r="F1278">
        <v>53</v>
      </c>
      <c r="G1278" t="s">
        <v>23</v>
      </c>
      <c r="H1278" t="s">
        <v>24</v>
      </c>
      <c r="I1278" s="2">
        <v>17.989999999999998</v>
      </c>
      <c r="J1278">
        <v>1</v>
      </c>
      <c r="K1278" s="2">
        <f t="shared" si="38"/>
        <v>17.989999999999998</v>
      </c>
      <c r="L1278" t="s">
        <v>43</v>
      </c>
      <c r="M1278">
        <v>4</v>
      </c>
      <c r="N1278">
        <v>7.0000000000000007E-2</v>
      </c>
      <c r="O1278" t="str">
        <f t="shared" si="39"/>
        <v>0–0.2 hours</v>
      </c>
      <c r="P1278" t="s">
        <v>20</v>
      </c>
    </row>
    <row r="1279" spans="1:16" x14ac:dyDescent="0.4">
      <c r="A1279" t="s">
        <v>1320</v>
      </c>
      <c r="B1279">
        <v>55</v>
      </c>
      <c r="C1279" t="s">
        <v>15</v>
      </c>
      <c r="D1279" t="s">
        <v>32</v>
      </c>
      <c r="E1279">
        <v>1.98</v>
      </c>
      <c r="F1279">
        <v>25</v>
      </c>
      <c r="G1279" t="s">
        <v>49</v>
      </c>
      <c r="H1279" t="s">
        <v>24</v>
      </c>
      <c r="I1279" s="2">
        <v>17.989999999999998</v>
      </c>
      <c r="J1279">
        <v>1</v>
      </c>
      <c r="K1279" s="2">
        <f t="shared" si="38"/>
        <v>17.989999999999998</v>
      </c>
      <c r="L1279" t="s">
        <v>19</v>
      </c>
      <c r="M1279">
        <v>2</v>
      </c>
      <c r="N1279">
        <v>0.08</v>
      </c>
      <c r="O1279" t="str">
        <f t="shared" si="39"/>
        <v>0–0.2 hours</v>
      </c>
      <c r="P1279" t="s">
        <v>39</v>
      </c>
    </row>
    <row r="1280" spans="1:16" x14ac:dyDescent="0.4">
      <c r="A1280" t="s">
        <v>1321</v>
      </c>
      <c r="B1280">
        <v>67</v>
      </c>
      <c r="C1280" t="s">
        <v>27</v>
      </c>
      <c r="D1280" t="s">
        <v>16</v>
      </c>
      <c r="E1280">
        <v>5.74</v>
      </c>
      <c r="F1280">
        <v>1</v>
      </c>
      <c r="G1280" t="s">
        <v>17</v>
      </c>
      <c r="H1280" t="s">
        <v>46</v>
      </c>
      <c r="I1280" s="2">
        <v>8.99</v>
      </c>
      <c r="J1280">
        <v>0</v>
      </c>
      <c r="K1280" s="2">
        <f t="shared" si="38"/>
        <v>0</v>
      </c>
      <c r="L1280" t="s">
        <v>61</v>
      </c>
      <c r="M1280">
        <v>5</v>
      </c>
      <c r="N1280">
        <v>2.87</v>
      </c>
      <c r="O1280" t="str">
        <f t="shared" si="39"/>
        <v>1+ hours</v>
      </c>
      <c r="P1280" t="s">
        <v>30</v>
      </c>
    </row>
    <row r="1281" spans="1:16" x14ac:dyDescent="0.4">
      <c r="A1281" t="s">
        <v>1322</v>
      </c>
      <c r="B1281">
        <v>62</v>
      </c>
      <c r="C1281" t="s">
        <v>27</v>
      </c>
      <c r="D1281" t="s">
        <v>16</v>
      </c>
      <c r="E1281">
        <v>1.04</v>
      </c>
      <c r="F1281">
        <v>16</v>
      </c>
      <c r="G1281" t="s">
        <v>70</v>
      </c>
      <c r="H1281" t="s">
        <v>24</v>
      </c>
      <c r="I1281" s="2">
        <v>8.99</v>
      </c>
      <c r="J1281">
        <v>1</v>
      </c>
      <c r="K1281" s="2">
        <f t="shared" si="38"/>
        <v>8.99</v>
      </c>
      <c r="L1281" t="s">
        <v>61</v>
      </c>
      <c r="M1281">
        <v>5</v>
      </c>
      <c r="N1281">
        <v>0.06</v>
      </c>
      <c r="O1281" t="str">
        <f t="shared" si="39"/>
        <v>0–0.2 hours</v>
      </c>
      <c r="P1281" t="s">
        <v>47</v>
      </c>
    </row>
    <row r="1282" spans="1:16" x14ac:dyDescent="0.4">
      <c r="A1282" t="s">
        <v>1323</v>
      </c>
      <c r="B1282">
        <v>69</v>
      </c>
      <c r="C1282" t="s">
        <v>27</v>
      </c>
      <c r="D1282" t="s">
        <v>22</v>
      </c>
      <c r="E1282">
        <v>3.47</v>
      </c>
      <c r="F1282">
        <v>58</v>
      </c>
      <c r="G1282" t="s">
        <v>49</v>
      </c>
      <c r="H1282" t="s">
        <v>46</v>
      </c>
      <c r="I1282" s="2">
        <v>13.99</v>
      </c>
      <c r="J1282">
        <v>1</v>
      </c>
      <c r="K1282" s="2">
        <f t="shared" si="38"/>
        <v>13.99</v>
      </c>
      <c r="L1282" t="s">
        <v>19</v>
      </c>
      <c r="M1282">
        <v>3</v>
      </c>
      <c r="N1282">
        <v>0.06</v>
      </c>
      <c r="O1282" t="str">
        <f t="shared" si="39"/>
        <v>0–0.2 hours</v>
      </c>
      <c r="P1282" t="s">
        <v>47</v>
      </c>
    </row>
    <row r="1283" spans="1:16" x14ac:dyDescent="0.4">
      <c r="A1283" t="s">
        <v>1324</v>
      </c>
      <c r="B1283">
        <v>53</v>
      </c>
      <c r="C1283" t="s">
        <v>27</v>
      </c>
      <c r="D1283" t="s">
        <v>32</v>
      </c>
      <c r="E1283">
        <v>10.75</v>
      </c>
      <c r="F1283">
        <v>48</v>
      </c>
      <c r="G1283" t="s">
        <v>49</v>
      </c>
      <c r="H1283" t="s">
        <v>24</v>
      </c>
      <c r="I1283" s="2">
        <v>17.989999999999998</v>
      </c>
      <c r="J1283">
        <v>0</v>
      </c>
      <c r="K1283" s="2">
        <f t="shared" ref="K1283:K1346" si="40">SUMIF(J1283,1,I1283)</f>
        <v>0</v>
      </c>
      <c r="L1283" t="s">
        <v>43</v>
      </c>
      <c r="M1283">
        <v>4</v>
      </c>
      <c r="N1283">
        <v>0.22</v>
      </c>
      <c r="O1283" t="str">
        <f t="shared" ref="O1283:O1346" si="41">IF(N1283&gt;1,"1+ hours",IF(N1283&lt;=0.2,"0–0.2 hours",IF(N1283&lt;=0.4,"0.2–0.4 hours",IF(N1283&lt;=0.6,"0.4–0.6 hours",IF(N1283&lt;=0.8,"0.6–0.8 hours","0.8–1 hour")))))</f>
        <v>0.2–0.4 hours</v>
      </c>
      <c r="P1283" t="s">
        <v>25</v>
      </c>
    </row>
    <row r="1284" spans="1:16" x14ac:dyDescent="0.4">
      <c r="A1284" t="s">
        <v>1325</v>
      </c>
      <c r="B1284">
        <v>20</v>
      </c>
      <c r="C1284" t="s">
        <v>41</v>
      </c>
      <c r="D1284" t="s">
        <v>16</v>
      </c>
      <c r="E1284">
        <v>14.05</v>
      </c>
      <c r="F1284">
        <v>12</v>
      </c>
      <c r="G1284" t="s">
        <v>28</v>
      </c>
      <c r="H1284" t="s">
        <v>24</v>
      </c>
      <c r="I1284" s="2">
        <v>8.99</v>
      </c>
      <c r="J1284">
        <v>0</v>
      </c>
      <c r="K1284" s="2">
        <f t="shared" si="40"/>
        <v>0</v>
      </c>
      <c r="L1284" t="s">
        <v>19</v>
      </c>
      <c r="M1284">
        <v>2</v>
      </c>
      <c r="N1284">
        <v>1.08</v>
      </c>
      <c r="O1284" t="str">
        <f t="shared" si="41"/>
        <v>1+ hours</v>
      </c>
      <c r="P1284" t="s">
        <v>39</v>
      </c>
    </row>
    <row r="1285" spans="1:16" x14ac:dyDescent="0.4">
      <c r="A1285" t="s">
        <v>1326</v>
      </c>
      <c r="B1285">
        <v>60</v>
      </c>
      <c r="C1285" t="s">
        <v>41</v>
      </c>
      <c r="D1285" t="s">
        <v>32</v>
      </c>
      <c r="E1285">
        <v>10.71</v>
      </c>
      <c r="F1285">
        <v>53</v>
      </c>
      <c r="G1285" t="s">
        <v>49</v>
      </c>
      <c r="H1285" t="s">
        <v>55</v>
      </c>
      <c r="I1285" s="2">
        <v>17.989999999999998</v>
      </c>
      <c r="J1285">
        <v>1</v>
      </c>
      <c r="K1285" s="2">
        <f t="shared" si="40"/>
        <v>17.989999999999998</v>
      </c>
      <c r="L1285" t="s">
        <v>61</v>
      </c>
      <c r="M1285">
        <v>1</v>
      </c>
      <c r="N1285">
        <v>0.2</v>
      </c>
      <c r="O1285" t="str">
        <f t="shared" si="41"/>
        <v>0–0.2 hours</v>
      </c>
      <c r="P1285" t="s">
        <v>52</v>
      </c>
    </row>
    <row r="1286" spans="1:16" x14ac:dyDescent="0.4">
      <c r="A1286" t="s">
        <v>1327</v>
      </c>
      <c r="B1286">
        <v>56</v>
      </c>
      <c r="C1286" t="s">
        <v>15</v>
      </c>
      <c r="D1286" t="s">
        <v>16</v>
      </c>
      <c r="E1286">
        <v>4.78</v>
      </c>
      <c r="F1286">
        <v>51</v>
      </c>
      <c r="G1286" t="s">
        <v>33</v>
      </c>
      <c r="H1286" t="s">
        <v>55</v>
      </c>
      <c r="I1286" s="2">
        <v>8.99</v>
      </c>
      <c r="J1286">
        <v>1</v>
      </c>
      <c r="K1286" s="2">
        <f t="shared" si="40"/>
        <v>8.99</v>
      </c>
      <c r="L1286" t="s">
        <v>19</v>
      </c>
      <c r="M1286">
        <v>1</v>
      </c>
      <c r="N1286">
        <v>0.09</v>
      </c>
      <c r="O1286" t="str">
        <f t="shared" si="41"/>
        <v>0–0.2 hours</v>
      </c>
      <c r="P1286" t="s">
        <v>39</v>
      </c>
    </row>
    <row r="1287" spans="1:16" x14ac:dyDescent="0.4">
      <c r="A1287" t="s">
        <v>1328</v>
      </c>
      <c r="B1287">
        <v>65</v>
      </c>
      <c r="C1287" t="s">
        <v>15</v>
      </c>
      <c r="D1287" t="s">
        <v>32</v>
      </c>
      <c r="E1287">
        <v>4.1100000000000003</v>
      </c>
      <c r="F1287">
        <v>41</v>
      </c>
      <c r="G1287" t="s">
        <v>28</v>
      </c>
      <c r="H1287" t="s">
        <v>24</v>
      </c>
      <c r="I1287" s="2">
        <v>17.989999999999998</v>
      </c>
      <c r="J1287">
        <v>1</v>
      </c>
      <c r="K1287" s="2">
        <f t="shared" si="40"/>
        <v>17.989999999999998</v>
      </c>
      <c r="L1287" t="s">
        <v>19</v>
      </c>
      <c r="M1287">
        <v>2</v>
      </c>
      <c r="N1287">
        <v>0.1</v>
      </c>
      <c r="O1287" t="str">
        <f t="shared" si="41"/>
        <v>0–0.2 hours</v>
      </c>
      <c r="P1287" t="s">
        <v>30</v>
      </c>
    </row>
    <row r="1288" spans="1:16" x14ac:dyDescent="0.4">
      <c r="A1288" t="s">
        <v>1329</v>
      </c>
      <c r="B1288">
        <v>67</v>
      </c>
      <c r="C1288" t="s">
        <v>41</v>
      </c>
      <c r="D1288" t="s">
        <v>16</v>
      </c>
      <c r="E1288">
        <v>6.47</v>
      </c>
      <c r="F1288">
        <v>47</v>
      </c>
      <c r="G1288" t="s">
        <v>23</v>
      </c>
      <c r="H1288" t="s">
        <v>18</v>
      </c>
      <c r="I1288" s="2">
        <v>8.99</v>
      </c>
      <c r="J1288">
        <v>1</v>
      </c>
      <c r="K1288" s="2">
        <f t="shared" si="40"/>
        <v>8.99</v>
      </c>
      <c r="L1288" t="s">
        <v>43</v>
      </c>
      <c r="M1288">
        <v>2</v>
      </c>
      <c r="N1288">
        <v>0.13</v>
      </c>
      <c r="O1288" t="str">
        <f t="shared" si="41"/>
        <v>0–0.2 hours</v>
      </c>
      <c r="P1288" t="s">
        <v>25</v>
      </c>
    </row>
    <row r="1289" spans="1:16" x14ac:dyDescent="0.4">
      <c r="A1289" t="s">
        <v>1330</v>
      </c>
      <c r="B1289">
        <v>58</v>
      </c>
      <c r="C1289" t="s">
        <v>15</v>
      </c>
      <c r="D1289" t="s">
        <v>16</v>
      </c>
      <c r="E1289">
        <v>10.29</v>
      </c>
      <c r="F1289">
        <v>26</v>
      </c>
      <c r="G1289" t="s">
        <v>49</v>
      </c>
      <c r="H1289" t="s">
        <v>24</v>
      </c>
      <c r="I1289" s="2">
        <v>8.99</v>
      </c>
      <c r="J1289">
        <v>1</v>
      </c>
      <c r="K1289" s="2">
        <f t="shared" si="40"/>
        <v>8.99</v>
      </c>
      <c r="L1289" t="s">
        <v>43</v>
      </c>
      <c r="M1289">
        <v>1</v>
      </c>
      <c r="N1289">
        <v>0.38</v>
      </c>
      <c r="O1289" t="str">
        <f t="shared" si="41"/>
        <v>0.2–0.4 hours</v>
      </c>
      <c r="P1289" t="s">
        <v>39</v>
      </c>
    </row>
    <row r="1290" spans="1:16" x14ac:dyDescent="0.4">
      <c r="A1290" t="s">
        <v>1331</v>
      </c>
      <c r="B1290">
        <v>65</v>
      </c>
      <c r="C1290" t="s">
        <v>27</v>
      </c>
      <c r="D1290" t="s">
        <v>16</v>
      </c>
      <c r="E1290">
        <v>10.17</v>
      </c>
      <c r="F1290">
        <v>19</v>
      </c>
      <c r="G1290" t="s">
        <v>28</v>
      </c>
      <c r="H1290" t="s">
        <v>24</v>
      </c>
      <c r="I1290" s="2">
        <v>8.99</v>
      </c>
      <c r="J1290">
        <v>0</v>
      </c>
      <c r="K1290" s="2">
        <f t="shared" si="40"/>
        <v>0</v>
      </c>
      <c r="L1290" t="s">
        <v>37</v>
      </c>
      <c r="M1290">
        <v>5</v>
      </c>
      <c r="N1290">
        <v>0.51</v>
      </c>
      <c r="O1290" t="str">
        <f t="shared" si="41"/>
        <v>0.4–0.6 hours</v>
      </c>
      <c r="P1290" t="s">
        <v>52</v>
      </c>
    </row>
    <row r="1291" spans="1:16" x14ac:dyDescent="0.4">
      <c r="A1291" t="s">
        <v>1332</v>
      </c>
      <c r="B1291">
        <v>63</v>
      </c>
      <c r="C1291" t="s">
        <v>27</v>
      </c>
      <c r="D1291" t="s">
        <v>16</v>
      </c>
      <c r="E1291">
        <v>22.9</v>
      </c>
      <c r="F1291">
        <v>11</v>
      </c>
      <c r="G1291" t="s">
        <v>23</v>
      </c>
      <c r="H1291" t="s">
        <v>18</v>
      </c>
      <c r="I1291" s="2">
        <v>8.99</v>
      </c>
      <c r="J1291">
        <v>0</v>
      </c>
      <c r="K1291" s="2">
        <f t="shared" si="40"/>
        <v>0</v>
      </c>
      <c r="L1291" t="s">
        <v>61</v>
      </c>
      <c r="M1291">
        <v>1</v>
      </c>
      <c r="N1291">
        <v>1.91</v>
      </c>
      <c r="O1291" t="str">
        <f t="shared" si="41"/>
        <v>1+ hours</v>
      </c>
      <c r="P1291" t="s">
        <v>39</v>
      </c>
    </row>
    <row r="1292" spans="1:16" x14ac:dyDescent="0.4">
      <c r="A1292" s="1" t="s">
        <v>1333</v>
      </c>
      <c r="B1292">
        <v>38</v>
      </c>
      <c r="C1292" t="s">
        <v>15</v>
      </c>
      <c r="D1292" t="s">
        <v>32</v>
      </c>
      <c r="E1292">
        <v>8.36</v>
      </c>
      <c r="F1292">
        <v>1</v>
      </c>
      <c r="G1292" t="s">
        <v>49</v>
      </c>
      <c r="H1292" t="s">
        <v>18</v>
      </c>
      <c r="I1292" s="2">
        <v>17.989999999999998</v>
      </c>
      <c r="J1292">
        <v>0</v>
      </c>
      <c r="K1292" s="2">
        <f t="shared" si="40"/>
        <v>0</v>
      </c>
      <c r="L1292" t="s">
        <v>19</v>
      </c>
      <c r="M1292">
        <v>2</v>
      </c>
      <c r="N1292">
        <v>4.18</v>
      </c>
      <c r="O1292" t="str">
        <f t="shared" si="41"/>
        <v>1+ hours</v>
      </c>
      <c r="P1292" t="s">
        <v>30</v>
      </c>
    </row>
    <row r="1293" spans="1:16" x14ac:dyDescent="0.4">
      <c r="A1293" t="s">
        <v>1334</v>
      </c>
      <c r="B1293">
        <v>31</v>
      </c>
      <c r="C1293" t="s">
        <v>41</v>
      </c>
      <c r="D1293" t="s">
        <v>16</v>
      </c>
      <c r="E1293">
        <v>11.96</v>
      </c>
      <c r="F1293">
        <v>6</v>
      </c>
      <c r="G1293" t="s">
        <v>17</v>
      </c>
      <c r="H1293" t="s">
        <v>46</v>
      </c>
      <c r="I1293" s="2">
        <v>8.99</v>
      </c>
      <c r="J1293">
        <v>0</v>
      </c>
      <c r="K1293" s="2">
        <f t="shared" si="40"/>
        <v>0</v>
      </c>
      <c r="L1293" t="s">
        <v>43</v>
      </c>
      <c r="M1293">
        <v>4</v>
      </c>
      <c r="N1293">
        <v>1.71</v>
      </c>
      <c r="O1293" t="str">
        <f t="shared" si="41"/>
        <v>1+ hours</v>
      </c>
      <c r="P1293" t="s">
        <v>25</v>
      </c>
    </row>
    <row r="1294" spans="1:16" x14ac:dyDescent="0.4">
      <c r="A1294" t="s">
        <v>1335</v>
      </c>
      <c r="B1294">
        <v>23</v>
      </c>
      <c r="C1294" t="s">
        <v>15</v>
      </c>
      <c r="D1294" t="s">
        <v>22</v>
      </c>
      <c r="E1294">
        <v>3.04</v>
      </c>
      <c r="F1294">
        <v>48</v>
      </c>
      <c r="G1294" t="s">
        <v>23</v>
      </c>
      <c r="H1294" t="s">
        <v>57</v>
      </c>
      <c r="I1294" s="2">
        <v>13.99</v>
      </c>
      <c r="J1294">
        <v>1</v>
      </c>
      <c r="K1294" s="2">
        <f t="shared" si="40"/>
        <v>13.99</v>
      </c>
      <c r="L1294" t="s">
        <v>29</v>
      </c>
      <c r="M1294">
        <v>2</v>
      </c>
      <c r="N1294">
        <v>0.06</v>
      </c>
      <c r="O1294" t="str">
        <f t="shared" si="41"/>
        <v>0–0.2 hours</v>
      </c>
      <c r="P1294" t="s">
        <v>34</v>
      </c>
    </row>
    <row r="1295" spans="1:16" x14ac:dyDescent="0.4">
      <c r="A1295" t="s">
        <v>1336</v>
      </c>
      <c r="B1295">
        <v>27</v>
      </c>
      <c r="C1295" t="s">
        <v>27</v>
      </c>
      <c r="D1295" t="s">
        <v>22</v>
      </c>
      <c r="E1295">
        <v>0.21</v>
      </c>
      <c r="F1295">
        <v>44</v>
      </c>
      <c r="G1295" t="s">
        <v>17</v>
      </c>
      <c r="H1295" t="s">
        <v>24</v>
      </c>
      <c r="I1295" s="2">
        <v>13.99</v>
      </c>
      <c r="J1295">
        <v>1</v>
      </c>
      <c r="K1295" s="2">
        <f t="shared" si="40"/>
        <v>13.99</v>
      </c>
      <c r="L1295" t="s">
        <v>19</v>
      </c>
      <c r="M1295">
        <v>3</v>
      </c>
      <c r="N1295">
        <v>0</v>
      </c>
      <c r="O1295" t="str">
        <f t="shared" si="41"/>
        <v>0–0.2 hours</v>
      </c>
      <c r="P1295" t="s">
        <v>52</v>
      </c>
    </row>
    <row r="1296" spans="1:16" x14ac:dyDescent="0.4">
      <c r="A1296" t="s">
        <v>1337</v>
      </c>
      <c r="B1296">
        <v>46</v>
      </c>
      <c r="C1296" t="s">
        <v>27</v>
      </c>
      <c r="D1296" t="s">
        <v>16</v>
      </c>
      <c r="E1296">
        <v>5.62</v>
      </c>
      <c r="F1296">
        <v>58</v>
      </c>
      <c r="G1296" t="s">
        <v>23</v>
      </c>
      <c r="H1296" t="s">
        <v>24</v>
      </c>
      <c r="I1296" s="2">
        <v>8.99</v>
      </c>
      <c r="J1296">
        <v>1</v>
      </c>
      <c r="K1296" s="2">
        <f t="shared" si="40"/>
        <v>8.99</v>
      </c>
      <c r="L1296" t="s">
        <v>43</v>
      </c>
      <c r="M1296">
        <v>4</v>
      </c>
      <c r="N1296">
        <v>0.1</v>
      </c>
      <c r="O1296" t="str">
        <f t="shared" si="41"/>
        <v>0–0.2 hours</v>
      </c>
      <c r="P1296" t="s">
        <v>52</v>
      </c>
    </row>
    <row r="1297" spans="1:16" x14ac:dyDescent="0.4">
      <c r="A1297" t="s">
        <v>1338</v>
      </c>
      <c r="B1297">
        <v>62</v>
      </c>
      <c r="C1297" t="s">
        <v>41</v>
      </c>
      <c r="D1297" t="s">
        <v>16</v>
      </c>
      <c r="E1297">
        <v>14.73</v>
      </c>
      <c r="F1297">
        <v>23</v>
      </c>
      <c r="G1297" t="s">
        <v>17</v>
      </c>
      <c r="H1297" t="s">
        <v>55</v>
      </c>
      <c r="I1297" s="2">
        <v>8.99</v>
      </c>
      <c r="J1297">
        <v>0</v>
      </c>
      <c r="K1297" s="2">
        <f t="shared" si="40"/>
        <v>0</v>
      </c>
      <c r="L1297" t="s">
        <v>29</v>
      </c>
      <c r="M1297">
        <v>1</v>
      </c>
      <c r="N1297">
        <v>0.61</v>
      </c>
      <c r="O1297" t="str">
        <f t="shared" si="41"/>
        <v>0.6–0.8 hours</v>
      </c>
      <c r="P1297" t="s">
        <v>39</v>
      </c>
    </row>
    <row r="1298" spans="1:16" x14ac:dyDescent="0.4">
      <c r="A1298" t="s">
        <v>1339</v>
      </c>
      <c r="B1298">
        <v>25</v>
      </c>
      <c r="C1298" t="s">
        <v>27</v>
      </c>
      <c r="D1298" t="s">
        <v>16</v>
      </c>
      <c r="E1298">
        <v>21.23</v>
      </c>
      <c r="F1298">
        <v>10</v>
      </c>
      <c r="G1298" t="s">
        <v>17</v>
      </c>
      <c r="H1298" t="s">
        <v>46</v>
      </c>
      <c r="I1298" s="2">
        <v>8.99</v>
      </c>
      <c r="J1298">
        <v>0</v>
      </c>
      <c r="K1298" s="2">
        <f t="shared" si="40"/>
        <v>0</v>
      </c>
      <c r="L1298" t="s">
        <v>37</v>
      </c>
      <c r="M1298">
        <v>1</v>
      </c>
      <c r="N1298">
        <v>1.93</v>
      </c>
      <c r="O1298" t="str">
        <f t="shared" si="41"/>
        <v>1+ hours</v>
      </c>
      <c r="P1298" t="s">
        <v>34</v>
      </c>
    </row>
    <row r="1299" spans="1:16" x14ac:dyDescent="0.4">
      <c r="A1299" t="s">
        <v>1340</v>
      </c>
      <c r="B1299">
        <v>24</v>
      </c>
      <c r="C1299" t="s">
        <v>27</v>
      </c>
      <c r="D1299" t="s">
        <v>32</v>
      </c>
      <c r="E1299">
        <v>0.65</v>
      </c>
      <c r="F1299">
        <v>34</v>
      </c>
      <c r="G1299" t="s">
        <v>17</v>
      </c>
      <c r="H1299" t="s">
        <v>24</v>
      </c>
      <c r="I1299" s="2">
        <v>17.989999999999998</v>
      </c>
      <c r="J1299">
        <v>1</v>
      </c>
      <c r="K1299" s="2">
        <f t="shared" si="40"/>
        <v>17.989999999999998</v>
      </c>
      <c r="L1299" t="s">
        <v>19</v>
      </c>
      <c r="M1299">
        <v>4</v>
      </c>
      <c r="N1299">
        <v>0.02</v>
      </c>
      <c r="O1299" t="str">
        <f t="shared" si="41"/>
        <v>0–0.2 hours</v>
      </c>
      <c r="P1299" t="s">
        <v>30</v>
      </c>
    </row>
    <row r="1300" spans="1:16" x14ac:dyDescent="0.4">
      <c r="A1300" t="s">
        <v>1341</v>
      </c>
      <c r="B1300">
        <v>18</v>
      </c>
      <c r="C1300" t="s">
        <v>15</v>
      </c>
      <c r="D1300" t="s">
        <v>32</v>
      </c>
      <c r="E1300">
        <v>17.010000000000002</v>
      </c>
      <c r="F1300">
        <v>43</v>
      </c>
      <c r="G1300" t="s">
        <v>49</v>
      </c>
      <c r="H1300" t="s">
        <v>55</v>
      </c>
      <c r="I1300" s="2">
        <v>17.989999999999998</v>
      </c>
      <c r="J1300">
        <v>1</v>
      </c>
      <c r="K1300" s="2">
        <f t="shared" si="40"/>
        <v>17.989999999999998</v>
      </c>
      <c r="L1300" t="s">
        <v>43</v>
      </c>
      <c r="M1300">
        <v>2</v>
      </c>
      <c r="N1300">
        <v>0.39</v>
      </c>
      <c r="O1300" t="str">
        <f t="shared" si="41"/>
        <v>0.2–0.4 hours</v>
      </c>
      <c r="P1300" t="s">
        <v>30</v>
      </c>
    </row>
    <row r="1301" spans="1:16" x14ac:dyDescent="0.4">
      <c r="A1301" t="s">
        <v>1342</v>
      </c>
      <c r="B1301">
        <v>45</v>
      </c>
      <c r="C1301" t="s">
        <v>27</v>
      </c>
      <c r="D1301" t="s">
        <v>32</v>
      </c>
      <c r="E1301">
        <v>15.57</v>
      </c>
      <c r="F1301">
        <v>24</v>
      </c>
      <c r="G1301" t="s">
        <v>23</v>
      </c>
      <c r="H1301" t="s">
        <v>24</v>
      </c>
      <c r="I1301" s="2">
        <v>17.989999999999998</v>
      </c>
      <c r="J1301">
        <v>0</v>
      </c>
      <c r="K1301" s="2">
        <f t="shared" si="40"/>
        <v>0</v>
      </c>
      <c r="L1301" t="s">
        <v>61</v>
      </c>
      <c r="M1301">
        <v>4</v>
      </c>
      <c r="N1301">
        <v>0.62</v>
      </c>
      <c r="O1301" t="str">
        <f t="shared" si="41"/>
        <v>0.6–0.8 hours</v>
      </c>
      <c r="P1301" t="s">
        <v>52</v>
      </c>
    </row>
    <row r="1302" spans="1:16" x14ac:dyDescent="0.4">
      <c r="A1302" t="s">
        <v>1343</v>
      </c>
      <c r="B1302">
        <v>39</v>
      </c>
      <c r="C1302" t="s">
        <v>15</v>
      </c>
      <c r="D1302" t="s">
        <v>16</v>
      </c>
      <c r="E1302">
        <v>1.28</v>
      </c>
      <c r="F1302">
        <v>39</v>
      </c>
      <c r="G1302" t="s">
        <v>49</v>
      </c>
      <c r="H1302" t="s">
        <v>55</v>
      </c>
      <c r="I1302" s="2">
        <v>8.99</v>
      </c>
      <c r="J1302">
        <v>1</v>
      </c>
      <c r="K1302" s="2">
        <f t="shared" si="40"/>
        <v>8.99</v>
      </c>
      <c r="L1302" t="s">
        <v>61</v>
      </c>
      <c r="M1302">
        <v>5</v>
      </c>
      <c r="N1302">
        <v>0.03</v>
      </c>
      <c r="O1302" t="str">
        <f t="shared" si="41"/>
        <v>0–0.2 hours</v>
      </c>
      <c r="P1302" t="s">
        <v>52</v>
      </c>
    </row>
    <row r="1303" spans="1:16" x14ac:dyDescent="0.4">
      <c r="A1303" t="s">
        <v>1344</v>
      </c>
      <c r="B1303">
        <v>27</v>
      </c>
      <c r="C1303" t="s">
        <v>41</v>
      </c>
      <c r="D1303" t="s">
        <v>32</v>
      </c>
      <c r="E1303">
        <v>2.95</v>
      </c>
      <c r="F1303">
        <v>30</v>
      </c>
      <c r="G1303" t="s">
        <v>49</v>
      </c>
      <c r="H1303" t="s">
        <v>55</v>
      </c>
      <c r="I1303" s="2">
        <v>17.989999999999998</v>
      </c>
      <c r="J1303">
        <v>1</v>
      </c>
      <c r="K1303" s="2">
        <f t="shared" si="40"/>
        <v>17.989999999999998</v>
      </c>
      <c r="L1303" t="s">
        <v>43</v>
      </c>
      <c r="M1303">
        <v>2</v>
      </c>
      <c r="N1303">
        <v>0.1</v>
      </c>
      <c r="O1303" t="str">
        <f t="shared" si="41"/>
        <v>0–0.2 hours</v>
      </c>
      <c r="P1303" t="s">
        <v>34</v>
      </c>
    </row>
    <row r="1304" spans="1:16" x14ac:dyDescent="0.4">
      <c r="A1304" t="s">
        <v>1345</v>
      </c>
      <c r="B1304">
        <v>33</v>
      </c>
      <c r="C1304" t="s">
        <v>27</v>
      </c>
      <c r="D1304" t="s">
        <v>16</v>
      </c>
      <c r="E1304">
        <v>21.76</v>
      </c>
      <c r="F1304">
        <v>33</v>
      </c>
      <c r="G1304" t="s">
        <v>28</v>
      </c>
      <c r="H1304" t="s">
        <v>46</v>
      </c>
      <c r="I1304" s="2">
        <v>8.99</v>
      </c>
      <c r="J1304">
        <v>0</v>
      </c>
      <c r="K1304" s="2">
        <f t="shared" si="40"/>
        <v>0</v>
      </c>
      <c r="L1304" t="s">
        <v>29</v>
      </c>
      <c r="M1304">
        <v>4</v>
      </c>
      <c r="N1304">
        <v>0.64</v>
      </c>
      <c r="O1304" t="str">
        <f t="shared" si="41"/>
        <v>0.6–0.8 hours</v>
      </c>
      <c r="P1304" t="s">
        <v>20</v>
      </c>
    </row>
    <row r="1305" spans="1:16" x14ac:dyDescent="0.4">
      <c r="A1305" t="s">
        <v>1346</v>
      </c>
      <c r="B1305">
        <v>57</v>
      </c>
      <c r="C1305" t="s">
        <v>41</v>
      </c>
      <c r="D1305" t="s">
        <v>32</v>
      </c>
      <c r="E1305">
        <v>16.850000000000001</v>
      </c>
      <c r="F1305">
        <v>33</v>
      </c>
      <c r="G1305" t="s">
        <v>33</v>
      </c>
      <c r="H1305" t="s">
        <v>46</v>
      </c>
      <c r="I1305" s="2">
        <v>17.989999999999998</v>
      </c>
      <c r="J1305">
        <v>1</v>
      </c>
      <c r="K1305" s="2">
        <f t="shared" si="40"/>
        <v>17.989999999999998</v>
      </c>
      <c r="L1305" t="s">
        <v>19</v>
      </c>
      <c r="M1305">
        <v>1</v>
      </c>
      <c r="N1305">
        <v>0.5</v>
      </c>
      <c r="O1305" t="str">
        <f t="shared" si="41"/>
        <v>0.4–0.6 hours</v>
      </c>
      <c r="P1305" t="s">
        <v>34</v>
      </c>
    </row>
    <row r="1306" spans="1:16" x14ac:dyDescent="0.4">
      <c r="A1306" t="s">
        <v>1347</v>
      </c>
      <c r="B1306">
        <v>32</v>
      </c>
      <c r="C1306" t="s">
        <v>41</v>
      </c>
      <c r="D1306" t="s">
        <v>32</v>
      </c>
      <c r="E1306">
        <v>19.63</v>
      </c>
      <c r="F1306">
        <v>18</v>
      </c>
      <c r="G1306" t="s">
        <v>28</v>
      </c>
      <c r="H1306" t="s">
        <v>46</v>
      </c>
      <c r="I1306" s="2">
        <v>17.989999999999998</v>
      </c>
      <c r="J1306">
        <v>0</v>
      </c>
      <c r="K1306" s="2">
        <f t="shared" si="40"/>
        <v>0</v>
      </c>
      <c r="L1306" t="s">
        <v>29</v>
      </c>
      <c r="M1306">
        <v>5</v>
      </c>
      <c r="N1306">
        <v>1.03</v>
      </c>
      <c r="O1306" t="str">
        <f t="shared" si="41"/>
        <v>1+ hours</v>
      </c>
      <c r="P1306" t="s">
        <v>34</v>
      </c>
    </row>
    <row r="1307" spans="1:16" x14ac:dyDescent="0.4">
      <c r="A1307" t="s">
        <v>1348</v>
      </c>
      <c r="B1307">
        <v>42</v>
      </c>
      <c r="C1307" t="s">
        <v>27</v>
      </c>
      <c r="D1307" t="s">
        <v>16</v>
      </c>
      <c r="E1307">
        <v>23.89</v>
      </c>
      <c r="F1307">
        <v>18</v>
      </c>
      <c r="G1307" t="s">
        <v>33</v>
      </c>
      <c r="H1307" t="s">
        <v>24</v>
      </c>
      <c r="I1307" s="2">
        <v>8.99</v>
      </c>
      <c r="J1307">
        <v>0</v>
      </c>
      <c r="K1307" s="2">
        <f t="shared" si="40"/>
        <v>0</v>
      </c>
      <c r="L1307" t="s">
        <v>29</v>
      </c>
      <c r="M1307">
        <v>4</v>
      </c>
      <c r="N1307">
        <v>1.26</v>
      </c>
      <c r="O1307" t="str">
        <f t="shared" si="41"/>
        <v>1+ hours</v>
      </c>
      <c r="P1307" t="s">
        <v>34</v>
      </c>
    </row>
    <row r="1308" spans="1:16" x14ac:dyDescent="0.4">
      <c r="A1308" t="s">
        <v>1349</v>
      </c>
      <c r="B1308">
        <v>63</v>
      </c>
      <c r="C1308" t="s">
        <v>27</v>
      </c>
      <c r="D1308" t="s">
        <v>16</v>
      </c>
      <c r="E1308">
        <v>2.95</v>
      </c>
      <c r="F1308">
        <v>41</v>
      </c>
      <c r="G1308" t="s">
        <v>49</v>
      </c>
      <c r="H1308" t="s">
        <v>46</v>
      </c>
      <c r="I1308" s="2">
        <v>8.99</v>
      </c>
      <c r="J1308">
        <v>1</v>
      </c>
      <c r="K1308" s="2">
        <f t="shared" si="40"/>
        <v>8.99</v>
      </c>
      <c r="L1308" t="s">
        <v>43</v>
      </c>
      <c r="M1308">
        <v>2</v>
      </c>
      <c r="N1308">
        <v>7.0000000000000007E-2</v>
      </c>
      <c r="O1308" t="str">
        <f t="shared" si="41"/>
        <v>0–0.2 hours</v>
      </c>
      <c r="P1308" t="s">
        <v>39</v>
      </c>
    </row>
    <row r="1309" spans="1:16" x14ac:dyDescent="0.4">
      <c r="A1309" t="s">
        <v>1350</v>
      </c>
      <c r="B1309">
        <v>61</v>
      </c>
      <c r="C1309" t="s">
        <v>15</v>
      </c>
      <c r="D1309" t="s">
        <v>16</v>
      </c>
      <c r="E1309">
        <v>30.44</v>
      </c>
      <c r="F1309">
        <v>60</v>
      </c>
      <c r="G1309" t="s">
        <v>33</v>
      </c>
      <c r="H1309" t="s">
        <v>57</v>
      </c>
      <c r="I1309" s="2">
        <v>8.99</v>
      </c>
      <c r="J1309">
        <v>0</v>
      </c>
      <c r="K1309" s="2">
        <f t="shared" si="40"/>
        <v>0</v>
      </c>
      <c r="L1309" t="s">
        <v>19</v>
      </c>
      <c r="M1309">
        <v>2</v>
      </c>
      <c r="N1309">
        <v>0.5</v>
      </c>
      <c r="O1309" t="str">
        <f t="shared" si="41"/>
        <v>0.4–0.6 hours</v>
      </c>
      <c r="P1309" t="s">
        <v>34</v>
      </c>
    </row>
    <row r="1310" spans="1:16" x14ac:dyDescent="0.4">
      <c r="A1310" t="s">
        <v>1351</v>
      </c>
      <c r="B1310">
        <v>67</v>
      </c>
      <c r="C1310" t="s">
        <v>41</v>
      </c>
      <c r="D1310" t="s">
        <v>32</v>
      </c>
      <c r="E1310">
        <v>4.7699999999999996</v>
      </c>
      <c r="F1310">
        <v>30</v>
      </c>
      <c r="G1310" t="s">
        <v>70</v>
      </c>
      <c r="H1310" t="s">
        <v>55</v>
      </c>
      <c r="I1310" s="2">
        <v>17.989999999999998</v>
      </c>
      <c r="J1310">
        <v>1</v>
      </c>
      <c r="K1310" s="2">
        <f t="shared" si="40"/>
        <v>17.989999999999998</v>
      </c>
      <c r="L1310" t="s">
        <v>37</v>
      </c>
      <c r="M1310">
        <v>1</v>
      </c>
      <c r="N1310">
        <v>0.15</v>
      </c>
      <c r="O1310" t="str">
        <f t="shared" si="41"/>
        <v>0–0.2 hours</v>
      </c>
      <c r="P1310" t="s">
        <v>20</v>
      </c>
    </row>
    <row r="1311" spans="1:16" x14ac:dyDescent="0.4">
      <c r="A1311" t="s">
        <v>1352</v>
      </c>
      <c r="B1311">
        <v>46</v>
      </c>
      <c r="C1311" t="s">
        <v>15</v>
      </c>
      <c r="D1311" t="s">
        <v>22</v>
      </c>
      <c r="E1311">
        <v>20.57</v>
      </c>
      <c r="F1311">
        <v>43</v>
      </c>
      <c r="G1311" t="s">
        <v>28</v>
      </c>
      <c r="H1311" t="s">
        <v>24</v>
      </c>
      <c r="I1311" s="2">
        <v>13.99</v>
      </c>
      <c r="J1311">
        <v>0</v>
      </c>
      <c r="K1311" s="2">
        <f t="shared" si="40"/>
        <v>0</v>
      </c>
      <c r="L1311" t="s">
        <v>61</v>
      </c>
      <c r="M1311">
        <v>3</v>
      </c>
      <c r="N1311">
        <v>0.47</v>
      </c>
      <c r="O1311" t="str">
        <f t="shared" si="41"/>
        <v>0.4–0.6 hours</v>
      </c>
      <c r="P1311" t="s">
        <v>30</v>
      </c>
    </row>
    <row r="1312" spans="1:16" x14ac:dyDescent="0.4">
      <c r="A1312" t="s">
        <v>1353</v>
      </c>
      <c r="B1312">
        <v>23</v>
      </c>
      <c r="C1312" t="s">
        <v>27</v>
      </c>
      <c r="D1312" t="s">
        <v>32</v>
      </c>
      <c r="E1312">
        <v>4.03</v>
      </c>
      <c r="F1312">
        <v>3</v>
      </c>
      <c r="G1312" t="s">
        <v>70</v>
      </c>
      <c r="H1312" t="s">
        <v>24</v>
      </c>
      <c r="I1312" s="2">
        <v>17.989999999999998</v>
      </c>
      <c r="J1312">
        <v>0</v>
      </c>
      <c r="K1312" s="2">
        <f t="shared" si="40"/>
        <v>0</v>
      </c>
      <c r="L1312" t="s">
        <v>43</v>
      </c>
      <c r="M1312">
        <v>5</v>
      </c>
      <c r="N1312">
        <v>1.01</v>
      </c>
      <c r="O1312" t="str">
        <f t="shared" si="41"/>
        <v>1+ hours</v>
      </c>
      <c r="P1312" t="s">
        <v>39</v>
      </c>
    </row>
    <row r="1313" spans="1:16" x14ac:dyDescent="0.4">
      <c r="A1313" t="s">
        <v>1354</v>
      </c>
      <c r="B1313">
        <v>60</v>
      </c>
      <c r="C1313" t="s">
        <v>15</v>
      </c>
      <c r="D1313" t="s">
        <v>22</v>
      </c>
      <c r="E1313">
        <v>12.66</v>
      </c>
      <c r="F1313">
        <v>12</v>
      </c>
      <c r="G1313" t="s">
        <v>28</v>
      </c>
      <c r="H1313" t="s">
        <v>55</v>
      </c>
      <c r="I1313" s="2">
        <v>13.99</v>
      </c>
      <c r="J1313">
        <v>0</v>
      </c>
      <c r="K1313" s="2">
        <f t="shared" si="40"/>
        <v>0</v>
      </c>
      <c r="L1313" t="s">
        <v>37</v>
      </c>
      <c r="M1313">
        <v>1</v>
      </c>
      <c r="N1313">
        <v>0.97</v>
      </c>
      <c r="O1313" t="str">
        <f t="shared" si="41"/>
        <v>0.8–1 hour</v>
      </c>
      <c r="P1313" t="s">
        <v>39</v>
      </c>
    </row>
    <row r="1314" spans="1:16" x14ac:dyDescent="0.4">
      <c r="A1314" t="s">
        <v>1355</v>
      </c>
      <c r="B1314">
        <v>58</v>
      </c>
      <c r="C1314" t="s">
        <v>27</v>
      </c>
      <c r="D1314" t="s">
        <v>16</v>
      </c>
      <c r="E1314">
        <v>11.16</v>
      </c>
      <c r="F1314">
        <v>31</v>
      </c>
      <c r="G1314" t="s">
        <v>28</v>
      </c>
      <c r="H1314" t="s">
        <v>46</v>
      </c>
      <c r="I1314" s="2">
        <v>8.99</v>
      </c>
      <c r="J1314">
        <v>1</v>
      </c>
      <c r="K1314" s="2">
        <f t="shared" si="40"/>
        <v>8.99</v>
      </c>
      <c r="L1314" t="s">
        <v>19</v>
      </c>
      <c r="M1314">
        <v>1</v>
      </c>
      <c r="N1314">
        <v>0.35</v>
      </c>
      <c r="O1314" t="str">
        <f t="shared" si="41"/>
        <v>0.2–0.4 hours</v>
      </c>
      <c r="P1314" t="s">
        <v>52</v>
      </c>
    </row>
    <row r="1315" spans="1:16" x14ac:dyDescent="0.4">
      <c r="A1315" t="s">
        <v>1356</v>
      </c>
      <c r="B1315">
        <v>50</v>
      </c>
      <c r="C1315" t="s">
        <v>15</v>
      </c>
      <c r="D1315" t="s">
        <v>22</v>
      </c>
      <c r="E1315">
        <v>31.24</v>
      </c>
      <c r="F1315">
        <v>8</v>
      </c>
      <c r="G1315" t="s">
        <v>49</v>
      </c>
      <c r="H1315" t="s">
        <v>18</v>
      </c>
      <c r="I1315" s="2">
        <v>13.99</v>
      </c>
      <c r="J1315">
        <v>0</v>
      </c>
      <c r="K1315" s="2">
        <f t="shared" si="40"/>
        <v>0</v>
      </c>
      <c r="L1315" t="s">
        <v>43</v>
      </c>
      <c r="M1315">
        <v>4</v>
      </c>
      <c r="N1315">
        <v>3.47</v>
      </c>
      <c r="O1315" t="str">
        <f t="shared" si="41"/>
        <v>1+ hours</v>
      </c>
      <c r="P1315" t="s">
        <v>39</v>
      </c>
    </row>
    <row r="1316" spans="1:16" x14ac:dyDescent="0.4">
      <c r="A1316" t="s">
        <v>1357</v>
      </c>
      <c r="B1316">
        <v>35</v>
      </c>
      <c r="C1316" t="s">
        <v>15</v>
      </c>
      <c r="D1316" t="s">
        <v>32</v>
      </c>
      <c r="E1316">
        <v>3.63</v>
      </c>
      <c r="F1316">
        <v>57</v>
      </c>
      <c r="G1316" t="s">
        <v>23</v>
      </c>
      <c r="H1316" t="s">
        <v>46</v>
      </c>
      <c r="I1316" s="2">
        <v>17.989999999999998</v>
      </c>
      <c r="J1316">
        <v>1</v>
      </c>
      <c r="K1316" s="2">
        <f t="shared" si="40"/>
        <v>17.989999999999998</v>
      </c>
      <c r="L1316" t="s">
        <v>61</v>
      </c>
      <c r="M1316">
        <v>5</v>
      </c>
      <c r="N1316">
        <v>0.06</v>
      </c>
      <c r="O1316" t="str">
        <f t="shared" si="41"/>
        <v>0–0.2 hours</v>
      </c>
      <c r="P1316" t="s">
        <v>25</v>
      </c>
    </row>
    <row r="1317" spans="1:16" x14ac:dyDescent="0.4">
      <c r="A1317" t="s">
        <v>1358</v>
      </c>
      <c r="B1317">
        <v>18</v>
      </c>
      <c r="C1317" t="s">
        <v>27</v>
      </c>
      <c r="D1317" t="s">
        <v>16</v>
      </c>
      <c r="E1317">
        <v>5.19</v>
      </c>
      <c r="F1317">
        <v>37</v>
      </c>
      <c r="G1317" t="s">
        <v>49</v>
      </c>
      <c r="H1317" t="s">
        <v>57</v>
      </c>
      <c r="I1317" s="2">
        <v>8.99</v>
      </c>
      <c r="J1317">
        <v>1</v>
      </c>
      <c r="K1317" s="2">
        <f t="shared" si="40"/>
        <v>8.99</v>
      </c>
      <c r="L1317" t="s">
        <v>29</v>
      </c>
      <c r="M1317">
        <v>1</v>
      </c>
      <c r="N1317">
        <v>0.14000000000000001</v>
      </c>
      <c r="O1317" t="str">
        <f t="shared" si="41"/>
        <v>0–0.2 hours</v>
      </c>
      <c r="P1317" t="s">
        <v>39</v>
      </c>
    </row>
    <row r="1318" spans="1:16" x14ac:dyDescent="0.4">
      <c r="A1318" t="s">
        <v>1359</v>
      </c>
      <c r="B1318">
        <v>62</v>
      </c>
      <c r="C1318" t="s">
        <v>41</v>
      </c>
      <c r="D1318" t="s">
        <v>16</v>
      </c>
      <c r="E1318">
        <v>9.89</v>
      </c>
      <c r="F1318">
        <v>7</v>
      </c>
      <c r="G1318" t="s">
        <v>23</v>
      </c>
      <c r="H1318" t="s">
        <v>57</v>
      </c>
      <c r="I1318" s="2">
        <v>8.99</v>
      </c>
      <c r="J1318">
        <v>0</v>
      </c>
      <c r="K1318" s="2">
        <f t="shared" si="40"/>
        <v>0</v>
      </c>
      <c r="L1318" t="s">
        <v>19</v>
      </c>
      <c r="M1318">
        <v>2</v>
      </c>
      <c r="N1318">
        <v>1.24</v>
      </c>
      <c r="O1318" t="str">
        <f t="shared" si="41"/>
        <v>1+ hours</v>
      </c>
      <c r="P1318" t="s">
        <v>34</v>
      </c>
    </row>
    <row r="1319" spans="1:16" x14ac:dyDescent="0.4">
      <c r="A1319" t="s">
        <v>1360</v>
      </c>
      <c r="B1319">
        <v>55</v>
      </c>
      <c r="C1319" t="s">
        <v>41</v>
      </c>
      <c r="D1319" t="s">
        <v>16</v>
      </c>
      <c r="E1319">
        <v>3.83</v>
      </c>
      <c r="F1319">
        <v>28</v>
      </c>
      <c r="G1319" t="s">
        <v>23</v>
      </c>
      <c r="H1319" t="s">
        <v>55</v>
      </c>
      <c r="I1319" s="2">
        <v>8.99</v>
      </c>
      <c r="J1319">
        <v>1</v>
      </c>
      <c r="K1319" s="2">
        <f t="shared" si="40"/>
        <v>8.99</v>
      </c>
      <c r="L1319" t="s">
        <v>61</v>
      </c>
      <c r="M1319">
        <v>4</v>
      </c>
      <c r="N1319">
        <v>0.13</v>
      </c>
      <c r="O1319" t="str">
        <f t="shared" si="41"/>
        <v>0–0.2 hours</v>
      </c>
      <c r="P1319" t="s">
        <v>25</v>
      </c>
    </row>
    <row r="1320" spans="1:16" x14ac:dyDescent="0.4">
      <c r="A1320" t="s">
        <v>1361</v>
      </c>
      <c r="B1320">
        <v>53</v>
      </c>
      <c r="C1320" t="s">
        <v>41</v>
      </c>
      <c r="D1320" t="s">
        <v>22</v>
      </c>
      <c r="E1320">
        <v>3.65</v>
      </c>
      <c r="F1320">
        <v>2</v>
      </c>
      <c r="G1320" t="s">
        <v>28</v>
      </c>
      <c r="H1320" t="s">
        <v>46</v>
      </c>
      <c r="I1320" s="2">
        <v>13.99</v>
      </c>
      <c r="J1320">
        <v>0</v>
      </c>
      <c r="K1320" s="2">
        <f t="shared" si="40"/>
        <v>0</v>
      </c>
      <c r="L1320" t="s">
        <v>43</v>
      </c>
      <c r="M1320">
        <v>4</v>
      </c>
      <c r="N1320">
        <v>1.22</v>
      </c>
      <c r="O1320" t="str">
        <f t="shared" si="41"/>
        <v>1+ hours</v>
      </c>
      <c r="P1320" t="s">
        <v>39</v>
      </c>
    </row>
    <row r="1321" spans="1:16" x14ac:dyDescent="0.4">
      <c r="A1321" t="s">
        <v>1362</v>
      </c>
      <c r="B1321">
        <v>27</v>
      </c>
      <c r="C1321" t="s">
        <v>27</v>
      </c>
      <c r="D1321" t="s">
        <v>32</v>
      </c>
      <c r="E1321">
        <v>1.29</v>
      </c>
      <c r="F1321">
        <v>22</v>
      </c>
      <c r="G1321" t="s">
        <v>70</v>
      </c>
      <c r="H1321" t="s">
        <v>46</v>
      </c>
      <c r="I1321" s="2">
        <v>17.989999999999998</v>
      </c>
      <c r="J1321">
        <v>0</v>
      </c>
      <c r="K1321" s="2">
        <f t="shared" si="40"/>
        <v>0</v>
      </c>
      <c r="L1321" t="s">
        <v>37</v>
      </c>
      <c r="M1321">
        <v>5</v>
      </c>
      <c r="N1321">
        <v>0.06</v>
      </c>
      <c r="O1321" t="str">
        <f t="shared" si="41"/>
        <v>0–0.2 hours</v>
      </c>
      <c r="P1321" t="s">
        <v>47</v>
      </c>
    </row>
    <row r="1322" spans="1:16" x14ac:dyDescent="0.4">
      <c r="A1322" t="s">
        <v>1363</v>
      </c>
      <c r="B1322">
        <v>56</v>
      </c>
      <c r="C1322" t="s">
        <v>15</v>
      </c>
      <c r="D1322" t="s">
        <v>22</v>
      </c>
      <c r="E1322">
        <v>19.59</v>
      </c>
      <c r="F1322">
        <v>23</v>
      </c>
      <c r="G1322" t="s">
        <v>70</v>
      </c>
      <c r="H1322" t="s">
        <v>24</v>
      </c>
      <c r="I1322" s="2">
        <v>13.99</v>
      </c>
      <c r="J1322">
        <v>0</v>
      </c>
      <c r="K1322" s="2">
        <f t="shared" si="40"/>
        <v>0</v>
      </c>
      <c r="L1322" t="s">
        <v>37</v>
      </c>
      <c r="M1322">
        <v>1</v>
      </c>
      <c r="N1322">
        <v>0.82</v>
      </c>
      <c r="O1322" t="str">
        <f t="shared" si="41"/>
        <v>0.8–1 hour</v>
      </c>
      <c r="P1322" t="s">
        <v>47</v>
      </c>
    </row>
    <row r="1323" spans="1:16" x14ac:dyDescent="0.4">
      <c r="A1323" t="s">
        <v>1364</v>
      </c>
      <c r="B1323">
        <v>51</v>
      </c>
      <c r="C1323" t="s">
        <v>15</v>
      </c>
      <c r="D1323" t="s">
        <v>32</v>
      </c>
      <c r="E1323">
        <v>4.5199999999999996</v>
      </c>
      <c r="F1323">
        <v>59</v>
      </c>
      <c r="G1323" t="s">
        <v>70</v>
      </c>
      <c r="H1323" t="s">
        <v>18</v>
      </c>
      <c r="I1323" s="2">
        <v>17.989999999999998</v>
      </c>
      <c r="J1323">
        <v>1</v>
      </c>
      <c r="K1323" s="2">
        <f t="shared" si="40"/>
        <v>17.989999999999998</v>
      </c>
      <c r="L1323" t="s">
        <v>29</v>
      </c>
      <c r="M1323">
        <v>3</v>
      </c>
      <c r="N1323">
        <v>0.08</v>
      </c>
      <c r="O1323" t="str">
        <f t="shared" si="41"/>
        <v>0–0.2 hours</v>
      </c>
      <c r="P1323" t="s">
        <v>47</v>
      </c>
    </row>
    <row r="1324" spans="1:16" x14ac:dyDescent="0.4">
      <c r="A1324" t="s">
        <v>1365</v>
      </c>
      <c r="B1324">
        <v>58</v>
      </c>
      <c r="C1324" t="s">
        <v>27</v>
      </c>
      <c r="D1324" t="s">
        <v>16</v>
      </c>
      <c r="E1324">
        <v>17.27</v>
      </c>
      <c r="F1324">
        <v>6</v>
      </c>
      <c r="G1324" t="s">
        <v>28</v>
      </c>
      <c r="H1324" t="s">
        <v>18</v>
      </c>
      <c r="I1324" s="2">
        <v>8.99</v>
      </c>
      <c r="J1324">
        <v>0</v>
      </c>
      <c r="K1324" s="2">
        <f t="shared" si="40"/>
        <v>0</v>
      </c>
      <c r="L1324" t="s">
        <v>37</v>
      </c>
      <c r="M1324">
        <v>3</v>
      </c>
      <c r="N1324">
        <v>2.4700000000000002</v>
      </c>
      <c r="O1324" t="str">
        <f t="shared" si="41"/>
        <v>1+ hours</v>
      </c>
      <c r="P1324" t="s">
        <v>39</v>
      </c>
    </row>
    <row r="1325" spans="1:16" x14ac:dyDescent="0.4">
      <c r="A1325" t="s">
        <v>1366</v>
      </c>
      <c r="B1325">
        <v>54</v>
      </c>
      <c r="C1325" t="s">
        <v>15</v>
      </c>
      <c r="D1325" t="s">
        <v>16</v>
      </c>
      <c r="E1325">
        <v>12.9</v>
      </c>
      <c r="F1325">
        <v>48</v>
      </c>
      <c r="G1325" t="s">
        <v>17</v>
      </c>
      <c r="H1325" t="s">
        <v>57</v>
      </c>
      <c r="I1325" s="2">
        <v>8.99</v>
      </c>
      <c r="J1325">
        <v>1</v>
      </c>
      <c r="K1325" s="2">
        <f t="shared" si="40"/>
        <v>8.99</v>
      </c>
      <c r="L1325" t="s">
        <v>19</v>
      </c>
      <c r="M1325">
        <v>4</v>
      </c>
      <c r="N1325">
        <v>0.26</v>
      </c>
      <c r="O1325" t="str">
        <f t="shared" si="41"/>
        <v>0.2–0.4 hours</v>
      </c>
      <c r="P1325" t="s">
        <v>20</v>
      </c>
    </row>
    <row r="1326" spans="1:16" x14ac:dyDescent="0.4">
      <c r="A1326" t="s">
        <v>1367</v>
      </c>
      <c r="B1326">
        <v>38</v>
      </c>
      <c r="C1326" t="s">
        <v>15</v>
      </c>
      <c r="D1326" t="s">
        <v>22</v>
      </c>
      <c r="E1326">
        <v>18.329999999999998</v>
      </c>
      <c r="F1326">
        <v>21</v>
      </c>
      <c r="G1326" t="s">
        <v>17</v>
      </c>
      <c r="H1326" t="s">
        <v>55</v>
      </c>
      <c r="I1326" s="2">
        <v>13.99</v>
      </c>
      <c r="J1326">
        <v>0</v>
      </c>
      <c r="K1326" s="2">
        <f t="shared" si="40"/>
        <v>0</v>
      </c>
      <c r="L1326" t="s">
        <v>19</v>
      </c>
      <c r="M1326">
        <v>5</v>
      </c>
      <c r="N1326">
        <v>0.83</v>
      </c>
      <c r="O1326" t="str">
        <f t="shared" si="41"/>
        <v>0.8–1 hour</v>
      </c>
      <c r="P1326" t="s">
        <v>47</v>
      </c>
    </row>
    <row r="1327" spans="1:16" x14ac:dyDescent="0.4">
      <c r="A1327" t="s">
        <v>1368</v>
      </c>
      <c r="B1327">
        <v>21</v>
      </c>
      <c r="C1327" t="s">
        <v>41</v>
      </c>
      <c r="D1327" t="s">
        <v>16</v>
      </c>
      <c r="E1327">
        <v>10.77</v>
      </c>
      <c r="F1327">
        <v>24</v>
      </c>
      <c r="G1327" t="s">
        <v>17</v>
      </c>
      <c r="H1327" t="s">
        <v>18</v>
      </c>
      <c r="I1327" s="2">
        <v>8.99</v>
      </c>
      <c r="J1327">
        <v>0</v>
      </c>
      <c r="K1327" s="2">
        <f t="shared" si="40"/>
        <v>0</v>
      </c>
      <c r="L1327" t="s">
        <v>43</v>
      </c>
      <c r="M1327">
        <v>2</v>
      </c>
      <c r="N1327">
        <v>0.43</v>
      </c>
      <c r="O1327" t="str">
        <f t="shared" si="41"/>
        <v>0.4–0.6 hours</v>
      </c>
      <c r="P1327" t="s">
        <v>34</v>
      </c>
    </row>
    <row r="1328" spans="1:16" x14ac:dyDescent="0.4">
      <c r="A1328" t="s">
        <v>1369</v>
      </c>
      <c r="B1328">
        <v>40</v>
      </c>
      <c r="C1328" t="s">
        <v>41</v>
      </c>
      <c r="D1328" t="s">
        <v>16</v>
      </c>
      <c r="E1328">
        <v>5.1100000000000003</v>
      </c>
      <c r="F1328">
        <v>8</v>
      </c>
      <c r="G1328" t="s">
        <v>70</v>
      </c>
      <c r="H1328" t="s">
        <v>55</v>
      </c>
      <c r="I1328" s="2">
        <v>8.99</v>
      </c>
      <c r="J1328">
        <v>0</v>
      </c>
      <c r="K1328" s="2">
        <f t="shared" si="40"/>
        <v>0</v>
      </c>
      <c r="L1328" t="s">
        <v>29</v>
      </c>
      <c r="M1328">
        <v>1</v>
      </c>
      <c r="N1328">
        <v>0.56999999999999995</v>
      </c>
      <c r="O1328" t="str">
        <f t="shared" si="41"/>
        <v>0.4–0.6 hours</v>
      </c>
      <c r="P1328" t="s">
        <v>39</v>
      </c>
    </row>
    <row r="1329" spans="1:16" x14ac:dyDescent="0.4">
      <c r="A1329" t="s">
        <v>1370</v>
      </c>
      <c r="B1329">
        <v>59</v>
      </c>
      <c r="C1329" t="s">
        <v>41</v>
      </c>
      <c r="D1329" t="s">
        <v>16</v>
      </c>
      <c r="E1329">
        <v>0.5</v>
      </c>
      <c r="F1329">
        <v>60</v>
      </c>
      <c r="G1329" t="s">
        <v>70</v>
      </c>
      <c r="H1329" t="s">
        <v>57</v>
      </c>
      <c r="I1329" s="2">
        <v>8.99</v>
      </c>
      <c r="J1329">
        <v>1</v>
      </c>
      <c r="K1329" s="2">
        <f t="shared" si="40"/>
        <v>8.99</v>
      </c>
      <c r="L1329" t="s">
        <v>61</v>
      </c>
      <c r="M1329">
        <v>2</v>
      </c>
      <c r="N1329">
        <v>0.01</v>
      </c>
      <c r="O1329" t="str">
        <f t="shared" si="41"/>
        <v>0–0.2 hours</v>
      </c>
      <c r="P1329" t="s">
        <v>25</v>
      </c>
    </row>
    <row r="1330" spans="1:16" x14ac:dyDescent="0.4">
      <c r="A1330" t="s">
        <v>1371</v>
      </c>
      <c r="B1330">
        <v>62</v>
      </c>
      <c r="C1330" t="s">
        <v>27</v>
      </c>
      <c r="D1330" t="s">
        <v>32</v>
      </c>
      <c r="E1330">
        <v>33.770000000000003</v>
      </c>
      <c r="F1330">
        <v>31</v>
      </c>
      <c r="G1330" t="s">
        <v>28</v>
      </c>
      <c r="H1330" t="s">
        <v>57</v>
      </c>
      <c r="I1330" s="2">
        <v>17.989999999999998</v>
      </c>
      <c r="J1330">
        <v>0</v>
      </c>
      <c r="K1330" s="2">
        <f t="shared" si="40"/>
        <v>0</v>
      </c>
      <c r="L1330" t="s">
        <v>43</v>
      </c>
      <c r="M1330">
        <v>4</v>
      </c>
      <c r="N1330">
        <v>1.06</v>
      </c>
      <c r="O1330" t="str">
        <f t="shared" si="41"/>
        <v>1+ hours</v>
      </c>
      <c r="P1330" t="s">
        <v>20</v>
      </c>
    </row>
    <row r="1331" spans="1:16" x14ac:dyDescent="0.4">
      <c r="A1331" t="s">
        <v>1372</v>
      </c>
      <c r="B1331">
        <v>31</v>
      </c>
      <c r="C1331" t="s">
        <v>27</v>
      </c>
      <c r="D1331" t="s">
        <v>32</v>
      </c>
      <c r="E1331">
        <v>1.02</v>
      </c>
      <c r="F1331">
        <v>39</v>
      </c>
      <c r="G1331" t="s">
        <v>33</v>
      </c>
      <c r="H1331" t="s">
        <v>46</v>
      </c>
      <c r="I1331" s="2">
        <v>17.989999999999998</v>
      </c>
      <c r="J1331">
        <v>1</v>
      </c>
      <c r="K1331" s="2">
        <f t="shared" si="40"/>
        <v>17.989999999999998</v>
      </c>
      <c r="L1331" t="s">
        <v>29</v>
      </c>
      <c r="M1331">
        <v>3</v>
      </c>
      <c r="N1331">
        <v>0.03</v>
      </c>
      <c r="O1331" t="str">
        <f t="shared" si="41"/>
        <v>0–0.2 hours</v>
      </c>
      <c r="P1331" t="s">
        <v>30</v>
      </c>
    </row>
    <row r="1332" spans="1:16" x14ac:dyDescent="0.4">
      <c r="A1332" t="s">
        <v>1373</v>
      </c>
      <c r="B1332">
        <v>27</v>
      </c>
      <c r="C1332" t="s">
        <v>15</v>
      </c>
      <c r="D1332" t="s">
        <v>32</v>
      </c>
      <c r="E1332">
        <v>30.11</v>
      </c>
      <c r="F1332">
        <v>3</v>
      </c>
      <c r="G1332" t="s">
        <v>17</v>
      </c>
      <c r="H1332" t="s">
        <v>24</v>
      </c>
      <c r="I1332" s="2">
        <v>17.989999999999998</v>
      </c>
      <c r="J1332">
        <v>0</v>
      </c>
      <c r="K1332" s="2">
        <f t="shared" si="40"/>
        <v>0</v>
      </c>
      <c r="L1332" t="s">
        <v>29</v>
      </c>
      <c r="M1332">
        <v>3</v>
      </c>
      <c r="N1332">
        <v>7.53</v>
      </c>
      <c r="O1332" t="str">
        <f t="shared" si="41"/>
        <v>1+ hours</v>
      </c>
      <c r="P1332" t="s">
        <v>39</v>
      </c>
    </row>
    <row r="1333" spans="1:16" x14ac:dyDescent="0.4">
      <c r="A1333" t="s">
        <v>1374</v>
      </c>
      <c r="B1333">
        <v>51</v>
      </c>
      <c r="C1333" t="s">
        <v>41</v>
      </c>
      <c r="D1333" t="s">
        <v>32</v>
      </c>
      <c r="E1333">
        <v>7.8</v>
      </c>
      <c r="F1333">
        <v>59</v>
      </c>
      <c r="G1333" t="s">
        <v>70</v>
      </c>
      <c r="H1333" t="s">
        <v>55</v>
      </c>
      <c r="I1333" s="2">
        <v>17.989999999999998</v>
      </c>
      <c r="J1333">
        <v>1</v>
      </c>
      <c r="K1333" s="2">
        <f t="shared" si="40"/>
        <v>17.989999999999998</v>
      </c>
      <c r="L1333" t="s">
        <v>37</v>
      </c>
      <c r="M1333">
        <v>2</v>
      </c>
      <c r="N1333">
        <v>0.13</v>
      </c>
      <c r="O1333" t="str">
        <f t="shared" si="41"/>
        <v>0–0.2 hours</v>
      </c>
      <c r="P1333" t="s">
        <v>39</v>
      </c>
    </row>
    <row r="1334" spans="1:16" x14ac:dyDescent="0.4">
      <c r="A1334" t="s">
        <v>1375</v>
      </c>
      <c r="B1334">
        <v>47</v>
      </c>
      <c r="C1334" t="s">
        <v>15</v>
      </c>
      <c r="D1334" t="s">
        <v>16</v>
      </c>
      <c r="E1334">
        <v>3.64</v>
      </c>
      <c r="F1334">
        <v>15</v>
      </c>
      <c r="G1334" t="s">
        <v>33</v>
      </c>
      <c r="H1334" t="s">
        <v>24</v>
      </c>
      <c r="I1334" s="2">
        <v>8.99</v>
      </c>
      <c r="J1334">
        <v>1</v>
      </c>
      <c r="K1334" s="2">
        <f t="shared" si="40"/>
        <v>8.99</v>
      </c>
      <c r="L1334" t="s">
        <v>29</v>
      </c>
      <c r="M1334">
        <v>4</v>
      </c>
      <c r="N1334">
        <v>0.23</v>
      </c>
      <c r="O1334" t="str">
        <f t="shared" si="41"/>
        <v>0.2–0.4 hours</v>
      </c>
      <c r="P1334" t="s">
        <v>30</v>
      </c>
    </row>
    <row r="1335" spans="1:16" x14ac:dyDescent="0.4">
      <c r="A1335" t="s">
        <v>1376</v>
      </c>
      <c r="B1335">
        <v>42</v>
      </c>
      <c r="C1335" t="s">
        <v>41</v>
      </c>
      <c r="D1335" t="s">
        <v>32</v>
      </c>
      <c r="E1335">
        <v>16.37</v>
      </c>
      <c r="F1335">
        <v>45</v>
      </c>
      <c r="G1335" t="s">
        <v>28</v>
      </c>
      <c r="H1335" t="s">
        <v>55</v>
      </c>
      <c r="I1335" s="2">
        <v>17.989999999999998</v>
      </c>
      <c r="J1335">
        <v>0</v>
      </c>
      <c r="K1335" s="2">
        <f t="shared" si="40"/>
        <v>0</v>
      </c>
      <c r="L1335" t="s">
        <v>37</v>
      </c>
      <c r="M1335">
        <v>4</v>
      </c>
      <c r="N1335">
        <v>0.36</v>
      </c>
      <c r="O1335" t="str">
        <f t="shared" si="41"/>
        <v>0.2–0.4 hours</v>
      </c>
      <c r="P1335" t="s">
        <v>47</v>
      </c>
    </row>
    <row r="1336" spans="1:16" x14ac:dyDescent="0.4">
      <c r="A1336" t="s">
        <v>1377</v>
      </c>
      <c r="B1336">
        <v>60</v>
      </c>
      <c r="C1336" t="s">
        <v>15</v>
      </c>
      <c r="D1336" t="s">
        <v>22</v>
      </c>
      <c r="E1336">
        <v>3.29</v>
      </c>
      <c r="F1336">
        <v>50</v>
      </c>
      <c r="G1336" t="s">
        <v>49</v>
      </c>
      <c r="H1336" t="s">
        <v>18</v>
      </c>
      <c r="I1336" s="2">
        <v>13.99</v>
      </c>
      <c r="J1336">
        <v>1</v>
      </c>
      <c r="K1336" s="2">
        <f t="shared" si="40"/>
        <v>13.99</v>
      </c>
      <c r="L1336" t="s">
        <v>29</v>
      </c>
      <c r="M1336">
        <v>3</v>
      </c>
      <c r="N1336">
        <v>0.06</v>
      </c>
      <c r="O1336" t="str">
        <f t="shared" si="41"/>
        <v>0–0.2 hours</v>
      </c>
      <c r="P1336" t="s">
        <v>34</v>
      </c>
    </row>
    <row r="1337" spans="1:16" x14ac:dyDescent="0.4">
      <c r="A1337" t="s">
        <v>1378</v>
      </c>
      <c r="B1337">
        <v>19</v>
      </c>
      <c r="C1337" t="s">
        <v>41</v>
      </c>
      <c r="D1337" t="s">
        <v>32</v>
      </c>
      <c r="E1337">
        <v>1.98</v>
      </c>
      <c r="F1337">
        <v>26</v>
      </c>
      <c r="G1337" t="s">
        <v>28</v>
      </c>
      <c r="H1337" t="s">
        <v>46</v>
      </c>
      <c r="I1337" s="2">
        <v>17.989999999999998</v>
      </c>
      <c r="J1337">
        <v>0</v>
      </c>
      <c r="K1337" s="2">
        <f t="shared" si="40"/>
        <v>0</v>
      </c>
      <c r="L1337" t="s">
        <v>43</v>
      </c>
      <c r="M1337">
        <v>4</v>
      </c>
      <c r="N1337">
        <v>7.0000000000000007E-2</v>
      </c>
      <c r="O1337" t="str">
        <f t="shared" si="41"/>
        <v>0–0.2 hours</v>
      </c>
      <c r="P1337" t="s">
        <v>34</v>
      </c>
    </row>
    <row r="1338" spans="1:16" x14ac:dyDescent="0.4">
      <c r="A1338" t="s">
        <v>1379</v>
      </c>
      <c r="B1338">
        <v>61</v>
      </c>
      <c r="C1338" t="s">
        <v>41</v>
      </c>
      <c r="D1338" t="s">
        <v>32</v>
      </c>
      <c r="E1338">
        <v>5.31</v>
      </c>
      <c r="F1338">
        <v>25</v>
      </c>
      <c r="G1338" t="s">
        <v>23</v>
      </c>
      <c r="H1338" t="s">
        <v>46</v>
      </c>
      <c r="I1338" s="2">
        <v>17.989999999999998</v>
      </c>
      <c r="J1338">
        <v>0</v>
      </c>
      <c r="K1338" s="2">
        <f t="shared" si="40"/>
        <v>0</v>
      </c>
      <c r="L1338" t="s">
        <v>19</v>
      </c>
      <c r="M1338">
        <v>3</v>
      </c>
      <c r="N1338">
        <v>0.2</v>
      </c>
      <c r="O1338" t="str">
        <f t="shared" si="41"/>
        <v>0–0.2 hours</v>
      </c>
      <c r="P1338" t="s">
        <v>25</v>
      </c>
    </row>
    <row r="1339" spans="1:16" x14ac:dyDescent="0.4">
      <c r="A1339" t="s">
        <v>1380</v>
      </c>
      <c r="B1339">
        <v>68</v>
      </c>
      <c r="C1339" t="s">
        <v>27</v>
      </c>
      <c r="D1339" t="s">
        <v>32</v>
      </c>
      <c r="E1339">
        <v>41.2</v>
      </c>
      <c r="F1339">
        <v>30</v>
      </c>
      <c r="G1339" t="s">
        <v>33</v>
      </c>
      <c r="H1339" t="s">
        <v>57</v>
      </c>
      <c r="I1339" s="2">
        <v>17.989999999999998</v>
      </c>
      <c r="J1339">
        <v>0</v>
      </c>
      <c r="K1339" s="2">
        <f t="shared" si="40"/>
        <v>0</v>
      </c>
      <c r="L1339" t="s">
        <v>19</v>
      </c>
      <c r="M1339">
        <v>5</v>
      </c>
      <c r="N1339">
        <v>1.33</v>
      </c>
      <c r="O1339" t="str">
        <f t="shared" si="41"/>
        <v>1+ hours</v>
      </c>
      <c r="P1339" t="s">
        <v>47</v>
      </c>
    </row>
    <row r="1340" spans="1:16" x14ac:dyDescent="0.4">
      <c r="A1340" t="s">
        <v>1381</v>
      </c>
      <c r="B1340">
        <v>44</v>
      </c>
      <c r="C1340" t="s">
        <v>41</v>
      </c>
      <c r="D1340" t="s">
        <v>22</v>
      </c>
      <c r="E1340">
        <v>1.05</v>
      </c>
      <c r="F1340">
        <v>18</v>
      </c>
      <c r="G1340" t="s">
        <v>17</v>
      </c>
      <c r="H1340" t="s">
        <v>57</v>
      </c>
      <c r="I1340" s="2">
        <v>13.99</v>
      </c>
      <c r="J1340">
        <v>1</v>
      </c>
      <c r="K1340" s="2">
        <f t="shared" si="40"/>
        <v>13.99</v>
      </c>
      <c r="L1340" t="s">
        <v>43</v>
      </c>
      <c r="M1340">
        <v>3</v>
      </c>
      <c r="N1340">
        <v>0.06</v>
      </c>
      <c r="O1340" t="str">
        <f t="shared" si="41"/>
        <v>0–0.2 hours</v>
      </c>
      <c r="P1340" t="s">
        <v>30</v>
      </c>
    </row>
    <row r="1341" spans="1:16" x14ac:dyDescent="0.4">
      <c r="A1341" t="s">
        <v>1382</v>
      </c>
      <c r="B1341">
        <v>46</v>
      </c>
      <c r="C1341" t="s">
        <v>41</v>
      </c>
      <c r="D1341" t="s">
        <v>32</v>
      </c>
      <c r="E1341">
        <v>30.92</v>
      </c>
      <c r="F1341">
        <v>15</v>
      </c>
      <c r="G1341" t="s">
        <v>23</v>
      </c>
      <c r="H1341" t="s">
        <v>55</v>
      </c>
      <c r="I1341" s="2">
        <v>17.989999999999998</v>
      </c>
      <c r="J1341">
        <v>0</v>
      </c>
      <c r="K1341" s="2">
        <f t="shared" si="40"/>
        <v>0</v>
      </c>
      <c r="L1341" t="s">
        <v>61</v>
      </c>
      <c r="M1341">
        <v>5</v>
      </c>
      <c r="N1341">
        <v>1.93</v>
      </c>
      <c r="O1341" t="str">
        <f t="shared" si="41"/>
        <v>1+ hours</v>
      </c>
      <c r="P1341" t="s">
        <v>20</v>
      </c>
    </row>
    <row r="1342" spans="1:16" x14ac:dyDescent="0.4">
      <c r="A1342" t="s">
        <v>1383</v>
      </c>
      <c r="B1342">
        <v>30</v>
      </c>
      <c r="C1342" t="s">
        <v>15</v>
      </c>
      <c r="D1342" t="s">
        <v>16</v>
      </c>
      <c r="E1342">
        <v>14.06</v>
      </c>
      <c r="F1342">
        <v>50</v>
      </c>
      <c r="G1342" t="s">
        <v>70</v>
      </c>
      <c r="H1342" t="s">
        <v>46</v>
      </c>
      <c r="I1342" s="2">
        <v>8.99</v>
      </c>
      <c r="J1342">
        <v>1</v>
      </c>
      <c r="K1342" s="2">
        <f t="shared" si="40"/>
        <v>8.99</v>
      </c>
      <c r="L1342" t="s">
        <v>19</v>
      </c>
      <c r="M1342">
        <v>1</v>
      </c>
      <c r="N1342">
        <v>0.28000000000000003</v>
      </c>
      <c r="O1342" t="str">
        <f t="shared" si="41"/>
        <v>0.2–0.4 hours</v>
      </c>
      <c r="P1342" t="s">
        <v>52</v>
      </c>
    </row>
    <row r="1343" spans="1:16" x14ac:dyDescent="0.4">
      <c r="A1343" t="s">
        <v>1384</v>
      </c>
      <c r="B1343">
        <v>60</v>
      </c>
      <c r="C1343" t="s">
        <v>15</v>
      </c>
      <c r="D1343" t="s">
        <v>16</v>
      </c>
      <c r="E1343">
        <v>0.27</v>
      </c>
      <c r="F1343">
        <v>35</v>
      </c>
      <c r="G1343" t="s">
        <v>23</v>
      </c>
      <c r="H1343" t="s">
        <v>24</v>
      </c>
      <c r="I1343" s="2">
        <v>8.99</v>
      </c>
      <c r="J1343">
        <v>1</v>
      </c>
      <c r="K1343" s="2">
        <f t="shared" si="40"/>
        <v>8.99</v>
      </c>
      <c r="L1343" t="s">
        <v>61</v>
      </c>
      <c r="M1343">
        <v>2</v>
      </c>
      <c r="N1343">
        <v>0.01</v>
      </c>
      <c r="O1343" t="str">
        <f t="shared" si="41"/>
        <v>0–0.2 hours</v>
      </c>
      <c r="P1343" t="s">
        <v>30</v>
      </c>
    </row>
    <row r="1344" spans="1:16" x14ac:dyDescent="0.4">
      <c r="A1344" t="s">
        <v>1385</v>
      </c>
      <c r="B1344">
        <v>66</v>
      </c>
      <c r="C1344" t="s">
        <v>15</v>
      </c>
      <c r="D1344" t="s">
        <v>32</v>
      </c>
      <c r="E1344">
        <v>35.880000000000003</v>
      </c>
      <c r="F1344">
        <v>18</v>
      </c>
      <c r="G1344" t="s">
        <v>70</v>
      </c>
      <c r="H1344" t="s">
        <v>57</v>
      </c>
      <c r="I1344" s="2">
        <v>17.989999999999998</v>
      </c>
      <c r="J1344">
        <v>0</v>
      </c>
      <c r="K1344" s="2">
        <f t="shared" si="40"/>
        <v>0</v>
      </c>
      <c r="L1344" t="s">
        <v>61</v>
      </c>
      <c r="M1344">
        <v>5</v>
      </c>
      <c r="N1344">
        <v>1.89</v>
      </c>
      <c r="O1344" t="str">
        <f t="shared" si="41"/>
        <v>1+ hours</v>
      </c>
      <c r="P1344" t="s">
        <v>30</v>
      </c>
    </row>
    <row r="1345" spans="1:16" x14ac:dyDescent="0.4">
      <c r="A1345" t="s">
        <v>1386</v>
      </c>
      <c r="B1345">
        <v>48</v>
      </c>
      <c r="C1345" t="s">
        <v>15</v>
      </c>
      <c r="D1345" t="s">
        <v>16</v>
      </c>
      <c r="E1345">
        <v>17.72</v>
      </c>
      <c r="F1345">
        <v>22</v>
      </c>
      <c r="G1345" t="s">
        <v>17</v>
      </c>
      <c r="H1345" t="s">
        <v>24</v>
      </c>
      <c r="I1345" s="2">
        <v>8.99</v>
      </c>
      <c r="J1345">
        <v>0</v>
      </c>
      <c r="K1345" s="2">
        <f t="shared" si="40"/>
        <v>0</v>
      </c>
      <c r="L1345" t="s">
        <v>29</v>
      </c>
      <c r="M1345">
        <v>3</v>
      </c>
      <c r="N1345">
        <v>0.77</v>
      </c>
      <c r="O1345" t="str">
        <f t="shared" si="41"/>
        <v>0.6–0.8 hours</v>
      </c>
      <c r="P1345" t="s">
        <v>47</v>
      </c>
    </row>
    <row r="1346" spans="1:16" x14ac:dyDescent="0.4">
      <c r="A1346" t="s">
        <v>1387</v>
      </c>
      <c r="B1346">
        <v>46</v>
      </c>
      <c r="C1346" t="s">
        <v>15</v>
      </c>
      <c r="D1346" t="s">
        <v>32</v>
      </c>
      <c r="E1346">
        <v>1.76</v>
      </c>
      <c r="F1346">
        <v>28</v>
      </c>
      <c r="G1346" t="s">
        <v>33</v>
      </c>
      <c r="H1346" t="s">
        <v>55</v>
      </c>
      <c r="I1346" s="2">
        <v>17.989999999999998</v>
      </c>
      <c r="J1346">
        <v>0</v>
      </c>
      <c r="K1346" s="2">
        <f t="shared" si="40"/>
        <v>0</v>
      </c>
      <c r="L1346" t="s">
        <v>61</v>
      </c>
      <c r="M1346">
        <v>4</v>
      </c>
      <c r="N1346">
        <v>0.06</v>
      </c>
      <c r="O1346" t="str">
        <f t="shared" si="41"/>
        <v>0–0.2 hours</v>
      </c>
      <c r="P1346" t="s">
        <v>52</v>
      </c>
    </row>
    <row r="1347" spans="1:16" x14ac:dyDescent="0.4">
      <c r="A1347" t="s">
        <v>1388</v>
      </c>
      <c r="B1347">
        <v>66</v>
      </c>
      <c r="C1347" t="s">
        <v>41</v>
      </c>
      <c r="D1347" t="s">
        <v>32</v>
      </c>
      <c r="E1347">
        <v>30.91</v>
      </c>
      <c r="F1347">
        <v>51</v>
      </c>
      <c r="G1347" t="s">
        <v>70</v>
      </c>
      <c r="H1347" t="s">
        <v>18</v>
      </c>
      <c r="I1347" s="2">
        <v>17.989999999999998</v>
      </c>
      <c r="J1347">
        <v>0</v>
      </c>
      <c r="K1347" s="2">
        <f t="shared" ref="K1347:K1410" si="42">SUMIF(J1347,1,I1347)</f>
        <v>0</v>
      </c>
      <c r="L1347" t="s">
        <v>43</v>
      </c>
      <c r="M1347">
        <v>1</v>
      </c>
      <c r="N1347">
        <v>0.59</v>
      </c>
      <c r="O1347" t="str">
        <f t="shared" ref="O1347:O1410" si="43">IF(N1347&gt;1,"1+ hours",IF(N1347&lt;=0.2,"0–0.2 hours",IF(N1347&lt;=0.4,"0.2–0.4 hours",IF(N1347&lt;=0.6,"0.4–0.6 hours",IF(N1347&lt;=0.8,"0.6–0.8 hours","0.8–1 hour")))))</f>
        <v>0.4–0.6 hours</v>
      </c>
      <c r="P1347" t="s">
        <v>30</v>
      </c>
    </row>
    <row r="1348" spans="1:16" x14ac:dyDescent="0.4">
      <c r="A1348" t="s">
        <v>1389</v>
      </c>
      <c r="B1348">
        <v>40</v>
      </c>
      <c r="C1348" t="s">
        <v>41</v>
      </c>
      <c r="D1348" t="s">
        <v>16</v>
      </c>
      <c r="E1348">
        <v>1.18</v>
      </c>
      <c r="F1348">
        <v>39</v>
      </c>
      <c r="G1348" t="s">
        <v>28</v>
      </c>
      <c r="H1348" t="s">
        <v>57</v>
      </c>
      <c r="I1348" s="2">
        <v>8.99</v>
      </c>
      <c r="J1348">
        <v>1</v>
      </c>
      <c r="K1348" s="2">
        <f t="shared" si="42"/>
        <v>8.99</v>
      </c>
      <c r="L1348" t="s">
        <v>37</v>
      </c>
      <c r="M1348">
        <v>2</v>
      </c>
      <c r="N1348">
        <v>0.03</v>
      </c>
      <c r="O1348" t="str">
        <f t="shared" si="43"/>
        <v>0–0.2 hours</v>
      </c>
      <c r="P1348" t="s">
        <v>25</v>
      </c>
    </row>
    <row r="1349" spans="1:16" x14ac:dyDescent="0.4">
      <c r="A1349" t="s">
        <v>1390</v>
      </c>
      <c r="B1349">
        <v>35</v>
      </c>
      <c r="C1349" t="s">
        <v>27</v>
      </c>
      <c r="D1349" t="s">
        <v>16</v>
      </c>
      <c r="E1349">
        <v>5</v>
      </c>
      <c r="F1349">
        <v>48</v>
      </c>
      <c r="G1349" t="s">
        <v>17</v>
      </c>
      <c r="H1349" t="s">
        <v>55</v>
      </c>
      <c r="I1349" s="2">
        <v>8.99</v>
      </c>
      <c r="J1349">
        <v>1</v>
      </c>
      <c r="K1349" s="2">
        <f t="shared" si="42"/>
        <v>8.99</v>
      </c>
      <c r="L1349" t="s">
        <v>29</v>
      </c>
      <c r="M1349">
        <v>1</v>
      </c>
      <c r="N1349">
        <v>0.1</v>
      </c>
      <c r="O1349" t="str">
        <f t="shared" si="43"/>
        <v>0–0.2 hours</v>
      </c>
      <c r="P1349" t="s">
        <v>30</v>
      </c>
    </row>
    <row r="1350" spans="1:16" x14ac:dyDescent="0.4">
      <c r="A1350" t="s">
        <v>1391</v>
      </c>
      <c r="B1350">
        <v>52</v>
      </c>
      <c r="C1350" t="s">
        <v>41</v>
      </c>
      <c r="D1350" t="s">
        <v>16</v>
      </c>
      <c r="E1350">
        <v>0.41</v>
      </c>
      <c r="F1350">
        <v>48</v>
      </c>
      <c r="G1350" t="s">
        <v>23</v>
      </c>
      <c r="H1350" t="s">
        <v>18</v>
      </c>
      <c r="I1350" s="2">
        <v>8.99</v>
      </c>
      <c r="J1350">
        <v>1</v>
      </c>
      <c r="K1350" s="2">
        <f t="shared" si="42"/>
        <v>8.99</v>
      </c>
      <c r="L1350" t="s">
        <v>61</v>
      </c>
      <c r="M1350">
        <v>5</v>
      </c>
      <c r="N1350">
        <v>0.01</v>
      </c>
      <c r="O1350" t="str">
        <f t="shared" si="43"/>
        <v>0–0.2 hours</v>
      </c>
      <c r="P1350" t="s">
        <v>52</v>
      </c>
    </row>
    <row r="1351" spans="1:16" x14ac:dyDescent="0.4">
      <c r="A1351" t="s">
        <v>1392</v>
      </c>
      <c r="B1351">
        <v>24</v>
      </c>
      <c r="C1351" t="s">
        <v>41</v>
      </c>
      <c r="D1351" t="s">
        <v>22</v>
      </c>
      <c r="E1351">
        <v>8.9600000000000009</v>
      </c>
      <c r="F1351">
        <v>34</v>
      </c>
      <c r="G1351" t="s">
        <v>49</v>
      </c>
      <c r="H1351" t="s">
        <v>24</v>
      </c>
      <c r="I1351" s="2">
        <v>13.99</v>
      </c>
      <c r="J1351">
        <v>1</v>
      </c>
      <c r="K1351" s="2">
        <f t="shared" si="42"/>
        <v>13.99</v>
      </c>
      <c r="L1351" t="s">
        <v>19</v>
      </c>
      <c r="M1351">
        <v>2</v>
      </c>
      <c r="N1351">
        <v>0.26</v>
      </c>
      <c r="O1351" t="str">
        <f t="shared" si="43"/>
        <v>0.2–0.4 hours</v>
      </c>
      <c r="P1351" t="s">
        <v>47</v>
      </c>
    </row>
    <row r="1352" spans="1:16" x14ac:dyDescent="0.4">
      <c r="A1352" t="s">
        <v>1393</v>
      </c>
      <c r="B1352">
        <v>46</v>
      </c>
      <c r="C1352" t="s">
        <v>15</v>
      </c>
      <c r="D1352" t="s">
        <v>32</v>
      </c>
      <c r="E1352">
        <v>7.86</v>
      </c>
      <c r="F1352">
        <v>10</v>
      </c>
      <c r="G1352" t="s">
        <v>33</v>
      </c>
      <c r="H1352" t="s">
        <v>57</v>
      </c>
      <c r="I1352" s="2">
        <v>17.989999999999998</v>
      </c>
      <c r="J1352">
        <v>0</v>
      </c>
      <c r="K1352" s="2">
        <f t="shared" si="42"/>
        <v>0</v>
      </c>
      <c r="L1352" t="s">
        <v>61</v>
      </c>
      <c r="M1352">
        <v>1</v>
      </c>
      <c r="N1352">
        <v>0.71</v>
      </c>
      <c r="O1352" t="str">
        <f t="shared" si="43"/>
        <v>0.6–0.8 hours</v>
      </c>
      <c r="P1352" t="s">
        <v>30</v>
      </c>
    </row>
    <row r="1353" spans="1:16" x14ac:dyDescent="0.4">
      <c r="A1353" t="s">
        <v>1394</v>
      </c>
      <c r="B1353">
        <v>30</v>
      </c>
      <c r="C1353" t="s">
        <v>27</v>
      </c>
      <c r="D1353" t="s">
        <v>22</v>
      </c>
      <c r="E1353">
        <v>1.21</v>
      </c>
      <c r="F1353">
        <v>14</v>
      </c>
      <c r="G1353" t="s">
        <v>23</v>
      </c>
      <c r="H1353" t="s">
        <v>18</v>
      </c>
      <c r="I1353" s="2">
        <v>13.99</v>
      </c>
      <c r="J1353">
        <v>1</v>
      </c>
      <c r="K1353" s="2">
        <f t="shared" si="42"/>
        <v>13.99</v>
      </c>
      <c r="L1353" t="s">
        <v>29</v>
      </c>
      <c r="M1353">
        <v>5</v>
      </c>
      <c r="N1353">
        <v>0.08</v>
      </c>
      <c r="O1353" t="str">
        <f t="shared" si="43"/>
        <v>0–0.2 hours</v>
      </c>
      <c r="P1353" t="s">
        <v>30</v>
      </c>
    </row>
    <row r="1354" spans="1:16" x14ac:dyDescent="0.4">
      <c r="A1354" t="s">
        <v>1395</v>
      </c>
      <c r="B1354">
        <v>36</v>
      </c>
      <c r="C1354" t="s">
        <v>27</v>
      </c>
      <c r="D1354" t="s">
        <v>16</v>
      </c>
      <c r="E1354">
        <v>0.05</v>
      </c>
      <c r="F1354">
        <v>25</v>
      </c>
      <c r="G1354" t="s">
        <v>23</v>
      </c>
      <c r="H1354" t="s">
        <v>55</v>
      </c>
      <c r="I1354" s="2">
        <v>8.99</v>
      </c>
      <c r="J1354">
        <v>1</v>
      </c>
      <c r="K1354" s="2">
        <f t="shared" si="42"/>
        <v>8.99</v>
      </c>
      <c r="L1354" t="s">
        <v>37</v>
      </c>
      <c r="M1354">
        <v>4</v>
      </c>
      <c r="N1354">
        <v>0</v>
      </c>
      <c r="O1354" t="str">
        <f t="shared" si="43"/>
        <v>0–0.2 hours</v>
      </c>
      <c r="P1354" t="s">
        <v>20</v>
      </c>
    </row>
    <row r="1355" spans="1:16" x14ac:dyDescent="0.4">
      <c r="A1355" t="s">
        <v>1396</v>
      </c>
      <c r="B1355">
        <v>30</v>
      </c>
      <c r="C1355" t="s">
        <v>27</v>
      </c>
      <c r="D1355" t="s">
        <v>16</v>
      </c>
      <c r="E1355">
        <v>7.59</v>
      </c>
      <c r="F1355">
        <v>36</v>
      </c>
      <c r="G1355" t="s">
        <v>33</v>
      </c>
      <c r="H1355" t="s">
        <v>24</v>
      </c>
      <c r="I1355" s="2">
        <v>8.99</v>
      </c>
      <c r="J1355">
        <v>1</v>
      </c>
      <c r="K1355" s="2">
        <f t="shared" si="42"/>
        <v>8.99</v>
      </c>
      <c r="L1355" t="s">
        <v>61</v>
      </c>
      <c r="M1355">
        <v>3</v>
      </c>
      <c r="N1355">
        <v>0.21</v>
      </c>
      <c r="O1355" t="str">
        <f t="shared" si="43"/>
        <v>0.2–0.4 hours</v>
      </c>
      <c r="P1355" t="s">
        <v>34</v>
      </c>
    </row>
    <row r="1356" spans="1:16" x14ac:dyDescent="0.4">
      <c r="A1356" t="s">
        <v>1397</v>
      </c>
      <c r="B1356">
        <v>26</v>
      </c>
      <c r="C1356" t="s">
        <v>41</v>
      </c>
      <c r="D1356" t="s">
        <v>16</v>
      </c>
      <c r="E1356">
        <v>22.41</v>
      </c>
      <c r="F1356">
        <v>15</v>
      </c>
      <c r="G1356" t="s">
        <v>49</v>
      </c>
      <c r="H1356" t="s">
        <v>57</v>
      </c>
      <c r="I1356" s="2">
        <v>8.99</v>
      </c>
      <c r="J1356">
        <v>0</v>
      </c>
      <c r="K1356" s="2">
        <f t="shared" si="42"/>
        <v>0</v>
      </c>
      <c r="L1356" t="s">
        <v>19</v>
      </c>
      <c r="M1356">
        <v>4</v>
      </c>
      <c r="N1356">
        <v>1.4</v>
      </c>
      <c r="O1356" t="str">
        <f t="shared" si="43"/>
        <v>1+ hours</v>
      </c>
      <c r="P1356" t="s">
        <v>20</v>
      </c>
    </row>
    <row r="1357" spans="1:16" x14ac:dyDescent="0.4">
      <c r="A1357" t="s">
        <v>1398</v>
      </c>
      <c r="B1357">
        <v>46</v>
      </c>
      <c r="C1357" t="s">
        <v>15</v>
      </c>
      <c r="D1357" t="s">
        <v>32</v>
      </c>
      <c r="E1357">
        <v>13.15</v>
      </c>
      <c r="F1357">
        <v>57</v>
      </c>
      <c r="G1357" t="s">
        <v>33</v>
      </c>
      <c r="H1357" t="s">
        <v>57</v>
      </c>
      <c r="I1357" s="2">
        <v>17.989999999999998</v>
      </c>
      <c r="J1357">
        <v>1</v>
      </c>
      <c r="K1357" s="2">
        <f t="shared" si="42"/>
        <v>17.989999999999998</v>
      </c>
      <c r="L1357" t="s">
        <v>29</v>
      </c>
      <c r="M1357">
        <v>5</v>
      </c>
      <c r="N1357">
        <v>0.23</v>
      </c>
      <c r="O1357" t="str">
        <f t="shared" si="43"/>
        <v>0.2–0.4 hours</v>
      </c>
      <c r="P1357" t="s">
        <v>20</v>
      </c>
    </row>
    <row r="1358" spans="1:16" x14ac:dyDescent="0.4">
      <c r="A1358" t="s">
        <v>1399</v>
      </c>
      <c r="B1358">
        <v>19</v>
      </c>
      <c r="C1358" t="s">
        <v>41</v>
      </c>
      <c r="D1358" t="s">
        <v>16</v>
      </c>
      <c r="E1358">
        <v>12.3</v>
      </c>
      <c r="F1358">
        <v>29</v>
      </c>
      <c r="G1358" t="s">
        <v>33</v>
      </c>
      <c r="H1358" t="s">
        <v>55</v>
      </c>
      <c r="I1358" s="2">
        <v>8.99</v>
      </c>
      <c r="J1358">
        <v>1</v>
      </c>
      <c r="K1358" s="2">
        <f t="shared" si="42"/>
        <v>8.99</v>
      </c>
      <c r="L1358" t="s">
        <v>37</v>
      </c>
      <c r="M1358">
        <v>1</v>
      </c>
      <c r="N1358">
        <v>0.41</v>
      </c>
      <c r="O1358" t="str">
        <f t="shared" si="43"/>
        <v>0.4–0.6 hours</v>
      </c>
      <c r="P1358" t="s">
        <v>30</v>
      </c>
    </row>
    <row r="1359" spans="1:16" x14ac:dyDescent="0.4">
      <c r="A1359" t="s">
        <v>1400</v>
      </c>
      <c r="B1359">
        <v>33</v>
      </c>
      <c r="C1359" t="s">
        <v>15</v>
      </c>
      <c r="D1359" t="s">
        <v>16</v>
      </c>
      <c r="E1359">
        <v>29.76</v>
      </c>
      <c r="F1359">
        <v>50</v>
      </c>
      <c r="G1359" t="s">
        <v>23</v>
      </c>
      <c r="H1359" t="s">
        <v>24</v>
      </c>
      <c r="I1359" s="2">
        <v>8.99</v>
      </c>
      <c r="J1359">
        <v>0</v>
      </c>
      <c r="K1359" s="2">
        <f t="shared" si="42"/>
        <v>0</v>
      </c>
      <c r="L1359" t="s">
        <v>29</v>
      </c>
      <c r="M1359">
        <v>3</v>
      </c>
      <c r="N1359">
        <v>0.57999999999999996</v>
      </c>
      <c r="O1359" t="str">
        <f t="shared" si="43"/>
        <v>0.4–0.6 hours</v>
      </c>
      <c r="P1359" t="s">
        <v>20</v>
      </c>
    </row>
    <row r="1360" spans="1:16" x14ac:dyDescent="0.4">
      <c r="A1360" t="s">
        <v>1401</v>
      </c>
      <c r="B1360">
        <v>21</v>
      </c>
      <c r="C1360" t="s">
        <v>15</v>
      </c>
      <c r="D1360" t="s">
        <v>16</v>
      </c>
      <c r="E1360">
        <v>18.91</v>
      </c>
      <c r="F1360">
        <v>36</v>
      </c>
      <c r="G1360" t="s">
        <v>28</v>
      </c>
      <c r="H1360" t="s">
        <v>55</v>
      </c>
      <c r="I1360" s="2">
        <v>8.99</v>
      </c>
      <c r="J1360">
        <v>1</v>
      </c>
      <c r="K1360" s="2">
        <f t="shared" si="42"/>
        <v>8.99</v>
      </c>
      <c r="L1360" t="s">
        <v>37</v>
      </c>
      <c r="M1360">
        <v>1</v>
      </c>
      <c r="N1360">
        <v>0.51</v>
      </c>
      <c r="O1360" t="str">
        <f t="shared" si="43"/>
        <v>0.4–0.6 hours</v>
      </c>
      <c r="P1360" t="s">
        <v>34</v>
      </c>
    </row>
    <row r="1361" spans="1:16" x14ac:dyDescent="0.4">
      <c r="A1361" t="s">
        <v>1402</v>
      </c>
      <c r="B1361">
        <v>69</v>
      </c>
      <c r="C1361" t="s">
        <v>27</v>
      </c>
      <c r="D1361" t="s">
        <v>22</v>
      </c>
      <c r="E1361">
        <v>5.93</v>
      </c>
      <c r="F1361">
        <v>39</v>
      </c>
      <c r="G1361" t="s">
        <v>70</v>
      </c>
      <c r="H1361" t="s">
        <v>55</v>
      </c>
      <c r="I1361" s="2">
        <v>13.99</v>
      </c>
      <c r="J1361">
        <v>1</v>
      </c>
      <c r="K1361" s="2">
        <f t="shared" si="42"/>
        <v>13.99</v>
      </c>
      <c r="L1361" t="s">
        <v>19</v>
      </c>
      <c r="M1361">
        <v>5</v>
      </c>
      <c r="N1361">
        <v>0.15</v>
      </c>
      <c r="O1361" t="str">
        <f t="shared" si="43"/>
        <v>0–0.2 hours</v>
      </c>
      <c r="P1361" t="s">
        <v>25</v>
      </c>
    </row>
    <row r="1362" spans="1:16" x14ac:dyDescent="0.4">
      <c r="A1362" t="s">
        <v>1403</v>
      </c>
      <c r="B1362">
        <v>30</v>
      </c>
      <c r="C1362" t="s">
        <v>27</v>
      </c>
      <c r="D1362" t="s">
        <v>32</v>
      </c>
      <c r="E1362">
        <v>1.85</v>
      </c>
      <c r="F1362">
        <v>5</v>
      </c>
      <c r="G1362" t="s">
        <v>23</v>
      </c>
      <c r="H1362" t="s">
        <v>46</v>
      </c>
      <c r="I1362" s="2">
        <v>17.989999999999998</v>
      </c>
      <c r="J1362">
        <v>0</v>
      </c>
      <c r="K1362" s="2">
        <f t="shared" si="42"/>
        <v>0</v>
      </c>
      <c r="L1362" t="s">
        <v>37</v>
      </c>
      <c r="M1362">
        <v>5</v>
      </c>
      <c r="N1362">
        <v>0.31</v>
      </c>
      <c r="O1362" t="str">
        <f t="shared" si="43"/>
        <v>0.2–0.4 hours</v>
      </c>
      <c r="P1362" t="s">
        <v>30</v>
      </c>
    </row>
    <row r="1363" spans="1:16" x14ac:dyDescent="0.4">
      <c r="A1363" t="s">
        <v>1404</v>
      </c>
      <c r="B1363">
        <v>23</v>
      </c>
      <c r="C1363" t="s">
        <v>15</v>
      </c>
      <c r="D1363" t="s">
        <v>16</v>
      </c>
      <c r="E1363">
        <v>28.57</v>
      </c>
      <c r="F1363">
        <v>55</v>
      </c>
      <c r="G1363" t="s">
        <v>33</v>
      </c>
      <c r="H1363" t="s">
        <v>55</v>
      </c>
      <c r="I1363" s="2">
        <v>8.99</v>
      </c>
      <c r="J1363">
        <v>0</v>
      </c>
      <c r="K1363" s="2">
        <f t="shared" si="42"/>
        <v>0</v>
      </c>
      <c r="L1363" t="s">
        <v>43</v>
      </c>
      <c r="M1363">
        <v>3</v>
      </c>
      <c r="N1363">
        <v>0.51</v>
      </c>
      <c r="O1363" t="str">
        <f t="shared" si="43"/>
        <v>0.4–0.6 hours</v>
      </c>
      <c r="P1363" t="s">
        <v>30</v>
      </c>
    </row>
    <row r="1364" spans="1:16" x14ac:dyDescent="0.4">
      <c r="A1364" t="s">
        <v>1405</v>
      </c>
      <c r="B1364">
        <v>70</v>
      </c>
      <c r="C1364" t="s">
        <v>27</v>
      </c>
      <c r="D1364" t="s">
        <v>16</v>
      </c>
      <c r="E1364">
        <v>2.46</v>
      </c>
      <c r="F1364">
        <v>53</v>
      </c>
      <c r="G1364" t="s">
        <v>49</v>
      </c>
      <c r="H1364" t="s">
        <v>46</v>
      </c>
      <c r="I1364" s="2">
        <v>8.99</v>
      </c>
      <c r="J1364">
        <v>1</v>
      </c>
      <c r="K1364" s="2">
        <f t="shared" si="42"/>
        <v>8.99</v>
      </c>
      <c r="L1364" t="s">
        <v>29</v>
      </c>
      <c r="M1364">
        <v>1</v>
      </c>
      <c r="N1364">
        <v>0.05</v>
      </c>
      <c r="O1364" t="str">
        <f t="shared" si="43"/>
        <v>0–0.2 hours</v>
      </c>
      <c r="P1364" t="s">
        <v>30</v>
      </c>
    </row>
    <row r="1365" spans="1:16" x14ac:dyDescent="0.4">
      <c r="A1365" t="s">
        <v>1406</v>
      </c>
      <c r="B1365">
        <v>62</v>
      </c>
      <c r="C1365" t="s">
        <v>41</v>
      </c>
      <c r="D1365" t="s">
        <v>16</v>
      </c>
      <c r="E1365">
        <v>22.77</v>
      </c>
      <c r="F1365">
        <v>47</v>
      </c>
      <c r="G1365" t="s">
        <v>49</v>
      </c>
      <c r="H1365" t="s">
        <v>24</v>
      </c>
      <c r="I1365" s="2">
        <v>8.99</v>
      </c>
      <c r="J1365">
        <v>1</v>
      </c>
      <c r="K1365" s="2">
        <f t="shared" si="42"/>
        <v>8.99</v>
      </c>
      <c r="L1365" t="s">
        <v>29</v>
      </c>
      <c r="M1365">
        <v>5</v>
      </c>
      <c r="N1365">
        <v>0.47</v>
      </c>
      <c r="O1365" t="str">
        <f t="shared" si="43"/>
        <v>0.4–0.6 hours</v>
      </c>
      <c r="P1365" t="s">
        <v>52</v>
      </c>
    </row>
    <row r="1366" spans="1:16" x14ac:dyDescent="0.4">
      <c r="A1366" s="1" t="s">
        <v>1407</v>
      </c>
      <c r="B1366">
        <v>53</v>
      </c>
      <c r="C1366" t="s">
        <v>27</v>
      </c>
      <c r="D1366" t="s">
        <v>32</v>
      </c>
      <c r="E1366">
        <v>2.89</v>
      </c>
      <c r="F1366">
        <v>22</v>
      </c>
      <c r="G1366" t="s">
        <v>49</v>
      </c>
      <c r="H1366" t="s">
        <v>24</v>
      </c>
      <c r="I1366" s="2">
        <v>17.989999999999998</v>
      </c>
      <c r="J1366">
        <v>0</v>
      </c>
      <c r="K1366" s="2">
        <f t="shared" si="42"/>
        <v>0</v>
      </c>
      <c r="L1366" t="s">
        <v>43</v>
      </c>
      <c r="M1366">
        <v>5</v>
      </c>
      <c r="N1366">
        <v>0.13</v>
      </c>
      <c r="O1366" t="str">
        <f t="shared" si="43"/>
        <v>0–0.2 hours</v>
      </c>
      <c r="P1366" t="s">
        <v>52</v>
      </c>
    </row>
    <row r="1367" spans="1:16" x14ac:dyDescent="0.4">
      <c r="A1367" t="s">
        <v>1408</v>
      </c>
      <c r="B1367">
        <v>63</v>
      </c>
      <c r="C1367" t="s">
        <v>15</v>
      </c>
      <c r="D1367" t="s">
        <v>32</v>
      </c>
      <c r="E1367">
        <v>15.02</v>
      </c>
      <c r="F1367">
        <v>11</v>
      </c>
      <c r="G1367" t="s">
        <v>70</v>
      </c>
      <c r="H1367" t="s">
        <v>18</v>
      </c>
      <c r="I1367" s="2">
        <v>17.989999999999998</v>
      </c>
      <c r="J1367">
        <v>0</v>
      </c>
      <c r="K1367" s="2">
        <f t="shared" si="42"/>
        <v>0</v>
      </c>
      <c r="L1367" t="s">
        <v>43</v>
      </c>
      <c r="M1367">
        <v>2</v>
      </c>
      <c r="N1367">
        <v>1.25</v>
      </c>
      <c r="O1367" t="str">
        <f t="shared" si="43"/>
        <v>1+ hours</v>
      </c>
      <c r="P1367" t="s">
        <v>47</v>
      </c>
    </row>
    <row r="1368" spans="1:16" x14ac:dyDescent="0.4">
      <c r="A1368" t="s">
        <v>1409</v>
      </c>
      <c r="B1368">
        <v>55</v>
      </c>
      <c r="C1368" t="s">
        <v>41</v>
      </c>
      <c r="D1368" t="s">
        <v>22</v>
      </c>
      <c r="E1368">
        <v>7.28</v>
      </c>
      <c r="F1368">
        <v>12</v>
      </c>
      <c r="G1368" t="s">
        <v>49</v>
      </c>
      <c r="H1368" t="s">
        <v>57</v>
      </c>
      <c r="I1368" s="2">
        <v>13.99</v>
      </c>
      <c r="J1368">
        <v>0</v>
      </c>
      <c r="K1368" s="2">
        <f t="shared" si="42"/>
        <v>0</v>
      </c>
      <c r="L1368" t="s">
        <v>61</v>
      </c>
      <c r="M1368">
        <v>1</v>
      </c>
      <c r="N1368">
        <v>0.56000000000000005</v>
      </c>
      <c r="O1368" t="str">
        <f t="shared" si="43"/>
        <v>0.4–0.6 hours</v>
      </c>
      <c r="P1368" t="s">
        <v>47</v>
      </c>
    </row>
    <row r="1369" spans="1:16" x14ac:dyDescent="0.4">
      <c r="A1369" t="s">
        <v>1410</v>
      </c>
      <c r="B1369">
        <v>62</v>
      </c>
      <c r="C1369" t="s">
        <v>27</v>
      </c>
      <c r="D1369" t="s">
        <v>22</v>
      </c>
      <c r="E1369">
        <v>1.62</v>
      </c>
      <c r="F1369">
        <v>37</v>
      </c>
      <c r="G1369" t="s">
        <v>70</v>
      </c>
      <c r="H1369" t="s">
        <v>18</v>
      </c>
      <c r="I1369" s="2">
        <v>13.99</v>
      </c>
      <c r="J1369">
        <v>1</v>
      </c>
      <c r="K1369" s="2">
        <f t="shared" si="42"/>
        <v>13.99</v>
      </c>
      <c r="L1369" t="s">
        <v>29</v>
      </c>
      <c r="M1369">
        <v>3</v>
      </c>
      <c r="N1369">
        <v>0.04</v>
      </c>
      <c r="O1369" t="str">
        <f t="shared" si="43"/>
        <v>0–0.2 hours</v>
      </c>
      <c r="P1369" t="s">
        <v>34</v>
      </c>
    </row>
    <row r="1370" spans="1:16" x14ac:dyDescent="0.4">
      <c r="A1370" t="s">
        <v>1411</v>
      </c>
      <c r="B1370">
        <v>21</v>
      </c>
      <c r="C1370" t="s">
        <v>15</v>
      </c>
      <c r="D1370" t="s">
        <v>32</v>
      </c>
      <c r="E1370">
        <v>12.34</v>
      </c>
      <c r="F1370">
        <v>19</v>
      </c>
      <c r="G1370" t="s">
        <v>33</v>
      </c>
      <c r="H1370" t="s">
        <v>18</v>
      </c>
      <c r="I1370" s="2">
        <v>17.989999999999998</v>
      </c>
      <c r="J1370">
        <v>0</v>
      </c>
      <c r="K1370" s="2">
        <f t="shared" si="42"/>
        <v>0</v>
      </c>
      <c r="L1370" t="s">
        <v>37</v>
      </c>
      <c r="M1370">
        <v>3</v>
      </c>
      <c r="N1370">
        <v>0.62</v>
      </c>
      <c r="O1370" t="str">
        <f t="shared" si="43"/>
        <v>0.6–0.8 hours</v>
      </c>
      <c r="P1370" t="s">
        <v>39</v>
      </c>
    </row>
    <row r="1371" spans="1:16" x14ac:dyDescent="0.4">
      <c r="A1371" t="s">
        <v>1412</v>
      </c>
      <c r="B1371">
        <v>29</v>
      </c>
      <c r="C1371" t="s">
        <v>41</v>
      </c>
      <c r="D1371" t="s">
        <v>22</v>
      </c>
      <c r="E1371">
        <v>10.76</v>
      </c>
      <c r="F1371">
        <v>50</v>
      </c>
      <c r="G1371" t="s">
        <v>49</v>
      </c>
      <c r="H1371" t="s">
        <v>24</v>
      </c>
      <c r="I1371" s="2">
        <v>13.99</v>
      </c>
      <c r="J1371">
        <v>1</v>
      </c>
      <c r="K1371" s="2">
        <f t="shared" si="42"/>
        <v>13.99</v>
      </c>
      <c r="L1371" t="s">
        <v>43</v>
      </c>
      <c r="M1371">
        <v>2</v>
      </c>
      <c r="N1371">
        <v>0.21</v>
      </c>
      <c r="O1371" t="str">
        <f t="shared" si="43"/>
        <v>0.2–0.4 hours</v>
      </c>
      <c r="P1371" t="s">
        <v>30</v>
      </c>
    </row>
    <row r="1372" spans="1:16" x14ac:dyDescent="0.4">
      <c r="A1372" t="s">
        <v>1413</v>
      </c>
      <c r="B1372">
        <v>22</v>
      </c>
      <c r="C1372" t="s">
        <v>15</v>
      </c>
      <c r="D1372" t="s">
        <v>32</v>
      </c>
      <c r="E1372">
        <v>13.72</v>
      </c>
      <c r="F1372">
        <v>59</v>
      </c>
      <c r="G1372" t="s">
        <v>28</v>
      </c>
      <c r="H1372" t="s">
        <v>55</v>
      </c>
      <c r="I1372" s="2">
        <v>17.989999999999998</v>
      </c>
      <c r="J1372">
        <v>1</v>
      </c>
      <c r="K1372" s="2">
        <f t="shared" si="42"/>
        <v>17.989999999999998</v>
      </c>
      <c r="L1372" t="s">
        <v>29</v>
      </c>
      <c r="M1372">
        <v>5</v>
      </c>
      <c r="N1372">
        <v>0.23</v>
      </c>
      <c r="O1372" t="str">
        <f t="shared" si="43"/>
        <v>0.2–0.4 hours</v>
      </c>
      <c r="P1372" t="s">
        <v>30</v>
      </c>
    </row>
    <row r="1373" spans="1:16" x14ac:dyDescent="0.4">
      <c r="A1373" t="s">
        <v>1414</v>
      </c>
      <c r="B1373">
        <v>28</v>
      </c>
      <c r="C1373" t="s">
        <v>41</v>
      </c>
      <c r="D1373" t="s">
        <v>22</v>
      </c>
      <c r="E1373">
        <v>22.78</v>
      </c>
      <c r="F1373">
        <v>16</v>
      </c>
      <c r="G1373" t="s">
        <v>33</v>
      </c>
      <c r="H1373" t="s">
        <v>46</v>
      </c>
      <c r="I1373" s="2">
        <v>13.99</v>
      </c>
      <c r="J1373">
        <v>0</v>
      </c>
      <c r="K1373" s="2">
        <f t="shared" si="42"/>
        <v>0</v>
      </c>
      <c r="L1373" t="s">
        <v>37</v>
      </c>
      <c r="M1373">
        <v>5</v>
      </c>
      <c r="N1373">
        <v>1.34</v>
      </c>
      <c r="O1373" t="str">
        <f t="shared" si="43"/>
        <v>1+ hours</v>
      </c>
      <c r="P1373" t="s">
        <v>25</v>
      </c>
    </row>
    <row r="1374" spans="1:16" x14ac:dyDescent="0.4">
      <c r="A1374" t="s">
        <v>1415</v>
      </c>
      <c r="B1374">
        <v>60</v>
      </c>
      <c r="C1374" t="s">
        <v>27</v>
      </c>
      <c r="D1374" t="s">
        <v>16</v>
      </c>
      <c r="E1374">
        <v>1.76</v>
      </c>
      <c r="F1374">
        <v>48</v>
      </c>
      <c r="G1374" t="s">
        <v>70</v>
      </c>
      <c r="H1374" t="s">
        <v>18</v>
      </c>
      <c r="I1374" s="2">
        <v>8.99</v>
      </c>
      <c r="J1374">
        <v>1</v>
      </c>
      <c r="K1374" s="2">
        <f t="shared" si="42"/>
        <v>8.99</v>
      </c>
      <c r="L1374" t="s">
        <v>37</v>
      </c>
      <c r="M1374">
        <v>2</v>
      </c>
      <c r="N1374">
        <v>0.04</v>
      </c>
      <c r="O1374" t="str">
        <f t="shared" si="43"/>
        <v>0–0.2 hours</v>
      </c>
      <c r="P1374" t="s">
        <v>25</v>
      </c>
    </row>
    <row r="1375" spans="1:16" x14ac:dyDescent="0.4">
      <c r="A1375" t="s">
        <v>1416</v>
      </c>
      <c r="B1375">
        <v>29</v>
      </c>
      <c r="C1375" t="s">
        <v>41</v>
      </c>
      <c r="D1375" t="s">
        <v>32</v>
      </c>
      <c r="E1375">
        <v>14.85</v>
      </c>
      <c r="F1375">
        <v>10</v>
      </c>
      <c r="G1375" t="s">
        <v>28</v>
      </c>
      <c r="H1375" t="s">
        <v>57</v>
      </c>
      <c r="I1375" s="2">
        <v>17.989999999999998</v>
      </c>
      <c r="J1375">
        <v>0</v>
      </c>
      <c r="K1375" s="2">
        <f t="shared" si="42"/>
        <v>0</v>
      </c>
      <c r="L1375" t="s">
        <v>61</v>
      </c>
      <c r="M1375">
        <v>1</v>
      </c>
      <c r="N1375">
        <v>1.35</v>
      </c>
      <c r="O1375" t="str">
        <f t="shared" si="43"/>
        <v>1+ hours</v>
      </c>
      <c r="P1375" t="s">
        <v>34</v>
      </c>
    </row>
    <row r="1376" spans="1:16" x14ac:dyDescent="0.4">
      <c r="A1376" t="s">
        <v>1417</v>
      </c>
      <c r="B1376">
        <v>63</v>
      </c>
      <c r="C1376" t="s">
        <v>41</v>
      </c>
      <c r="D1376" t="s">
        <v>16</v>
      </c>
      <c r="E1376">
        <v>0.75</v>
      </c>
      <c r="F1376">
        <v>46</v>
      </c>
      <c r="G1376" t="s">
        <v>28</v>
      </c>
      <c r="H1376" t="s">
        <v>57</v>
      </c>
      <c r="I1376" s="2">
        <v>8.99</v>
      </c>
      <c r="J1376">
        <v>1</v>
      </c>
      <c r="K1376" s="2">
        <f t="shared" si="42"/>
        <v>8.99</v>
      </c>
      <c r="L1376" t="s">
        <v>19</v>
      </c>
      <c r="M1376">
        <v>3</v>
      </c>
      <c r="N1376">
        <v>0.02</v>
      </c>
      <c r="O1376" t="str">
        <f t="shared" si="43"/>
        <v>0–0.2 hours</v>
      </c>
      <c r="P1376" t="s">
        <v>34</v>
      </c>
    </row>
    <row r="1377" spans="1:16" x14ac:dyDescent="0.4">
      <c r="A1377" t="s">
        <v>1418</v>
      </c>
      <c r="B1377">
        <v>40</v>
      </c>
      <c r="C1377" t="s">
        <v>15</v>
      </c>
      <c r="D1377" t="s">
        <v>22</v>
      </c>
      <c r="E1377">
        <v>19.149999999999999</v>
      </c>
      <c r="F1377">
        <v>40</v>
      </c>
      <c r="G1377" t="s">
        <v>28</v>
      </c>
      <c r="H1377" t="s">
        <v>46</v>
      </c>
      <c r="I1377" s="2">
        <v>13.99</v>
      </c>
      <c r="J1377">
        <v>1</v>
      </c>
      <c r="K1377" s="2">
        <f t="shared" si="42"/>
        <v>13.99</v>
      </c>
      <c r="L1377" t="s">
        <v>37</v>
      </c>
      <c r="M1377">
        <v>2</v>
      </c>
      <c r="N1377">
        <v>0.47</v>
      </c>
      <c r="O1377" t="str">
        <f t="shared" si="43"/>
        <v>0.4–0.6 hours</v>
      </c>
      <c r="P1377" t="s">
        <v>34</v>
      </c>
    </row>
    <row r="1378" spans="1:16" x14ac:dyDescent="0.4">
      <c r="A1378" t="s">
        <v>1419</v>
      </c>
      <c r="B1378">
        <v>54</v>
      </c>
      <c r="C1378" t="s">
        <v>15</v>
      </c>
      <c r="D1378" t="s">
        <v>22</v>
      </c>
      <c r="E1378">
        <v>5.57</v>
      </c>
      <c r="F1378">
        <v>53</v>
      </c>
      <c r="G1378" t="s">
        <v>23</v>
      </c>
      <c r="H1378" t="s">
        <v>18</v>
      </c>
      <c r="I1378" s="2">
        <v>13.99</v>
      </c>
      <c r="J1378">
        <v>1</v>
      </c>
      <c r="K1378" s="2">
        <f t="shared" si="42"/>
        <v>13.99</v>
      </c>
      <c r="L1378" t="s">
        <v>29</v>
      </c>
      <c r="M1378">
        <v>5</v>
      </c>
      <c r="N1378">
        <v>0.1</v>
      </c>
      <c r="O1378" t="str">
        <f t="shared" si="43"/>
        <v>0–0.2 hours</v>
      </c>
      <c r="P1378" t="s">
        <v>52</v>
      </c>
    </row>
    <row r="1379" spans="1:16" x14ac:dyDescent="0.4">
      <c r="A1379" t="s">
        <v>1420</v>
      </c>
      <c r="B1379">
        <v>63</v>
      </c>
      <c r="C1379" t="s">
        <v>15</v>
      </c>
      <c r="D1379" t="s">
        <v>22</v>
      </c>
      <c r="E1379">
        <v>6.72</v>
      </c>
      <c r="F1379">
        <v>18</v>
      </c>
      <c r="G1379" t="s">
        <v>23</v>
      </c>
      <c r="H1379" t="s">
        <v>57</v>
      </c>
      <c r="I1379" s="2">
        <v>13.99</v>
      </c>
      <c r="J1379">
        <v>0</v>
      </c>
      <c r="K1379" s="2">
        <f t="shared" si="42"/>
        <v>0</v>
      </c>
      <c r="L1379" t="s">
        <v>61</v>
      </c>
      <c r="M1379">
        <v>4</v>
      </c>
      <c r="N1379">
        <v>0.35</v>
      </c>
      <c r="O1379" t="str">
        <f t="shared" si="43"/>
        <v>0.2–0.4 hours</v>
      </c>
      <c r="P1379" t="s">
        <v>52</v>
      </c>
    </row>
    <row r="1380" spans="1:16" x14ac:dyDescent="0.4">
      <c r="A1380" t="s">
        <v>1421</v>
      </c>
      <c r="B1380">
        <v>31</v>
      </c>
      <c r="C1380" t="s">
        <v>15</v>
      </c>
      <c r="D1380" t="s">
        <v>16</v>
      </c>
      <c r="E1380">
        <v>14.07</v>
      </c>
      <c r="F1380">
        <v>52</v>
      </c>
      <c r="G1380" t="s">
        <v>23</v>
      </c>
      <c r="H1380" t="s">
        <v>55</v>
      </c>
      <c r="I1380" s="2">
        <v>8.99</v>
      </c>
      <c r="J1380">
        <v>1</v>
      </c>
      <c r="K1380" s="2">
        <f t="shared" si="42"/>
        <v>8.99</v>
      </c>
      <c r="L1380" t="s">
        <v>19</v>
      </c>
      <c r="M1380">
        <v>3</v>
      </c>
      <c r="N1380">
        <v>0.27</v>
      </c>
      <c r="O1380" t="str">
        <f t="shared" si="43"/>
        <v>0.2–0.4 hours</v>
      </c>
      <c r="P1380" t="s">
        <v>39</v>
      </c>
    </row>
    <row r="1381" spans="1:16" x14ac:dyDescent="0.4">
      <c r="A1381" t="s">
        <v>1422</v>
      </c>
      <c r="B1381">
        <v>26</v>
      </c>
      <c r="C1381" t="s">
        <v>15</v>
      </c>
      <c r="D1381" t="s">
        <v>22</v>
      </c>
      <c r="E1381">
        <v>4.8600000000000003</v>
      </c>
      <c r="F1381">
        <v>19</v>
      </c>
      <c r="G1381" t="s">
        <v>49</v>
      </c>
      <c r="H1381" t="s">
        <v>24</v>
      </c>
      <c r="I1381" s="2">
        <v>13.99</v>
      </c>
      <c r="J1381">
        <v>0</v>
      </c>
      <c r="K1381" s="2">
        <f t="shared" si="42"/>
        <v>0</v>
      </c>
      <c r="L1381" t="s">
        <v>43</v>
      </c>
      <c r="M1381">
        <v>4</v>
      </c>
      <c r="N1381">
        <v>0.24</v>
      </c>
      <c r="O1381" t="str">
        <f t="shared" si="43"/>
        <v>0.2–0.4 hours</v>
      </c>
      <c r="P1381" t="s">
        <v>30</v>
      </c>
    </row>
    <row r="1382" spans="1:16" x14ac:dyDescent="0.4">
      <c r="A1382" t="s">
        <v>1423</v>
      </c>
      <c r="B1382">
        <v>18</v>
      </c>
      <c r="C1382" t="s">
        <v>27</v>
      </c>
      <c r="D1382" t="s">
        <v>16</v>
      </c>
      <c r="E1382">
        <v>1.82</v>
      </c>
      <c r="F1382">
        <v>46</v>
      </c>
      <c r="G1382" t="s">
        <v>49</v>
      </c>
      <c r="H1382" t="s">
        <v>57</v>
      </c>
      <c r="I1382" s="2">
        <v>8.99</v>
      </c>
      <c r="J1382">
        <v>1</v>
      </c>
      <c r="K1382" s="2">
        <f t="shared" si="42"/>
        <v>8.99</v>
      </c>
      <c r="L1382" t="s">
        <v>61</v>
      </c>
      <c r="M1382">
        <v>3</v>
      </c>
      <c r="N1382">
        <v>0.04</v>
      </c>
      <c r="O1382" t="str">
        <f t="shared" si="43"/>
        <v>0–0.2 hours</v>
      </c>
      <c r="P1382" t="s">
        <v>39</v>
      </c>
    </row>
    <row r="1383" spans="1:16" x14ac:dyDescent="0.4">
      <c r="A1383" t="s">
        <v>1424</v>
      </c>
      <c r="B1383">
        <v>28</v>
      </c>
      <c r="C1383" t="s">
        <v>27</v>
      </c>
      <c r="D1383" t="s">
        <v>22</v>
      </c>
      <c r="E1383">
        <v>4.3899999999999997</v>
      </c>
      <c r="F1383">
        <v>14</v>
      </c>
      <c r="G1383" t="s">
        <v>70</v>
      </c>
      <c r="H1383" t="s">
        <v>57</v>
      </c>
      <c r="I1383" s="2">
        <v>13.99</v>
      </c>
      <c r="J1383">
        <v>1</v>
      </c>
      <c r="K1383" s="2">
        <f t="shared" si="42"/>
        <v>13.99</v>
      </c>
      <c r="L1383" t="s">
        <v>37</v>
      </c>
      <c r="M1383">
        <v>2</v>
      </c>
      <c r="N1383">
        <v>0.28999999999999998</v>
      </c>
      <c r="O1383" t="str">
        <f t="shared" si="43"/>
        <v>0.2–0.4 hours</v>
      </c>
      <c r="P1383" t="s">
        <v>39</v>
      </c>
    </row>
    <row r="1384" spans="1:16" x14ac:dyDescent="0.4">
      <c r="A1384" t="s">
        <v>1425</v>
      </c>
      <c r="B1384">
        <v>46</v>
      </c>
      <c r="C1384" t="s">
        <v>41</v>
      </c>
      <c r="D1384" t="s">
        <v>22</v>
      </c>
      <c r="E1384">
        <v>3.37</v>
      </c>
      <c r="F1384">
        <v>18</v>
      </c>
      <c r="G1384" t="s">
        <v>33</v>
      </c>
      <c r="H1384" t="s">
        <v>18</v>
      </c>
      <c r="I1384" s="2">
        <v>13.99</v>
      </c>
      <c r="J1384">
        <v>0</v>
      </c>
      <c r="K1384" s="2">
        <f t="shared" si="42"/>
        <v>0</v>
      </c>
      <c r="L1384" t="s">
        <v>37</v>
      </c>
      <c r="M1384">
        <v>5</v>
      </c>
      <c r="N1384">
        <v>0.18</v>
      </c>
      <c r="O1384" t="str">
        <f t="shared" si="43"/>
        <v>0–0.2 hours</v>
      </c>
      <c r="P1384" t="s">
        <v>34</v>
      </c>
    </row>
    <row r="1385" spans="1:16" x14ac:dyDescent="0.4">
      <c r="A1385" t="s">
        <v>1426</v>
      </c>
      <c r="B1385">
        <v>47</v>
      </c>
      <c r="C1385" t="s">
        <v>41</v>
      </c>
      <c r="D1385" t="s">
        <v>22</v>
      </c>
      <c r="E1385">
        <v>2.0099999999999998</v>
      </c>
      <c r="F1385">
        <v>5</v>
      </c>
      <c r="G1385" t="s">
        <v>70</v>
      </c>
      <c r="H1385" t="s">
        <v>46</v>
      </c>
      <c r="I1385" s="2">
        <v>13.99</v>
      </c>
      <c r="J1385">
        <v>0</v>
      </c>
      <c r="K1385" s="2">
        <f t="shared" si="42"/>
        <v>0</v>
      </c>
      <c r="L1385" t="s">
        <v>61</v>
      </c>
      <c r="M1385">
        <v>2</v>
      </c>
      <c r="N1385">
        <v>0.33</v>
      </c>
      <c r="O1385" t="str">
        <f t="shared" si="43"/>
        <v>0.2–0.4 hours</v>
      </c>
      <c r="P1385" t="s">
        <v>52</v>
      </c>
    </row>
    <row r="1386" spans="1:16" x14ac:dyDescent="0.4">
      <c r="A1386" t="s">
        <v>1427</v>
      </c>
      <c r="B1386">
        <v>47</v>
      </c>
      <c r="C1386" t="s">
        <v>41</v>
      </c>
      <c r="D1386" t="s">
        <v>16</v>
      </c>
      <c r="E1386">
        <v>6.54</v>
      </c>
      <c r="F1386">
        <v>55</v>
      </c>
      <c r="G1386" t="s">
        <v>17</v>
      </c>
      <c r="H1386" t="s">
        <v>24</v>
      </c>
      <c r="I1386" s="2">
        <v>8.99</v>
      </c>
      <c r="J1386">
        <v>1</v>
      </c>
      <c r="K1386" s="2">
        <f t="shared" si="42"/>
        <v>8.99</v>
      </c>
      <c r="L1386" t="s">
        <v>43</v>
      </c>
      <c r="M1386">
        <v>2</v>
      </c>
      <c r="N1386">
        <v>0.12</v>
      </c>
      <c r="O1386" t="str">
        <f t="shared" si="43"/>
        <v>0–0.2 hours</v>
      </c>
      <c r="P1386" t="s">
        <v>47</v>
      </c>
    </row>
    <row r="1387" spans="1:16" x14ac:dyDescent="0.4">
      <c r="A1387" t="s">
        <v>1428</v>
      </c>
      <c r="B1387">
        <v>29</v>
      </c>
      <c r="C1387" t="s">
        <v>15</v>
      </c>
      <c r="D1387" t="s">
        <v>22</v>
      </c>
      <c r="E1387">
        <v>4.33</v>
      </c>
      <c r="F1387">
        <v>25</v>
      </c>
      <c r="G1387" t="s">
        <v>23</v>
      </c>
      <c r="H1387" t="s">
        <v>24</v>
      </c>
      <c r="I1387" s="2">
        <v>13.99</v>
      </c>
      <c r="J1387">
        <v>0</v>
      </c>
      <c r="K1387" s="2">
        <f t="shared" si="42"/>
        <v>0</v>
      </c>
      <c r="L1387" t="s">
        <v>61</v>
      </c>
      <c r="M1387">
        <v>4</v>
      </c>
      <c r="N1387">
        <v>0.17</v>
      </c>
      <c r="O1387" t="str">
        <f t="shared" si="43"/>
        <v>0–0.2 hours</v>
      </c>
      <c r="P1387" t="s">
        <v>39</v>
      </c>
    </row>
    <row r="1388" spans="1:16" x14ac:dyDescent="0.4">
      <c r="A1388" t="s">
        <v>1429</v>
      </c>
      <c r="B1388">
        <v>70</v>
      </c>
      <c r="C1388" t="s">
        <v>15</v>
      </c>
      <c r="D1388" t="s">
        <v>22</v>
      </c>
      <c r="E1388">
        <v>32.619999999999997</v>
      </c>
      <c r="F1388">
        <v>26</v>
      </c>
      <c r="G1388" t="s">
        <v>17</v>
      </c>
      <c r="H1388" t="s">
        <v>18</v>
      </c>
      <c r="I1388" s="2">
        <v>13.99</v>
      </c>
      <c r="J1388">
        <v>0</v>
      </c>
      <c r="K1388" s="2">
        <f t="shared" si="42"/>
        <v>0</v>
      </c>
      <c r="L1388" t="s">
        <v>29</v>
      </c>
      <c r="M1388">
        <v>1</v>
      </c>
      <c r="N1388">
        <v>1.21</v>
      </c>
      <c r="O1388" t="str">
        <f t="shared" si="43"/>
        <v>1+ hours</v>
      </c>
      <c r="P1388" t="s">
        <v>25</v>
      </c>
    </row>
    <row r="1389" spans="1:16" x14ac:dyDescent="0.4">
      <c r="A1389" t="s">
        <v>1430</v>
      </c>
      <c r="B1389">
        <v>26</v>
      </c>
      <c r="C1389" t="s">
        <v>15</v>
      </c>
      <c r="D1389" t="s">
        <v>32</v>
      </c>
      <c r="E1389">
        <v>11.35</v>
      </c>
      <c r="F1389">
        <v>37</v>
      </c>
      <c r="G1389" t="s">
        <v>33</v>
      </c>
      <c r="H1389" t="s">
        <v>57</v>
      </c>
      <c r="I1389" s="2">
        <v>17.989999999999998</v>
      </c>
      <c r="J1389">
        <v>1</v>
      </c>
      <c r="K1389" s="2">
        <f t="shared" si="42"/>
        <v>17.989999999999998</v>
      </c>
      <c r="L1389" t="s">
        <v>43</v>
      </c>
      <c r="M1389">
        <v>2</v>
      </c>
      <c r="N1389">
        <v>0.3</v>
      </c>
      <c r="O1389" t="str">
        <f t="shared" si="43"/>
        <v>0.2–0.4 hours</v>
      </c>
      <c r="P1389" t="s">
        <v>39</v>
      </c>
    </row>
    <row r="1390" spans="1:16" x14ac:dyDescent="0.4">
      <c r="A1390" t="s">
        <v>1431</v>
      </c>
      <c r="B1390">
        <v>68</v>
      </c>
      <c r="C1390" t="s">
        <v>41</v>
      </c>
      <c r="D1390" t="s">
        <v>32</v>
      </c>
      <c r="E1390">
        <v>2.34</v>
      </c>
      <c r="F1390">
        <v>44</v>
      </c>
      <c r="G1390" t="s">
        <v>33</v>
      </c>
      <c r="H1390" t="s">
        <v>46</v>
      </c>
      <c r="I1390" s="2">
        <v>17.989999999999998</v>
      </c>
      <c r="J1390">
        <v>1</v>
      </c>
      <c r="K1390" s="2">
        <f t="shared" si="42"/>
        <v>17.989999999999998</v>
      </c>
      <c r="L1390" t="s">
        <v>19</v>
      </c>
      <c r="M1390">
        <v>5</v>
      </c>
      <c r="N1390">
        <v>0.05</v>
      </c>
      <c r="O1390" t="str">
        <f t="shared" si="43"/>
        <v>0–0.2 hours</v>
      </c>
      <c r="P1390" t="s">
        <v>30</v>
      </c>
    </row>
    <row r="1391" spans="1:16" x14ac:dyDescent="0.4">
      <c r="A1391" t="s">
        <v>1432</v>
      </c>
      <c r="B1391">
        <v>18</v>
      </c>
      <c r="C1391" t="s">
        <v>27</v>
      </c>
      <c r="D1391" t="s">
        <v>16</v>
      </c>
      <c r="E1391">
        <v>13.51</v>
      </c>
      <c r="F1391">
        <v>53</v>
      </c>
      <c r="G1391" t="s">
        <v>70</v>
      </c>
      <c r="H1391" t="s">
        <v>46</v>
      </c>
      <c r="I1391" s="2">
        <v>8.99</v>
      </c>
      <c r="J1391">
        <v>1</v>
      </c>
      <c r="K1391" s="2">
        <f t="shared" si="42"/>
        <v>8.99</v>
      </c>
      <c r="L1391" t="s">
        <v>37</v>
      </c>
      <c r="M1391">
        <v>4</v>
      </c>
      <c r="N1391">
        <v>0.25</v>
      </c>
      <c r="O1391" t="str">
        <f t="shared" si="43"/>
        <v>0.2–0.4 hours</v>
      </c>
      <c r="P1391" t="s">
        <v>52</v>
      </c>
    </row>
    <row r="1392" spans="1:16" x14ac:dyDescent="0.4">
      <c r="A1392" t="s">
        <v>1433</v>
      </c>
      <c r="B1392">
        <v>18</v>
      </c>
      <c r="C1392" t="s">
        <v>15</v>
      </c>
      <c r="D1392" t="s">
        <v>16</v>
      </c>
      <c r="E1392">
        <v>3.89</v>
      </c>
      <c r="F1392">
        <v>33</v>
      </c>
      <c r="G1392" t="s">
        <v>23</v>
      </c>
      <c r="H1392" t="s">
        <v>57</v>
      </c>
      <c r="I1392" s="2">
        <v>8.99</v>
      </c>
      <c r="J1392">
        <v>1</v>
      </c>
      <c r="K1392" s="2">
        <f t="shared" si="42"/>
        <v>8.99</v>
      </c>
      <c r="L1392" t="s">
        <v>37</v>
      </c>
      <c r="M1392">
        <v>1</v>
      </c>
      <c r="N1392">
        <v>0.11</v>
      </c>
      <c r="O1392" t="str">
        <f t="shared" si="43"/>
        <v>0–0.2 hours</v>
      </c>
      <c r="P1392" t="s">
        <v>20</v>
      </c>
    </row>
    <row r="1393" spans="1:16" x14ac:dyDescent="0.4">
      <c r="A1393" t="s">
        <v>1434</v>
      </c>
      <c r="B1393">
        <v>29</v>
      </c>
      <c r="C1393" t="s">
        <v>27</v>
      </c>
      <c r="D1393" t="s">
        <v>16</v>
      </c>
      <c r="E1393">
        <v>8.48</v>
      </c>
      <c r="F1393">
        <v>39</v>
      </c>
      <c r="G1393" t="s">
        <v>17</v>
      </c>
      <c r="H1393" t="s">
        <v>18</v>
      </c>
      <c r="I1393" s="2">
        <v>8.99</v>
      </c>
      <c r="J1393">
        <v>1</v>
      </c>
      <c r="K1393" s="2">
        <f t="shared" si="42"/>
        <v>8.99</v>
      </c>
      <c r="L1393" t="s">
        <v>37</v>
      </c>
      <c r="M1393">
        <v>5</v>
      </c>
      <c r="N1393">
        <v>0.21</v>
      </c>
      <c r="O1393" t="str">
        <f t="shared" si="43"/>
        <v>0.2–0.4 hours</v>
      </c>
      <c r="P1393" t="s">
        <v>39</v>
      </c>
    </row>
    <row r="1394" spans="1:16" x14ac:dyDescent="0.4">
      <c r="A1394" t="s">
        <v>1435</v>
      </c>
      <c r="B1394">
        <v>24</v>
      </c>
      <c r="C1394" t="s">
        <v>41</v>
      </c>
      <c r="D1394" t="s">
        <v>32</v>
      </c>
      <c r="E1394">
        <v>9.02</v>
      </c>
      <c r="F1394">
        <v>26</v>
      </c>
      <c r="G1394" t="s">
        <v>70</v>
      </c>
      <c r="H1394" t="s">
        <v>55</v>
      </c>
      <c r="I1394" s="2">
        <v>17.989999999999998</v>
      </c>
      <c r="J1394">
        <v>0</v>
      </c>
      <c r="K1394" s="2">
        <f t="shared" si="42"/>
        <v>0</v>
      </c>
      <c r="L1394" t="s">
        <v>37</v>
      </c>
      <c r="M1394">
        <v>4</v>
      </c>
      <c r="N1394">
        <v>0.33</v>
      </c>
      <c r="O1394" t="str">
        <f t="shared" si="43"/>
        <v>0.2–0.4 hours</v>
      </c>
      <c r="P1394" t="s">
        <v>25</v>
      </c>
    </row>
    <row r="1395" spans="1:16" x14ac:dyDescent="0.4">
      <c r="A1395" t="s">
        <v>1436</v>
      </c>
      <c r="B1395">
        <v>29</v>
      </c>
      <c r="C1395" t="s">
        <v>15</v>
      </c>
      <c r="D1395" t="s">
        <v>22</v>
      </c>
      <c r="E1395">
        <v>53.2</v>
      </c>
      <c r="F1395">
        <v>49</v>
      </c>
      <c r="G1395" t="s">
        <v>49</v>
      </c>
      <c r="H1395" t="s">
        <v>46</v>
      </c>
      <c r="I1395" s="2">
        <v>13.99</v>
      </c>
      <c r="J1395">
        <v>0</v>
      </c>
      <c r="K1395" s="2">
        <f t="shared" si="42"/>
        <v>0</v>
      </c>
      <c r="L1395" t="s">
        <v>29</v>
      </c>
      <c r="M1395">
        <v>5</v>
      </c>
      <c r="N1395">
        <v>1.06</v>
      </c>
      <c r="O1395" t="str">
        <f t="shared" si="43"/>
        <v>1+ hours</v>
      </c>
      <c r="P1395" t="s">
        <v>25</v>
      </c>
    </row>
    <row r="1396" spans="1:16" x14ac:dyDescent="0.4">
      <c r="A1396" t="s">
        <v>1437</v>
      </c>
      <c r="B1396">
        <v>37</v>
      </c>
      <c r="C1396" t="s">
        <v>41</v>
      </c>
      <c r="D1396" t="s">
        <v>16</v>
      </c>
      <c r="E1396">
        <v>4.9800000000000004</v>
      </c>
      <c r="F1396">
        <v>30</v>
      </c>
      <c r="G1396" t="s">
        <v>49</v>
      </c>
      <c r="H1396" t="s">
        <v>24</v>
      </c>
      <c r="I1396" s="2">
        <v>8.99</v>
      </c>
      <c r="J1396">
        <v>1</v>
      </c>
      <c r="K1396" s="2">
        <f t="shared" si="42"/>
        <v>8.99</v>
      </c>
      <c r="L1396" t="s">
        <v>19</v>
      </c>
      <c r="M1396">
        <v>4</v>
      </c>
      <c r="N1396">
        <v>0.16</v>
      </c>
      <c r="O1396" t="str">
        <f t="shared" si="43"/>
        <v>0–0.2 hours</v>
      </c>
      <c r="P1396" t="s">
        <v>39</v>
      </c>
    </row>
    <row r="1397" spans="1:16" x14ac:dyDescent="0.4">
      <c r="A1397" t="s">
        <v>1438</v>
      </c>
      <c r="B1397">
        <v>21</v>
      </c>
      <c r="C1397" t="s">
        <v>15</v>
      </c>
      <c r="D1397" t="s">
        <v>32</v>
      </c>
      <c r="E1397">
        <v>4.21</v>
      </c>
      <c r="F1397">
        <v>31</v>
      </c>
      <c r="G1397" t="s">
        <v>23</v>
      </c>
      <c r="H1397" t="s">
        <v>46</v>
      </c>
      <c r="I1397" s="2">
        <v>17.989999999999998</v>
      </c>
      <c r="J1397">
        <v>1</v>
      </c>
      <c r="K1397" s="2">
        <f t="shared" si="42"/>
        <v>17.989999999999998</v>
      </c>
      <c r="L1397" t="s">
        <v>19</v>
      </c>
      <c r="M1397">
        <v>5</v>
      </c>
      <c r="N1397">
        <v>0.13</v>
      </c>
      <c r="O1397" t="str">
        <f t="shared" si="43"/>
        <v>0–0.2 hours</v>
      </c>
      <c r="P1397" t="s">
        <v>52</v>
      </c>
    </row>
    <row r="1398" spans="1:16" x14ac:dyDescent="0.4">
      <c r="A1398" t="s">
        <v>1439</v>
      </c>
      <c r="B1398">
        <v>65</v>
      </c>
      <c r="C1398" t="s">
        <v>15</v>
      </c>
      <c r="D1398" t="s">
        <v>16</v>
      </c>
      <c r="E1398">
        <v>16.100000000000001</v>
      </c>
      <c r="F1398">
        <v>10</v>
      </c>
      <c r="G1398" t="s">
        <v>70</v>
      </c>
      <c r="H1398" t="s">
        <v>57</v>
      </c>
      <c r="I1398" s="2">
        <v>8.99</v>
      </c>
      <c r="J1398">
        <v>0</v>
      </c>
      <c r="K1398" s="2">
        <f t="shared" si="42"/>
        <v>0</v>
      </c>
      <c r="L1398" t="s">
        <v>29</v>
      </c>
      <c r="M1398">
        <v>3</v>
      </c>
      <c r="N1398">
        <v>1.46</v>
      </c>
      <c r="O1398" t="str">
        <f t="shared" si="43"/>
        <v>1+ hours</v>
      </c>
      <c r="P1398" t="s">
        <v>25</v>
      </c>
    </row>
    <row r="1399" spans="1:16" x14ac:dyDescent="0.4">
      <c r="A1399" t="s">
        <v>1440</v>
      </c>
      <c r="B1399">
        <v>44</v>
      </c>
      <c r="C1399" t="s">
        <v>41</v>
      </c>
      <c r="D1399" t="s">
        <v>16</v>
      </c>
      <c r="E1399">
        <v>4.8899999999999997</v>
      </c>
      <c r="F1399">
        <v>35</v>
      </c>
      <c r="G1399" t="s">
        <v>33</v>
      </c>
      <c r="H1399" t="s">
        <v>46</v>
      </c>
      <c r="I1399" s="2">
        <v>8.99</v>
      </c>
      <c r="J1399">
        <v>1</v>
      </c>
      <c r="K1399" s="2">
        <f t="shared" si="42"/>
        <v>8.99</v>
      </c>
      <c r="L1399" t="s">
        <v>43</v>
      </c>
      <c r="M1399">
        <v>3</v>
      </c>
      <c r="N1399">
        <v>0.14000000000000001</v>
      </c>
      <c r="O1399" t="str">
        <f t="shared" si="43"/>
        <v>0–0.2 hours</v>
      </c>
      <c r="P1399" t="s">
        <v>30</v>
      </c>
    </row>
    <row r="1400" spans="1:16" x14ac:dyDescent="0.4">
      <c r="A1400" t="s">
        <v>1441</v>
      </c>
      <c r="B1400">
        <v>18</v>
      </c>
      <c r="C1400" t="s">
        <v>15</v>
      </c>
      <c r="D1400" t="s">
        <v>32</v>
      </c>
      <c r="E1400">
        <v>7.15</v>
      </c>
      <c r="F1400">
        <v>9</v>
      </c>
      <c r="G1400" t="s">
        <v>23</v>
      </c>
      <c r="H1400" t="s">
        <v>46</v>
      </c>
      <c r="I1400" s="2">
        <v>17.989999999999998</v>
      </c>
      <c r="J1400">
        <v>0</v>
      </c>
      <c r="K1400" s="2">
        <f t="shared" si="42"/>
        <v>0</v>
      </c>
      <c r="L1400" t="s">
        <v>37</v>
      </c>
      <c r="M1400">
        <v>3</v>
      </c>
      <c r="N1400">
        <v>0.72</v>
      </c>
      <c r="O1400" t="str">
        <f t="shared" si="43"/>
        <v>0.6–0.8 hours</v>
      </c>
      <c r="P1400" t="s">
        <v>47</v>
      </c>
    </row>
    <row r="1401" spans="1:16" x14ac:dyDescent="0.4">
      <c r="A1401" t="s">
        <v>1442</v>
      </c>
      <c r="B1401">
        <v>55</v>
      </c>
      <c r="C1401" t="s">
        <v>41</v>
      </c>
      <c r="D1401" t="s">
        <v>16</v>
      </c>
      <c r="E1401">
        <v>0.12</v>
      </c>
      <c r="F1401">
        <v>22</v>
      </c>
      <c r="G1401" t="s">
        <v>49</v>
      </c>
      <c r="H1401" t="s">
        <v>57</v>
      </c>
      <c r="I1401" s="2">
        <v>8.99</v>
      </c>
      <c r="J1401">
        <v>1</v>
      </c>
      <c r="K1401" s="2">
        <f t="shared" si="42"/>
        <v>8.99</v>
      </c>
      <c r="L1401" t="s">
        <v>37</v>
      </c>
      <c r="M1401">
        <v>4</v>
      </c>
      <c r="N1401">
        <v>0.01</v>
      </c>
      <c r="O1401" t="str">
        <f t="shared" si="43"/>
        <v>0–0.2 hours</v>
      </c>
      <c r="P1401" t="s">
        <v>47</v>
      </c>
    </row>
    <row r="1402" spans="1:16" x14ac:dyDescent="0.4">
      <c r="A1402" t="s">
        <v>1443</v>
      </c>
      <c r="B1402">
        <v>47</v>
      </c>
      <c r="C1402" t="s">
        <v>15</v>
      </c>
      <c r="D1402" t="s">
        <v>22</v>
      </c>
      <c r="E1402">
        <v>10.82</v>
      </c>
      <c r="F1402">
        <v>51</v>
      </c>
      <c r="G1402" t="s">
        <v>23</v>
      </c>
      <c r="H1402" t="s">
        <v>24</v>
      </c>
      <c r="I1402" s="2">
        <v>13.99</v>
      </c>
      <c r="J1402">
        <v>1</v>
      </c>
      <c r="K1402" s="2">
        <f t="shared" si="42"/>
        <v>13.99</v>
      </c>
      <c r="L1402" t="s">
        <v>61</v>
      </c>
      <c r="M1402">
        <v>2</v>
      </c>
      <c r="N1402">
        <v>0.21</v>
      </c>
      <c r="O1402" t="str">
        <f t="shared" si="43"/>
        <v>0.2–0.4 hours</v>
      </c>
      <c r="P1402" t="s">
        <v>47</v>
      </c>
    </row>
    <row r="1403" spans="1:16" x14ac:dyDescent="0.4">
      <c r="A1403" t="s">
        <v>1444</v>
      </c>
      <c r="B1403">
        <v>47</v>
      </c>
      <c r="C1403" t="s">
        <v>41</v>
      </c>
      <c r="D1403" t="s">
        <v>32</v>
      </c>
      <c r="E1403">
        <v>2.57</v>
      </c>
      <c r="F1403">
        <v>60</v>
      </c>
      <c r="G1403" t="s">
        <v>49</v>
      </c>
      <c r="H1403" t="s">
        <v>18</v>
      </c>
      <c r="I1403" s="2">
        <v>17.989999999999998</v>
      </c>
      <c r="J1403">
        <v>1</v>
      </c>
      <c r="K1403" s="2">
        <f t="shared" si="42"/>
        <v>17.989999999999998</v>
      </c>
      <c r="L1403" t="s">
        <v>19</v>
      </c>
      <c r="M1403">
        <v>3</v>
      </c>
      <c r="N1403">
        <v>0.04</v>
      </c>
      <c r="O1403" t="str">
        <f t="shared" si="43"/>
        <v>0–0.2 hours</v>
      </c>
      <c r="P1403" t="s">
        <v>20</v>
      </c>
    </row>
    <row r="1404" spans="1:16" x14ac:dyDescent="0.4">
      <c r="A1404" t="s">
        <v>1445</v>
      </c>
      <c r="B1404">
        <v>36</v>
      </c>
      <c r="C1404" t="s">
        <v>15</v>
      </c>
      <c r="D1404" t="s">
        <v>32</v>
      </c>
      <c r="E1404">
        <v>2.85</v>
      </c>
      <c r="F1404">
        <v>15</v>
      </c>
      <c r="G1404" t="s">
        <v>17</v>
      </c>
      <c r="H1404" t="s">
        <v>57</v>
      </c>
      <c r="I1404" s="2">
        <v>17.989999999999998</v>
      </c>
      <c r="J1404">
        <v>1</v>
      </c>
      <c r="K1404" s="2">
        <f t="shared" si="42"/>
        <v>17.989999999999998</v>
      </c>
      <c r="L1404" t="s">
        <v>43</v>
      </c>
      <c r="M1404">
        <v>3</v>
      </c>
      <c r="N1404">
        <v>0.18</v>
      </c>
      <c r="O1404" t="str">
        <f t="shared" si="43"/>
        <v>0–0.2 hours</v>
      </c>
      <c r="P1404" t="s">
        <v>47</v>
      </c>
    </row>
    <row r="1405" spans="1:16" x14ac:dyDescent="0.4">
      <c r="A1405" t="s">
        <v>1446</v>
      </c>
      <c r="B1405">
        <v>70</v>
      </c>
      <c r="C1405" t="s">
        <v>15</v>
      </c>
      <c r="D1405" t="s">
        <v>32</v>
      </c>
      <c r="E1405">
        <v>8.6</v>
      </c>
      <c r="F1405">
        <v>37</v>
      </c>
      <c r="G1405" t="s">
        <v>17</v>
      </c>
      <c r="H1405" t="s">
        <v>55</v>
      </c>
      <c r="I1405" s="2">
        <v>17.989999999999998</v>
      </c>
      <c r="J1405">
        <v>1</v>
      </c>
      <c r="K1405" s="2">
        <f t="shared" si="42"/>
        <v>17.989999999999998</v>
      </c>
      <c r="L1405" t="s">
        <v>29</v>
      </c>
      <c r="M1405">
        <v>3</v>
      </c>
      <c r="N1405">
        <v>0.23</v>
      </c>
      <c r="O1405" t="str">
        <f t="shared" si="43"/>
        <v>0.2–0.4 hours</v>
      </c>
      <c r="P1405" t="s">
        <v>52</v>
      </c>
    </row>
    <row r="1406" spans="1:16" x14ac:dyDescent="0.4">
      <c r="A1406" t="s">
        <v>1447</v>
      </c>
      <c r="B1406">
        <v>51</v>
      </c>
      <c r="C1406" t="s">
        <v>27</v>
      </c>
      <c r="D1406" t="s">
        <v>32</v>
      </c>
      <c r="E1406">
        <v>8.34</v>
      </c>
      <c r="F1406">
        <v>32</v>
      </c>
      <c r="G1406" t="s">
        <v>28</v>
      </c>
      <c r="H1406" t="s">
        <v>18</v>
      </c>
      <c r="I1406" s="2">
        <v>17.989999999999998</v>
      </c>
      <c r="J1406">
        <v>1</v>
      </c>
      <c r="K1406" s="2">
        <f t="shared" si="42"/>
        <v>17.989999999999998</v>
      </c>
      <c r="L1406" t="s">
        <v>29</v>
      </c>
      <c r="M1406">
        <v>2</v>
      </c>
      <c r="N1406">
        <v>0.25</v>
      </c>
      <c r="O1406" t="str">
        <f t="shared" si="43"/>
        <v>0.2–0.4 hours</v>
      </c>
      <c r="P1406" t="s">
        <v>39</v>
      </c>
    </row>
    <row r="1407" spans="1:16" x14ac:dyDescent="0.4">
      <c r="A1407" t="s">
        <v>1448</v>
      </c>
      <c r="B1407">
        <v>48</v>
      </c>
      <c r="C1407" t="s">
        <v>41</v>
      </c>
      <c r="D1407" t="s">
        <v>22</v>
      </c>
      <c r="E1407">
        <v>20.69</v>
      </c>
      <c r="F1407">
        <v>43</v>
      </c>
      <c r="G1407" t="s">
        <v>17</v>
      </c>
      <c r="H1407" t="s">
        <v>46</v>
      </c>
      <c r="I1407" s="2">
        <v>13.99</v>
      </c>
      <c r="J1407">
        <v>0</v>
      </c>
      <c r="K1407" s="2">
        <f t="shared" si="42"/>
        <v>0</v>
      </c>
      <c r="L1407" t="s">
        <v>61</v>
      </c>
      <c r="M1407">
        <v>2</v>
      </c>
      <c r="N1407">
        <v>0.47</v>
      </c>
      <c r="O1407" t="str">
        <f t="shared" si="43"/>
        <v>0.4–0.6 hours</v>
      </c>
      <c r="P1407" t="s">
        <v>20</v>
      </c>
    </row>
    <row r="1408" spans="1:16" x14ac:dyDescent="0.4">
      <c r="A1408" t="s">
        <v>1449</v>
      </c>
      <c r="B1408">
        <v>39</v>
      </c>
      <c r="C1408" t="s">
        <v>15</v>
      </c>
      <c r="D1408" t="s">
        <v>32</v>
      </c>
      <c r="E1408">
        <v>13.49</v>
      </c>
      <c r="F1408">
        <v>21</v>
      </c>
      <c r="G1408" t="s">
        <v>49</v>
      </c>
      <c r="H1408" t="s">
        <v>57</v>
      </c>
      <c r="I1408" s="2">
        <v>17.989999999999998</v>
      </c>
      <c r="J1408">
        <v>0</v>
      </c>
      <c r="K1408" s="2">
        <f t="shared" si="42"/>
        <v>0</v>
      </c>
      <c r="L1408" t="s">
        <v>61</v>
      </c>
      <c r="M1408">
        <v>4</v>
      </c>
      <c r="N1408">
        <v>0.61</v>
      </c>
      <c r="O1408" t="str">
        <f t="shared" si="43"/>
        <v>0.6–0.8 hours</v>
      </c>
      <c r="P1408" t="s">
        <v>30</v>
      </c>
    </row>
    <row r="1409" spans="1:16" x14ac:dyDescent="0.4">
      <c r="A1409" s="1" t="s">
        <v>1450</v>
      </c>
      <c r="B1409">
        <v>33</v>
      </c>
      <c r="C1409" t="s">
        <v>41</v>
      </c>
      <c r="D1409" t="s">
        <v>22</v>
      </c>
      <c r="E1409">
        <v>0.93</v>
      </c>
      <c r="F1409">
        <v>4</v>
      </c>
      <c r="G1409" t="s">
        <v>28</v>
      </c>
      <c r="H1409" t="s">
        <v>57</v>
      </c>
      <c r="I1409" s="2">
        <v>13.99</v>
      </c>
      <c r="J1409">
        <v>1</v>
      </c>
      <c r="K1409" s="2">
        <f t="shared" si="42"/>
        <v>13.99</v>
      </c>
      <c r="L1409" t="s">
        <v>29</v>
      </c>
      <c r="M1409">
        <v>1</v>
      </c>
      <c r="N1409">
        <v>0.19</v>
      </c>
      <c r="O1409" t="str">
        <f t="shared" si="43"/>
        <v>0–0.2 hours</v>
      </c>
      <c r="P1409" t="s">
        <v>25</v>
      </c>
    </row>
    <row r="1410" spans="1:16" x14ac:dyDescent="0.4">
      <c r="A1410" t="s">
        <v>1451</v>
      </c>
      <c r="B1410">
        <v>63</v>
      </c>
      <c r="C1410" t="s">
        <v>15</v>
      </c>
      <c r="D1410" t="s">
        <v>22</v>
      </c>
      <c r="E1410">
        <v>30.83</v>
      </c>
      <c r="F1410">
        <v>10</v>
      </c>
      <c r="G1410" t="s">
        <v>23</v>
      </c>
      <c r="H1410" t="s">
        <v>46</v>
      </c>
      <c r="I1410" s="2">
        <v>13.99</v>
      </c>
      <c r="J1410">
        <v>0</v>
      </c>
      <c r="K1410" s="2">
        <f t="shared" si="42"/>
        <v>0</v>
      </c>
      <c r="L1410" t="s">
        <v>29</v>
      </c>
      <c r="M1410">
        <v>2</v>
      </c>
      <c r="N1410">
        <v>2.8</v>
      </c>
      <c r="O1410" t="str">
        <f t="shared" si="43"/>
        <v>1+ hours</v>
      </c>
      <c r="P1410" t="s">
        <v>25</v>
      </c>
    </row>
    <row r="1411" spans="1:16" x14ac:dyDescent="0.4">
      <c r="A1411" t="s">
        <v>1452</v>
      </c>
      <c r="B1411">
        <v>51</v>
      </c>
      <c r="C1411" t="s">
        <v>15</v>
      </c>
      <c r="D1411" t="s">
        <v>16</v>
      </c>
      <c r="E1411">
        <v>3.64</v>
      </c>
      <c r="F1411">
        <v>50</v>
      </c>
      <c r="G1411" t="s">
        <v>49</v>
      </c>
      <c r="H1411" t="s">
        <v>18</v>
      </c>
      <c r="I1411" s="2">
        <v>8.99</v>
      </c>
      <c r="J1411">
        <v>1</v>
      </c>
      <c r="K1411" s="2">
        <f t="shared" ref="K1411:K1474" si="44">SUMIF(J1411,1,I1411)</f>
        <v>8.99</v>
      </c>
      <c r="L1411" t="s">
        <v>37</v>
      </c>
      <c r="M1411">
        <v>1</v>
      </c>
      <c r="N1411">
        <v>7.0000000000000007E-2</v>
      </c>
      <c r="O1411" t="str">
        <f t="shared" ref="O1411:O1474" si="45">IF(N1411&gt;1,"1+ hours",IF(N1411&lt;=0.2,"0–0.2 hours",IF(N1411&lt;=0.4,"0.2–0.4 hours",IF(N1411&lt;=0.6,"0.4–0.6 hours",IF(N1411&lt;=0.8,"0.6–0.8 hours","0.8–1 hour")))))</f>
        <v>0–0.2 hours</v>
      </c>
      <c r="P1411" t="s">
        <v>20</v>
      </c>
    </row>
    <row r="1412" spans="1:16" x14ac:dyDescent="0.4">
      <c r="A1412" t="s">
        <v>1453</v>
      </c>
      <c r="B1412">
        <v>21</v>
      </c>
      <c r="C1412" t="s">
        <v>27</v>
      </c>
      <c r="D1412" t="s">
        <v>22</v>
      </c>
      <c r="E1412">
        <v>13.77</v>
      </c>
      <c r="F1412">
        <v>45</v>
      </c>
      <c r="G1412" t="s">
        <v>49</v>
      </c>
      <c r="H1412" t="s">
        <v>46</v>
      </c>
      <c r="I1412" s="2">
        <v>13.99</v>
      </c>
      <c r="J1412">
        <v>1</v>
      </c>
      <c r="K1412" s="2">
        <f t="shared" si="44"/>
        <v>13.99</v>
      </c>
      <c r="L1412" t="s">
        <v>43</v>
      </c>
      <c r="M1412">
        <v>1</v>
      </c>
      <c r="N1412">
        <v>0.3</v>
      </c>
      <c r="O1412" t="str">
        <f t="shared" si="45"/>
        <v>0.2–0.4 hours</v>
      </c>
      <c r="P1412" t="s">
        <v>34</v>
      </c>
    </row>
    <row r="1413" spans="1:16" x14ac:dyDescent="0.4">
      <c r="A1413" t="s">
        <v>1454</v>
      </c>
      <c r="B1413">
        <v>29</v>
      </c>
      <c r="C1413" t="s">
        <v>27</v>
      </c>
      <c r="D1413" t="s">
        <v>22</v>
      </c>
      <c r="E1413">
        <v>1.56</v>
      </c>
      <c r="F1413">
        <v>10</v>
      </c>
      <c r="G1413" t="s">
        <v>23</v>
      </c>
      <c r="H1413" t="s">
        <v>57</v>
      </c>
      <c r="I1413" s="2">
        <v>13.99</v>
      </c>
      <c r="J1413">
        <v>1</v>
      </c>
      <c r="K1413" s="2">
        <f t="shared" si="44"/>
        <v>13.99</v>
      </c>
      <c r="L1413" t="s">
        <v>19</v>
      </c>
      <c r="M1413">
        <v>5</v>
      </c>
      <c r="N1413">
        <v>0.14000000000000001</v>
      </c>
      <c r="O1413" t="str">
        <f t="shared" si="45"/>
        <v>0–0.2 hours</v>
      </c>
      <c r="P1413" t="s">
        <v>34</v>
      </c>
    </row>
    <row r="1414" spans="1:16" x14ac:dyDescent="0.4">
      <c r="A1414" t="s">
        <v>1455</v>
      </c>
      <c r="B1414">
        <v>52</v>
      </c>
      <c r="C1414" t="s">
        <v>27</v>
      </c>
      <c r="D1414" t="s">
        <v>22</v>
      </c>
      <c r="E1414">
        <v>10.14</v>
      </c>
      <c r="F1414">
        <v>49</v>
      </c>
      <c r="G1414" t="s">
        <v>23</v>
      </c>
      <c r="H1414" t="s">
        <v>18</v>
      </c>
      <c r="I1414" s="2">
        <v>13.99</v>
      </c>
      <c r="J1414">
        <v>1</v>
      </c>
      <c r="K1414" s="2">
        <f t="shared" si="44"/>
        <v>13.99</v>
      </c>
      <c r="L1414" t="s">
        <v>19</v>
      </c>
      <c r="M1414">
        <v>4</v>
      </c>
      <c r="N1414">
        <v>0.2</v>
      </c>
      <c r="O1414" t="str">
        <f t="shared" si="45"/>
        <v>0–0.2 hours</v>
      </c>
      <c r="P1414" t="s">
        <v>20</v>
      </c>
    </row>
    <row r="1415" spans="1:16" x14ac:dyDescent="0.4">
      <c r="A1415" t="s">
        <v>1456</v>
      </c>
      <c r="B1415">
        <v>20</v>
      </c>
      <c r="C1415" t="s">
        <v>15</v>
      </c>
      <c r="D1415" t="s">
        <v>22</v>
      </c>
      <c r="E1415">
        <v>31.73</v>
      </c>
      <c r="F1415">
        <v>46</v>
      </c>
      <c r="G1415" t="s">
        <v>17</v>
      </c>
      <c r="H1415" t="s">
        <v>57</v>
      </c>
      <c r="I1415" s="2">
        <v>13.99</v>
      </c>
      <c r="J1415">
        <v>0</v>
      </c>
      <c r="K1415" s="2">
        <f t="shared" si="44"/>
        <v>0</v>
      </c>
      <c r="L1415" t="s">
        <v>61</v>
      </c>
      <c r="M1415">
        <v>1</v>
      </c>
      <c r="N1415">
        <v>0.68</v>
      </c>
      <c r="O1415" t="str">
        <f t="shared" si="45"/>
        <v>0.6–0.8 hours</v>
      </c>
      <c r="P1415" t="s">
        <v>30</v>
      </c>
    </row>
    <row r="1416" spans="1:16" x14ac:dyDescent="0.4">
      <c r="A1416" t="s">
        <v>1457</v>
      </c>
      <c r="B1416">
        <v>48</v>
      </c>
      <c r="C1416" t="s">
        <v>15</v>
      </c>
      <c r="D1416" t="s">
        <v>16</v>
      </c>
      <c r="E1416">
        <v>6.63</v>
      </c>
      <c r="F1416">
        <v>10</v>
      </c>
      <c r="G1416" t="s">
        <v>49</v>
      </c>
      <c r="H1416" t="s">
        <v>57</v>
      </c>
      <c r="I1416" s="2">
        <v>8.99</v>
      </c>
      <c r="J1416">
        <v>0</v>
      </c>
      <c r="K1416" s="2">
        <f t="shared" si="44"/>
        <v>0</v>
      </c>
      <c r="L1416" t="s">
        <v>43</v>
      </c>
      <c r="M1416">
        <v>2</v>
      </c>
      <c r="N1416">
        <v>0.6</v>
      </c>
      <c r="O1416" t="str">
        <f t="shared" si="45"/>
        <v>0.4–0.6 hours</v>
      </c>
      <c r="P1416" t="s">
        <v>52</v>
      </c>
    </row>
    <row r="1417" spans="1:16" x14ac:dyDescent="0.4">
      <c r="A1417" t="s">
        <v>1458</v>
      </c>
      <c r="B1417">
        <v>25</v>
      </c>
      <c r="C1417" t="s">
        <v>27</v>
      </c>
      <c r="D1417" t="s">
        <v>16</v>
      </c>
      <c r="E1417">
        <v>1.84</v>
      </c>
      <c r="F1417">
        <v>5</v>
      </c>
      <c r="G1417" t="s">
        <v>33</v>
      </c>
      <c r="H1417" t="s">
        <v>46</v>
      </c>
      <c r="I1417" s="2">
        <v>8.99</v>
      </c>
      <c r="J1417">
        <v>1</v>
      </c>
      <c r="K1417" s="2">
        <f t="shared" si="44"/>
        <v>8.99</v>
      </c>
      <c r="L1417" t="s">
        <v>43</v>
      </c>
      <c r="M1417">
        <v>5</v>
      </c>
      <c r="N1417">
        <v>0.31</v>
      </c>
      <c r="O1417" t="str">
        <f t="shared" si="45"/>
        <v>0.2–0.4 hours</v>
      </c>
      <c r="P1417" t="s">
        <v>25</v>
      </c>
    </row>
    <row r="1418" spans="1:16" x14ac:dyDescent="0.4">
      <c r="A1418" t="s">
        <v>1459</v>
      </c>
      <c r="B1418">
        <v>53</v>
      </c>
      <c r="C1418" t="s">
        <v>41</v>
      </c>
      <c r="D1418" t="s">
        <v>16</v>
      </c>
      <c r="E1418">
        <v>3.37</v>
      </c>
      <c r="F1418">
        <v>54</v>
      </c>
      <c r="G1418" t="s">
        <v>49</v>
      </c>
      <c r="H1418" t="s">
        <v>55</v>
      </c>
      <c r="I1418" s="2">
        <v>8.99</v>
      </c>
      <c r="J1418">
        <v>1</v>
      </c>
      <c r="K1418" s="2">
        <f t="shared" si="44"/>
        <v>8.99</v>
      </c>
      <c r="L1418" t="s">
        <v>43</v>
      </c>
      <c r="M1418">
        <v>5</v>
      </c>
      <c r="N1418">
        <v>0.06</v>
      </c>
      <c r="O1418" t="str">
        <f t="shared" si="45"/>
        <v>0–0.2 hours</v>
      </c>
      <c r="P1418" t="s">
        <v>47</v>
      </c>
    </row>
    <row r="1419" spans="1:16" x14ac:dyDescent="0.4">
      <c r="A1419" t="s">
        <v>1460</v>
      </c>
      <c r="B1419">
        <v>27</v>
      </c>
      <c r="C1419" t="s">
        <v>41</v>
      </c>
      <c r="D1419" t="s">
        <v>22</v>
      </c>
      <c r="E1419">
        <v>5.32</v>
      </c>
      <c r="F1419">
        <v>54</v>
      </c>
      <c r="G1419" t="s">
        <v>23</v>
      </c>
      <c r="H1419" t="s">
        <v>55</v>
      </c>
      <c r="I1419" s="2">
        <v>13.99</v>
      </c>
      <c r="J1419">
        <v>0</v>
      </c>
      <c r="K1419" s="2">
        <f t="shared" si="44"/>
        <v>0</v>
      </c>
      <c r="L1419" t="s">
        <v>43</v>
      </c>
      <c r="M1419">
        <v>4</v>
      </c>
      <c r="N1419">
        <v>0.1</v>
      </c>
      <c r="O1419" t="str">
        <f t="shared" si="45"/>
        <v>0–0.2 hours</v>
      </c>
      <c r="P1419" t="s">
        <v>30</v>
      </c>
    </row>
    <row r="1420" spans="1:16" x14ac:dyDescent="0.4">
      <c r="A1420" t="s">
        <v>1461</v>
      </c>
      <c r="B1420">
        <v>50</v>
      </c>
      <c r="C1420" t="s">
        <v>15</v>
      </c>
      <c r="D1420" t="s">
        <v>22</v>
      </c>
      <c r="E1420">
        <v>21.29</v>
      </c>
      <c r="F1420">
        <v>26</v>
      </c>
      <c r="G1420" t="s">
        <v>33</v>
      </c>
      <c r="H1420" t="s">
        <v>46</v>
      </c>
      <c r="I1420" s="2">
        <v>13.99</v>
      </c>
      <c r="J1420">
        <v>0</v>
      </c>
      <c r="K1420" s="2">
        <f t="shared" si="44"/>
        <v>0</v>
      </c>
      <c r="L1420" t="s">
        <v>19</v>
      </c>
      <c r="M1420">
        <v>3</v>
      </c>
      <c r="N1420">
        <v>0.79</v>
      </c>
      <c r="O1420" t="str">
        <f t="shared" si="45"/>
        <v>0.6–0.8 hours</v>
      </c>
      <c r="P1420" t="s">
        <v>39</v>
      </c>
    </row>
    <row r="1421" spans="1:16" x14ac:dyDescent="0.4">
      <c r="A1421" t="s">
        <v>1462</v>
      </c>
      <c r="B1421">
        <v>41</v>
      </c>
      <c r="C1421" t="s">
        <v>15</v>
      </c>
      <c r="D1421" t="s">
        <v>16</v>
      </c>
      <c r="E1421">
        <v>20.260000000000002</v>
      </c>
      <c r="F1421">
        <v>41</v>
      </c>
      <c r="G1421" t="s">
        <v>17</v>
      </c>
      <c r="H1421" t="s">
        <v>46</v>
      </c>
      <c r="I1421" s="2">
        <v>8.99</v>
      </c>
      <c r="J1421">
        <v>1</v>
      </c>
      <c r="K1421" s="2">
        <f t="shared" si="44"/>
        <v>8.99</v>
      </c>
      <c r="L1421" t="s">
        <v>29</v>
      </c>
      <c r="M1421">
        <v>1</v>
      </c>
      <c r="N1421">
        <v>0.48</v>
      </c>
      <c r="O1421" t="str">
        <f t="shared" si="45"/>
        <v>0.4–0.6 hours</v>
      </c>
      <c r="P1421" t="s">
        <v>52</v>
      </c>
    </row>
    <row r="1422" spans="1:16" x14ac:dyDescent="0.4">
      <c r="A1422" t="s">
        <v>1463</v>
      </c>
      <c r="B1422">
        <v>47</v>
      </c>
      <c r="C1422" t="s">
        <v>27</v>
      </c>
      <c r="D1422" t="s">
        <v>22</v>
      </c>
      <c r="E1422">
        <v>4.0999999999999996</v>
      </c>
      <c r="F1422">
        <v>52</v>
      </c>
      <c r="G1422" t="s">
        <v>49</v>
      </c>
      <c r="H1422" t="s">
        <v>46</v>
      </c>
      <c r="I1422" s="2">
        <v>13.99</v>
      </c>
      <c r="J1422">
        <v>1</v>
      </c>
      <c r="K1422" s="2">
        <f t="shared" si="44"/>
        <v>13.99</v>
      </c>
      <c r="L1422" t="s">
        <v>37</v>
      </c>
      <c r="M1422">
        <v>1</v>
      </c>
      <c r="N1422">
        <v>0.08</v>
      </c>
      <c r="O1422" t="str">
        <f t="shared" si="45"/>
        <v>0–0.2 hours</v>
      </c>
      <c r="P1422" t="s">
        <v>30</v>
      </c>
    </row>
    <row r="1423" spans="1:16" x14ac:dyDescent="0.4">
      <c r="A1423" t="s">
        <v>1464</v>
      </c>
      <c r="B1423">
        <v>59</v>
      </c>
      <c r="C1423" t="s">
        <v>27</v>
      </c>
      <c r="D1423" t="s">
        <v>16</v>
      </c>
      <c r="E1423">
        <v>77.09</v>
      </c>
      <c r="F1423">
        <v>36</v>
      </c>
      <c r="G1423" t="s">
        <v>70</v>
      </c>
      <c r="H1423" t="s">
        <v>55</v>
      </c>
      <c r="I1423" s="2">
        <v>8.99</v>
      </c>
      <c r="J1423">
        <v>0</v>
      </c>
      <c r="K1423" s="2">
        <f t="shared" si="44"/>
        <v>0</v>
      </c>
      <c r="L1423" t="s">
        <v>43</v>
      </c>
      <c r="M1423">
        <v>3</v>
      </c>
      <c r="N1423">
        <v>2.08</v>
      </c>
      <c r="O1423" t="str">
        <f t="shared" si="45"/>
        <v>1+ hours</v>
      </c>
      <c r="P1423" t="s">
        <v>39</v>
      </c>
    </row>
    <row r="1424" spans="1:16" x14ac:dyDescent="0.4">
      <c r="A1424" t="s">
        <v>1465</v>
      </c>
      <c r="B1424">
        <v>58</v>
      </c>
      <c r="C1424" t="s">
        <v>41</v>
      </c>
      <c r="D1424" t="s">
        <v>32</v>
      </c>
      <c r="E1424">
        <v>2.11</v>
      </c>
      <c r="F1424">
        <v>23</v>
      </c>
      <c r="G1424" t="s">
        <v>17</v>
      </c>
      <c r="H1424" t="s">
        <v>18</v>
      </c>
      <c r="I1424" s="2">
        <v>17.989999999999998</v>
      </c>
      <c r="J1424">
        <v>1</v>
      </c>
      <c r="K1424" s="2">
        <f t="shared" si="44"/>
        <v>17.989999999999998</v>
      </c>
      <c r="L1424" t="s">
        <v>37</v>
      </c>
      <c r="M1424">
        <v>3</v>
      </c>
      <c r="N1424">
        <v>0.09</v>
      </c>
      <c r="O1424" t="str">
        <f t="shared" si="45"/>
        <v>0–0.2 hours</v>
      </c>
      <c r="P1424" t="s">
        <v>52</v>
      </c>
    </row>
    <row r="1425" spans="1:16" x14ac:dyDescent="0.4">
      <c r="A1425" t="s">
        <v>1466</v>
      </c>
      <c r="B1425">
        <v>24</v>
      </c>
      <c r="C1425" t="s">
        <v>41</v>
      </c>
      <c r="D1425" t="s">
        <v>32</v>
      </c>
      <c r="E1425">
        <v>12.65</v>
      </c>
      <c r="F1425">
        <v>23</v>
      </c>
      <c r="G1425" t="s">
        <v>70</v>
      </c>
      <c r="H1425" t="s">
        <v>57</v>
      </c>
      <c r="I1425" s="2">
        <v>17.989999999999998</v>
      </c>
      <c r="J1425">
        <v>0</v>
      </c>
      <c r="K1425" s="2">
        <f t="shared" si="44"/>
        <v>0</v>
      </c>
      <c r="L1425" t="s">
        <v>37</v>
      </c>
      <c r="M1425">
        <v>3</v>
      </c>
      <c r="N1425">
        <v>0.53</v>
      </c>
      <c r="O1425" t="str">
        <f t="shared" si="45"/>
        <v>0.4–0.6 hours</v>
      </c>
      <c r="P1425" t="s">
        <v>47</v>
      </c>
    </row>
    <row r="1426" spans="1:16" x14ac:dyDescent="0.4">
      <c r="A1426" t="s">
        <v>1467</v>
      </c>
      <c r="B1426">
        <v>69</v>
      </c>
      <c r="C1426" t="s">
        <v>41</v>
      </c>
      <c r="D1426" t="s">
        <v>16</v>
      </c>
      <c r="E1426">
        <v>2.74</v>
      </c>
      <c r="F1426">
        <v>52</v>
      </c>
      <c r="G1426" t="s">
        <v>33</v>
      </c>
      <c r="H1426" t="s">
        <v>24</v>
      </c>
      <c r="I1426" s="2">
        <v>8.99</v>
      </c>
      <c r="J1426">
        <v>1</v>
      </c>
      <c r="K1426" s="2">
        <f t="shared" si="44"/>
        <v>8.99</v>
      </c>
      <c r="L1426" t="s">
        <v>37</v>
      </c>
      <c r="M1426">
        <v>4</v>
      </c>
      <c r="N1426">
        <v>0.05</v>
      </c>
      <c r="O1426" t="str">
        <f t="shared" si="45"/>
        <v>0–0.2 hours</v>
      </c>
      <c r="P1426" t="s">
        <v>20</v>
      </c>
    </row>
    <row r="1427" spans="1:16" x14ac:dyDescent="0.4">
      <c r="A1427" t="s">
        <v>1468</v>
      </c>
      <c r="B1427">
        <v>54</v>
      </c>
      <c r="C1427" t="s">
        <v>15</v>
      </c>
      <c r="D1427" t="s">
        <v>16</v>
      </c>
      <c r="E1427">
        <v>8.52</v>
      </c>
      <c r="F1427">
        <v>10</v>
      </c>
      <c r="G1427" t="s">
        <v>28</v>
      </c>
      <c r="H1427" t="s">
        <v>18</v>
      </c>
      <c r="I1427" s="2">
        <v>8.99</v>
      </c>
      <c r="J1427">
        <v>0</v>
      </c>
      <c r="K1427" s="2">
        <f t="shared" si="44"/>
        <v>0</v>
      </c>
      <c r="L1427" t="s">
        <v>61</v>
      </c>
      <c r="M1427">
        <v>4</v>
      </c>
      <c r="N1427">
        <v>0.77</v>
      </c>
      <c r="O1427" t="str">
        <f t="shared" si="45"/>
        <v>0.6–0.8 hours</v>
      </c>
      <c r="P1427" t="s">
        <v>20</v>
      </c>
    </row>
    <row r="1428" spans="1:16" x14ac:dyDescent="0.4">
      <c r="A1428" t="s">
        <v>1469</v>
      </c>
      <c r="B1428">
        <v>48</v>
      </c>
      <c r="C1428" t="s">
        <v>15</v>
      </c>
      <c r="D1428" t="s">
        <v>32</v>
      </c>
      <c r="E1428">
        <v>18.21</v>
      </c>
      <c r="F1428">
        <v>35</v>
      </c>
      <c r="G1428" t="s">
        <v>28</v>
      </c>
      <c r="H1428" t="s">
        <v>46</v>
      </c>
      <c r="I1428" s="2">
        <v>17.989999999999998</v>
      </c>
      <c r="J1428">
        <v>0</v>
      </c>
      <c r="K1428" s="2">
        <f t="shared" si="44"/>
        <v>0</v>
      </c>
      <c r="L1428" t="s">
        <v>19</v>
      </c>
      <c r="M1428">
        <v>2</v>
      </c>
      <c r="N1428">
        <v>0.51</v>
      </c>
      <c r="O1428" t="str">
        <f t="shared" si="45"/>
        <v>0.4–0.6 hours</v>
      </c>
      <c r="P1428" t="s">
        <v>25</v>
      </c>
    </row>
    <row r="1429" spans="1:16" x14ac:dyDescent="0.4">
      <c r="A1429" t="s">
        <v>1470</v>
      </c>
      <c r="B1429">
        <v>18</v>
      </c>
      <c r="C1429" t="s">
        <v>27</v>
      </c>
      <c r="D1429" t="s">
        <v>22</v>
      </c>
      <c r="E1429">
        <v>2.14</v>
      </c>
      <c r="F1429">
        <v>44</v>
      </c>
      <c r="G1429" t="s">
        <v>70</v>
      </c>
      <c r="H1429" t="s">
        <v>55</v>
      </c>
      <c r="I1429" s="2">
        <v>13.99</v>
      </c>
      <c r="J1429">
        <v>1</v>
      </c>
      <c r="K1429" s="2">
        <f t="shared" si="44"/>
        <v>13.99</v>
      </c>
      <c r="L1429" t="s">
        <v>19</v>
      </c>
      <c r="M1429">
        <v>3</v>
      </c>
      <c r="N1429">
        <v>0.05</v>
      </c>
      <c r="O1429" t="str">
        <f t="shared" si="45"/>
        <v>0–0.2 hours</v>
      </c>
      <c r="P1429" t="s">
        <v>47</v>
      </c>
    </row>
    <row r="1430" spans="1:16" x14ac:dyDescent="0.4">
      <c r="A1430" t="s">
        <v>1471</v>
      </c>
      <c r="B1430">
        <v>27</v>
      </c>
      <c r="C1430" t="s">
        <v>41</v>
      </c>
      <c r="D1430" t="s">
        <v>22</v>
      </c>
      <c r="E1430">
        <v>6.49</v>
      </c>
      <c r="F1430">
        <v>46</v>
      </c>
      <c r="G1430" t="s">
        <v>49</v>
      </c>
      <c r="H1430" t="s">
        <v>46</v>
      </c>
      <c r="I1430" s="2">
        <v>13.99</v>
      </c>
      <c r="J1430">
        <v>1</v>
      </c>
      <c r="K1430" s="2">
        <f t="shared" si="44"/>
        <v>13.99</v>
      </c>
      <c r="L1430" t="s">
        <v>37</v>
      </c>
      <c r="M1430">
        <v>3</v>
      </c>
      <c r="N1430">
        <v>0.14000000000000001</v>
      </c>
      <c r="O1430" t="str">
        <f t="shared" si="45"/>
        <v>0–0.2 hours</v>
      </c>
      <c r="P1430" t="s">
        <v>30</v>
      </c>
    </row>
    <row r="1431" spans="1:16" x14ac:dyDescent="0.4">
      <c r="A1431" t="s">
        <v>1472</v>
      </c>
      <c r="B1431">
        <v>41</v>
      </c>
      <c r="C1431" t="s">
        <v>15</v>
      </c>
      <c r="D1431" t="s">
        <v>22</v>
      </c>
      <c r="E1431">
        <v>2.95</v>
      </c>
      <c r="F1431">
        <v>4</v>
      </c>
      <c r="G1431" t="s">
        <v>28</v>
      </c>
      <c r="H1431" t="s">
        <v>46</v>
      </c>
      <c r="I1431" s="2">
        <v>13.99</v>
      </c>
      <c r="J1431">
        <v>0</v>
      </c>
      <c r="K1431" s="2">
        <f t="shared" si="44"/>
        <v>0</v>
      </c>
      <c r="L1431" t="s">
        <v>43</v>
      </c>
      <c r="M1431">
        <v>3</v>
      </c>
      <c r="N1431">
        <v>0.59</v>
      </c>
      <c r="O1431" t="str">
        <f t="shared" si="45"/>
        <v>0.4–0.6 hours</v>
      </c>
      <c r="P1431" t="s">
        <v>25</v>
      </c>
    </row>
    <row r="1432" spans="1:16" x14ac:dyDescent="0.4">
      <c r="A1432" t="s">
        <v>1473</v>
      </c>
      <c r="B1432">
        <v>49</v>
      </c>
      <c r="C1432" t="s">
        <v>41</v>
      </c>
      <c r="D1432" t="s">
        <v>32</v>
      </c>
      <c r="E1432">
        <v>5.08</v>
      </c>
      <c r="F1432">
        <v>25</v>
      </c>
      <c r="G1432" t="s">
        <v>33</v>
      </c>
      <c r="H1432" t="s">
        <v>46</v>
      </c>
      <c r="I1432" s="2">
        <v>17.989999999999998</v>
      </c>
      <c r="J1432">
        <v>0</v>
      </c>
      <c r="K1432" s="2">
        <f t="shared" si="44"/>
        <v>0</v>
      </c>
      <c r="L1432" t="s">
        <v>43</v>
      </c>
      <c r="M1432">
        <v>4</v>
      </c>
      <c r="N1432">
        <v>0.2</v>
      </c>
      <c r="O1432" t="str">
        <f t="shared" si="45"/>
        <v>0–0.2 hours</v>
      </c>
      <c r="P1432" t="s">
        <v>34</v>
      </c>
    </row>
    <row r="1433" spans="1:16" x14ac:dyDescent="0.4">
      <c r="A1433" t="s">
        <v>1474</v>
      </c>
      <c r="B1433">
        <v>45</v>
      </c>
      <c r="C1433" t="s">
        <v>41</v>
      </c>
      <c r="D1433" t="s">
        <v>16</v>
      </c>
      <c r="E1433">
        <v>1.92</v>
      </c>
      <c r="F1433">
        <v>46</v>
      </c>
      <c r="G1433" t="s">
        <v>70</v>
      </c>
      <c r="H1433" t="s">
        <v>18</v>
      </c>
      <c r="I1433" s="2">
        <v>8.99</v>
      </c>
      <c r="J1433">
        <v>1</v>
      </c>
      <c r="K1433" s="2">
        <f t="shared" si="44"/>
        <v>8.99</v>
      </c>
      <c r="L1433" t="s">
        <v>37</v>
      </c>
      <c r="M1433">
        <v>4</v>
      </c>
      <c r="N1433">
        <v>0.04</v>
      </c>
      <c r="O1433" t="str">
        <f t="shared" si="45"/>
        <v>0–0.2 hours</v>
      </c>
      <c r="P1433" t="s">
        <v>30</v>
      </c>
    </row>
    <row r="1434" spans="1:16" x14ac:dyDescent="0.4">
      <c r="A1434" t="s">
        <v>1475</v>
      </c>
      <c r="B1434">
        <v>63</v>
      </c>
      <c r="C1434" t="s">
        <v>27</v>
      </c>
      <c r="D1434" t="s">
        <v>16</v>
      </c>
      <c r="E1434">
        <v>30.88</v>
      </c>
      <c r="F1434">
        <v>15</v>
      </c>
      <c r="G1434" t="s">
        <v>70</v>
      </c>
      <c r="H1434" t="s">
        <v>18</v>
      </c>
      <c r="I1434" s="2">
        <v>8.99</v>
      </c>
      <c r="J1434">
        <v>0</v>
      </c>
      <c r="K1434" s="2">
        <f t="shared" si="44"/>
        <v>0</v>
      </c>
      <c r="L1434" t="s">
        <v>19</v>
      </c>
      <c r="M1434">
        <v>4</v>
      </c>
      <c r="N1434">
        <v>1.93</v>
      </c>
      <c r="O1434" t="str">
        <f t="shared" si="45"/>
        <v>1+ hours</v>
      </c>
      <c r="P1434" t="s">
        <v>47</v>
      </c>
    </row>
    <row r="1435" spans="1:16" x14ac:dyDescent="0.4">
      <c r="A1435" t="s">
        <v>1476</v>
      </c>
      <c r="B1435">
        <v>54</v>
      </c>
      <c r="C1435" t="s">
        <v>27</v>
      </c>
      <c r="D1435" t="s">
        <v>16</v>
      </c>
      <c r="E1435">
        <v>5.61</v>
      </c>
      <c r="F1435">
        <v>11</v>
      </c>
      <c r="G1435" t="s">
        <v>23</v>
      </c>
      <c r="H1435" t="s">
        <v>24</v>
      </c>
      <c r="I1435" s="2">
        <v>8.99</v>
      </c>
      <c r="J1435">
        <v>0</v>
      </c>
      <c r="K1435" s="2">
        <f t="shared" si="44"/>
        <v>0</v>
      </c>
      <c r="L1435" t="s">
        <v>43</v>
      </c>
      <c r="M1435">
        <v>4</v>
      </c>
      <c r="N1435">
        <v>0.47</v>
      </c>
      <c r="O1435" t="str">
        <f t="shared" si="45"/>
        <v>0.4–0.6 hours</v>
      </c>
      <c r="P1435" t="s">
        <v>25</v>
      </c>
    </row>
    <row r="1436" spans="1:16" x14ac:dyDescent="0.4">
      <c r="A1436" t="s">
        <v>1477</v>
      </c>
      <c r="B1436">
        <v>38</v>
      </c>
      <c r="C1436" t="s">
        <v>27</v>
      </c>
      <c r="D1436" t="s">
        <v>22</v>
      </c>
      <c r="E1436">
        <v>12.85</v>
      </c>
      <c r="F1436">
        <v>23</v>
      </c>
      <c r="G1436" t="s">
        <v>49</v>
      </c>
      <c r="H1436" t="s">
        <v>18</v>
      </c>
      <c r="I1436" s="2">
        <v>13.99</v>
      </c>
      <c r="J1436">
        <v>0</v>
      </c>
      <c r="K1436" s="2">
        <f t="shared" si="44"/>
        <v>0</v>
      </c>
      <c r="L1436" t="s">
        <v>19</v>
      </c>
      <c r="M1436">
        <v>5</v>
      </c>
      <c r="N1436">
        <v>0.54</v>
      </c>
      <c r="O1436" t="str">
        <f t="shared" si="45"/>
        <v>0.4–0.6 hours</v>
      </c>
      <c r="P1436" t="s">
        <v>20</v>
      </c>
    </row>
    <row r="1437" spans="1:16" x14ac:dyDescent="0.4">
      <c r="A1437" s="1" t="s">
        <v>1478</v>
      </c>
      <c r="B1437">
        <v>24</v>
      </c>
      <c r="C1437" t="s">
        <v>27</v>
      </c>
      <c r="D1437" t="s">
        <v>16</v>
      </c>
      <c r="E1437">
        <v>3.11</v>
      </c>
      <c r="F1437">
        <v>11</v>
      </c>
      <c r="G1437" t="s">
        <v>28</v>
      </c>
      <c r="H1437" t="s">
        <v>57</v>
      </c>
      <c r="I1437" s="2">
        <v>8.99</v>
      </c>
      <c r="J1437">
        <v>1</v>
      </c>
      <c r="K1437" s="2">
        <f t="shared" si="44"/>
        <v>8.99</v>
      </c>
      <c r="L1437" t="s">
        <v>61</v>
      </c>
      <c r="M1437">
        <v>2</v>
      </c>
      <c r="N1437">
        <v>0.26</v>
      </c>
      <c r="O1437" t="str">
        <f t="shared" si="45"/>
        <v>0.2–0.4 hours</v>
      </c>
      <c r="P1437" t="s">
        <v>25</v>
      </c>
    </row>
    <row r="1438" spans="1:16" x14ac:dyDescent="0.4">
      <c r="A1438" t="s">
        <v>1479</v>
      </c>
      <c r="B1438">
        <v>41</v>
      </c>
      <c r="C1438" t="s">
        <v>27</v>
      </c>
      <c r="D1438" t="s">
        <v>22</v>
      </c>
      <c r="E1438">
        <v>53.7</v>
      </c>
      <c r="F1438">
        <v>15</v>
      </c>
      <c r="G1438" t="s">
        <v>70</v>
      </c>
      <c r="H1438" t="s">
        <v>55</v>
      </c>
      <c r="I1438" s="2">
        <v>13.99</v>
      </c>
      <c r="J1438">
        <v>0</v>
      </c>
      <c r="K1438" s="2">
        <f t="shared" si="44"/>
        <v>0</v>
      </c>
      <c r="L1438" t="s">
        <v>43</v>
      </c>
      <c r="M1438">
        <v>5</v>
      </c>
      <c r="N1438">
        <v>3.36</v>
      </c>
      <c r="O1438" t="str">
        <f t="shared" si="45"/>
        <v>1+ hours</v>
      </c>
      <c r="P1438" t="s">
        <v>25</v>
      </c>
    </row>
    <row r="1439" spans="1:16" x14ac:dyDescent="0.4">
      <c r="A1439" t="s">
        <v>1480</v>
      </c>
      <c r="B1439">
        <v>26</v>
      </c>
      <c r="C1439" t="s">
        <v>15</v>
      </c>
      <c r="D1439" t="s">
        <v>22</v>
      </c>
      <c r="E1439">
        <v>20.49</v>
      </c>
      <c r="F1439">
        <v>53</v>
      </c>
      <c r="G1439" t="s">
        <v>33</v>
      </c>
      <c r="H1439" t="s">
        <v>46</v>
      </c>
      <c r="I1439" s="2">
        <v>13.99</v>
      </c>
      <c r="J1439">
        <v>0</v>
      </c>
      <c r="K1439" s="2">
        <f t="shared" si="44"/>
        <v>0</v>
      </c>
      <c r="L1439" t="s">
        <v>19</v>
      </c>
      <c r="M1439">
        <v>5</v>
      </c>
      <c r="N1439">
        <v>0.38</v>
      </c>
      <c r="O1439" t="str">
        <f t="shared" si="45"/>
        <v>0.2–0.4 hours</v>
      </c>
      <c r="P1439" t="s">
        <v>25</v>
      </c>
    </row>
    <row r="1440" spans="1:16" x14ac:dyDescent="0.4">
      <c r="A1440" t="s">
        <v>1481</v>
      </c>
      <c r="B1440">
        <v>27</v>
      </c>
      <c r="C1440" t="s">
        <v>15</v>
      </c>
      <c r="D1440" t="s">
        <v>16</v>
      </c>
      <c r="E1440">
        <v>19.48</v>
      </c>
      <c r="F1440">
        <v>16</v>
      </c>
      <c r="G1440" t="s">
        <v>33</v>
      </c>
      <c r="H1440" t="s">
        <v>55</v>
      </c>
      <c r="I1440" s="2">
        <v>8.99</v>
      </c>
      <c r="J1440">
        <v>0</v>
      </c>
      <c r="K1440" s="2">
        <f t="shared" si="44"/>
        <v>0</v>
      </c>
      <c r="L1440" t="s">
        <v>37</v>
      </c>
      <c r="M1440">
        <v>3</v>
      </c>
      <c r="N1440">
        <v>1.1499999999999999</v>
      </c>
      <c r="O1440" t="str">
        <f t="shared" si="45"/>
        <v>1+ hours</v>
      </c>
      <c r="P1440" t="s">
        <v>39</v>
      </c>
    </row>
    <row r="1441" spans="1:16" x14ac:dyDescent="0.4">
      <c r="A1441" t="s">
        <v>1482</v>
      </c>
      <c r="B1441">
        <v>57</v>
      </c>
      <c r="C1441" t="s">
        <v>41</v>
      </c>
      <c r="D1441" t="s">
        <v>32</v>
      </c>
      <c r="E1441">
        <v>0.55000000000000004</v>
      </c>
      <c r="F1441">
        <v>40</v>
      </c>
      <c r="G1441" t="s">
        <v>33</v>
      </c>
      <c r="H1441" t="s">
        <v>55</v>
      </c>
      <c r="I1441" s="2">
        <v>17.989999999999998</v>
      </c>
      <c r="J1441">
        <v>1</v>
      </c>
      <c r="K1441" s="2">
        <f t="shared" si="44"/>
        <v>17.989999999999998</v>
      </c>
      <c r="L1441" t="s">
        <v>61</v>
      </c>
      <c r="M1441">
        <v>5</v>
      </c>
      <c r="N1441">
        <v>0.01</v>
      </c>
      <c r="O1441" t="str">
        <f t="shared" si="45"/>
        <v>0–0.2 hours</v>
      </c>
      <c r="P1441" t="s">
        <v>25</v>
      </c>
    </row>
    <row r="1442" spans="1:16" x14ac:dyDescent="0.4">
      <c r="A1442" t="s">
        <v>1483</v>
      </c>
      <c r="B1442">
        <v>47</v>
      </c>
      <c r="C1442" t="s">
        <v>27</v>
      </c>
      <c r="D1442" t="s">
        <v>16</v>
      </c>
      <c r="E1442">
        <v>0.46</v>
      </c>
      <c r="F1442">
        <v>1</v>
      </c>
      <c r="G1442" t="s">
        <v>28</v>
      </c>
      <c r="H1442" t="s">
        <v>18</v>
      </c>
      <c r="I1442" s="2">
        <v>8.99</v>
      </c>
      <c r="J1442">
        <v>1</v>
      </c>
      <c r="K1442" s="2">
        <f t="shared" si="44"/>
        <v>8.99</v>
      </c>
      <c r="L1442" t="s">
        <v>61</v>
      </c>
      <c r="M1442">
        <v>1</v>
      </c>
      <c r="N1442">
        <v>0.23</v>
      </c>
      <c r="O1442" t="str">
        <f t="shared" si="45"/>
        <v>0.2–0.4 hours</v>
      </c>
      <c r="P1442" t="s">
        <v>47</v>
      </c>
    </row>
    <row r="1443" spans="1:16" x14ac:dyDescent="0.4">
      <c r="A1443" t="s">
        <v>1484</v>
      </c>
      <c r="B1443">
        <v>46</v>
      </c>
      <c r="C1443" t="s">
        <v>41</v>
      </c>
      <c r="D1443" t="s">
        <v>22</v>
      </c>
      <c r="E1443">
        <v>6.19</v>
      </c>
      <c r="F1443">
        <v>60</v>
      </c>
      <c r="G1443" t="s">
        <v>23</v>
      </c>
      <c r="H1443" t="s">
        <v>46</v>
      </c>
      <c r="I1443" s="2">
        <v>13.99</v>
      </c>
      <c r="J1443">
        <v>1</v>
      </c>
      <c r="K1443" s="2">
        <f t="shared" si="44"/>
        <v>13.99</v>
      </c>
      <c r="L1443" t="s">
        <v>19</v>
      </c>
      <c r="M1443">
        <v>3</v>
      </c>
      <c r="N1443">
        <v>0.1</v>
      </c>
      <c r="O1443" t="str">
        <f t="shared" si="45"/>
        <v>0–0.2 hours</v>
      </c>
      <c r="P1443" t="s">
        <v>34</v>
      </c>
    </row>
    <row r="1444" spans="1:16" x14ac:dyDescent="0.4">
      <c r="A1444" t="s">
        <v>1485</v>
      </c>
      <c r="B1444">
        <v>47</v>
      </c>
      <c r="C1444" t="s">
        <v>15</v>
      </c>
      <c r="D1444" t="s">
        <v>32</v>
      </c>
      <c r="E1444">
        <v>1.03</v>
      </c>
      <c r="F1444">
        <v>38</v>
      </c>
      <c r="G1444" t="s">
        <v>70</v>
      </c>
      <c r="H1444" t="s">
        <v>57</v>
      </c>
      <c r="I1444" s="2">
        <v>17.989999999999998</v>
      </c>
      <c r="J1444">
        <v>1</v>
      </c>
      <c r="K1444" s="2">
        <f t="shared" si="44"/>
        <v>17.989999999999998</v>
      </c>
      <c r="L1444" t="s">
        <v>29</v>
      </c>
      <c r="M1444">
        <v>5</v>
      </c>
      <c r="N1444">
        <v>0.03</v>
      </c>
      <c r="O1444" t="str">
        <f t="shared" si="45"/>
        <v>0–0.2 hours</v>
      </c>
      <c r="P1444" t="s">
        <v>47</v>
      </c>
    </row>
    <row r="1445" spans="1:16" x14ac:dyDescent="0.4">
      <c r="A1445" t="s">
        <v>1486</v>
      </c>
      <c r="B1445">
        <v>23</v>
      </c>
      <c r="C1445" t="s">
        <v>15</v>
      </c>
      <c r="D1445" t="s">
        <v>22</v>
      </c>
      <c r="E1445">
        <v>17.54</v>
      </c>
      <c r="F1445">
        <v>40</v>
      </c>
      <c r="G1445" t="s">
        <v>28</v>
      </c>
      <c r="H1445" t="s">
        <v>46</v>
      </c>
      <c r="I1445" s="2">
        <v>13.99</v>
      </c>
      <c r="J1445">
        <v>1</v>
      </c>
      <c r="K1445" s="2">
        <f t="shared" si="44"/>
        <v>13.99</v>
      </c>
      <c r="L1445" t="s">
        <v>19</v>
      </c>
      <c r="M1445">
        <v>5</v>
      </c>
      <c r="N1445">
        <v>0.43</v>
      </c>
      <c r="O1445" t="str">
        <f t="shared" si="45"/>
        <v>0.4–0.6 hours</v>
      </c>
      <c r="P1445" t="s">
        <v>30</v>
      </c>
    </row>
    <row r="1446" spans="1:16" x14ac:dyDescent="0.4">
      <c r="A1446" t="s">
        <v>1487</v>
      </c>
      <c r="B1446">
        <v>68</v>
      </c>
      <c r="C1446" t="s">
        <v>27</v>
      </c>
      <c r="D1446" t="s">
        <v>16</v>
      </c>
      <c r="E1446">
        <v>9.8800000000000008</v>
      </c>
      <c r="F1446">
        <v>18</v>
      </c>
      <c r="G1446" t="s">
        <v>17</v>
      </c>
      <c r="H1446" t="s">
        <v>55</v>
      </c>
      <c r="I1446" s="2">
        <v>8.99</v>
      </c>
      <c r="J1446">
        <v>0</v>
      </c>
      <c r="K1446" s="2">
        <f t="shared" si="44"/>
        <v>0</v>
      </c>
      <c r="L1446" t="s">
        <v>19</v>
      </c>
      <c r="M1446">
        <v>3</v>
      </c>
      <c r="N1446">
        <v>0.52</v>
      </c>
      <c r="O1446" t="str">
        <f t="shared" si="45"/>
        <v>0.4–0.6 hours</v>
      </c>
      <c r="P1446" t="s">
        <v>20</v>
      </c>
    </row>
    <row r="1447" spans="1:16" x14ac:dyDescent="0.4">
      <c r="A1447" t="s">
        <v>1488</v>
      </c>
      <c r="B1447">
        <v>19</v>
      </c>
      <c r="C1447" t="s">
        <v>41</v>
      </c>
      <c r="D1447" t="s">
        <v>22</v>
      </c>
      <c r="E1447">
        <v>13.21</v>
      </c>
      <c r="F1447">
        <v>31</v>
      </c>
      <c r="G1447" t="s">
        <v>49</v>
      </c>
      <c r="H1447" t="s">
        <v>24</v>
      </c>
      <c r="I1447" s="2">
        <v>13.99</v>
      </c>
      <c r="J1447">
        <v>1</v>
      </c>
      <c r="K1447" s="2">
        <f t="shared" si="44"/>
        <v>13.99</v>
      </c>
      <c r="L1447" t="s">
        <v>61</v>
      </c>
      <c r="M1447">
        <v>2</v>
      </c>
      <c r="N1447">
        <v>0.41</v>
      </c>
      <c r="O1447" t="str">
        <f t="shared" si="45"/>
        <v>0.4–0.6 hours</v>
      </c>
      <c r="P1447" t="s">
        <v>20</v>
      </c>
    </row>
    <row r="1448" spans="1:16" x14ac:dyDescent="0.4">
      <c r="A1448" t="s">
        <v>1489</v>
      </c>
      <c r="B1448">
        <v>69</v>
      </c>
      <c r="C1448" t="s">
        <v>41</v>
      </c>
      <c r="D1448" t="s">
        <v>16</v>
      </c>
      <c r="E1448">
        <v>6.46</v>
      </c>
      <c r="F1448">
        <v>49</v>
      </c>
      <c r="G1448" t="s">
        <v>23</v>
      </c>
      <c r="H1448" t="s">
        <v>24</v>
      </c>
      <c r="I1448" s="2">
        <v>8.99</v>
      </c>
      <c r="J1448">
        <v>1</v>
      </c>
      <c r="K1448" s="2">
        <f t="shared" si="44"/>
        <v>8.99</v>
      </c>
      <c r="L1448" t="s">
        <v>37</v>
      </c>
      <c r="M1448">
        <v>3</v>
      </c>
      <c r="N1448">
        <v>0.13</v>
      </c>
      <c r="O1448" t="str">
        <f t="shared" si="45"/>
        <v>0–0.2 hours</v>
      </c>
      <c r="P1448" t="s">
        <v>52</v>
      </c>
    </row>
    <row r="1449" spans="1:16" x14ac:dyDescent="0.4">
      <c r="A1449" t="s">
        <v>1490</v>
      </c>
      <c r="B1449">
        <v>29</v>
      </c>
      <c r="C1449" t="s">
        <v>41</v>
      </c>
      <c r="D1449" t="s">
        <v>22</v>
      </c>
      <c r="E1449">
        <v>11.42</v>
      </c>
      <c r="F1449">
        <v>16</v>
      </c>
      <c r="G1449" t="s">
        <v>70</v>
      </c>
      <c r="H1449" t="s">
        <v>18</v>
      </c>
      <c r="I1449" s="2">
        <v>13.99</v>
      </c>
      <c r="J1449">
        <v>0</v>
      </c>
      <c r="K1449" s="2">
        <f t="shared" si="44"/>
        <v>0</v>
      </c>
      <c r="L1449" t="s">
        <v>43</v>
      </c>
      <c r="M1449">
        <v>5</v>
      </c>
      <c r="N1449">
        <v>0.67</v>
      </c>
      <c r="O1449" t="str">
        <f t="shared" si="45"/>
        <v>0.6–0.8 hours</v>
      </c>
      <c r="P1449" t="s">
        <v>47</v>
      </c>
    </row>
    <row r="1450" spans="1:16" x14ac:dyDescent="0.4">
      <c r="A1450" t="s">
        <v>1491</v>
      </c>
      <c r="B1450">
        <v>36</v>
      </c>
      <c r="C1450" t="s">
        <v>27</v>
      </c>
      <c r="D1450" t="s">
        <v>32</v>
      </c>
      <c r="E1450">
        <v>71.41</v>
      </c>
      <c r="F1450">
        <v>60</v>
      </c>
      <c r="G1450" t="s">
        <v>49</v>
      </c>
      <c r="H1450" t="s">
        <v>55</v>
      </c>
      <c r="I1450" s="2">
        <v>17.989999999999998</v>
      </c>
      <c r="J1450">
        <v>0</v>
      </c>
      <c r="K1450" s="2">
        <f t="shared" si="44"/>
        <v>0</v>
      </c>
      <c r="L1450" t="s">
        <v>37</v>
      </c>
      <c r="M1450">
        <v>1</v>
      </c>
      <c r="N1450">
        <v>1.17</v>
      </c>
      <c r="O1450" t="str">
        <f t="shared" si="45"/>
        <v>1+ hours</v>
      </c>
      <c r="P1450" t="s">
        <v>20</v>
      </c>
    </row>
    <row r="1451" spans="1:16" x14ac:dyDescent="0.4">
      <c r="A1451" t="s">
        <v>1492</v>
      </c>
      <c r="B1451">
        <v>38</v>
      </c>
      <c r="C1451" t="s">
        <v>15</v>
      </c>
      <c r="D1451" t="s">
        <v>22</v>
      </c>
      <c r="E1451">
        <v>1.24</v>
      </c>
      <c r="F1451">
        <v>55</v>
      </c>
      <c r="G1451" t="s">
        <v>23</v>
      </c>
      <c r="H1451" t="s">
        <v>18</v>
      </c>
      <c r="I1451" s="2">
        <v>13.99</v>
      </c>
      <c r="J1451">
        <v>1</v>
      </c>
      <c r="K1451" s="2">
        <f t="shared" si="44"/>
        <v>13.99</v>
      </c>
      <c r="L1451" t="s">
        <v>61</v>
      </c>
      <c r="M1451">
        <v>5</v>
      </c>
      <c r="N1451">
        <v>0.02</v>
      </c>
      <c r="O1451" t="str">
        <f t="shared" si="45"/>
        <v>0–0.2 hours</v>
      </c>
      <c r="P1451" t="s">
        <v>34</v>
      </c>
    </row>
    <row r="1452" spans="1:16" x14ac:dyDescent="0.4">
      <c r="A1452" t="s">
        <v>1493</v>
      </c>
      <c r="B1452">
        <v>38</v>
      </c>
      <c r="C1452" t="s">
        <v>41</v>
      </c>
      <c r="D1452" t="s">
        <v>22</v>
      </c>
      <c r="E1452">
        <v>10.71</v>
      </c>
      <c r="F1452">
        <v>20</v>
      </c>
      <c r="G1452" t="s">
        <v>28</v>
      </c>
      <c r="H1452" t="s">
        <v>24</v>
      </c>
      <c r="I1452" s="2">
        <v>13.99</v>
      </c>
      <c r="J1452">
        <v>0</v>
      </c>
      <c r="K1452" s="2">
        <f t="shared" si="44"/>
        <v>0</v>
      </c>
      <c r="L1452" t="s">
        <v>37</v>
      </c>
      <c r="M1452">
        <v>3</v>
      </c>
      <c r="N1452">
        <v>0.51</v>
      </c>
      <c r="O1452" t="str">
        <f t="shared" si="45"/>
        <v>0.4–0.6 hours</v>
      </c>
      <c r="P1452" t="s">
        <v>52</v>
      </c>
    </row>
    <row r="1453" spans="1:16" x14ac:dyDescent="0.4">
      <c r="A1453" t="s">
        <v>1494</v>
      </c>
      <c r="B1453">
        <v>67</v>
      </c>
      <c r="C1453" t="s">
        <v>15</v>
      </c>
      <c r="D1453" t="s">
        <v>16</v>
      </c>
      <c r="E1453">
        <v>15.16</v>
      </c>
      <c r="F1453">
        <v>2</v>
      </c>
      <c r="G1453" t="s">
        <v>28</v>
      </c>
      <c r="H1453" t="s">
        <v>55</v>
      </c>
      <c r="I1453" s="2">
        <v>8.99</v>
      </c>
      <c r="J1453">
        <v>0</v>
      </c>
      <c r="K1453" s="2">
        <f t="shared" si="44"/>
        <v>0</v>
      </c>
      <c r="L1453" t="s">
        <v>37</v>
      </c>
      <c r="M1453">
        <v>5</v>
      </c>
      <c r="N1453">
        <v>5.05</v>
      </c>
      <c r="O1453" t="str">
        <f t="shared" si="45"/>
        <v>1+ hours</v>
      </c>
      <c r="P1453" t="s">
        <v>39</v>
      </c>
    </row>
    <row r="1454" spans="1:16" x14ac:dyDescent="0.4">
      <c r="A1454" t="s">
        <v>1495</v>
      </c>
      <c r="B1454">
        <v>31</v>
      </c>
      <c r="C1454" t="s">
        <v>15</v>
      </c>
      <c r="D1454" t="s">
        <v>22</v>
      </c>
      <c r="E1454">
        <v>10.199999999999999</v>
      </c>
      <c r="F1454">
        <v>18</v>
      </c>
      <c r="G1454" t="s">
        <v>28</v>
      </c>
      <c r="H1454" t="s">
        <v>55</v>
      </c>
      <c r="I1454" s="2">
        <v>13.99</v>
      </c>
      <c r="J1454">
        <v>0</v>
      </c>
      <c r="K1454" s="2">
        <f t="shared" si="44"/>
        <v>0</v>
      </c>
      <c r="L1454" t="s">
        <v>19</v>
      </c>
      <c r="M1454">
        <v>5</v>
      </c>
      <c r="N1454">
        <v>0.54</v>
      </c>
      <c r="O1454" t="str">
        <f t="shared" si="45"/>
        <v>0.4–0.6 hours</v>
      </c>
      <c r="P1454" t="s">
        <v>47</v>
      </c>
    </row>
    <row r="1455" spans="1:16" x14ac:dyDescent="0.4">
      <c r="A1455" t="s">
        <v>1496</v>
      </c>
      <c r="B1455">
        <v>53</v>
      </c>
      <c r="C1455" t="s">
        <v>27</v>
      </c>
      <c r="D1455" t="s">
        <v>22</v>
      </c>
      <c r="E1455">
        <v>5.54</v>
      </c>
      <c r="F1455">
        <v>40</v>
      </c>
      <c r="G1455" t="s">
        <v>49</v>
      </c>
      <c r="H1455" t="s">
        <v>24</v>
      </c>
      <c r="I1455" s="2">
        <v>13.99</v>
      </c>
      <c r="J1455">
        <v>1</v>
      </c>
      <c r="K1455" s="2">
        <f t="shared" si="44"/>
        <v>13.99</v>
      </c>
      <c r="L1455" t="s">
        <v>29</v>
      </c>
      <c r="M1455">
        <v>3</v>
      </c>
      <c r="N1455">
        <v>0.14000000000000001</v>
      </c>
      <c r="O1455" t="str">
        <f t="shared" si="45"/>
        <v>0–0.2 hours</v>
      </c>
      <c r="P1455" t="s">
        <v>34</v>
      </c>
    </row>
    <row r="1456" spans="1:16" x14ac:dyDescent="0.4">
      <c r="A1456" t="s">
        <v>1497</v>
      </c>
      <c r="B1456">
        <v>44</v>
      </c>
      <c r="C1456" t="s">
        <v>15</v>
      </c>
      <c r="D1456" t="s">
        <v>22</v>
      </c>
      <c r="E1456">
        <v>1.1200000000000001</v>
      </c>
      <c r="F1456">
        <v>24</v>
      </c>
      <c r="G1456" t="s">
        <v>23</v>
      </c>
      <c r="H1456" t="s">
        <v>18</v>
      </c>
      <c r="I1456" s="2">
        <v>13.99</v>
      </c>
      <c r="J1456">
        <v>1</v>
      </c>
      <c r="K1456" s="2">
        <f t="shared" si="44"/>
        <v>13.99</v>
      </c>
      <c r="L1456" t="s">
        <v>19</v>
      </c>
      <c r="M1456">
        <v>2</v>
      </c>
      <c r="N1456">
        <v>0.04</v>
      </c>
      <c r="O1456" t="str">
        <f t="shared" si="45"/>
        <v>0–0.2 hours</v>
      </c>
      <c r="P1456" t="s">
        <v>52</v>
      </c>
    </row>
    <row r="1457" spans="1:16" x14ac:dyDescent="0.4">
      <c r="A1457" t="s">
        <v>1498</v>
      </c>
      <c r="B1457">
        <v>20</v>
      </c>
      <c r="C1457" t="s">
        <v>15</v>
      </c>
      <c r="D1457" t="s">
        <v>22</v>
      </c>
      <c r="E1457">
        <v>0.79</v>
      </c>
      <c r="F1457">
        <v>23</v>
      </c>
      <c r="G1457" t="s">
        <v>49</v>
      </c>
      <c r="H1457" t="s">
        <v>57</v>
      </c>
      <c r="I1457" s="2">
        <v>13.99</v>
      </c>
      <c r="J1457">
        <v>0</v>
      </c>
      <c r="K1457" s="2">
        <f t="shared" si="44"/>
        <v>0</v>
      </c>
      <c r="L1457" t="s">
        <v>43</v>
      </c>
      <c r="M1457">
        <v>4</v>
      </c>
      <c r="N1457">
        <v>0.03</v>
      </c>
      <c r="O1457" t="str">
        <f t="shared" si="45"/>
        <v>0–0.2 hours</v>
      </c>
      <c r="P1457" t="s">
        <v>30</v>
      </c>
    </row>
    <row r="1458" spans="1:16" x14ac:dyDescent="0.4">
      <c r="A1458" t="s">
        <v>1499</v>
      </c>
      <c r="B1458">
        <v>22</v>
      </c>
      <c r="C1458" t="s">
        <v>41</v>
      </c>
      <c r="D1458" t="s">
        <v>16</v>
      </c>
      <c r="E1458">
        <v>23.81</v>
      </c>
      <c r="F1458">
        <v>23</v>
      </c>
      <c r="G1458" t="s">
        <v>17</v>
      </c>
      <c r="H1458" t="s">
        <v>55</v>
      </c>
      <c r="I1458" s="2">
        <v>8.99</v>
      </c>
      <c r="J1458">
        <v>0</v>
      </c>
      <c r="K1458" s="2">
        <f t="shared" si="44"/>
        <v>0</v>
      </c>
      <c r="L1458" t="s">
        <v>43</v>
      </c>
      <c r="M1458">
        <v>1</v>
      </c>
      <c r="N1458">
        <v>0.99</v>
      </c>
      <c r="O1458" t="str">
        <f t="shared" si="45"/>
        <v>0.8–1 hour</v>
      </c>
      <c r="P1458" t="s">
        <v>47</v>
      </c>
    </row>
    <row r="1459" spans="1:16" x14ac:dyDescent="0.4">
      <c r="A1459" t="s">
        <v>1500</v>
      </c>
      <c r="B1459">
        <v>69</v>
      </c>
      <c r="C1459" t="s">
        <v>15</v>
      </c>
      <c r="D1459" t="s">
        <v>32</v>
      </c>
      <c r="E1459">
        <v>25.85</v>
      </c>
      <c r="F1459">
        <v>15</v>
      </c>
      <c r="G1459" t="s">
        <v>17</v>
      </c>
      <c r="H1459" t="s">
        <v>18</v>
      </c>
      <c r="I1459" s="2">
        <v>17.989999999999998</v>
      </c>
      <c r="J1459">
        <v>0</v>
      </c>
      <c r="K1459" s="2">
        <f t="shared" si="44"/>
        <v>0</v>
      </c>
      <c r="L1459" t="s">
        <v>37</v>
      </c>
      <c r="M1459">
        <v>3</v>
      </c>
      <c r="N1459">
        <v>1.62</v>
      </c>
      <c r="O1459" t="str">
        <f t="shared" si="45"/>
        <v>1+ hours</v>
      </c>
      <c r="P1459" t="s">
        <v>47</v>
      </c>
    </row>
    <row r="1460" spans="1:16" x14ac:dyDescent="0.4">
      <c r="A1460" t="s">
        <v>1501</v>
      </c>
      <c r="B1460">
        <v>29</v>
      </c>
      <c r="C1460" t="s">
        <v>15</v>
      </c>
      <c r="D1460" t="s">
        <v>16</v>
      </c>
      <c r="E1460">
        <v>9.08</v>
      </c>
      <c r="F1460">
        <v>39</v>
      </c>
      <c r="G1460" t="s">
        <v>28</v>
      </c>
      <c r="H1460" t="s">
        <v>24</v>
      </c>
      <c r="I1460" s="2">
        <v>8.99</v>
      </c>
      <c r="J1460">
        <v>1</v>
      </c>
      <c r="K1460" s="2">
        <f t="shared" si="44"/>
        <v>8.99</v>
      </c>
      <c r="L1460" t="s">
        <v>19</v>
      </c>
      <c r="M1460">
        <v>5</v>
      </c>
      <c r="N1460">
        <v>0.23</v>
      </c>
      <c r="O1460" t="str">
        <f t="shared" si="45"/>
        <v>0.2–0.4 hours</v>
      </c>
      <c r="P1460" t="s">
        <v>34</v>
      </c>
    </row>
    <row r="1461" spans="1:16" x14ac:dyDescent="0.4">
      <c r="A1461" t="s">
        <v>1502</v>
      </c>
      <c r="B1461">
        <v>65</v>
      </c>
      <c r="C1461" t="s">
        <v>15</v>
      </c>
      <c r="D1461" t="s">
        <v>22</v>
      </c>
      <c r="E1461">
        <v>4.68</v>
      </c>
      <c r="F1461">
        <v>4</v>
      </c>
      <c r="G1461" t="s">
        <v>28</v>
      </c>
      <c r="H1461" t="s">
        <v>18</v>
      </c>
      <c r="I1461" s="2">
        <v>13.99</v>
      </c>
      <c r="J1461">
        <v>0</v>
      </c>
      <c r="K1461" s="2">
        <f t="shared" si="44"/>
        <v>0</v>
      </c>
      <c r="L1461" t="s">
        <v>19</v>
      </c>
      <c r="M1461">
        <v>1</v>
      </c>
      <c r="N1461">
        <v>0.94</v>
      </c>
      <c r="O1461" t="str">
        <f t="shared" si="45"/>
        <v>0.8–1 hour</v>
      </c>
      <c r="P1461" t="s">
        <v>30</v>
      </c>
    </row>
    <row r="1462" spans="1:16" x14ac:dyDescent="0.4">
      <c r="A1462" t="s">
        <v>1503</v>
      </c>
      <c r="B1462">
        <v>40</v>
      </c>
      <c r="C1462" t="s">
        <v>41</v>
      </c>
      <c r="D1462" t="s">
        <v>32</v>
      </c>
      <c r="E1462">
        <v>0.88</v>
      </c>
      <c r="F1462">
        <v>1</v>
      </c>
      <c r="G1462" t="s">
        <v>23</v>
      </c>
      <c r="H1462" t="s">
        <v>24</v>
      </c>
      <c r="I1462" s="2">
        <v>17.989999999999998</v>
      </c>
      <c r="J1462">
        <v>0</v>
      </c>
      <c r="K1462" s="2">
        <f t="shared" si="44"/>
        <v>0</v>
      </c>
      <c r="L1462" t="s">
        <v>61</v>
      </c>
      <c r="M1462">
        <v>2</v>
      </c>
      <c r="N1462">
        <v>0.44</v>
      </c>
      <c r="O1462" t="str">
        <f t="shared" si="45"/>
        <v>0.4–0.6 hours</v>
      </c>
      <c r="P1462" t="s">
        <v>25</v>
      </c>
    </row>
    <row r="1463" spans="1:16" x14ac:dyDescent="0.4">
      <c r="A1463" t="s">
        <v>1504</v>
      </c>
      <c r="B1463">
        <v>44</v>
      </c>
      <c r="C1463" t="s">
        <v>41</v>
      </c>
      <c r="D1463" t="s">
        <v>16</v>
      </c>
      <c r="E1463">
        <v>3.32</v>
      </c>
      <c r="F1463">
        <v>16</v>
      </c>
      <c r="G1463" t="s">
        <v>49</v>
      </c>
      <c r="H1463" t="s">
        <v>55</v>
      </c>
      <c r="I1463" s="2">
        <v>8.99</v>
      </c>
      <c r="J1463">
        <v>1</v>
      </c>
      <c r="K1463" s="2">
        <f t="shared" si="44"/>
        <v>8.99</v>
      </c>
      <c r="L1463" t="s">
        <v>19</v>
      </c>
      <c r="M1463">
        <v>4</v>
      </c>
      <c r="N1463">
        <v>0.2</v>
      </c>
      <c r="O1463" t="str">
        <f t="shared" si="45"/>
        <v>0–0.2 hours</v>
      </c>
      <c r="P1463" t="s">
        <v>52</v>
      </c>
    </row>
    <row r="1464" spans="1:16" x14ac:dyDescent="0.4">
      <c r="A1464" t="s">
        <v>1505</v>
      </c>
      <c r="B1464">
        <v>21</v>
      </c>
      <c r="C1464" t="s">
        <v>27</v>
      </c>
      <c r="D1464" t="s">
        <v>32</v>
      </c>
      <c r="E1464">
        <v>4.07</v>
      </c>
      <c r="F1464">
        <v>56</v>
      </c>
      <c r="G1464" t="s">
        <v>49</v>
      </c>
      <c r="H1464" t="s">
        <v>55</v>
      </c>
      <c r="I1464" s="2">
        <v>17.989999999999998</v>
      </c>
      <c r="J1464">
        <v>1</v>
      </c>
      <c r="K1464" s="2">
        <f t="shared" si="44"/>
        <v>17.989999999999998</v>
      </c>
      <c r="L1464" t="s">
        <v>61</v>
      </c>
      <c r="M1464">
        <v>4</v>
      </c>
      <c r="N1464">
        <v>7.0000000000000007E-2</v>
      </c>
      <c r="O1464" t="str">
        <f t="shared" si="45"/>
        <v>0–0.2 hours</v>
      </c>
      <c r="P1464" t="s">
        <v>20</v>
      </c>
    </row>
    <row r="1465" spans="1:16" x14ac:dyDescent="0.4">
      <c r="A1465" t="s">
        <v>1506</v>
      </c>
      <c r="B1465">
        <v>50</v>
      </c>
      <c r="C1465" t="s">
        <v>27</v>
      </c>
      <c r="D1465" t="s">
        <v>16</v>
      </c>
      <c r="E1465">
        <v>11.25</v>
      </c>
      <c r="F1465">
        <v>13</v>
      </c>
      <c r="G1465" t="s">
        <v>28</v>
      </c>
      <c r="H1465" t="s">
        <v>18</v>
      </c>
      <c r="I1465" s="2">
        <v>8.99</v>
      </c>
      <c r="J1465">
        <v>0</v>
      </c>
      <c r="K1465" s="2">
        <f t="shared" si="44"/>
        <v>0</v>
      </c>
      <c r="L1465" t="s">
        <v>29</v>
      </c>
      <c r="M1465">
        <v>4</v>
      </c>
      <c r="N1465">
        <v>0.8</v>
      </c>
      <c r="O1465" t="str">
        <f t="shared" si="45"/>
        <v>0.6–0.8 hours</v>
      </c>
      <c r="P1465" t="s">
        <v>25</v>
      </c>
    </row>
    <row r="1466" spans="1:16" x14ac:dyDescent="0.4">
      <c r="A1466" t="s">
        <v>1507</v>
      </c>
      <c r="B1466">
        <v>69</v>
      </c>
      <c r="C1466" t="s">
        <v>15</v>
      </c>
      <c r="D1466" t="s">
        <v>22</v>
      </c>
      <c r="E1466">
        <v>6.46</v>
      </c>
      <c r="F1466">
        <v>16</v>
      </c>
      <c r="G1466" t="s">
        <v>33</v>
      </c>
      <c r="H1466" t="s">
        <v>18</v>
      </c>
      <c r="I1466" s="2">
        <v>13.99</v>
      </c>
      <c r="J1466">
        <v>0</v>
      </c>
      <c r="K1466" s="2">
        <f t="shared" si="44"/>
        <v>0</v>
      </c>
      <c r="L1466" t="s">
        <v>37</v>
      </c>
      <c r="M1466">
        <v>2</v>
      </c>
      <c r="N1466">
        <v>0.38</v>
      </c>
      <c r="O1466" t="str">
        <f t="shared" si="45"/>
        <v>0.2–0.4 hours</v>
      </c>
      <c r="P1466" t="s">
        <v>30</v>
      </c>
    </row>
    <row r="1467" spans="1:16" x14ac:dyDescent="0.4">
      <c r="A1467" t="s">
        <v>1508</v>
      </c>
      <c r="B1467">
        <v>31</v>
      </c>
      <c r="C1467" t="s">
        <v>41</v>
      </c>
      <c r="D1467" t="s">
        <v>16</v>
      </c>
      <c r="E1467">
        <v>4.83</v>
      </c>
      <c r="F1467">
        <v>15</v>
      </c>
      <c r="G1467" t="s">
        <v>23</v>
      </c>
      <c r="H1467" t="s">
        <v>46</v>
      </c>
      <c r="I1467" s="2">
        <v>8.99</v>
      </c>
      <c r="J1467">
        <v>1</v>
      </c>
      <c r="K1467" s="2">
        <f t="shared" si="44"/>
        <v>8.99</v>
      </c>
      <c r="L1467" t="s">
        <v>61</v>
      </c>
      <c r="M1467">
        <v>4</v>
      </c>
      <c r="N1467">
        <v>0.3</v>
      </c>
      <c r="O1467" t="str">
        <f t="shared" si="45"/>
        <v>0.2–0.4 hours</v>
      </c>
      <c r="P1467" t="s">
        <v>34</v>
      </c>
    </row>
    <row r="1468" spans="1:16" x14ac:dyDescent="0.4">
      <c r="A1468" t="s">
        <v>1509</v>
      </c>
      <c r="B1468">
        <v>66</v>
      </c>
      <c r="C1468" t="s">
        <v>15</v>
      </c>
      <c r="D1468" t="s">
        <v>32</v>
      </c>
      <c r="E1468">
        <v>0.27</v>
      </c>
      <c r="F1468">
        <v>59</v>
      </c>
      <c r="G1468" t="s">
        <v>70</v>
      </c>
      <c r="H1468" t="s">
        <v>57</v>
      </c>
      <c r="I1468" s="2">
        <v>17.989999999999998</v>
      </c>
      <c r="J1468">
        <v>1</v>
      </c>
      <c r="K1468" s="2">
        <f t="shared" si="44"/>
        <v>17.989999999999998</v>
      </c>
      <c r="L1468" t="s">
        <v>19</v>
      </c>
      <c r="M1468">
        <v>2</v>
      </c>
      <c r="N1468">
        <v>0</v>
      </c>
      <c r="O1468" t="str">
        <f t="shared" si="45"/>
        <v>0–0.2 hours</v>
      </c>
      <c r="P1468" t="s">
        <v>52</v>
      </c>
    </row>
    <row r="1469" spans="1:16" x14ac:dyDescent="0.4">
      <c r="A1469" t="s">
        <v>1510</v>
      </c>
      <c r="B1469">
        <v>64</v>
      </c>
      <c r="C1469" t="s">
        <v>27</v>
      </c>
      <c r="D1469" t="s">
        <v>32</v>
      </c>
      <c r="E1469">
        <v>22.59</v>
      </c>
      <c r="F1469">
        <v>24</v>
      </c>
      <c r="G1469" t="s">
        <v>49</v>
      </c>
      <c r="H1469" t="s">
        <v>18</v>
      </c>
      <c r="I1469" s="2">
        <v>17.989999999999998</v>
      </c>
      <c r="J1469">
        <v>0</v>
      </c>
      <c r="K1469" s="2">
        <f t="shared" si="44"/>
        <v>0</v>
      </c>
      <c r="L1469" t="s">
        <v>61</v>
      </c>
      <c r="M1469">
        <v>4</v>
      </c>
      <c r="N1469">
        <v>0.9</v>
      </c>
      <c r="O1469" t="str">
        <f t="shared" si="45"/>
        <v>0.8–1 hour</v>
      </c>
      <c r="P1469" t="s">
        <v>39</v>
      </c>
    </row>
    <row r="1470" spans="1:16" x14ac:dyDescent="0.4">
      <c r="A1470" t="s">
        <v>1511</v>
      </c>
      <c r="B1470">
        <v>69</v>
      </c>
      <c r="C1470" t="s">
        <v>15</v>
      </c>
      <c r="D1470" t="s">
        <v>32</v>
      </c>
      <c r="E1470">
        <v>13.4</v>
      </c>
      <c r="F1470">
        <v>11</v>
      </c>
      <c r="G1470" t="s">
        <v>70</v>
      </c>
      <c r="H1470" t="s">
        <v>46</v>
      </c>
      <c r="I1470" s="2">
        <v>17.989999999999998</v>
      </c>
      <c r="J1470">
        <v>0</v>
      </c>
      <c r="K1470" s="2">
        <f t="shared" si="44"/>
        <v>0</v>
      </c>
      <c r="L1470" t="s">
        <v>37</v>
      </c>
      <c r="M1470">
        <v>3</v>
      </c>
      <c r="N1470">
        <v>1.1200000000000001</v>
      </c>
      <c r="O1470" t="str">
        <f t="shared" si="45"/>
        <v>1+ hours</v>
      </c>
      <c r="P1470" t="s">
        <v>47</v>
      </c>
    </row>
    <row r="1471" spans="1:16" x14ac:dyDescent="0.4">
      <c r="A1471" t="s">
        <v>1512</v>
      </c>
      <c r="B1471">
        <v>47</v>
      </c>
      <c r="C1471" t="s">
        <v>15</v>
      </c>
      <c r="D1471" t="s">
        <v>22</v>
      </c>
      <c r="E1471">
        <v>6.85</v>
      </c>
      <c r="F1471">
        <v>2</v>
      </c>
      <c r="G1471" t="s">
        <v>70</v>
      </c>
      <c r="H1471" t="s">
        <v>24</v>
      </c>
      <c r="I1471" s="2">
        <v>13.99</v>
      </c>
      <c r="J1471">
        <v>0</v>
      </c>
      <c r="K1471" s="2">
        <f t="shared" si="44"/>
        <v>0</v>
      </c>
      <c r="L1471" t="s">
        <v>19</v>
      </c>
      <c r="M1471">
        <v>3</v>
      </c>
      <c r="N1471">
        <v>2.2799999999999998</v>
      </c>
      <c r="O1471" t="str">
        <f t="shared" si="45"/>
        <v>1+ hours</v>
      </c>
      <c r="P1471" t="s">
        <v>39</v>
      </c>
    </row>
    <row r="1472" spans="1:16" x14ac:dyDescent="0.4">
      <c r="A1472" t="s">
        <v>1513</v>
      </c>
      <c r="B1472">
        <v>70</v>
      </c>
      <c r="C1472" t="s">
        <v>41</v>
      </c>
      <c r="D1472" t="s">
        <v>22</v>
      </c>
      <c r="E1472">
        <v>4.17</v>
      </c>
      <c r="F1472">
        <v>38</v>
      </c>
      <c r="G1472" t="s">
        <v>49</v>
      </c>
      <c r="H1472" t="s">
        <v>57</v>
      </c>
      <c r="I1472" s="2">
        <v>13.99</v>
      </c>
      <c r="J1472">
        <v>1</v>
      </c>
      <c r="K1472" s="2">
        <f t="shared" si="44"/>
        <v>13.99</v>
      </c>
      <c r="L1472" t="s">
        <v>43</v>
      </c>
      <c r="M1472">
        <v>1</v>
      </c>
      <c r="N1472">
        <v>0.11</v>
      </c>
      <c r="O1472" t="str">
        <f t="shared" si="45"/>
        <v>0–0.2 hours</v>
      </c>
      <c r="P1472" t="s">
        <v>25</v>
      </c>
    </row>
    <row r="1473" spans="1:16" x14ac:dyDescent="0.4">
      <c r="A1473" t="s">
        <v>1514</v>
      </c>
      <c r="B1473">
        <v>44</v>
      </c>
      <c r="C1473" t="s">
        <v>41</v>
      </c>
      <c r="D1473" t="s">
        <v>22</v>
      </c>
      <c r="E1473">
        <v>29.87</v>
      </c>
      <c r="F1473">
        <v>6</v>
      </c>
      <c r="G1473" t="s">
        <v>17</v>
      </c>
      <c r="H1473" t="s">
        <v>24</v>
      </c>
      <c r="I1473" s="2">
        <v>13.99</v>
      </c>
      <c r="J1473">
        <v>0</v>
      </c>
      <c r="K1473" s="2">
        <f t="shared" si="44"/>
        <v>0</v>
      </c>
      <c r="L1473" t="s">
        <v>19</v>
      </c>
      <c r="M1473">
        <v>3</v>
      </c>
      <c r="N1473">
        <v>4.2699999999999996</v>
      </c>
      <c r="O1473" t="str">
        <f t="shared" si="45"/>
        <v>1+ hours</v>
      </c>
      <c r="P1473" t="s">
        <v>30</v>
      </c>
    </row>
    <row r="1474" spans="1:16" x14ac:dyDescent="0.4">
      <c r="A1474" t="s">
        <v>1515</v>
      </c>
      <c r="B1474">
        <v>67</v>
      </c>
      <c r="C1474" t="s">
        <v>27</v>
      </c>
      <c r="D1474" t="s">
        <v>22</v>
      </c>
      <c r="E1474">
        <v>1.63</v>
      </c>
      <c r="F1474">
        <v>58</v>
      </c>
      <c r="G1474" t="s">
        <v>70</v>
      </c>
      <c r="H1474" t="s">
        <v>24</v>
      </c>
      <c r="I1474" s="2">
        <v>13.99</v>
      </c>
      <c r="J1474">
        <v>1</v>
      </c>
      <c r="K1474" s="2">
        <f t="shared" si="44"/>
        <v>13.99</v>
      </c>
      <c r="L1474" t="s">
        <v>19</v>
      </c>
      <c r="M1474">
        <v>3</v>
      </c>
      <c r="N1474">
        <v>0.03</v>
      </c>
      <c r="O1474" t="str">
        <f t="shared" si="45"/>
        <v>0–0.2 hours</v>
      </c>
      <c r="P1474" t="s">
        <v>52</v>
      </c>
    </row>
    <row r="1475" spans="1:16" x14ac:dyDescent="0.4">
      <c r="A1475" t="s">
        <v>1516</v>
      </c>
      <c r="B1475">
        <v>66</v>
      </c>
      <c r="C1475" t="s">
        <v>15</v>
      </c>
      <c r="D1475" t="s">
        <v>22</v>
      </c>
      <c r="E1475">
        <v>20.65</v>
      </c>
      <c r="F1475">
        <v>58</v>
      </c>
      <c r="G1475" t="s">
        <v>70</v>
      </c>
      <c r="H1475" t="s">
        <v>55</v>
      </c>
      <c r="I1475" s="2">
        <v>13.99</v>
      </c>
      <c r="J1475">
        <v>0</v>
      </c>
      <c r="K1475" s="2">
        <f t="shared" ref="K1475:K1538" si="46">SUMIF(J1475,1,I1475)</f>
        <v>0</v>
      </c>
      <c r="L1475" t="s">
        <v>43</v>
      </c>
      <c r="M1475">
        <v>4</v>
      </c>
      <c r="N1475">
        <v>0.35</v>
      </c>
      <c r="O1475" t="str">
        <f t="shared" ref="O1475:O1538" si="47">IF(N1475&gt;1,"1+ hours",IF(N1475&lt;=0.2,"0–0.2 hours",IF(N1475&lt;=0.4,"0.2–0.4 hours",IF(N1475&lt;=0.6,"0.4–0.6 hours",IF(N1475&lt;=0.8,"0.6–0.8 hours","0.8–1 hour")))))</f>
        <v>0.2–0.4 hours</v>
      </c>
      <c r="P1475" t="s">
        <v>52</v>
      </c>
    </row>
    <row r="1476" spans="1:16" x14ac:dyDescent="0.4">
      <c r="A1476" t="s">
        <v>1517</v>
      </c>
      <c r="B1476">
        <v>57</v>
      </c>
      <c r="C1476" t="s">
        <v>41</v>
      </c>
      <c r="D1476" t="s">
        <v>32</v>
      </c>
      <c r="E1476">
        <v>11.09</v>
      </c>
      <c r="F1476">
        <v>9</v>
      </c>
      <c r="G1476" t="s">
        <v>33</v>
      </c>
      <c r="H1476" t="s">
        <v>24</v>
      </c>
      <c r="I1476" s="2">
        <v>17.989999999999998</v>
      </c>
      <c r="J1476">
        <v>0</v>
      </c>
      <c r="K1476" s="2">
        <f t="shared" si="46"/>
        <v>0</v>
      </c>
      <c r="L1476" t="s">
        <v>19</v>
      </c>
      <c r="M1476">
        <v>3</v>
      </c>
      <c r="N1476">
        <v>1.1100000000000001</v>
      </c>
      <c r="O1476" t="str">
        <f t="shared" si="47"/>
        <v>1+ hours</v>
      </c>
      <c r="P1476" t="s">
        <v>39</v>
      </c>
    </row>
    <row r="1477" spans="1:16" x14ac:dyDescent="0.4">
      <c r="A1477" t="s">
        <v>1518</v>
      </c>
      <c r="B1477">
        <v>53</v>
      </c>
      <c r="C1477" t="s">
        <v>27</v>
      </c>
      <c r="D1477" t="s">
        <v>32</v>
      </c>
      <c r="E1477">
        <v>5.65</v>
      </c>
      <c r="F1477">
        <v>24</v>
      </c>
      <c r="G1477" t="s">
        <v>28</v>
      </c>
      <c r="H1477" t="s">
        <v>57</v>
      </c>
      <c r="I1477" s="2">
        <v>17.989999999999998</v>
      </c>
      <c r="J1477">
        <v>0</v>
      </c>
      <c r="K1477" s="2">
        <f t="shared" si="46"/>
        <v>0</v>
      </c>
      <c r="L1477" t="s">
        <v>61</v>
      </c>
      <c r="M1477">
        <v>2</v>
      </c>
      <c r="N1477">
        <v>0.23</v>
      </c>
      <c r="O1477" t="str">
        <f t="shared" si="47"/>
        <v>0.2–0.4 hours</v>
      </c>
      <c r="P1477" t="s">
        <v>25</v>
      </c>
    </row>
    <row r="1478" spans="1:16" x14ac:dyDescent="0.4">
      <c r="A1478" t="s">
        <v>1519</v>
      </c>
      <c r="B1478">
        <v>67</v>
      </c>
      <c r="C1478" t="s">
        <v>41</v>
      </c>
      <c r="D1478" t="s">
        <v>16</v>
      </c>
      <c r="E1478">
        <v>17.440000000000001</v>
      </c>
      <c r="F1478">
        <v>3</v>
      </c>
      <c r="G1478" t="s">
        <v>49</v>
      </c>
      <c r="H1478" t="s">
        <v>46</v>
      </c>
      <c r="I1478" s="2">
        <v>8.99</v>
      </c>
      <c r="J1478">
        <v>0</v>
      </c>
      <c r="K1478" s="2">
        <f t="shared" si="46"/>
        <v>0</v>
      </c>
      <c r="L1478" t="s">
        <v>61</v>
      </c>
      <c r="M1478">
        <v>3</v>
      </c>
      <c r="N1478">
        <v>4.3600000000000003</v>
      </c>
      <c r="O1478" t="str">
        <f t="shared" si="47"/>
        <v>1+ hours</v>
      </c>
      <c r="P1478" t="s">
        <v>39</v>
      </c>
    </row>
    <row r="1479" spans="1:16" x14ac:dyDescent="0.4">
      <c r="A1479" t="s">
        <v>1520</v>
      </c>
      <c r="B1479">
        <v>35</v>
      </c>
      <c r="C1479" t="s">
        <v>41</v>
      </c>
      <c r="D1479" t="s">
        <v>22</v>
      </c>
      <c r="E1479">
        <v>3.65</v>
      </c>
      <c r="F1479">
        <v>42</v>
      </c>
      <c r="G1479" t="s">
        <v>70</v>
      </c>
      <c r="H1479" t="s">
        <v>57</v>
      </c>
      <c r="I1479" s="2">
        <v>13.99</v>
      </c>
      <c r="J1479">
        <v>1</v>
      </c>
      <c r="K1479" s="2">
        <f t="shared" si="46"/>
        <v>13.99</v>
      </c>
      <c r="L1479" t="s">
        <v>37</v>
      </c>
      <c r="M1479">
        <v>1</v>
      </c>
      <c r="N1479">
        <v>0.08</v>
      </c>
      <c r="O1479" t="str">
        <f t="shared" si="47"/>
        <v>0–0.2 hours</v>
      </c>
      <c r="P1479" t="s">
        <v>30</v>
      </c>
    </row>
    <row r="1480" spans="1:16" x14ac:dyDescent="0.4">
      <c r="A1480" t="s">
        <v>1521</v>
      </c>
      <c r="B1480">
        <v>63</v>
      </c>
      <c r="C1480" t="s">
        <v>27</v>
      </c>
      <c r="D1480" t="s">
        <v>22</v>
      </c>
      <c r="E1480">
        <v>1.66</v>
      </c>
      <c r="F1480">
        <v>0</v>
      </c>
      <c r="G1480" t="s">
        <v>23</v>
      </c>
      <c r="H1480" t="s">
        <v>55</v>
      </c>
      <c r="I1480" s="2">
        <v>13.99</v>
      </c>
      <c r="J1480">
        <v>0</v>
      </c>
      <c r="K1480" s="2">
        <f t="shared" si="46"/>
        <v>0</v>
      </c>
      <c r="L1480" t="s">
        <v>29</v>
      </c>
      <c r="M1480">
        <v>1</v>
      </c>
      <c r="N1480">
        <v>1.66</v>
      </c>
      <c r="O1480" t="str">
        <f t="shared" si="47"/>
        <v>1+ hours</v>
      </c>
      <c r="P1480" t="s">
        <v>47</v>
      </c>
    </row>
    <row r="1481" spans="1:16" x14ac:dyDescent="0.4">
      <c r="A1481" s="1" t="s">
        <v>1522</v>
      </c>
      <c r="B1481">
        <v>53</v>
      </c>
      <c r="C1481" t="s">
        <v>27</v>
      </c>
      <c r="D1481" t="s">
        <v>16</v>
      </c>
      <c r="E1481">
        <v>2.6</v>
      </c>
      <c r="F1481">
        <v>46</v>
      </c>
      <c r="G1481" t="s">
        <v>23</v>
      </c>
      <c r="H1481" t="s">
        <v>55</v>
      </c>
      <c r="I1481" s="2">
        <v>8.99</v>
      </c>
      <c r="J1481">
        <v>1</v>
      </c>
      <c r="K1481" s="2">
        <f t="shared" si="46"/>
        <v>8.99</v>
      </c>
      <c r="L1481" t="s">
        <v>19</v>
      </c>
      <c r="M1481">
        <v>5</v>
      </c>
      <c r="N1481">
        <v>0.06</v>
      </c>
      <c r="O1481" t="str">
        <f t="shared" si="47"/>
        <v>0–0.2 hours</v>
      </c>
      <c r="P1481" t="s">
        <v>25</v>
      </c>
    </row>
    <row r="1482" spans="1:16" x14ac:dyDescent="0.4">
      <c r="A1482" t="s">
        <v>1523</v>
      </c>
      <c r="B1482">
        <v>24</v>
      </c>
      <c r="C1482" t="s">
        <v>27</v>
      </c>
      <c r="D1482" t="s">
        <v>32</v>
      </c>
      <c r="E1482">
        <v>2.48</v>
      </c>
      <c r="F1482">
        <v>19</v>
      </c>
      <c r="G1482" t="s">
        <v>70</v>
      </c>
      <c r="H1482" t="s">
        <v>24</v>
      </c>
      <c r="I1482" s="2">
        <v>17.989999999999998</v>
      </c>
      <c r="J1482">
        <v>1</v>
      </c>
      <c r="K1482" s="2">
        <f t="shared" si="46"/>
        <v>17.989999999999998</v>
      </c>
      <c r="L1482" t="s">
        <v>37</v>
      </c>
      <c r="M1482">
        <v>2</v>
      </c>
      <c r="N1482">
        <v>0.12</v>
      </c>
      <c r="O1482" t="str">
        <f t="shared" si="47"/>
        <v>0–0.2 hours</v>
      </c>
      <c r="P1482" t="s">
        <v>25</v>
      </c>
    </row>
    <row r="1483" spans="1:16" x14ac:dyDescent="0.4">
      <c r="A1483" t="s">
        <v>1524</v>
      </c>
      <c r="B1483">
        <v>28</v>
      </c>
      <c r="C1483" t="s">
        <v>15</v>
      </c>
      <c r="D1483" t="s">
        <v>16</v>
      </c>
      <c r="E1483">
        <v>22.74</v>
      </c>
      <c r="F1483">
        <v>28</v>
      </c>
      <c r="G1483" t="s">
        <v>49</v>
      </c>
      <c r="H1483" t="s">
        <v>18</v>
      </c>
      <c r="I1483" s="2">
        <v>8.99</v>
      </c>
      <c r="J1483">
        <v>0</v>
      </c>
      <c r="K1483" s="2">
        <f t="shared" si="46"/>
        <v>0</v>
      </c>
      <c r="L1483" t="s">
        <v>19</v>
      </c>
      <c r="M1483">
        <v>1</v>
      </c>
      <c r="N1483">
        <v>0.78</v>
      </c>
      <c r="O1483" t="str">
        <f t="shared" si="47"/>
        <v>0.6–0.8 hours</v>
      </c>
      <c r="P1483" t="s">
        <v>25</v>
      </c>
    </row>
    <row r="1484" spans="1:16" x14ac:dyDescent="0.4">
      <c r="A1484" t="s">
        <v>1525</v>
      </c>
      <c r="B1484">
        <v>69</v>
      </c>
      <c r="C1484" t="s">
        <v>41</v>
      </c>
      <c r="D1484" t="s">
        <v>32</v>
      </c>
      <c r="E1484">
        <v>27.12</v>
      </c>
      <c r="F1484">
        <v>3</v>
      </c>
      <c r="G1484" t="s">
        <v>28</v>
      </c>
      <c r="H1484" t="s">
        <v>18</v>
      </c>
      <c r="I1484" s="2">
        <v>17.989999999999998</v>
      </c>
      <c r="J1484">
        <v>0</v>
      </c>
      <c r="K1484" s="2">
        <f t="shared" si="46"/>
        <v>0</v>
      </c>
      <c r="L1484" t="s">
        <v>61</v>
      </c>
      <c r="M1484">
        <v>5</v>
      </c>
      <c r="N1484">
        <v>6.78</v>
      </c>
      <c r="O1484" t="str">
        <f t="shared" si="47"/>
        <v>1+ hours</v>
      </c>
      <c r="P1484" t="s">
        <v>30</v>
      </c>
    </row>
    <row r="1485" spans="1:16" x14ac:dyDescent="0.4">
      <c r="A1485" t="s">
        <v>1526</v>
      </c>
      <c r="B1485">
        <v>58</v>
      </c>
      <c r="C1485" t="s">
        <v>27</v>
      </c>
      <c r="D1485" t="s">
        <v>16</v>
      </c>
      <c r="E1485">
        <v>5.87</v>
      </c>
      <c r="F1485">
        <v>37</v>
      </c>
      <c r="G1485" t="s">
        <v>23</v>
      </c>
      <c r="H1485" t="s">
        <v>18</v>
      </c>
      <c r="I1485" s="2">
        <v>8.99</v>
      </c>
      <c r="J1485">
        <v>1</v>
      </c>
      <c r="K1485" s="2">
        <f t="shared" si="46"/>
        <v>8.99</v>
      </c>
      <c r="L1485" t="s">
        <v>43</v>
      </c>
      <c r="M1485">
        <v>5</v>
      </c>
      <c r="N1485">
        <v>0.15</v>
      </c>
      <c r="O1485" t="str">
        <f t="shared" si="47"/>
        <v>0–0.2 hours</v>
      </c>
      <c r="P1485" t="s">
        <v>25</v>
      </c>
    </row>
    <row r="1486" spans="1:16" x14ac:dyDescent="0.4">
      <c r="A1486" t="s">
        <v>1527</v>
      </c>
      <c r="B1486">
        <v>50</v>
      </c>
      <c r="C1486" t="s">
        <v>15</v>
      </c>
      <c r="D1486" t="s">
        <v>16</v>
      </c>
      <c r="E1486">
        <v>8.9700000000000006</v>
      </c>
      <c r="F1486">
        <v>56</v>
      </c>
      <c r="G1486" t="s">
        <v>28</v>
      </c>
      <c r="H1486" t="s">
        <v>46</v>
      </c>
      <c r="I1486" s="2">
        <v>8.99</v>
      </c>
      <c r="J1486">
        <v>1</v>
      </c>
      <c r="K1486" s="2">
        <f t="shared" si="46"/>
        <v>8.99</v>
      </c>
      <c r="L1486" t="s">
        <v>61</v>
      </c>
      <c r="M1486">
        <v>4</v>
      </c>
      <c r="N1486">
        <v>0.16</v>
      </c>
      <c r="O1486" t="str">
        <f t="shared" si="47"/>
        <v>0–0.2 hours</v>
      </c>
      <c r="P1486" t="s">
        <v>47</v>
      </c>
    </row>
    <row r="1487" spans="1:16" x14ac:dyDescent="0.4">
      <c r="A1487" t="s">
        <v>1528</v>
      </c>
      <c r="B1487">
        <v>24</v>
      </c>
      <c r="C1487" t="s">
        <v>27</v>
      </c>
      <c r="D1487" t="s">
        <v>16</v>
      </c>
      <c r="E1487">
        <v>3.74</v>
      </c>
      <c r="F1487">
        <v>38</v>
      </c>
      <c r="G1487" t="s">
        <v>17</v>
      </c>
      <c r="H1487" t="s">
        <v>46</v>
      </c>
      <c r="I1487" s="2">
        <v>8.99</v>
      </c>
      <c r="J1487">
        <v>1</v>
      </c>
      <c r="K1487" s="2">
        <f t="shared" si="46"/>
        <v>8.99</v>
      </c>
      <c r="L1487" t="s">
        <v>37</v>
      </c>
      <c r="M1487">
        <v>4</v>
      </c>
      <c r="N1487">
        <v>0.1</v>
      </c>
      <c r="O1487" t="str">
        <f t="shared" si="47"/>
        <v>0–0.2 hours</v>
      </c>
      <c r="P1487" t="s">
        <v>30</v>
      </c>
    </row>
    <row r="1488" spans="1:16" x14ac:dyDescent="0.4">
      <c r="A1488" t="s">
        <v>1529</v>
      </c>
      <c r="B1488">
        <v>60</v>
      </c>
      <c r="C1488" t="s">
        <v>41</v>
      </c>
      <c r="D1488" t="s">
        <v>22</v>
      </c>
      <c r="E1488">
        <v>1.38</v>
      </c>
      <c r="F1488">
        <v>41</v>
      </c>
      <c r="G1488" t="s">
        <v>17</v>
      </c>
      <c r="H1488" t="s">
        <v>46</v>
      </c>
      <c r="I1488" s="2">
        <v>13.99</v>
      </c>
      <c r="J1488">
        <v>1</v>
      </c>
      <c r="K1488" s="2">
        <f t="shared" si="46"/>
        <v>13.99</v>
      </c>
      <c r="L1488" t="s">
        <v>37</v>
      </c>
      <c r="M1488">
        <v>3</v>
      </c>
      <c r="N1488">
        <v>0.03</v>
      </c>
      <c r="O1488" t="str">
        <f t="shared" si="47"/>
        <v>0–0.2 hours</v>
      </c>
      <c r="P1488" t="s">
        <v>30</v>
      </c>
    </row>
    <row r="1489" spans="1:16" x14ac:dyDescent="0.4">
      <c r="A1489" t="s">
        <v>1530</v>
      </c>
      <c r="B1489">
        <v>52</v>
      </c>
      <c r="C1489" t="s">
        <v>15</v>
      </c>
      <c r="D1489" t="s">
        <v>16</v>
      </c>
      <c r="E1489">
        <v>8.9</v>
      </c>
      <c r="F1489">
        <v>23</v>
      </c>
      <c r="G1489" t="s">
        <v>28</v>
      </c>
      <c r="H1489" t="s">
        <v>24</v>
      </c>
      <c r="I1489" s="2">
        <v>8.99</v>
      </c>
      <c r="J1489">
        <v>1</v>
      </c>
      <c r="K1489" s="2">
        <f t="shared" si="46"/>
        <v>8.99</v>
      </c>
      <c r="L1489" t="s">
        <v>43</v>
      </c>
      <c r="M1489">
        <v>1</v>
      </c>
      <c r="N1489">
        <v>0.37</v>
      </c>
      <c r="O1489" t="str">
        <f t="shared" si="47"/>
        <v>0.2–0.4 hours</v>
      </c>
      <c r="P1489" t="s">
        <v>47</v>
      </c>
    </row>
    <row r="1490" spans="1:16" x14ac:dyDescent="0.4">
      <c r="A1490" t="s">
        <v>1531</v>
      </c>
      <c r="B1490">
        <v>70</v>
      </c>
      <c r="C1490" t="s">
        <v>15</v>
      </c>
      <c r="D1490" t="s">
        <v>22</v>
      </c>
      <c r="E1490">
        <v>6.76</v>
      </c>
      <c r="F1490">
        <v>41</v>
      </c>
      <c r="G1490" t="s">
        <v>28</v>
      </c>
      <c r="H1490" t="s">
        <v>57</v>
      </c>
      <c r="I1490" s="2">
        <v>13.99</v>
      </c>
      <c r="J1490">
        <v>1</v>
      </c>
      <c r="K1490" s="2">
        <f t="shared" si="46"/>
        <v>13.99</v>
      </c>
      <c r="L1490" t="s">
        <v>29</v>
      </c>
      <c r="M1490">
        <v>2</v>
      </c>
      <c r="N1490">
        <v>0.16</v>
      </c>
      <c r="O1490" t="str">
        <f t="shared" si="47"/>
        <v>0–0.2 hours</v>
      </c>
      <c r="P1490" t="s">
        <v>34</v>
      </c>
    </row>
    <row r="1491" spans="1:16" x14ac:dyDescent="0.4">
      <c r="A1491" t="s">
        <v>1532</v>
      </c>
      <c r="B1491">
        <v>24</v>
      </c>
      <c r="C1491" t="s">
        <v>27</v>
      </c>
      <c r="D1491" t="s">
        <v>16</v>
      </c>
      <c r="E1491">
        <v>5.25</v>
      </c>
      <c r="F1491">
        <v>28</v>
      </c>
      <c r="G1491" t="s">
        <v>28</v>
      </c>
      <c r="H1491" t="s">
        <v>46</v>
      </c>
      <c r="I1491" s="2">
        <v>8.99</v>
      </c>
      <c r="J1491">
        <v>0</v>
      </c>
      <c r="K1491" s="2">
        <f t="shared" si="46"/>
        <v>0</v>
      </c>
      <c r="L1491" t="s">
        <v>19</v>
      </c>
      <c r="M1491">
        <v>4</v>
      </c>
      <c r="N1491">
        <v>0.18</v>
      </c>
      <c r="O1491" t="str">
        <f t="shared" si="47"/>
        <v>0–0.2 hours</v>
      </c>
      <c r="P1491" t="s">
        <v>47</v>
      </c>
    </row>
    <row r="1492" spans="1:16" x14ac:dyDescent="0.4">
      <c r="A1492" t="s">
        <v>1533</v>
      </c>
      <c r="B1492">
        <v>40</v>
      </c>
      <c r="C1492" t="s">
        <v>41</v>
      </c>
      <c r="D1492" t="s">
        <v>22</v>
      </c>
      <c r="E1492">
        <v>4.09</v>
      </c>
      <c r="F1492">
        <v>37</v>
      </c>
      <c r="G1492" t="s">
        <v>70</v>
      </c>
      <c r="H1492" t="s">
        <v>24</v>
      </c>
      <c r="I1492" s="2">
        <v>13.99</v>
      </c>
      <c r="J1492">
        <v>1</v>
      </c>
      <c r="K1492" s="2">
        <f t="shared" si="46"/>
        <v>13.99</v>
      </c>
      <c r="L1492" t="s">
        <v>19</v>
      </c>
      <c r="M1492">
        <v>2</v>
      </c>
      <c r="N1492">
        <v>0.11</v>
      </c>
      <c r="O1492" t="str">
        <f t="shared" si="47"/>
        <v>0–0.2 hours</v>
      </c>
      <c r="P1492" t="s">
        <v>25</v>
      </c>
    </row>
    <row r="1493" spans="1:16" x14ac:dyDescent="0.4">
      <c r="A1493" t="s">
        <v>1534</v>
      </c>
      <c r="B1493">
        <v>28</v>
      </c>
      <c r="C1493" t="s">
        <v>15</v>
      </c>
      <c r="D1493" t="s">
        <v>16</v>
      </c>
      <c r="E1493">
        <v>13.38</v>
      </c>
      <c r="F1493">
        <v>23</v>
      </c>
      <c r="G1493" t="s">
        <v>70</v>
      </c>
      <c r="H1493" t="s">
        <v>18</v>
      </c>
      <c r="I1493" s="2">
        <v>8.99</v>
      </c>
      <c r="J1493">
        <v>0</v>
      </c>
      <c r="K1493" s="2">
        <f t="shared" si="46"/>
        <v>0</v>
      </c>
      <c r="L1493" t="s">
        <v>19</v>
      </c>
      <c r="M1493">
        <v>1</v>
      </c>
      <c r="N1493">
        <v>0.56000000000000005</v>
      </c>
      <c r="O1493" t="str">
        <f t="shared" si="47"/>
        <v>0.4–0.6 hours</v>
      </c>
      <c r="P1493" t="s">
        <v>25</v>
      </c>
    </row>
    <row r="1494" spans="1:16" x14ac:dyDescent="0.4">
      <c r="A1494" t="s">
        <v>1535</v>
      </c>
      <c r="B1494">
        <v>36</v>
      </c>
      <c r="C1494" t="s">
        <v>15</v>
      </c>
      <c r="D1494" t="s">
        <v>32</v>
      </c>
      <c r="E1494">
        <v>5.79</v>
      </c>
      <c r="F1494">
        <v>21</v>
      </c>
      <c r="G1494" t="s">
        <v>70</v>
      </c>
      <c r="H1494" t="s">
        <v>46</v>
      </c>
      <c r="I1494" s="2">
        <v>17.989999999999998</v>
      </c>
      <c r="J1494">
        <v>0</v>
      </c>
      <c r="K1494" s="2">
        <f t="shared" si="46"/>
        <v>0</v>
      </c>
      <c r="L1494" t="s">
        <v>19</v>
      </c>
      <c r="M1494">
        <v>3</v>
      </c>
      <c r="N1494">
        <v>0.26</v>
      </c>
      <c r="O1494" t="str">
        <f t="shared" si="47"/>
        <v>0.2–0.4 hours</v>
      </c>
      <c r="P1494" t="s">
        <v>34</v>
      </c>
    </row>
    <row r="1495" spans="1:16" x14ac:dyDescent="0.4">
      <c r="A1495" t="s">
        <v>1536</v>
      </c>
      <c r="B1495">
        <v>39</v>
      </c>
      <c r="C1495" t="s">
        <v>41</v>
      </c>
      <c r="D1495" t="s">
        <v>22</v>
      </c>
      <c r="E1495">
        <v>4.1900000000000004</v>
      </c>
      <c r="F1495">
        <v>47</v>
      </c>
      <c r="G1495" t="s">
        <v>23</v>
      </c>
      <c r="H1495" t="s">
        <v>46</v>
      </c>
      <c r="I1495" s="2">
        <v>13.99</v>
      </c>
      <c r="J1495">
        <v>1</v>
      </c>
      <c r="K1495" s="2">
        <f t="shared" si="46"/>
        <v>13.99</v>
      </c>
      <c r="L1495" t="s">
        <v>29</v>
      </c>
      <c r="M1495">
        <v>2</v>
      </c>
      <c r="N1495">
        <v>0.09</v>
      </c>
      <c r="O1495" t="str">
        <f t="shared" si="47"/>
        <v>0–0.2 hours</v>
      </c>
      <c r="P1495" t="s">
        <v>34</v>
      </c>
    </row>
    <row r="1496" spans="1:16" x14ac:dyDescent="0.4">
      <c r="A1496" t="s">
        <v>1537</v>
      </c>
      <c r="B1496">
        <v>26</v>
      </c>
      <c r="C1496" t="s">
        <v>27</v>
      </c>
      <c r="D1496" t="s">
        <v>32</v>
      </c>
      <c r="E1496">
        <v>3.87</v>
      </c>
      <c r="F1496">
        <v>45</v>
      </c>
      <c r="G1496" t="s">
        <v>28</v>
      </c>
      <c r="H1496" t="s">
        <v>18</v>
      </c>
      <c r="I1496" s="2">
        <v>17.989999999999998</v>
      </c>
      <c r="J1496">
        <v>1</v>
      </c>
      <c r="K1496" s="2">
        <f t="shared" si="46"/>
        <v>17.989999999999998</v>
      </c>
      <c r="L1496" t="s">
        <v>19</v>
      </c>
      <c r="M1496">
        <v>2</v>
      </c>
      <c r="N1496">
        <v>0.08</v>
      </c>
      <c r="O1496" t="str">
        <f t="shared" si="47"/>
        <v>0–0.2 hours</v>
      </c>
      <c r="P1496" t="s">
        <v>52</v>
      </c>
    </row>
    <row r="1497" spans="1:16" x14ac:dyDescent="0.4">
      <c r="A1497" t="s">
        <v>1538</v>
      </c>
      <c r="B1497">
        <v>25</v>
      </c>
      <c r="C1497" t="s">
        <v>27</v>
      </c>
      <c r="D1497" t="s">
        <v>32</v>
      </c>
      <c r="E1497">
        <v>6.49</v>
      </c>
      <c r="F1497">
        <v>14</v>
      </c>
      <c r="G1497" t="s">
        <v>70</v>
      </c>
      <c r="H1497" t="s">
        <v>57</v>
      </c>
      <c r="I1497" s="2">
        <v>17.989999999999998</v>
      </c>
      <c r="J1497">
        <v>0</v>
      </c>
      <c r="K1497" s="2">
        <f t="shared" si="46"/>
        <v>0</v>
      </c>
      <c r="L1497" t="s">
        <v>61</v>
      </c>
      <c r="M1497">
        <v>1</v>
      </c>
      <c r="N1497">
        <v>0.43</v>
      </c>
      <c r="O1497" t="str">
        <f t="shared" si="47"/>
        <v>0.4–0.6 hours</v>
      </c>
      <c r="P1497" t="s">
        <v>30</v>
      </c>
    </row>
    <row r="1498" spans="1:16" x14ac:dyDescent="0.4">
      <c r="A1498" t="s">
        <v>1539</v>
      </c>
      <c r="B1498">
        <v>21</v>
      </c>
      <c r="C1498" t="s">
        <v>41</v>
      </c>
      <c r="D1498" t="s">
        <v>22</v>
      </c>
      <c r="E1498">
        <v>1.02</v>
      </c>
      <c r="F1498">
        <v>23</v>
      </c>
      <c r="G1498" t="s">
        <v>28</v>
      </c>
      <c r="H1498" t="s">
        <v>57</v>
      </c>
      <c r="I1498" s="2">
        <v>13.99</v>
      </c>
      <c r="J1498">
        <v>1</v>
      </c>
      <c r="K1498" s="2">
        <f t="shared" si="46"/>
        <v>13.99</v>
      </c>
      <c r="L1498" t="s">
        <v>43</v>
      </c>
      <c r="M1498">
        <v>3</v>
      </c>
      <c r="N1498">
        <v>0.04</v>
      </c>
      <c r="O1498" t="str">
        <f t="shared" si="47"/>
        <v>0–0.2 hours</v>
      </c>
      <c r="P1498" t="s">
        <v>52</v>
      </c>
    </row>
    <row r="1499" spans="1:16" x14ac:dyDescent="0.4">
      <c r="A1499" t="s">
        <v>1540</v>
      </c>
      <c r="B1499">
        <v>46</v>
      </c>
      <c r="C1499" t="s">
        <v>41</v>
      </c>
      <c r="D1499" t="s">
        <v>16</v>
      </c>
      <c r="E1499">
        <v>9.09</v>
      </c>
      <c r="F1499">
        <v>60</v>
      </c>
      <c r="G1499" t="s">
        <v>49</v>
      </c>
      <c r="H1499" t="s">
        <v>55</v>
      </c>
      <c r="I1499" s="2">
        <v>8.99</v>
      </c>
      <c r="J1499">
        <v>1</v>
      </c>
      <c r="K1499" s="2">
        <f t="shared" si="46"/>
        <v>8.99</v>
      </c>
      <c r="L1499" t="s">
        <v>19</v>
      </c>
      <c r="M1499">
        <v>1</v>
      </c>
      <c r="N1499">
        <v>0.15</v>
      </c>
      <c r="O1499" t="str">
        <f t="shared" si="47"/>
        <v>0–0.2 hours</v>
      </c>
      <c r="P1499" t="s">
        <v>20</v>
      </c>
    </row>
    <row r="1500" spans="1:16" x14ac:dyDescent="0.4">
      <c r="A1500" t="s">
        <v>1541</v>
      </c>
      <c r="B1500">
        <v>45</v>
      </c>
      <c r="C1500" t="s">
        <v>27</v>
      </c>
      <c r="D1500" t="s">
        <v>32</v>
      </c>
      <c r="E1500">
        <v>3.45</v>
      </c>
      <c r="F1500">
        <v>44</v>
      </c>
      <c r="G1500" t="s">
        <v>49</v>
      </c>
      <c r="H1500" t="s">
        <v>57</v>
      </c>
      <c r="I1500" s="2">
        <v>17.989999999999998</v>
      </c>
      <c r="J1500">
        <v>1</v>
      </c>
      <c r="K1500" s="2">
        <f t="shared" si="46"/>
        <v>17.989999999999998</v>
      </c>
      <c r="L1500" t="s">
        <v>29</v>
      </c>
      <c r="M1500">
        <v>3</v>
      </c>
      <c r="N1500">
        <v>0.08</v>
      </c>
      <c r="O1500" t="str">
        <f t="shared" si="47"/>
        <v>0–0.2 hours</v>
      </c>
      <c r="P1500" t="s">
        <v>20</v>
      </c>
    </row>
    <row r="1501" spans="1:16" x14ac:dyDescent="0.4">
      <c r="A1501" t="s">
        <v>1542</v>
      </c>
      <c r="B1501">
        <v>54</v>
      </c>
      <c r="C1501" t="s">
        <v>27</v>
      </c>
      <c r="D1501" t="s">
        <v>22</v>
      </c>
      <c r="E1501">
        <v>10.91</v>
      </c>
      <c r="F1501">
        <v>37</v>
      </c>
      <c r="G1501" t="s">
        <v>49</v>
      </c>
      <c r="H1501" t="s">
        <v>57</v>
      </c>
      <c r="I1501" s="2">
        <v>13.99</v>
      </c>
      <c r="J1501">
        <v>0</v>
      </c>
      <c r="K1501" s="2">
        <f t="shared" si="46"/>
        <v>0</v>
      </c>
      <c r="L1501" t="s">
        <v>43</v>
      </c>
      <c r="M1501">
        <v>5</v>
      </c>
      <c r="N1501">
        <v>0.28999999999999998</v>
      </c>
      <c r="O1501" t="str">
        <f t="shared" si="47"/>
        <v>0.2–0.4 hours</v>
      </c>
      <c r="P1501" t="s">
        <v>52</v>
      </c>
    </row>
    <row r="1502" spans="1:16" x14ac:dyDescent="0.4">
      <c r="A1502" t="s">
        <v>1543</v>
      </c>
      <c r="B1502">
        <v>60</v>
      </c>
      <c r="C1502" t="s">
        <v>15</v>
      </c>
      <c r="D1502" t="s">
        <v>16</v>
      </c>
      <c r="E1502">
        <v>8.89</v>
      </c>
      <c r="F1502">
        <v>23</v>
      </c>
      <c r="G1502" t="s">
        <v>23</v>
      </c>
      <c r="H1502" t="s">
        <v>18</v>
      </c>
      <c r="I1502" s="2">
        <v>8.99</v>
      </c>
      <c r="J1502">
        <v>1</v>
      </c>
      <c r="K1502" s="2">
        <f t="shared" si="46"/>
        <v>8.99</v>
      </c>
      <c r="L1502" t="s">
        <v>29</v>
      </c>
      <c r="M1502">
        <v>3</v>
      </c>
      <c r="N1502">
        <v>0.37</v>
      </c>
      <c r="O1502" t="str">
        <f t="shared" si="47"/>
        <v>0.2–0.4 hours</v>
      </c>
      <c r="P1502" t="s">
        <v>39</v>
      </c>
    </row>
    <row r="1503" spans="1:16" x14ac:dyDescent="0.4">
      <c r="A1503" t="s">
        <v>1544</v>
      </c>
      <c r="B1503">
        <v>39</v>
      </c>
      <c r="C1503" t="s">
        <v>15</v>
      </c>
      <c r="D1503" t="s">
        <v>16</v>
      </c>
      <c r="E1503">
        <v>9.9600000000000009</v>
      </c>
      <c r="F1503">
        <v>22</v>
      </c>
      <c r="G1503" t="s">
        <v>49</v>
      </c>
      <c r="H1503" t="s">
        <v>57</v>
      </c>
      <c r="I1503" s="2">
        <v>8.99</v>
      </c>
      <c r="J1503">
        <v>0</v>
      </c>
      <c r="K1503" s="2">
        <f t="shared" si="46"/>
        <v>0</v>
      </c>
      <c r="L1503" t="s">
        <v>19</v>
      </c>
      <c r="M1503">
        <v>5</v>
      </c>
      <c r="N1503">
        <v>0.43</v>
      </c>
      <c r="O1503" t="str">
        <f t="shared" si="47"/>
        <v>0.4–0.6 hours</v>
      </c>
      <c r="P1503" t="s">
        <v>30</v>
      </c>
    </row>
    <row r="1504" spans="1:16" x14ac:dyDescent="0.4">
      <c r="A1504" t="s">
        <v>1545</v>
      </c>
      <c r="B1504">
        <v>34</v>
      </c>
      <c r="C1504" t="s">
        <v>41</v>
      </c>
      <c r="D1504" t="s">
        <v>16</v>
      </c>
      <c r="E1504">
        <v>0.35</v>
      </c>
      <c r="F1504">
        <v>57</v>
      </c>
      <c r="G1504" t="s">
        <v>28</v>
      </c>
      <c r="H1504" t="s">
        <v>18</v>
      </c>
      <c r="I1504" s="2">
        <v>8.99</v>
      </c>
      <c r="J1504">
        <v>1</v>
      </c>
      <c r="K1504" s="2">
        <f t="shared" si="46"/>
        <v>8.99</v>
      </c>
      <c r="L1504" t="s">
        <v>19</v>
      </c>
      <c r="M1504">
        <v>1</v>
      </c>
      <c r="N1504">
        <v>0.01</v>
      </c>
      <c r="O1504" t="str">
        <f t="shared" si="47"/>
        <v>0–0.2 hours</v>
      </c>
      <c r="P1504" t="s">
        <v>47</v>
      </c>
    </row>
    <row r="1505" spans="1:16" x14ac:dyDescent="0.4">
      <c r="A1505" t="s">
        <v>1546</v>
      </c>
      <c r="B1505">
        <v>52</v>
      </c>
      <c r="C1505" t="s">
        <v>15</v>
      </c>
      <c r="D1505" t="s">
        <v>16</v>
      </c>
      <c r="E1505">
        <v>10.08</v>
      </c>
      <c r="F1505">
        <v>46</v>
      </c>
      <c r="G1505" t="s">
        <v>33</v>
      </c>
      <c r="H1505" t="s">
        <v>46</v>
      </c>
      <c r="I1505" s="2">
        <v>8.99</v>
      </c>
      <c r="J1505">
        <v>1</v>
      </c>
      <c r="K1505" s="2">
        <f t="shared" si="46"/>
        <v>8.99</v>
      </c>
      <c r="L1505" t="s">
        <v>29</v>
      </c>
      <c r="M1505">
        <v>5</v>
      </c>
      <c r="N1505">
        <v>0.21</v>
      </c>
      <c r="O1505" t="str">
        <f t="shared" si="47"/>
        <v>0.2–0.4 hours</v>
      </c>
      <c r="P1505" t="s">
        <v>25</v>
      </c>
    </row>
    <row r="1506" spans="1:16" x14ac:dyDescent="0.4">
      <c r="A1506" t="s">
        <v>1547</v>
      </c>
      <c r="B1506">
        <v>19</v>
      </c>
      <c r="C1506" t="s">
        <v>27</v>
      </c>
      <c r="D1506" t="s">
        <v>32</v>
      </c>
      <c r="E1506">
        <v>11.97</v>
      </c>
      <c r="F1506">
        <v>17</v>
      </c>
      <c r="G1506" t="s">
        <v>70</v>
      </c>
      <c r="H1506" t="s">
        <v>55</v>
      </c>
      <c r="I1506" s="2">
        <v>17.989999999999998</v>
      </c>
      <c r="J1506">
        <v>0</v>
      </c>
      <c r="K1506" s="2">
        <f t="shared" si="46"/>
        <v>0</v>
      </c>
      <c r="L1506" t="s">
        <v>43</v>
      </c>
      <c r="M1506">
        <v>4</v>
      </c>
      <c r="N1506">
        <v>0.67</v>
      </c>
      <c r="O1506" t="str">
        <f t="shared" si="47"/>
        <v>0.6–0.8 hours</v>
      </c>
      <c r="P1506" t="s">
        <v>20</v>
      </c>
    </row>
    <row r="1507" spans="1:16" x14ac:dyDescent="0.4">
      <c r="A1507" t="s">
        <v>1548</v>
      </c>
      <c r="B1507">
        <v>21</v>
      </c>
      <c r="C1507" t="s">
        <v>41</v>
      </c>
      <c r="D1507" t="s">
        <v>22</v>
      </c>
      <c r="E1507">
        <v>0.66</v>
      </c>
      <c r="F1507">
        <v>5</v>
      </c>
      <c r="G1507" t="s">
        <v>49</v>
      </c>
      <c r="H1507" t="s">
        <v>46</v>
      </c>
      <c r="I1507" s="2">
        <v>13.99</v>
      </c>
      <c r="J1507">
        <v>1</v>
      </c>
      <c r="K1507" s="2">
        <f t="shared" si="46"/>
        <v>13.99</v>
      </c>
      <c r="L1507" t="s">
        <v>29</v>
      </c>
      <c r="M1507">
        <v>1</v>
      </c>
      <c r="N1507">
        <v>0.11</v>
      </c>
      <c r="O1507" t="str">
        <f t="shared" si="47"/>
        <v>0–0.2 hours</v>
      </c>
      <c r="P1507" t="s">
        <v>34</v>
      </c>
    </row>
    <row r="1508" spans="1:16" x14ac:dyDescent="0.4">
      <c r="A1508" t="s">
        <v>1549</v>
      </c>
      <c r="B1508">
        <v>27</v>
      </c>
      <c r="C1508" t="s">
        <v>41</v>
      </c>
      <c r="D1508" t="s">
        <v>32</v>
      </c>
      <c r="E1508">
        <v>1.04</v>
      </c>
      <c r="F1508">
        <v>26</v>
      </c>
      <c r="G1508" t="s">
        <v>70</v>
      </c>
      <c r="H1508" t="s">
        <v>46</v>
      </c>
      <c r="I1508" s="2">
        <v>17.989999999999998</v>
      </c>
      <c r="J1508">
        <v>0</v>
      </c>
      <c r="K1508" s="2">
        <f t="shared" si="46"/>
        <v>0</v>
      </c>
      <c r="L1508" t="s">
        <v>43</v>
      </c>
      <c r="M1508">
        <v>4</v>
      </c>
      <c r="N1508">
        <v>0.04</v>
      </c>
      <c r="O1508" t="str">
        <f t="shared" si="47"/>
        <v>0–0.2 hours</v>
      </c>
      <c r="P1508" t="s">
        <v>52</v>
      </c>
    </row>
    <row r="1509" spans="1:16" x14ac:dyDescent="0.4">
      <c r="A1509" t="s">
        <v>1550</v>
      </c>
      <c r="B1509">
        <v>66</v>
      </c>
      <c r="C1509" t="s">
        <v>41</v>
      </c>
      <c r="D1509" t="s">
        <v>32</v>
      </c>
      <c r="E1509">
        <v>18.23</v>
      </c>
      <c r="F1509">
        <v>38</v>
      </c>
      <c r="G1509" t="s">
        <v>49</v>
      </c>
      <c r="H1509" t="s">
        <v>18</v>
      </c>
      <c r="I1509" s="2">
        <v>17.989999999999998</v>
      </c>
      <c r="J1509">
        <v>1</v>
      </c>
      <c r="K1509" s="2">
        <f t="shared" si="46"/>
        <v>17.989999999999998</v>
      </c>
      <c r="L1509" t="s">
        <v>43</v>
      </c>
      <c r="M1509">
        <v>2</v>
      </c>
      <c r="N1509">
        <v>0.47</v>
      </c>
      <c r="O1509" t="str">
        <f t="shared" si="47"/>
        <v>0.4–0.6 hours</v>
      </c>
      <c r="P1509" t="s">
        <v>20</v>
      </c>
    </row>
    <row r="1510" spans="1:16" x14ac:dyDescent="0.4">
      <c r="A1510" t="s">
        <v>1551</v>
      </c>
      <c r="B1510">
        <v>35</v>
      </c>
      <c r="C1510" t="s">
        <v>15</v>
      </c>
      <c r="D1510" t="s">
        <v>32</v>
      </c>
      <c r="E1510">
        <v>2.86</v>
      </c>
      <c r="F1510">
        <v>16</v>
      </c>
      <c r="G1510" t="s">
        <v>33</v>
      </c>
      <c r="H1510" t="s">
        <v>24</v>
      </c>
      <c r="I1510" s="2">
        <v>17.989999999999998</v>
      </c>
      <c r="J1510">
        <v>1</v>
      </c>
      <c r="K1510" s="2">
        <f t="shared" si="46"/>
        <v>17.989999999999998</v>
      </c>
      <c r="L1510" t="s">
        <v>37</v>
      </c>
      <c r="M1510">
        <v>1</v>
      </c>
      <c r="N1510">
        <v>0.17</v>
      </c>
      <c r="O1510" t="str">
        <f t="shared" si="47"/>
        <v>0–0.2 hours</v>
      </c>
      <c r="P1510" t="s">
        <v>47</v>
      </c>
    </row>
    <row r="1511" spans="1:16" x14ac:dyDescent="0.4">
      <c r="A1511" t="s">
        <v>1552</v>
      </c>
      <c r="B1511">
        <v>35</v>
      </c>
      <c r="C1511" t="s">
        <v>41</v>
      </c>
      <c r="D1511" t="s">
        <v>22</v>
      </c>
      <c r="E1511">
        <v>3.52</v>
      </c>
      <c r="F1511">
        <v>24</v>
      </c>
      <c r="G1511" t="s">
        <v>49</v>
      </c>
      <c r="H1511" t="s">
        <v>24</v>
      </c>
      <c r="I1511" s="2">
        <v>13.99</v>
      </c>
      <c r="J1511">
        <v>1</v>
      </c>
      <c r="K1511" s="2">
        <f t="shared" si="46"/>
        <v>13.99</v>
      </c>
      <c r="L1511" t="s">
        <v>29</v>
      </c>
      <c r="M1511">
        <v>5</v>
      </c>
      <c r="N1511">
        <v>0.14000000000000001</v>
      </c>
      <c r="O1511" t="str">
        <f t="shared" si="47"/>
        <v>0–0.2 hours</v>
      </c>
      <c r="P1511" t="s">
        <v>20</v>
      </c>
    </row>
    <row r="1512" spans="1:16" x14ac:dyDescent="0.4">
      <c r="A1512" t="s">
        <v>1553</v>
      </c>
      <c r="B1512">
        <v>52</v>
      </c>
      <c r="C1512" t="s">
        <v>15</v>
      </c>
      <c r="D1512" t="s">
        <v>16</v>
      </c>
      <c r="E1512">
        <v>8.4499999999999993</v>
      </c>
      <c r="F1512">
        <v>58</v>
      </c>
      <c r="G1512" t="s">
        <v>33</v>
      </c>
      <c r="H1512" t="s">
        <v>18</v>
      </c>
      <c r="I1512" s="2">
        <v>8.99</v>
      </c>
      <c r="J1512">
        <v>1</v>
      </c>
      <c r="K1512" s="2">
        <f t="shared" si="46"/>
        <v>8.99</v>
      </c>
      <c r="L1512" t="s">
        <v>43</v>
      </c>
      <c r="M1512">
        <v>3</v>
      </c>
      <c r="N1512">
        <v>0.14000000000000001</v>
      </c>
      <c r="O1512" t="str">
        <f t="shared" si="47"/>
        <v>0–0.2 hours</v>
      </c>
      <c r="P1512" t="s">
        <v>52</v>
      </c>
    </row>
    <row r="1513" spans="1:16" x14ac:dyDescent="0.4">
      <c r="A1513" t="s">
        <v>1554</v>
      </c>
      <c r="B1513">
        <v>57</v>
      </c>
      <c r="C1513" t="s">
        <v>27</v>
      </c>
      <c r="D1513" t="s">
        <v>32</v>
      </c>
      <c r="E1513">
        <v>0.69</v>
      </c>
      <c r="F1513">
        <v>24</v>
      </c>
      <c r="G1513" t="s">
        <v>23</v>
      </c>
      <c r="H1513" t="s">
        <v>24</v>
      </c>
      <c r="I1513" s="2">
        <v>17.989999999999998</v>
      </c>
      <c r="J1513">
        <v>1</v>
      </c>
      <c r="K1513" s="2">
        <f t="shared" si="46"/>
        <v>17.989999999999998</v>
      </c>
      <c r="L1513" t="s">
        <v>29</v>
      </c>
      <c r="M1513">
        <v>5</v>
      </c>
      <c r="N1513">
        <v>0.03</v>
      </c>
      <c r="O1513" t="str">
        <f t="shared" si="47"/>
        <v>0–0.2 hours</v>
      </c>
      <c r="P1513" t="s">
        <v>25</v>
      </c>
    </row>
    <row r="1514" spans="1:16" x14ac:dyDescent="0.4">
      <c r="A1514" t="s">
        <v>1555</v>
      </c>
      <c r="B1514">
        <v>64</v>
      </c>
      <c r="C1514" t="s">
        <v>15</v>
      </c>
      <c r="D1514" t="s">
        <v>32</v>
      </c>
      <c r="E1514">
        <v>6.26</v>
      </c>
      <c r="F1514">
        <v>16</v>
      </c>
      <c r="G1514" t="s">
        <v>70</v>
      </c>
      <c r="H1514" t="s">
        <v>24</v>
      </c>
      <c r="I1514" s="2">
        <v>17.989999999999998</v>
      </c>
      <c r="J1514">
        <v>0</v>
      </c>
      <c r="K1514" s="2">
        <f t="shared" si="46"/>
        <v>0</v>
      </c>
      <c r="L1514" t="s">
        <v>37</v>
      </c>
      <c r="M1514">
        <v>5</v>
      </c>
      <c r="N1514">
        <v>0.37</v>
      </c>
      <c r="O1514" t="str">
        <f t="shared" si="47"/>
        <v>0.2–0.4 hours</v>
      </c>
      <c r="P1514" t="s">
        <v>30</v>
      </c>
    </row>
    <row r="1515" spans="1:16" x14ac:dyDescent="0.4">
      <c r="A1515" t="s">
        <v>1556</v>
      </c>
      <c r="B1515">
        <v>31</v>
      </c>
      <c r="C1515" t="s">
        <v>41</v>
      </c>
      <c r="D1515" t="s">
        <v>16</v>
      </c>
      <c r="E1515">
        <v>21.84</v>
      </c>
      <c r="F1515">
        <v>44</v>
      </c>
      <c r="G1515" t="s">
        <v>49</v>
      </c>
      <c r="H1515" t="s">
        <v>46</v>
      </c>
      <c r="I1515" s="2">
        <v>8.99</v>
      </c>
      <c r="J1515">
        <v>1</v>
      </c>
      <c r="K1515" s="2">
        <f t="shared" si="46"/>
        <v>8.99</v>
      </c>
      <c r="L1515" t="s">
        <v>43</v>
      </c>
      <c r="M1515">
        <v>2</v>
      </c>
      <c r="N1515">
        <v>0.49</v>
      </c>
      <c r="O1515" t="str">
        <f t="shared" si="47"/>
        <v>0.4–0.6 hours</v>
      </c>
      <c r="P1515" t="s">
        <v>52</v>
      </c>
    </row>
    <row r="1516" spans="1:16" x14ac:dyDescent="0.4">
      <c r="A1516" t="s">
        <v>1557</v>
      </c>
      <c r="B1516">
        <v>19</v>
      </c>
      <c r="C1516" t="s">
        <v>27</v>
      </c>
      <c r="D1516" t="s">
        <v>22</v>
      </c>
      <c r="E1516">
        <v>35.54</v>
      </c>
      <c r="F1516">
        <v>58</v>
      </c>
      <c r="G1516" t="s">
        <v>23</v>
      </c>
      <c r="H1516" t="s">
        <v>18</v>
      </c>
      <c r="I1516" s="2">
        <v>13.99</v>
      </c>
      <c r="J1516">
        <v>0</v>
      </c>
      <c r="K1516" s="2">
        <f t="shared" si="46"/>
        <v>0</v>
      </c>
      <c r="L1516" t="s">
        <v>37</v>
      </c>
      <c r="M1516">
        <v>5</v>
      </c>
      <c r="N1516">
        <v>0.6</v>
      </c>
      <c r="O1516" t="str">
        <f t="shared" si="47"/>
        <v>0.4–0.6 hours</v>
      </c>
      <c r="P1516" t="s">
        <v>52</v>
      </c>
    </row>
    <row r="1517" spans="1:16" x14ac:dyDescent="0.4">
      <c r="A1517" t="s">
        <v>1558</v>
      </c>
      <c r="B1517">
        <v>36</v>
      </c>
      <c r="C1517" t="s">
        <v>15</v>
      </c>
      <c r="D1517" t="s">
        <v>32</v>
      </c>
      <c r="E1517">
        <v>12.74</v>
      </c>
      <c r="F1517">
        <v>58</v>
      </c>
      <c r="G1517" t="s">
        <v>28</v>
      </c>
      <c r="H1517" t="s">
        <v>55</v>
      </c>
      <c r="I1517" s="2">
        <v>17.989999999999998</v>
      </c>
      <c r="J1517">
        <v>1</v>
      </c>
      <c r="K1517" s="2">
        <f t="shared" si="46"/>
        <v>17.989999999999998</v>
      </c>
      <c r="L1517" t="s">
        <v>29</v>
      </c>
      <c r="M1517">
        <v>2</v>
      </c>
      <c r="N1517">
        <v>0.22</v>
      </c>
      <c r="O1517" t="str">
        <f t="shared" si="47"/>
        <v>0.2–0.4 hours</v>
      </c>
      <c r="P1517" t="s">
        <v>30</v>
      </c>
    </row>
    <row r="1518" spans="1:16" x14ac:dyDescent="0.4">
      <c r="A1518" t="s">
        <v>1559</v>
      </c>
      <c r="B1518">
        <v>31</v>
      </c>
      <c r="C1518" t="s">
        <v>15</v>
      </c>
      <c r="D1518" t="s">
        <v>16</v>
      </c>
      <c r="E1518">
        <v>33.1</v>
      </c>
      <c r="F1518">
        <v>28</v>
      </c>
      <c r="G1518" t="s">
        <v>49</v>
      </c>
      <c r="H1518" t="s">
        <v>46</v>
      </c>
      <c r="I1518" s="2">
        <v>8.99</v>
      </c>
      <c r="J1518">
        <v>0</v>
      </c>
      <c r="K1518" s="2">
        <f t="shared" si="46"/>
        <v>0</v>
      </c>
      <c r="L1518" t="s">
        <v>61</v>
      </c>
      <c r="M1518">
        <v>2</v>
      </c>
      <c r="N1518">
        <v>1.1399999999999999</v>
      </c>
      <c r="O1518" t="str">
        <f t="shared" si="47"/>
        <v>1+ hours</v>
      </c>
      <c r="P1518" t="s">
        <v>30</v>
      </c>
    </row>
    <row r="1519" spans="1:16" x14ac:dyDescent="0.4">
      <c r="A1519" t="s">
        <v>1560</v>
      </c>
      <c r="B1519">
        <v>35</v>
      </c>
      <c r="C1519" t="s">
        <v>15</v>
      </c>
      <c r="D1519" t="s">
        <v>32</v>
      </c>
      <c r="E1519">
        <v>14.56</v>
      </c>
      <c r="F1519">
        <v>45</v>
      </c>
      <c r="G1519" t="s">
        <v>33</v>
      </c>
      <c r="H1519" t="s">
        <v>18</v>
      </c>
      <c r="I1519" s="2">
        <v>17.989999999999998</v>
      </c>
      <c r="J1519">
        <v>1</v>
      </c>
      <c r="K1519" s="2">
        <f t="shared" si="46"/>
        <v>17.989999999999998</v>
      </c>
      <c r="L1519" t="s">
        <v>29</v>
      </c>
      <c r="M1519">
        <v>3</v>
      </c>
      <c r="N1519">
        <v>0.32</v>
      </c>
      <c r="O1519" t="str">
        <f t="shared" si="47"/>
        <v>0.2–0.4 hours</v>
      </c>
      <c r="P1519" t="s">
        <v>39</v>
      </c>
    </row>
    <row r="1520" spans="1:16" x14ac:dyDescent="0.4">
      <c r="A1520" t="s">
        <v>1561</v>
      </c>
      <c r="B1520">
        <v>65</v>
      </c>
      <c r="C1520" t="s">
        <v>41</v>
      </c>
      <c r="D1520" t="s">
        <v>32</v>
      </c>
      <c r="E1520">
        <v>6.14</v>
      </c>
      <c r="F1520">
        <v>58</v>
      </c>
      <c r="G1520" t="s">
        <v>28</v>
      </c>
      <c r="H1520" t="s">
        <v>55</v>
      </c>
      <c r="I1520" s="2">
        <v>17.989999999999998</v>
      </c>
      <c r="J1520">
        <v>0</v>
      </c>
      <c r="K1520" s="2">
        <f t="shared" si="46"/>
        <v>0</v>
      </c>
      <c r="L1520" t="s">
        <v>37</v>
      </c>
      <c r="M1520">
        <v>4</v>
      </c>
      <c r="N1520">
        <v>0.1</v>
      </c>
      <c r="O1520" t="str">
        <f t="shared" si="47"/>
        <v>0–0.2 hours</v>
      </c>
      <c r="P1520" t="s">
        <v>47</v>
      </c>
    </row>
    <row r="1521" spans="1:16" x14ac:dyDescent="0.4">
      <c r="A1521" t="s">
        <v>1562</v>
      </c>
      <c r="B1521">
        <v>66</v>
      </c>
      <c r="C1521" t="s">
        <v>41</v>
      </c>
      <c r="D1521" t="s">
        <v>22</v>
      </c>
      <c r="E1521">
        <v>3.86</v>
      </c>
      <c r="F1521">
        <v>28</v>
      </c>
      <c r="G1521" t="s">
        <v>17</v>
      </c>
      <c r="H1521" t="s">
        <v>46</v>
      </c>
      <c r="I1521" s="2">
        <v>13.99</v>
      </c>
      <c r="J1521">
        <v>1</v>
      </c>
      <c r="K1521" s="2">
        <f t="shared" si="46"/>
        <v>13.99</v>
      </c>
      <c r="L1521" t="s">
        <v>43</v>
      </c>
      <c r="M1521">
        <v>3</v>
      </c>
      <c r="N1521">
        <v>0.13</v>
      </c>
      <c r="O1521" t="str">
        <f t="shared" si="47"/>
        <v>0–0.2 hours</v>
      </c>
      <c r="P1521" t="s">
        <v>25</v>
      </c>
    </row>
    <row r="1522" spans="1:16" x14ac:dyDescent="0.4">
      <c r="A1522" t="s">
        <v>1563</v>
      </c>
      <c r="B1522">
        <v>36</v>
      </c>
      <c r="C1522" t="s">
        <v>41</v>
      </c>
      <c r="D1522" t="s">
        <v>16</v>
      </c>
      <c r="E1522">
        <v>0.19</v>
      </c>
      <c r="F1522">
        <v>5</v>
      </c>
      <c r="G1522" t="s">
        <v>33</v>
      </c>
      <c r="H1522" t="s">
        <v>24</v>
      </c>
      <c r="I1522" s="2">
        <v>8.99</v>
      </c>
      <c r="J1522">
        <v>1</v>
      </c>
      <c r="K1522" s="2">
        <f t="shared" si="46"/>
        <v>8.99</v>
      </c>
      <c r="L1522" t="s">
        <v>37</v>
      </c>
      <c r="M1522">
        <v>2</v>
      </c>
      <c r="N1522">
        <v>0.03</v>
      </c>
      <c r="O1522" t="str">
        <f t="shared" si="47"/>
        <v>0–0.2 hours</v>
      </c>
      <c r="P1522" t="s">
        <v>25</v>
      </c>
    </row>
    <row r="1523" spans="1:16" x14ac:dyDescent="0.4">
      <c r="A1523" t="s">
        <v>1564</v>
      </c>
      <c r="B1523">
        <v>51</v>
      </c>
      <c r="C1523" t="s">
        <v>15</v>
      </c>
      <c r="D1523" t="s">
        <v>22</v>
      </c>
      <c r="E1523">
        <v>2.68</v>
      </c>
      <c r="F1523">
        <v>48</v>
      </c>
      <c r="G1523" t="s">
        <v>28</v>
      </c>
      <c r="H1523" t="s">
        <v>46</v>
      </c>
      <c r="I1523" s="2">
        <v>13.99</v>
      </c>
      <c r="J1523">
        <v>1</v>
      </c>
      <c r="K1523" s="2">
        <f t="shared" si="46"/>
        <v>13.99</v>
      </c>
      <c r="L1523" t="s">
        <v>29</v>
      </c>
      <c r="M1523">
        <v>3</v>
      </c>
      <c r="N1523">
        <v>0.05</v>
      </c>
      <c r="O1523" t="str">
        <f t="shared" si="47"/>
        <v>0–0.2 hours</v>
      </c>
      <c r="P1523" t="s">
        <v>47</v>
      </c>
    </row>
    <row r="1524" spans="1:16" x14ac:dyDescent="0.4">
      <c r="A1524" t="s">
        <v>1565</v>
      </c>
      <c r="B1524">
        <v>52</v>
      </c>
      <c r="C1524" t="s">
        <v>27</v>
      </c>
      <c r="D1524" t="s">
        <v>16</v>
      </c>
      <c r="E1524">
        <v>20.8</v>
      </c>
      <c r="F1524">
        <v>33</v>
      </c>
      <c r="G1524" t="s">
        <v>23</v>
      </c>
      <c r="H1524" t="s">
        <v>18</v>
      </c>
      <c r="I1524" s="2">
        <v>8.99</v>
      </c>
      <c r="J1524">
        <v>0</v>
      </c>
      <c r="K1524" s="2">
        <f t="shared" si="46"/>
        <v>0</v>
      </c>
      <c r="L1524" t="s">
        <v>61</v>
      </c>
      <c r="M1524">
        <v>2</v>
      </c>
      <c r="N1524">
        <v>0.61</v>
      </c>
      <c r="O1524" t="str">
        <f t="shared" si="47"/>
        <v>0.6–0.8 hours</v>
      </c>
      <c r="P1524" t="s">
        <v>39</v>
      </c>
    </row>
    <row r="1525" spans="1:16" x14ac:dyDescent="0.4">
      <c r="A1525" t="s">
        <v>1566</v>
      </c>
      <c r="B1525">
        <v>37</v>
      </c>
      <c r="C1525" t="s">
        <v>41</v>
      </c>
      <c r="D1525" t="s">
        <v>22</v>
      </c>
      <c r="E1525">
        <v>20.47</v>
      </c>
      <c r="F1525">
        <v>41</v>
      </c>
      <c r="G1525" t="s">
        <v>49</v>
      </c>
      <c r="H1525" t="s">
        <v>46</v>
      </c>
      <c r="I1525" s="2">
        <v>13.99</v>
      </c>
      <c r="J1525">
        <v>0</v>
      </c>
      <c r="K1525" s="2">
        <f t="shared" si="46"/>
        <v>0</v>
      </c>
      <c r="L1525" t="s">
        <v>43</v>
      </c>
      <c r="M1525">
        <v>3</v>
      </c>
      <c r="N1525">
        <v>0.49</v>
      </c>
      <c r="O1525" t="str">
        <f t="shared" si="47"/>
        <v>0.4–0.6 hours</v>
      </c>
      <c r="P1525" t="s">
        <v>52</v>
      </c>
    </row>
    <row r="1526" spans="1:16" x14ac:dyDescent="0.4">
      <c r="A1526" t="s">
        <v>1567</v>
      </c>
      <c r="B1526">
        <v>28</v>
      </c>
      <c r="C1526" t="s">
        <v>41</v>
      </c>
      <c r="D1526" t="s">
        <v>22</v>
      </c>
      <c r="E1526">
        <v>6.56</v>
      </c>
      <c r="F1526">
        <v>30</v>
      </c>
      <c r="G1526" t="s">
        <v>70</v>
      </c>
      <c r="H1526" t="s">
        <v>46</v>
      </c>
      <c r="I1526" s="2">
        <v>13.99</v>
      </c>
      <c r="J1526">
        <v>0</v>
      </c>
      <c r="K1526" s="2">
        <f t="shared" si="46"/>
        <v>0</v>
      </c>
      <c r="L1526" t="s">
        <v>37</v>
      </c>
      <c r="M1526">
        <v>4</v>
      </c>
      <c r="N1526">
        <v>0.21</v>
      </c>
      <c r="O1526" t="str">
        <f t="shared" si="47"/>
        <v>0.2–0.4 hours</v>
      </c>
      <c r="P1526" t="s">
        <v>25</v>
      </c>
    </row>
    <row r="1527" spans="1:16" x14ac:dyDescent="0.4">
      <c r="A1527" t="s">
        <v>1568</v>
      </c>
      <c r="B1527">
        <v>65</v>
      </c>
      <c r="C1527" t="s">
        <v>27</v>
      </c>
      <c r="D1527" t="s">
        <v>22</v>
      </c>
      <c r="E1527">
        <v>18.34</v>
      </c>
      <c r="F1527">
        <v>48</v>
      </c>
      <c r="G1527" t="s">
        <v>23</v>
      </c>
      <c r="H1527" t="s">
        <v>24</v>
      </c>
      <c r="I1527" s="2">
        <v>13.99</v>
      </c>
      <c r="J1527">
        <v>1</v>
      </c>
      <c r="K1527" s="2">
        <f t="shared" si="46"/>
        <v>13.99</v>
      </c>
      <c r="L1527" t="s">
        <v>37</v>
      </c>
      <c r="M1527">
        <v>1</v>
      </c>
      <c r="N1527">
        <v>0.37</v>
      </c>
      <c r="O1527" t="str">
        <f t="shared" si="47"/>
        <v>0.2–0.4 hours</v>
      </c>
      <c r="P1527" t="s">
        <v>20</v>
      </c>
    </row>
    <row r="1528" spans="1:16" x14ac:dyDescent="0.4">
      <c r="A1528" t="s">
        <v>1569</v>
      </c>
      <c r="B1528">
        <v>44</v>
      </c>
      <c r="C1528" t="s">
        <v>41</v>
      </c>
      <c r="D1528" t="s">
        <v>16</v>
      </c>
      <c r="E1528">
        <v>1.45</v>
      </c>
      <c r="F1528">
        <v>18</v>
      </c>
      <c r="G1528" t="s">
        <v>49</v>
      </c>
      <c r="H1528" t="s">
        <v>18</v>
      </c>
      <c r="I1528" s="2">
        <v>8.99</v>
      </c>
      <c r="J1528">
        <v>1</v>
      </c>
      <c r="K1528" s="2">
        <f t="shared" si="46"/>
        <v>8.99</v>
      </c>
      <c r="L1528" t="s">
        <v>61</v>
      </c>
      <c r="M1528">
        <v>4</v>
      </c>
      <c r="N1528">
        <v>0.08</v>
      </c>
      <c r="O1528" t="str">
        <f t="shared" si="47"/>
        <v>0–0.2 hours</v>
      </c>
      <c r="P1528" t="s">
        <v>34</v>
      </c>
    </row>
    <row r="1529" spans="1:16" x14ac:dyDescent="0.4">
      <c r="A1529" t="s">
        <v>1570</v>
      </c>
      <c r="B1529">
        <v>52</v>
      </c>
      <c r="C1529" t="s">
        <v>41</v>
      </c>
      <c r="D1529" t="s">
        <v>22</v>
      </c>
      <c r="E1529">
        <v>11.84</v>
      </c>
      <c r="F1529">
        <v>36</v>
      </c>
      <c r="G1529" t="s">
        <v>23</v>
      </c>
      <c r="H1529" t="s">
        <v>57</v>
      </c>
      <c r="I1529" s="2">
        <v>13.99</v>
      </c>
      <c r="J1529">
        <v>0</v>
      </c>
      <c r="K1529" s="2">
        <f t="shared" si="46"/>
        <v>0</v>
      </c>
      <c r="L1529" t="s">
        <v>61</v>
      </c>
      <c r="M1529">
        <v>4</v>
      </c>
      <c r="N1529">
        <v>0.32</v>
      </c>
      <c r="O1529" t="str">
        <f t="shared" si="47"/>
        <v>0.2–0.4 hours</v>
      </c>
      <c r="P1529" t="s">
        <v>34</v>
      </c>
    </row>
    <row r="1530" spans="1:16" x14ac:dyDescent="0.4">
      <c r="A1530" t="s">
        <v>1571</v>
      </c>
      <c r="B1530">
        <v>40</v>
      </c>
      <c r="C1530" t="s">
        <v>15</v>
      </c>
      <c r="D1530" t="s">
        <v>16</v>
      </c>
      <c r="E1530">
        <v>14.88</v>
      </c>
      <c r="F1530">
        <v>12</v>
      </c>
      <c r="G1530" t="s">
        <v>33</v>
      </c>
      <c r="H1530" t="s">
        <v>57</v>
      </c>
      <c r="I1530" s="2">
        <v>8.99</v>
      </c>
      <c r="J1530">
        <v>0</v>
      </c>
      <c r="K1530" s="2">
        <f t="shared" si="46"/>
        <v>0</v>
      </c>
      <c r="L1530" t="s">
        <v>37</v>
      </c>
      <c r="M1530">
        <v>3</v>
      </c>
      <c r="N1530">
        <v>1.1399999999999999</v>
      </c>
      <c r="O1530" t="str">
        <f t="shared" si="47"/>
        <v>1+ hours</v>
      </c>
      <c r="P1530" t="s">
        <v>25</v>
      </c>
    </row>
    <row r="1531" spans="1:16" x14ac:dyDescent="0.4">
      <c r="A1531" t="s">
        <v>1572</v>
      </c>
      <c r="B1531">
        <v>35</v>
      </c>
      <c r="C1531" t="s">
        <v>15</v>
      </c>
      <c r="D1531" t="s">
        <v>22</v>
      </c>
      <c r="E1531">
        <v>11.54</v>
      </c>
      <c r="F1531">
        <v>41</v>
      </c>
      <c r="G1531" t="s">
        <v>23</v>
      </c>
      <c r="H1531" t="s">
        <v>18</v>
      </c>
      <c r="I1531" s="2">
        <v>13.99</v>
      </c>
      <c r="J1531">
        <v>0</v>
      </c>
      <c r="K1531" s="2">
        <f t="shared" si="46"/>
        <v>0</v>
      </c>
      <c r="L1531" t="s">
        <v>43</v>
      </c>
      <c r="M1531">
        <v>4</v>
      </c>
      <c r="N1531">
        <v>0.27</v>
      </c>
      <c r="O1531" t="str">
        <f t="shared" si="47"/>
        <v>0.2–0.4 hours</v>
      </c>
      <c r="P1531" t="s">
        <v>47</v>
      </c>
    </row>
    <row r="1532" spans="1:16" x14ac:dyDescent="0.4">
      <c r="A1532" t="s">
        <v>1573</v>
      </c>
      <c r="B1532">
        <v>21</v>
      </c>
      <c r="C1532" t="s">
        <v>27</v>
      </c>
      <c r="D1532" t="s">
        <v>22</v>
      </c>
      <c r="E1532">
        <v>9.1300000000000008</v>
      </c>
      <c r="F1532">
        <v>7</v>
      </c>
      <c r="G1532" t="s">
        <v>17</v>
      </c>
      <c r="H1532" t="s">
        <v>46</v>
      </c>
      <c r="I1532" s="2">
        <v>13.99</v>
      </c>
      <c r="J1532">
        <v>0</v>
      </c>
      <c r="K1532" s="2">
        <f t="shared" si="46"/>
        <v>0</v>
      </c>
      <c r="L1532" t="s">
        <v>37</v>
      </c>
      <c r="M1532">
        <v>1</v>
      </c>
      <c r="N1532">
        <v>1.1399999999999999</v>
      </c>
      <c r="O1532" t="str">
        <f t="shared" si="47"/>
        <v>1+ hours</v>
      </c>
      <c r="P1532" t="s">
        <v>30</v>
      </c>
    </row>
    <row r="1533" spans="1:16" x14ac:dyDescent="0.4">
      <c r="A1533" t="s">
        <v>1574</v>
      </c>
      <c r="B1533">
        <v>36</v>
      </c>
      <c r="C1533" t="s">
        <v>27</v>
      </c>
      <c r="D1533" t="s">
        <v>32</v>
      </c>
      <c r="E1533">
        <v>3.85</v>
      </c>
      <c r="F1533">
        <v>46</v>
      </c>
      <c r="G1533" t="s">
        <v>70</v>
      </c>
      <c r="H1533" t="s">
        <v>57</v>
      </c>
      <c r="I1533" s="2">
        <v>17.989999999999998</v>
      </c>
      <c r="J1533">
        <v>1</v>
      </c>
      <c r="K1533" s="2">
        <f t="shared" si="46"/>
        <v>17.989999999999998</v>
      </c>
      <c r="L1533" t="s">
        <v>43</v>
      </c>
      <c r="M1533">
        <v>2</v>
      </c>
      <c r="N1533">
        <v>0.08</v>
      </c>
      <c r="O1533" t="str">
        <f t="shared" si="47"/>
        <v>0–0.2 hours</v>
      </c>
      <c r="P1533" t="s">
        <v>34</v>
      </c>
    </row>
    <row r="1534" spans="1:16" x14ac:dyDescent="0.4">
      <c r="A1534" t="s">
        <v>1575</v>
      </c>
      <c r="B1534">
        <v>35</v>
      </c>
      <c r="C1534" t="s">
        <v>27</v>
      </c>
      <c r="D1534" t="s">
        <v>32</v>
      </c>
      <c r="E1534">
        <v>22.18</v>
      </c>
      <c r="F1534">
        <v>18</v>
      </c>
      <c r="G1534" t="s">
        <v>17</v>
      </c>
      <c r="H1534" t="s">
        <v>24</v>
      </c>
      <c r="I1534" s="2">
        <v>17.989999999999998</v>
      </c>
      <c r="J1534">
        <v>0</v>
      </c>
      <c r="K1534" s="2">
        <f t="shared" si="46"/>
        <v>0</v>
      </c>
      <c r="L1534" t="s">
        <v>37</v>
      </c>
      <c r="M1534">
        <v>1</v>
      </c>
      <c r="N1534">
        <v>1.17</v>
      </c>
      <c r="O1534" t="str">
        <f t="shared" si="47"/>
        <v>1+ hours</v>
      </c>
      <c r="P1534" t="s">
        <v>47</v>
      </c>
    </row>
    <row r="1535" spans="1:16" x14ac:dyDescent="0.4">
      <c r="A1535" t="s">
        <v>1576</v>
      </c>
      <c r="B1535">
        <v>45</v>
      </c>
      <c r="C1535" t="s">
        <v>41</v>
      </c>
      <c r="D1535" t="s">
        <v>16</v>
      </c>
      <c r="E1535">
        <v>3.05</v>
      </c>
      <c r="F1535">
        <v>59</v>
      </c>
      <c r="G1535" t="s">
        <v>70</v>
      </c>
      <c r="H1535" t="s">
        <v>57</v>
      </c>
      <c r="I1535" s="2">
        <v>8.99</v>
      </c>
      <c r="J1535">
        <v>1</v>
      </c>
      <c r="K1535" s="2">
        <f t="shared" si="46"/>
        <v>8.99</v>
      </c>
      <c r="L1535" t="s">
        <v>61</v>
      </c>
      <c r="M1535">
        <v>1</v>
      </c>
      <c r="N1535">
        <v>0.05</v>
      </c>
      <c r="O1535" t="str">
        <f t="shared" si="47"/>
        <v>0–0.2 hours</v>
      </c>
      <c r="P1535" t="s">
        <v>20</v>
      </c>
    </row>
    <row r="1536" spans="1:16" x14ac:dyDescent="0.4">
      <c r="A1536" t="s">
        <v>1577</v>
      </c>
      <c r="B1536">
        <v>51</v>
      </c>
      <c r="C1536" t="s">
        <v>41</v>
      </c>
      <c r="D1536" t="s">
        <v>22</v>
      </c>
      <c r="E1536">
        <v>5.54</v>
      </c>
      <c r="F1536">
        <v>26</v>
      </c>
      <c r="G1536" t="s">
        <v>33</v>
      </c>
      <c r="H1536" t="s">
        <v>57</v>
      </c>
      <c r="I1536" s="2">
        <v>13.99</v>
      </c>
      <c r="J1536">
        <v>0</v>
      </c>
      <c r="K1536" s="2">
        <f t="shared" si="46"/>
        <v>0</v>
      </c>
      <c r="L1536" t="s">
        <v>37</v>
      </c>
      <c r="M1536">
        <v>4</v>
      </c>
      <c r="N1536">
        <v>0.21</v>
      </c>
      <c r="O1536" t="str">
        <f t="shared" si="47"/>
        <v>0.2–0.4 hours</v>
      </c>
      <c r="P1536" t="s">
        <v>52</v>
      </c>
    </row>
    <row r="1537" spans="1:16" x14ac:dyDescent="0.4">
      <c r="A1537" t="s">
        <v>1578</v>
      </c>
      <c r="B1537">
        <v>22</v>
      </c>
      <c r="C1537" t="s">
        <v>41</v>
      </c>
      <c r="D1537" t="s">
        <v>32</v>
      </c>
      <c r="E1537">
        <v>37.119999999999997</v>
      </c>
      <c r="F1537">
        <v>36</v>
      </c>
      <c r="G1537" t="s">
        <v>23</v>
      </c>
      <c r="H1537" t="s">
        <v>55</v>
      </c>
      <c r="I1537" s="2">
        <v>17.989999999999998</v>
      </c>
      <c r="J1537">
        <v>0</v>
      </c>
      <c r="K1537" s="2">
        <f t="shared" si="46"/>
        <v>0</v>
      </c>
      <c r="L1537" t="s">
        <v>37</v>
      </c>
      <c r="M1537">
        <v>2</v>
      </c>
      <c r="N1537">
        <v>1</v>
      </c>
      <c r="O1537" t="str">
        <f t="shared" si="47"/>
        <v>0.8–1 hour</v>
      </c>
      <c r="P1537" t="s">
        <v>25</v>
      </c>
    </row>
    <row r="1538" spans="1:16" x14ac:dyDescent="0.4">
      <c r="A1538" t="s">
        <v>1579</v>
      </c>
      <c r="B1538">
        <v>59</v>
      </c>
      <c r="C1538" t="s">
        <v>27</v>
      </c>
      <c r="D1538" t="s">
        <v>16</v>
      </c>
      <c r="E1538">
        <v>4.0599999999999996</v>
      </c>
      <c r="F1538">
        <v>9</v>
      </c>
      <c r="G1538" t="s">
        <v>17</v>
      </c>
      <c r="H1538" t="s">
        <v>46</v>
      </c>
      <c r="I1538" s="2">
        <v>8.99</v>
      </c>
      <c r="J1538">
        <v>1</v>
      </c>
      <c r="K1538" s="2">
        <f t="shared" si="46"/>
        <v>8.99</v>
      </c>
      <c r="L1538" t="s">
        <v>19</v>
      </c>
      <c r="M1538">
        <v>5</v>
      </c>
      <c r="N1538">
        <v>0.41</v>
      </c>
      <c r="O1538" t="str">
        <f t="shared" si="47"/>
        <v>0.4–0.6 hours</v>
      </c>
      <c r="P1538" t="s">
        <v>25</v>
      </c>
    </row>
    <row r="1539" spans="1:16" x14ac:dyDescent="0.4">
      <c r="A1539" t="s">
        <v>1580</v>
      </c>
      <c r="B1539">
        <v>68</v>
      </c>
      <c r="C1539" t="s">
        <v>15</v>
      </c>
      <c r="D1539" t="s">
        <v>22</v>
      </c>
      <c r="E1539">
        <v>0.68</v>
      </c>
      <c r="F1539">
        <v>20</v>
      </c>
      <c r="G1539" t="s">
        <v>23</v>
      </c>
      <c r="H1539" t="s">
        <v>18</v>
      </c>
      <c r="I1539" s="2">
        <v>13.99</v>
      </c>
      <c r="J1539">
        <v>0</v>
      </c>
      <c r="K1539" s="2">
        <f t="shared" ref="K1539:K1602" si="48">SUMIF(J1539,1,I1539)</f>
        <v>0</v>
      </c>
      <c r="L1539" t="s">
        <v>43</v>
      </c>
      <c r="M1539">
        <v>5</v>
      </c>
      <c r="N1539">
        <v>0.03</v>
      </c>
      <c r="O1539" t="str">
        <f t="shared" ref="O1539:O1602" si="49">IF(N1539&gt;1,"1+ hours",IF(N1539&lt;=0.2,"0–0.2 hours",IF(N1539&lt;=0.4,"0.2–0.4 hours",IF(N1539&lt;=0.6,"0.4–0.6 hours",IF(N1539&lt;=0.8,"0.6–0.8 hours","0.8–1 hour")))))</f>
        <v>0–0.2 hours</v>
      </c>
      <c r="P1539" t="s">
        <v>47</v>
      </c>
    </row>
    <row r="1540" spans="1:16" x14ac:dyDescent="0.4">
      <c r="A1540" t="s">
        <v>1581</v>
      </c>
      <c r="B1540">
        <v>25</v>
      </c>
      <c r="C1540" t="s">
        <v>15</v>
      </c>
      <c r="D1540" t="s">
        <v>16</v>
      </c>
      <c r="E1540">
        <v>13.34</v>
      </c>
      <c r="F1540">
        <v>49</v>
      </c>
      <c r="G1540" t="s">
        <v>17</v>
      </c>
      <c r="H1540" t="s">
        <v>55</v>
      </c>
      <c r="I1540" s="2">
        <v>8.99</v>
      </c>
      <c r="J1540">
        <v>1</v>
      </c>
      <c r="K1540" s="2">
        <f t="shared" si="48"/>
        <v>8.99</v>
      </c>
      <c r="L1540" t="s">
        <v>61</v>
      </c>
      <c r="M1540">
        <v>1</v>
      </c>
      <c r="N1540">
        <v>0.27</v>
      </c>
      <c r="O1540" t="str">
        <f t="shared" si="49"/>
        <v>0.2–0.4 hours</v>
      </c>
      <c r="P1540" t="s">
        <v>20</v>
      </c>
    </row>
    <row r="1541" spans="1:16" x14ac:dyDescent="0.4">
      <c r="A1541" t="s">
        <v>1582</v>
      </c>
      <c r="B1541">
        <v>68</v>
      </c>
      <c r="C1541" t="s">
        <v>15</v>
      </c>
      <c r="D1541" t="s">
        <v>32</v>
      </c>
      <c r="E1541">
        <v>1.89</v>
      </c>
      <c r="F1541">
        <v>4</v>
      </c>
      <c r="G1541" t="s">
        <v>49</v>
      </c>
      <c r="H1541" t="s">
        <v>46</v>
      </c>
      <c r="I1541" s="2">
        <v>17.989999999999998</v>
      </c>
      <c r="J1541">
        <v>0</v>
      </c>
      <c r="K1541" s="2">
        <f t="shared" si="48"/>
        <v>0</v>
      </c>
      <c r="L1541" t="s">
        <v>61</v>
      </c>
      <c r="M1541">
        <v>4</v>
      </c>
      <c r="N1541">
        <v>0.38</v>
      </c>
      <c r="O1541" t="str">
        <f t="shared" si="49"/>
        <v>0.2–0.4 hours</v>
      </c>
      <c r="P1541" t="s">
        <v>52</v>
      </c>
    </row>
    <row r="1542" spans="1:16" x14ac:dyDescent="0.4">
      <c r="A1542" t="s">
        <v>1583</v>
      </c>
      <c r="B1542">
        <v>60</v>
      </c>
      <c r="C1542" t="s">
        <v>15</v>
      </c>
      <c r="D1542" t="s">
        <v>32</v>
      </c>
      <c r="E1542">
        <v>2.79</v>
      </c>
      <c r="F1542">
        <v>9</v>
      </c>
      <c r="G1542" t="s">
        <v>17</v>
      </c>
      <c r="H1542" t="s">
        <v>55</v>
      </c>
      <c r="I1542" s="2">
        <v>17.989999999999998</v>
      </c>
      <c r="J1542">
        <v>0</v>
      </c>
      <c r="K1542" s="2">
        <f t="shared" si="48"/>
        <v>0</v>
      </c>
      <c r="L1542" t="s">
        <v>43</v>
      </c>
      <c r="M1542">
        <v>5</v>
      </c>
      <c r="N1542">
        <v>0.28000000000000003</v>
      </c>
      <c r="O1542" t="str">
        <f t="shared" si="49"/>
        <v>0.2–0.4 hours</v>
      </c>
      <c r="P1542" t="s">
        <v>34</v>
      </c>
    </row>
    <row r="1543" spans="1:16" x14ac:dyDescent="0.4">
      <c r="A1543" t="s">
        <v>1584</v>
      </c>
      <c r="B1543">
        <v>65</v>
      </c>
      <c r="C1543" t="s">
        <v>41</v>
      </c>
      <c r="D1543" t="s">
        <v>22</v>
      </c>
      <c r="E1543">
        <v>1</v>
      </c>
      <c r="F1543">
        <v>47</v>
      </c>
      <c r="G1543" t="s">
        <v>28</v>
      </c>
      <c r="H1543" t="s">
        <v>24</v>
      </c>
      <c r="I1543" s="2">
        <v>13.99</v>
      </c>
      <c r="J1543">
        <v>1</v>
      </c>
      <c r="K1543" s="2">
        <f t="shared" si="48"/>
        <v>13.99</v>
      </c>
      <c r="L1543" t="s">
        <v>61</v>
      </c>
      <c r="M1543">
        <v>4</v>
      </c>
      <c r="N1543">
        <v>0.02</v>
      </c>
      <c r="O1543" t="str">
        <f t="shared" si="49"/>
        <v>0–0.2 hours</v>
      </c>
      <c r="P1543" t="s">
        <v>25</v>
      </c>
    </row>
    <row r="1544" spans="1:16" x14ac:dyDescent="0.4">
      <c r="A1544" t="s">
        <v>1585</v>
      </c>
      <c r="B1544">
        <v>28</v>
      </c>
      <c r="C1544" t="s">
        <v>41</v>
      </c>
      <c r="D1544" t="s">
        <v>32</v>
      </c>
      <c r="E1544">
        <v>17.43</v>
      </c>
      <c r="F1544">
        <v>36</v>
      </c>
      <c r="G1544" t="s">
        <v>70</v>
      </c>
      <c r="H1544" t="s">
        <v>55</v>
      </c>
      <c r="I1544" s="2">
        <v>17.989999999999998</v>
      </c>
      <c r="J1544">
        <v>1</v>
      </c>
      <c r="K1544" s="2">
        <f t="shared" si="48"/>
        <v>17.989999999999998</v>
      </c>
      <c r="L1544" t="s">
        <v>29</v>
      </c>
      <c r="M1544">
        <v>3</v>
      </c>
      <c r="N1544">
        <v>0.47</v>
      </c>
      <c r="O1544" t="str">
        <f t="shared" si="49"/>
        <v>0.4–0.6 hours</v>
      </c>
      <c r="P1544" t="s">
        <v>30</v>
      </c>
    </row>
    <row r="1545" spans="1:16" x14ac:dyDescent="0.4">
      <c r="A1545" t="s">
        <v>1586</v>
      </c>
      <c r="B1545">
        <v>47</v>
      </c>
      <c r="C1545" t="s">
        <v>15</v>
      </c>
      <c r="D1545" t="s">
        <v>16</v>
      </c>
      <c r="E1545">
        <v>8.3699999999999992</v>
      </c>
      <c r="F1545">
        <v>27</v>
      </c>
      <c r="G1545" t="s">
        <v>23</v>
      </c>
      <c r="H1545" t="s">
        <v>57</v>
      </c>
      <c r="I1545" s="2">
        <v>8.99</v>
      </c>
      <c r="J1545">
        <v>0</v>
      </c>
      <c r="K1545" s="2">
        <f t="shared" si="48"/>
        <v>0</v>
      </c>
      <c r="L1545" t="s">
        <v>19</v>
      </c>
      <c r="M1545">
        <v>5</v>
      </c>
      <c r="N1545">
        <v>0.3</v>
      </c>
      <c r="O1545" t="str">
        <f t="shared" si="49"/>
        <v>0.2–0.4 hours</v>
      </c>
      <c r="P1545" t="s">
        <v>47</v>
      </c>
    </row>
    <row r="1546" spans="1:16" x14ac:dyDescent="0.4">
      <c r="A1546" t="s">
        <v>1587</v>
      </c>
      <c r="B1546">
        <v>64</v>
      </c>
      <c r="C1546" t="s">
        <v>27</v>
      </c>
      <c r="D1546" t="s">
        <v>22</v>
      </c>
      <c r="E1546">
        <v>12.3</v>
      </c>
      <c r="F1546">
        <v>16</v>
      </c>
      <c r="G1546" t="s">
        <v>23</v>
      </c>
      <c r="H1546" t="s">
        <v>57</v>
      </c>
      <c r="I1546" s="2">
        <v>13.99</v>
      </c>
      <c r="J1546">
        <v>0</v>
      </c>
      <c r="K1546" s="2">
        <f t="shared" si="48"/>
        <v>0</v>
      </c>
      <c r="L1546" t="s">
        <v>43</v>
      </c>
      <c r="M1546">
        <v>3</v>
      </c>
      <c r="N1546">
        <v>0.72</v>
      </c>
      <c r="O1546" t="str">
        <f t="shared" si="49"/>
        <v>0.6–0.8 hours</v>
      </c>
      <c r="P1546" t="s">
        <v>47</v>
      </c>
    </row>
    <row r="1547" spans="1:16" x14ac:dyDescent="0.4">
      <c r="A1547" t="s">
        <v>1588</v>
      </c>
      <c r="B1547">
        <v>30</v>
      </c>
      <c r="C1547" t="s">
        <v>41</v>
      </c>
      <c r="D1547" t="s">
        <v>22</v>
      </c>
      <c r="E1547">
        <v>3.31</v>
      </c>
      <c r="F1547">
        <v>29</v>
      </c>
      <c r="G1547" t="s">
        <v>28</v>
      </c>
      <c r="H1547" t="s">
        <v>18</v>
      </c>
      <c r="I1547" s="2">
        <v>13.99</v>
      </c>
      <c r="J1547">
        <v>1</v>
      </c>
      <c r="K1547" s="2">
        <f t="shared" si="48"/>
        <v>13.99</v>
      </c>
      <c r="L1547" t="s">
        <v>37</v>
      </c>
      <c r="M1547">
        <v>1</v>
      </c>
      <c r="N1547">
        <v>0.11</v>
      </c>
      <c r="O1547" t="str">
        <f t="shared" si="49"/>
        <v>0–0.2 hours</v>
      </c>
      <c r="P1547" t="s">
        <v>52</v>
      </c>
    </row>
    <row r="1548" spans="1:16" x14ac:dyDescent="0.4">
      <c r="A1548" t="s">
        <v>1589</v>
      </c>
      <c r="B1548">
        <v>27</v>
      </c>
      <c r="C1548" t="s">
        <v>41</v>
      </c>
      <c r="D1548" t="s">
        <v>22</v>
      </c>
      <c r="E1548">
        <v>25.23</v>
      </c>
      <c r="F1548">
        <v>20</v>
      </c>
      <c r="G1548" t="s">
        <v>49</v>
      </c>
      <c r="H1548" t="s">
        <v>24</v>
      </c>
      <c r="I1548" s="2">
        <v>13.99</v>
      </c>
      <c r="J1548">
        <v>0</v>
      </c>
      <c r="K1548" s="2">
        <f t="shared" si="48"/>
        <v>0</v>
      </c>
      <c r="L1548" t="s">
        <v>37</v>
      </c>
      <c r="M1548">
        <v>5</v>
      </c>
      <c r="N1548">
        <v>1.2</v>
      </c>
      <c r="O1548" t="str">
        <f t="shared" si="49"/>
        <v>1+ hours</v>
      </c>
      <c r="P1548" t="s">
        <v>30</v>
      </c>
    </row>
    <row r="1549" spans="1:16" x14ac:dyDescent="0.4">
      <c r="A1549" t="s">
        <v>1590</v>
      </c>
      <c r="B1549">
        <v>57</v>
      </c>
      <c r="C1549" t="s">
        <v>41</v>
      </c>
      <c r="D1549" t="s">
        <v>22</v>
      </c>
      <c r="E1549">
        <v>17.87</v>
      </c>
      <c r="F1549">
        <v>36</v>
      </c>
      <c r="G1549" t="s">
        <v>17</v>
      </c>
      <c r="H1549" t="s">
        <v>57</v>
      </c>
      <c r="I1549" s="2">
        <v>13.99</v>
      </c>
      <c r="J1549">
        <v>0</v>
      </c>
      <c r="K1549" s="2">
        <f t="shared" si="48"/>
        <v>0</v>
      </c>
      <c r="L1549" t="s">
        <v>43</v>
      </c>
      <c r="M1549">
        <v>4</v>
      </c>
      <c r="N1549">
        <v>0.48</v>
      </c>
      <c r="O1549" t="str">
        <f t="shared" si="49"/>
        <v>0.4–0.6 hours</v>
      </c>
      <c r="P1549" t="s">
        <v>20</v>
      </c>
    </row>
    <row r="1550" spans="1:16" x14ac:dyDescent="0.4">
      <c r="A1550" t="s">
        <v>1591</v>
      </c>
      <c r="B1550">
        <v>66</v>
      </c>
      <c r="C1550" t="s">
        <v>27</v>
      </c>
      <c r="D1550" t="s">
        <v>22</v>
      </c>
      <c r="E1550">
        <v>3.01</v>
      </c>
      <c r="F1550">
        <v>4</v>
      </c>
      <c r="G1550" t="s">
        <v>17</v>
      </c>
      <c r="H1550" t="s">
        <v>57</v>
      </c>
      <c r="I1550" s="2">
        <v>13.99</v>
      </c>
      <c r="J1550">
        <v>0</v>
      </c>
      <c r="K1550" s="2">
        <f t="shared" si="48"/>
        <v>0</v>
      </c>
      <c r="L1550" t="s">
        <v>61</v>
      </c>
      <c r="M1550">
        <v>2</v>
      </c>
      <c r="N1550">
        <v>0.6</v>
      </c>
      <c r="O1550" t="str">
        <f t="shared" si="49"/>
        <v>0.4–0.6 hours</v>
      </c>
      <c r="P1550" t="s">
        <v>47</v>
      </c>
    </row>
    <row r="1551" spans="1:16" x14ac:dyDescent="0.4">
      <c r="A1551" t="s">
        <v>1592</v>
      </c>
      <c r="B1551">
        <v>21</v>
      </c>
      <c r="C1551" t="s">
        <v>15</v>
      </c>
      <c r="D1551" t="s">
        <v>32</v>
      </c>
      <c r="E1551">
        <v>13.63</v>
      </c>
      <c r="F1551">
        <v>3</v>
      </c>
      <c r="G1551" t="s">
        <v>28</v>
      </c>
      <c r="H1551" t="s">
        <v>46</v>
      </c>
      <c r="I1551" s="2">
        <v>17.989999999999998</v>
      </c>
      <c r="J1551">
        <v>0</v>
      </c>
      <c r="K1551" s="2">
        <f t="shared" si="48"/>
        <v>0</v>
      </c>
      <c r="L1551" t="s">
        <v>29</v>
      </c>
      <c r="M1551">
        <v>1</v>
      </c>
      <c r="N1551">
        <v>3.41</v>
      </c>
      <c r="O1551" t="str">
        <f t="shared" si="49"/>
        <v>1+ hours</v>
      </c>
      <c r="P1551" t="s">
        <v>47</v>
      </c>
    </row>
    <row r="1552" spans="1:16" x14ac:dyDescent="0.4">
      <c r="A1552" t="s">
        <v>1593</v>
      </c>
      <c r="B1552">
        <v>51</v>
      </c>
      <c r="C1552" t="s">
        <v>41</v>
      </c>
      <c r="D1552" t="s">
        <v>22</v>
      </c>
      <c r="E1552">
        <v>18.53</v>
      </c>
      <c r="F1552">
        <v>30</v>
      </c>
      <c r="G1552" t="s">
        <v>33</v>
      </c>
      <c r="H1552" t="s">
        <v>18</v>
      </c>
      <c r="I1552" s="2">
        <v>13.99</v>
      </c>
      <c r="J1552">
        <v>0</v>
      </c>
      <c r="K1552" s="2">
        <f t="shared" si="48"/>
        <v>0</v>
      </c>
      <c r="L1552" t="s">
        <v>61</v>
      </c>
      <c r="M1552">
        <v>3</v>
      </c>
      <c r="N1552">
        <v>0.6</v>
      </c>
      <c r="O1552" t="str">
        <f t="shared" si="49"/>
        <v>0.4–0.6 hours</v>
      </c>
      <c r="P1552" t="s">
        <v>30</v>
      </c>
    </row>
    <row r="1553" spans="1:16" x14ac:dyDescent="0.4">
      <c r="A1553" t="s">
        <v>1594</v>
      </c>
      <c r="B1553">
        <v>70</v>
      </c>
      <c r="C1553" t="s">
        <v>41</v>
      </c>
      <c r="D1553" t="s">
        <v>16</v>
      </c>
      <c r="E1553">
        <v>1.35</v>
      </c>
      <c r="F1553">
        <v>46</v>
      </c>
      <c r="G1553" t="s">
        <v>33</v>
      </c>
      <c r="H1553" t="s">
        <v>24</v>
      </c>
      <c r="I1553" s="2">
        <v>8.99</v>
      </c>
      <c r="J1553">
        <v>1</v>
      </c>
      <c r="K1553" s="2">
        <f t="shared" si="48"/>
        <v>8.99</v>
      </c>
      <c r="L1553" t="s">
        <v>19</v>
      </c>
      <c r="M1553">
        <v>5</v>
      </c>
      <c r="N1553">
        <v>0.03</v>
      </c>
      <c r="O1553" t="str">
        <f t="shared" si="49"/>
        <v>0–0.2 hours</v>
      </c>
      <c r="P1553" t="s">
        <v>47</v>
      </c>
    </row>
    <row r="1554" spans="1:16" x14ac:dyDescent="0.4">
      <c r="A1554" t="s">
        <v>1595</v>
      </c>
      <c r="B1554">
        <v>22</v>
      </c>
      <c r="C1554" t="s">
        <v>41</v>
      </c>
      <c r="D1554" t="s">
        <v>32</v>
      </c>
      <c r="E1554">
        <v>18.97</v>
      </c>
      <c r="F1554">
        <v>55</v>
      </c>
      <c r="G1554" t="s">
        <v>70</v>
      </c>
      <c r="H1554" t="s">
        <v>57</v>
      </c>
      <c r="I1554" s="2">
        <v>17.989999999999998</v>
      </c>
      <c r="J1554">
        <v>1</v>
      </c>
      <c r="K1554" s="2">
        <f t="shared" si="48"/>
        <v>17.989999999999998</v>
      </c>
      <c r="L1554" t="s">
        <v>61</v>
      </c>
      <c r="M1554">
        <v>2</v>
      </c>
      <c r="N1554">
        <v>0.34</v>
      </c>
      <c r="O1554" t="str">
        <f t="shared" si="49"/>
        <v>0.2–0.4 hours</v>
      </c>
      <c r="P1554" t="s">
        <v>39</v>
      </c>
    </row>
    <row r="1555" spans="1:16" x14ac:dyDescent="0.4">
      <c r="A1555" t="s">
        <v>1596</v>
      </c>
      <c r="B1555">
        <v>29</v>
      </c>
      <c r="C1555" t="s">
        <v>41</v>
      </c>
      <c r="D1555" t="s">
        <v>22</v>
      </c>
      <c r="E1555">
        <v>13.38</v>
      </c>
      <c r="F1555">
        <v>14</v>
      </c>
      <c r="G1555" t="s">
        <v>70</v>
      </c>
      <c r="H1555" t="s">
        <v>18</v>
      </c>
      <c r="I1555" s="2">
        <v>13.99</v>
      </c>
      <c r="J1555">
        <v>0</v>
      </c>
      <c r="K1555" s="2">
        <f t="shared" si="48"/>
        <v>0</v>
      </c>
      <c r="L1555" t="s">
        <v>43</v>
      </c>
      <c r="M1555">
        <v>5</v>
      </c>
      <c r="N1555">
        <v>0.89</v>
      </c>
      <c r="O1555" t="str">
        <f t="shared" si="49"/>
        <v>0.8–1 hour</v>
      </c>
      <c r="P1555" t="s">
        <v>34</v>
      </c>
    </row>
    <row r="1556" spans="1:16" x14ac:dyDescent="0.4">
      <c r="A1556" t="s">
        <v>1597</v>
      </c>
      <c r="B1556">
        <v>22</v>
      </c>
      <c r="C1556" t="s">
        <v>15</v>
      </c>
      <c r="D1556" t="s">
        <v>22</v>
      </c>
      <c r="E1556">
        <v>25.13</v>
      </c>
      <c r="F1556">
        <v>1</v>
      </c>
      <c r="G1556" t="s">
        <v>17</v>
      </c>
      <c r="H1556" t="s">
        <v>55</v>
      </c>
      <c r="I1556" s="2">
        <v>13.99</v>
      </c>
      <c r="J1556">
        <v>0</v>
      </c>
      <c r="K1556" s="2">
        <f t="shared" si="48"/>
        <v>0</v>
      </c>
      <c r="L1556" t="s">
        <v>19</v>
      </c>
      <c r="M1556">
        <v>2</v>
      </c>
      <c r="N1556">
        <v>12.56</v>
      </c>
      <c r="O1556" t="str">
        <f t="shared" si="49"/>
        <v>1+ hours</v>
      </c>
      <c r="P1556" t="s">
        <v>39</v>
      </c>
    </row>
    <row r="1557" spans="1:16" x14ac:dyDescent="0.4">
      <c r="A1557" t="s">
        <v>1598</v>
      </c>
      <c r="B1557">
        <v>33</v>
      </c>
      <c r="C1557" t="s">
        <v>27</v>
      </c>
      <c r="D1557" t="s">
        <v>32</v>
      </c>
      <c r="E1557">
        <v>0.44</v>
      </c>
      <c r="F1557">
        <v>17</v>
      </c>
      <c r="G1557" t="s">
        <v>70</v>
      </c>
      <c r="H1557" t="s">
        <v>24</v>
      </c>
      <c r="I1557" s="2">
        <v>17.989999999999998</v>
      </c>
      <c r="J1557">
        <v>1</v>
      </c>
      <c r="K1557" s="2">
        <f t="shared" si="48"/>
        <v>17.989999999999998</v>
      </c>
      <c r="L1557" t="s">
        <v>29</v>
      </c>
      <c r="M1557">
        <v>4</v>
      </c>
      <c r="N1557">
        <v>0.02</v>
      </c>
      <c r="O1557" t="str">
        <f t="shared" si="49"/>
        <v>0–0.2 hours</v>
      </c>
      <c r="P1557" t="s">
        <v>39</v>
      </c>
    </row>
    <row r="1558" spans="1:16" x14ac:dyDescent="0.4">
      <c r="A1558" t="s">
        <v>1599</v>
      </c>
      <c r="B1558">
        <v>56</v>
      </c>
      <c r="C1558" t="s">
        <v>15</v>
      </c>
      <c r="D1558" t="s">
        <v>32</v>
      </c>
      <c r="E1558">
        <v>3.39</v>
      </c>
      <c r="F1558">
        <v>45</v>
      </c>
      <c r="G1558" t="s">
        <v>33</v>
      </c>
      <c r="H1558" t="s">
        <v>57</v>
      </c>
      <c r="I1558" s="2">
        <v>17.989999999999998</v>
      </c>
      <c r="J1558">
        <v>1</v>
      </c>
      <c r="K1558" s="2">
        <f t="shared" si="48"/>
        <v>17.989999999999998</v>
      </c>
      <c r="L1558" t="s">
        <v>37</v>
      </c>
      <c r="M1558">
        <v>3</v>
      </c>
      <c r="N1558">
        <v>7.0000000000000007E-2</v>
      </c>
      <c r="O1558" t="str">
        <f t="shared" si="49"/>
        <v>0–0.2 hours</v>
      </c>
      <c r="P1558" t="s">
        <v>30</v>
      </c>
    </row>
    <row r="1559" spans="1:16" x14ac:dyDescent="0.4">
      <c r="A1559" t="s">
        <v>1600</v>
      </c>
      <c r="B1559">
        <v>21</v>
      </c>
      <c r="C1559" t="s">
        <v>15</v>
      </c>
      <c r="D1559" t="s">
        <v>16</v>
      </c>
      <c r="E1559">
        <v>20.67</v>
      </c>
      <c r="F1559">
        <v>38</v>
      </c>
      <c r="G1559" t="s">
        <v>70</v>
      </c>
      <c r="H1559" t="s">
        <v>18</v>
      </c>
      <c r="I1559" s="2">
        <v>8.99</v>
      </c>
      <c r="J1559">
        <v>1</v>
      </c>
      <c r="K1559" s="2">
        <f t="shared" si="48"/>
        <v>8.99</v>
      </c>
      <c r="L1559" t="s">
        <v>29</v>
      </c>
      <c r="M1559">
        <v>1</v>
      </c>
      <c r="N1559">
        <v>0.53</v>
      </c>
      <c r="O1559" t="str">
        <f t="shared" si="49"/>
        <v>0.4–0.6 hours</v>
      </c>
      <c r="P1559" t="s">
        <v>47</v>
      </c>
    </row>
    <row r="1560" spans="1:16" x14ac:dyDescent="0.4">
      <c r="A1560" t="s">
        <v>1601</v>
      </c>
      <c r="B1560">
        <v>32</v>
      </c>
      <c r="C1560" t="s">
        <v>41</v>
      </c>
      <c r="D1560" t="s">
        <v>22</v>
      </c>
      <c r="E1560">
        <v>2.91</v>
      </c>
      <c r="F1560">
        <v>13</v>
      </c>
      <c r="G1560" t="s">
        <v>17</v>
      </c>
      <c r="H1560" t="s">
        <v>57</v>
      </c>
      <c r="I1560" s="2">
        <v>13.99</v>
      </c>
      <c r="J1560">
        <v>1</v>
      </c>
      <c r="K1560" s="2">
        <f t="shared" si="48"/>
        <v>13.99</v>
      </c>
      <c r="L1560" t="s">
        <v>29</v>
      </c>
      <c r="M1560">
        <v>2</v>
      </c>
      <c r="N1560">
        <v>0.21</v>
      </c>
      <c r="O1560" t="str">
        <f t="shared" si="49"/>
        <v>0.2–0.4 hours</v>
      </c>
      <c r="P1560" t="s">
        <v>39</v>
      </c>
    </row>
    <row r="1561" spans="1:16" x14ac:dyDescent="0.4">
      <c r="A1561" t="s">
        <v>1602</v>
      </c>
      <c r="B1561">
        <v>22</v>
      </c>
      <c r="C1561" t="s">
        <v>27</v>
      </c>
      <c r="D1561" t="s">
        <v>22</v>
      </c>
      <c r="E1561">
        <v>0.63</v>
      </c>
      <c r="F1561">
        <v>9</v>
      </c>
      <c r="G1561" t="s">
        <v>23</v>
      </c>
      <c r="H1561" t="s">
        <v>57</v>
      </c>
      <c r="I1561" s="2">
        <v>13.99</v>
      </c>
      <c r="J1561">
        <v>1</v>
      </c>
      <c r="K1561" s="2">
        <f t="shared" si="48"/>
        <v>13.99</v>
      </c>
      <c r="L1561" t="s">
        <v>37</v>
      </c>
      <c r="M1561">
        <v>3</v>
      </c>
      <c r="N1561">
        <v>0.06</v>
      </c>
      <c r="O1561" t="str">
        <f t="shared" si="49"/>
        <v>0–0.2 hours</v>
      </c>
      <c r="P1561" t="s">
        <v>20</v>
      </c>
    </row>
    <row r="1562" spans="1:16" x14ac:dyDescent="0.4">
      <c r="A1562" t="s">
        <v>1603</v>
      </c>
      <c r="B1562">
        <v>26</v>
      </c>
      <c r="C1562" t="s">
        <v>15</v>
      </c>
      <c r="D1562" t="s">
        <v>16</v>
      </c>
      <c r="E1562">
        <v>11.89</v>
      </c>
      <c r="F1562">
        <v>37</v>
      </c>
      <c r="G1562" t="s">
        <v>49</v>
      </c>
      <c r="H1562" t="s">
        <v>57</v>
      </c>
      <c r="I1562" s="2">
        <v>8.99</v>
      </c>
      <c r="J1562">
        <v>1</v>
      </c>
      <c r="K1562" s="2">
        <f t="shared" si="48"/>
        <v>8.99</v>
      </c>
      <c r="L1562" t="s">
        <v>61</v>
      </c>
      <c r="M1562">
        <v>2</v>
      </c>
      <c r="N1562">
        <v>0.31</v>
      </c>
      <c r="O1562" t="str">
        <f t="shared" si="49"/>
        <v>0.2–0.4 hours</v>
      </c>
      <c r="P1562" t="s">
        <v>39</v>
      </c>
    </row>
    <row r="1563" spans="1:16" x14ac:dyDescent="0.4">
      <c r="A1563" t="s">
        <v>1604</v>
      </c>
      <c r="B1563">
        <v>63</v>
      </c>
      <c r="C1563" t="s">
        <v>41</v>
      </c>
      <c r="D1563" t="s">
        <v>32</v>
      </c>
      <c r="E1563">
        <v>0.81</v>
      </c>
      <c r="F1563">
        <v>13</v>
      </c>
      <c r="G1563" t="s">
        <v>28</v>
      </c>
      <c r="H1563" t="s">
        <v>24</v>
      </c>
      <c r="I1563" s="2">
        <v>17.989999999999998</v>
      </c>
      <c r="J1563">
        <v>0</v>
      </c>
      <c r="K1563" s="2">
        <f t="shared" si="48"/>
        <v>0</v>
      </c>
      <c r="L1563" t="s">
        <v>61</v>
      </c>
      <c r="M1563">
        <v>5</v>
      </c>
      <c r="N1563">
        <v>0.06</v>
      </c>
      <c r="O1563" t="str">
        <f t="shared" si="49"/>
        <v>0–0.2 hours</v>
      </c>
      <c r="P1563" t="s">
        <v>39</v>
      </c>
    </row>
    <row r="1564" spans="1:16" x14ac:dyDescent="0.4">
      <c r="A1564" t="s">
        <v>1605</v>
      </c>
      <c r="B1564">
        <v>59</v>
      </c>
      <c r="C1564" t="s">
        <v>41</v>
      </c>
      <c r="D1564" t="s">
        <v>16</v>
      </c>
      <c r="E1564">
        <v>7.32</v>
      </c>
      <c r="F1564">
        <v>52</v>
      </c>
      <c r="G1564" t="s">
        <v>23</v>
      </c>
      <c r="H1564" t="s">
        <v>46</v>
      </c>
      <c r="I1564" s="2">
        <v>8.99</v>
      </c>
      <c r="J1564">
        <v>1</v>
      </c>
      <c r="K1564" s="2">
        <f t="shared" si="48"/>
        <v>8.99</v>
      </c>
      <c r="L1564" t="s">
        <v>43</v>
      </c>
      <c r="M1564">
        <v>3</v>
      </c>
      <c r="N1564">
        <v>0.14000000000000001</v>
      </c>
      <c r="O1564" t="str">
        <f t="shared" si="49"/>
        <v>0–0.2 hours</v>
      </c>
      <c r="P1564" t="s">
        <v>39</v>
      </c>
    </row>
    <row r="1565" spans="1:16" x14ac:dyDescent="0.4">
      <c r="A1565" t="s">
        <v>1606</v>
      </c>
      <c r="B1565">
        <v>44</v>
      </c>
      <c r="C1565" t="s">
        <v>15</v>
      </c>
      <c r="D1565" t="s">
        <v>22</v>
      </c>
      <c r="E1565">
        <v>14.26</v>
      </c>
      <c r="F1565">
        <v>20</v>
      </c>
      <c r="G1565" t="s">
        <v>70</v>
      </c>
      <c r="H1565" t="s">
        <v>46</v>
      </c>
      <c r="I1565" s="2">
        <v>13.99</v>
      </c>
      <c r="J1565">
        <v>0</v>
      </c>
      <c r="K1565" s="2">
        <f t="shared" si="48"/>
        <v>0</v>
      </c>
      <c r="L1565" t="s">
        <v>43</v>
      </c>
      <c r="M1565">
        <v>1</v>
      </c>
      <c r="N1565">
        <v>0.68</v>
      </c>
      <c r="O1565" t="str">
        <f t="shared" si="49"/>
        <v>0.6–0.8 hours</v>
      </c>
      <c r="P1565" t="s">
        <v>25</v>
      </c>
    </row>
    <row r="1566" spans="1:16" x14ac:dyDescent="0.4">
      <c r="A1566" t="s">
        <v>1607</v>
      </c>
      <c r="B1566">
        <v>59</v>
      </c>
      <c r="C1566" t="s">
        <v>27</v>
      </c>
      <c r="D1566" t="s">
        <v>32</v>
      </c>
      <c r="E1566">
        <v>1.7</v>
      </c>
      <c r="F1566">
        <v>54</v>
      </c>
      <c r="G1566" t="s">
        <v>33</v>
      </c>
      <c r="H1566" t="s">
        <v>18</v>
      </c>
      <c r="I1566" s="2">
        <v>17.989999999999998</v>
      </c>
      <c r="J1566">
        <v>1</v>
      </c>
      <c r="K1566" s="2">
        <f t="shared" si="48"/>
        <v>17.989999999999998</v>
      </c>
      <c r="L1566" t="s">
        <v>29</v>
      </c>
      <c r="M1566">
        <v>3</v>
      </c>
      <c r="N1566">
        <v>0.03</v>
      </c>
      <c r="O1566" t="str">
        <f t="shared" si="49"/>
        <v>0–0.2 hours</v>
      </c>
      <c r="P1566" t="s">
        <v>39</v>
      </c>
    </row>
    <row r="1567" spans="1:16" x14ac:dyDescent="0.4">
      <c r="A1567" t="s">
        <v>1608</v>
      </c>
      <c r="B1567">
        <v>70</v>
      </c>
      <c r="C1567" t="s">
        <v>41</v>
      </c>
      <c r="D1567" t="s">
        <v>22</v>
      </c>
      <c r="E1567">
        <v>29.3</v>
      </c>
      <c r="F1567">
        <v>53</v>
      </c>
      <c r="G1567" t="s">
        <v>28</v>
      </c>
      <c r="H1567" t="s">
        <v>46</v>
      </c>
      <c r="I1567" s="2">
        <v>13.99</v>
      </c>
      <c r="J1567">
        <v>0</v>
      </c>
      <c r="K1567" s="2">
        <f t="shared" si="48"/>
        <v>0</v>
      </c>
      <c r="L1567" t="s">
        <v>43</v>
      </c>
      <c r="M1567">
        <v>3</v>
      </c>
      <c r="N1567">
        <v>0.54</v>
      </c>
      <c r="O1567" t="str">
        <f t="shared" si="49"/>
        <v>0.4–0.6 hours</v>
      </c>
      <c r="P1567" t="s">
        <v>30</v>
      </c>
    </row>
    <row r="1568" spans="1:16" x14ac:dyDescent="0.4">
      <c r="A1568" t="s">
        <v>1609</v>
      </c>
      <c r="B1568">
        <v>36</v>
      </c>
      <c r="C1568" t="s">
        <v>15</v>
      </c>
      <c r="D1568" t="s">
        <v>22</v>
      </c>
      <c r="E1568">
        <v>15.58</v>
      </c>
      <c r="F1568">
        <v>43</v>
      </c>
      <c r="G1568" t="s">
        <v>70</v>
      </c>
      <c r="H1568" t="s">
        <v>24</v>
      </c>
      <c r="I1568" s="2">
        <v>13.99</v>
      </c>
      <c r="J1568">
        <v>0</v>
      </c>
      <c r="K1568" s="2">
        <f t="shared" si="48"/>
        <v>0</v>
      </c>
      <c r="L1568" t="s">
        <v>61</v>
      </c>
      <c r="M1568">
        <v>4</v>
      </c>
      <c r="N1568">
        <v>0.35</v>
      </c>
      <c r="O1568" t="str">
        <f t="shared" si="49"/>
        <v>0.2–0.4 hours</v>
      </c>
      <c r="P1568" t="s">
        <v>47</v>
      </c>
    </row>
    <row r="1569" spans="1:16" x14ac:dyDescent="0.4">
      <c r="A1569" t="s">
        <v>1610</v>
      </c>
      <c r="B1569">
        <v>53</v>
      </c>
      <c r="C1569" t="s">
        <v>27</v>
      </c>
      <c r="D1569" t="s">
        <v>22</v>
      </c>
      <c r="E1569">
        <v>1.72</v>
      </c>
      <c r="F1569">
        <v>19</v>
      </c>
      <c r="G1569" t="s">
        <v>28</v>
      </c>
      <c r="H1569" t="s">
        <v>18</v>
      </c>
      <c r="I1569" s="2">
        <v>13.99</v>
      </c>
      <c r="J1569">
        <v>1</v>
      </c>
      <c r="K1569" s="2">
        <f t="shared" si="48"/>
        <v>13.99</v>
      </c>
      <c r="L1569" t="s">
        <v>61</v>
      </c>
      <c r="M1569">
        <v>1</v>
      </c>
      <c r="N1569">
        <v>0.09</v>
      </c>
      <c r="O1569" t="str">
        <f t="shared" si="49"/>
        <v>0–0.2 hours</v>
      </c>
      <c r="P1569" t="s">
        <v>34</v>
      </c>
    </row>
    <row r="1570" spans="1:16" x14ac:dyDescent="0.4">
      <c r="A1570" t="s">
        <v>1611</v>
      </c>
      <c r="B1570">
        <v>35</v>
      </c>
      <c r="C1570" t="s">
        <v>15</v>
      </c>
      <c r="D1570" t="s">
        <v>32</v>
      </c>
      <c r="E1570">
        <v>14.46</v>
      </c>
      <c r="F1570">
        <v>44</v>
      </c>
      <c r="G1570" t="s">
        <v>70</v>
      </c>
      <c r="H1570" t="s">
        <v>57</v>
      </c>
      <c r="I1570" s="2">
        <v>17.989999999999998</v>
      </c>
      <c r="J1570">
        <v>1</v>
      </c>
      <c r="K1570" s="2">
        <f t="shared" si="48"/>
        <v>17.989999999999998</v>
      </c>
      <c r="L1570" t="s">
        <v>37</v>
      </c>
      <c r="M1570">
        <v>1</v>
      </c>
      <c r="N1570">
        <v>0.32</v>
      </c>
      <c r="O1570" t="str">
        <f t="shared" si="49"/>
        <v>0.2–0.4 hours</v>
      </c>
      <c r="P1570" t="s">
        <v>20</v>
      </c>
    </row>
    <row r="1571" spans="1:16" x14ac:dyDescent="0.4">
      <c r="A1571" t="s">
        <v>1612</v>
      </c>
      <c r="B1571">
        <v>24</v>
      </c>
      <c r="C1571" t="s">
        <v>41</v>
      </c>
      <c r="D1571" t="s">
        <v>16</v>
      </c>
      <c r="E1571">
        <v>5.91</v>
      </c>
      <c r="F1571">
        <v>25</v>
      </c>
      <c r="G1571" t="s">
        <v>33</v>
      </c>
      <c r="H1571" t="s">
        <v>46</v>
      </c>
      <c r="I1571" s="2">
        <v>8.99</v>
      </c>
      <c r="J1571">
        <v>1</v>
      </c>
      <c r="K1571" s="2">
        <f t="shared" si="48"/>
        <v>8.99</v>
      </c>
      <c r="L1571" t="s">
        <v>43</v>
      </c>
      <c r="M1571">
        <v>1</v>
      </c>
      <c r="N1571">
        <v>0.23</v>
      </c>
      <c r="O1571" t="str">
        <f t="shared" si="49"/>
        <v>0.2–0.4 hours</v>
      </c>
      <c r="P1571" t="s">
        <v>20</v>
      </c>
    </row>
    <row r="1572" spans="1:16" x14ac:dyDescent="0.4">
      <c r="A1572" t="s">
        <v>1613</v>
      </c>
      <c r="B1572">
        <v>68</v>
      </c>
      <c r="C1572" t="s">
        <v>15</v>
      </c>
      <c r="D1572" t="s">
        <v>16</v>
      </c>
      <c r="E1572">
        <v>6.53</v>
      </c>
      <c r="F1572">
        <v>6</v>
      </c>
      <c r="G1572" t="s">
        <v>23</v>
      </c>
      <c r="H1572" t="s">
        <v>46</v>
      </c>
      <c r="I1572" s="2">
        <v>8.99</v>
      </c>
      <c r="J1572">
        <v>0</v>
      </c>
      <c r="K1572" s="2">
        <f t="shared" si="48"/>
        <v>0</v>
      </c>
      <c r="L1572" t="s">
        <v>43</v>
      </c>
      <c r="M1572">
        <v>4</v>
      </c>
      <c r="N1572">
        <v>0.93</v>
      </c>
      <c r="O1572" t="str">
        <f t="shared" si="49"/>
        <v>0.8–1 hour</v>
      </c>
      <c r="P1572" t="s">
        <v>52</v>
      </c>
    </row>
    <row r="1573" spans="1:16" x14ac:dyDescent="0.4">
      <c r="A1573" t="s">
        <v>1614</v>
      </c>
      <c r="B1573">
        <v>40</v>
      </c>
      <c r="C1573" t="s">
        <v>27</v>
      </c>
      <c r="D1573" t="s">
        <v>22</v>
      </c>
      <c r="E1573">
        <v>4.26</v>
      </c>
      <c r="F1573">
        <v>49</v>
      </c>
      <c r="G1573" t="s">
        <v>23</v>
      </c>
      <c r="H1573" t="s">
        <v>18</v>
      </c>
      <c r="I1573" s="2">
        <v>13.99</v>
      </c>
      <c r="J1573">
        <v>1</v>
      </c>
      <c r="K1573" s="2">
        <f t="shared" si="48"/>
        <v>13.99</v>
      </c>
      <c r="L1573" t="s">
        <v>37</v>
      </c>
      <c r="M1573">
        <v>4</v>
      </c>
      <c r="N1573">
        <v>0.09</v>
      </c>
      <c r="O1573" t="str">
        <f t="shared" si="49"/>
        <v>0–0.2 hours</v>
      </c>
      <c r="P1573" t="s">
        <v>52</v>
      </c>
    </row>
    <row r="1574" spans="1:16" x14ac:dyDescent="0.4">
      <c r="A1574" t="s">
        <v>1615</v>
      </c>
      <c r="B1574">
        <v>36</v>
      </c>
      <c r="C1574" t="s">
        <v>15</v>
      </c>
      <c r="D1574" t="s">
        <v>16</v>
      </c>
      <c r="E1574">
        <v>22.43</v>
      </c>
      <c r="F1574">
        <v>2</v>
      </c>
      <c r="G1574" t="s">
        <v>49</v>
      </c>
      <c r="H1574" t="s">
        <v>57</v>
      </c>
      <c r="I1574" s="2">
        <v>8.99</v>
      </c>
      <c r="J1574">
        <v>0</v>
      </c>
      <c r="K1574" s="2">
        <f t="shared" si="48"/>
        <v>0</v>
      </c>
      <c r="L1574" t="s">
        <v>29</v>
      </c>
      <c r="M1574">
        <v>4</v>
      </c>
      <c r="N1574">
        <v>7.48</v>
      </c>
      <c r="O1574" t="str">
        <f t="shared" si="49"/>
        <v>1+ hours</v>
      </c>
      <c r="P1574" t="s">
        <v>39</v>
      </c>
    </row>
    <row r="1575" spans="1:16" x14ac:dyDescent="0.4">
      <c r="A1575" t="s">
        <v>1616</v>
      </c>
      <c r="B1575">
        <v>70</v>
      </c>
      <c r="C1575" t="s">
        <v>15</v>
      </c>
      <c r="D1575" t="s">
        <v>16</v>
      </c>
      <c r="E1575">
        <v>23.08</v>
      </c>
      <c r="F1575">
        <v>25</v>
      </c>
      <c r="G1575" t="s">
        <v>49</v>
      </c>
      <c r="H1575" t="s">
        <v>18</v>
      </c>
      <c r="I1575" s="2">
        <v>8.99</v>
      </c>
      <c r="J1575">
        <v>0</v>
      </c>
      <c r="K1575" s="2">
        <f t="shared" si="48"/>
        <v>0</v>
      </c>
      <c r="L1575" t="s">
        <v>37</v>
      </c>
      <c r="M1575">
        <v>3</v>
      </c>
      <c r="N1575">
        <v>0.89</v>
      </c>
      <c r="O1575" t="str">
        <f t="shared" si="49"/>
        <v>0.8–1 hour</v>
      </c>
      <c r="P1575" t="s">
        <v>47</v>
      </c>
    </row>
    <row r="1576" spans="1:16" x14ac:dyDescent="0.4">
      <c r="A1576" t="s">
        <v>1617</v>
      </c>
      <c r="B1576">
        <v>68</v>
      </c>
      <c r="C1576" t="s">
        <v>27</v>
      </c>
      <c r="D1576" t="s">
        <v>32</v>
      </c>
      <c r="E1576">
        <v>0.2</v>
      </c>
      <c r="F1576">
        <v>32</v>
      </c>
      <c r="G1576" t="s">
        <v>70</v>
      </c>
      <c r="H1576" t="s">
        <v>46</v>
      </c>
      <c r="I1576" s="2">
        <v>17.989999999999998</v>
      </c>
      <c r="J1576">
        <v>1</v>
      </c>
      <c r="K1576" s="2">
        <f t="shared" si="48"/>
        <v>17.989999999999998</v>
      </c>
      <c r="L1576" t="s">
        <v>29</v>
      </c>
      <c r="M1576">
        <v>1</v>
      </c>
      <c r="N1576">
        <v>0.01</v>
      </c>
      <c r="O1576" t="str">
        <f t="shared" si="49"/>
        <v>0–0.2 hours</v>
      </c>
      <c r="P1576" t="s">
        <v>34</v>
      </c>
    </row>
    <row r="1577" spans="1:16" x14ac:dyDescent="0.4">
      <c r="A1577" t="s">
        <v>1618</v>
      </c>
      <c r="B1577">
        <v>23</v>
      </c>
      <c r="C1577" t="s">
        <v>15</v>
      </c>
      <c r="D1577" t="s">
        <v>16</v>
      </c>
      <c r="E1577">
        <v>6.27</v>
      </c>
      <c r="F1577">
        <v>52</v>
      </c>
      <c r="G1577" t="s">
        <v>23</v>
      </c>
      <c r="H1577" t="s">
        <v>46</v>
      </c>
      <c r="I1577" s="2">
        <v>8.99</v>
      </c>
      <c r="J1577">
        <v>1</v>
      </c>
      <c r="K1577" s="2">
        <f t="shared" si="48"/>
        <v>8.99</v>
      </c>
      <c r="L1577" t="s">
        <v>19</v>
      </c>
      <c r="M1577">
        <v>5</v>
      </c>
      <c r="N1577">
        <v>0.12</v>
      </c>
      <c r="O1577" t="str">
        <f t="shared" si="49"/>
        <v>0–0.2 hours</v>
      </c>
      <c r="P1577" t="s">
        <v>25</v>
      </c>
    </row>
    <row r="1578" spans="1:16" x14ac:dyDescent="0.4">
      <c r="A1578" t="s">
        <v>1619</v>
      </c>
      <c r="B1578">
        <v>68</v>
      </c>
      <c r="C1578" t="s">
        <v>15</v>
      </c>
      <c r="D1578" t="s">
        <v>32</v>
      </c>
      <c r="E1578">
        <v>1.67</v>
      </c>
      <c r="F1578">
        <v>18</v>
      </c>
      <c r="G1578" t="s">
        <v>17</v>
      </c>
      <c r="H1578" t="s">
        <v>24</v>
      </c>
      <c r="I1578" s="2">
        <v>17.989999999999998</v>
      </c>
      <c r="J1578">
        <v>1</v>
      </c>
      <c r="K1578" s="2">
        <f t="shared" si="48"/>
        <v>17.989999999999998</v>
      </c>
      <c r="L1578" t="s">
        <v>43</v>
      </c>
      <c r="M1578">
        <v>3</v>
      </c>
      <c r="N1578">
        <v>0.09</v>
      </c>
      <c r="O1578" t="str">
        <f t="shared" si="49"/>
        <v>0–0.2 hours</v>
      </c>
      <c r="P1578" t="s">
        <v>39</v>
      </c>
    </row>
    <row r="1579" spans="1:16" x14ac:dyDescent="0.4">
      <c r="A1579" t="s">
        <v>1620</v>
      </c>
      <c r="B1579">
        <v>19</v>
      </c>
      <c r="C1579" t="s">
        <v>27</v>
      </c>
      <c r="D1579" t="s">
        <v>22</v>
      </c>
      <c r="E1579">
        <v>0.93</v>
      </c>
      <c r="F1579">
        <v>26</v>
      </c>
      <c r="G1579" t="s">
        <v>70</v>
      </c>
      <c r="H1579" t="s">
        <v>46</v>
      </c>
      <c r="I1579" s="2">
        <v>13.99</v>
      </c>
      <c r="J1579">
        <v>1</v>
      </c>
      <c r="K1579" s="2">
        <f t="shared" si="48"/>
        <v>13.99</v>
      </c>
      <c r="L1579" t="s">
        <v>37</v>
      </c>
      <c r="M1579">
        <v>3</v>
      </c>
      <c r="N1579">
        <v>0.03</v>
      </c>
      <c r="O1579" t="str">
        <f t="shared" si="49"/>
        <v>0–0.2 hours</v>
      </c>
      <c r="P1579" t="s">
        <v>20</v>
      </c>
    </row>
    <row r="1580" spans="1:16" x14ac:dyDescent="0.4">
      <c r="A1580" s="1" t="s">
        <v>1621</v>
      </c>
      <c r="B1580">
        <v>62</v>
      </c>
      <c r="C1580" t="s">
        <v>41</v>
      </c>
      <c r="D1580" t="s">
        <v>32</v>
      </c>
      <c r="E1580">
        <v>4.25</v>
      </c>
      <c r="F1580">
        <v>40</v>
      </c>
      <c r="G1580" t="s">
        <v>28</v>
      </c>
      <c r="H1580" t="s">
        <v>24</v>
      </c>
      <c r="I1580" s="2">
        <v>17.989999999999998</v>
      </c>
      <c r="J1580">
        <v>1</v>
      </c>
      <c r="K1580" s="2">
        <f t="shared" si="48"/>
        <v>17.989999999999998</v>
      </c>
      <c r="L1580" t="s">
        <v>61</v>
      </c>
      <c r="M1580">
        <v>2</v>
      </c>
      <c r="N1580">
        <v>0.1</v>
      </c>
      <c r="O1580" t="str">
        <f t="shared" si="49"/>
        <v>0–0.2 hours</v>
      </c>
      <c r="P1580" t="s">
        <v>47</v>
      </c>
    </row>
    <row r="1581" spans="1:16" x14ac:dyDescent="0.4">
      <c r="A1581" t="s">
        <v>1622</v>
      </c>
      <c r="B1581">
        <v>60</v>
      </c>
      <c r="C1581" t="s">
        <v>27</v>
      </c>
      <c r="D1581" t="s">
        <v>32</v>
      </c>
      <c r="E1581">
        <v>11.15</v>
      </c>
      <c r="F1581">
        <v>49</v>
      </c>
      <c r="G1581" t="s">
        <v>49</v>
      </c>
      <c r="H1581" t="s">
        <v>55</v>
      </c>
      <c r="I1581" s="2">
        <v>17.989999999999998</v>
      </c>
      <c r="J1581">
        <v>1</v>
      </c>
      <c r="K1581" s="2">
        <f t="shared" si="48"/>
        <v>17.989999999999998</v>
      </c>
      <c r="L1581" t="s">
        <v>29</v>
      </c>
      <c r="M1581">
        <v>5</v>
      </c>
      <c r="N1581">
        <v>0.22</v>
      </c>
      <c r="O1581" t="str">
        <f t="shared" si="49"/>
        <v>0.2–0.4 hours</v>
      </c>
      <c r="P1581" t="s">
        <v>39</v>
      </c>
    </row>
    <row r="1582" spans="1:16" x14ac:dyDescent="0.4">
      <c r="A1582" t="s">
        <v>1623</v>
      </c>
      <c r="B1582">
        <v>31</v>
      </c>
      <c r="C1582" t="s">
        <v>15</v>
      </c>
      <c r="D1582" t="s">
        <v>32</v>
      </c>
      <c r="E1582">
        <v>21.92</v>
      </c>
      <c r="F1582">
        <v>54</v>
      </c>
      <c r="G1582" t="s">
        <v>28</v>
      </c>
      <c r="H1582" t="s">
        <v>18</v>
      </c>
      <c r="I1582" s="2">
        <v>17.989999999999998</v>
      </c>
      <c r="J1582">
        <v>0</v>
      </c>
      <c r="K1582" s="2">
        <f t="shared" si="48"/>
        <v>0</v>
      </c>
      <c r="L1582" t="s">
        <v>43</v>
      </c>
      <c r="M1582">
        <v>3</v>
      </c>
      <c r="N1582">
        <v>0.4</v>
      </c>
      <c r="O1582" t="str">
        <f t="shared" si="49"/>
        <v>0.2–0.4 hours</v>
      </c>
      <c r="P1582" t="s">
        <v>52</v>
      </c>
    </row>
    <row r="1583" spans="1:16" x14ac:dyDescent="0.4">
      <c r="A1583" t="s">
        <v>1624</v>
      </c>
      <c r="B1583">
        <v>31</v>
      </c>
      <c r="C1583" t="s">
        <v>41</v>
      </c>
      <c r="D1583" t="s">
        <v>32</v>
      </c>
      <c r="E1583">
        <v>3.81</v>
      </c>
      <c r="F1583">
        <v>39</v>
      </c>
      <c r="G1583" t="s">
        <v>28</v>
      </c>
      <c r="H1583" t="s">
        <v>18</v>
      </c>
      <c r="I1583" s="2">
        <v>17.989999999999998</v>
      </c>
      <c r="J1583">
        <v>1</v>
      </c>
      <c r="K1583" s="2">
        <f t="shared" si="48"/>
        <v>17.989999999999998</v>
      </c>
      <c r="L1583" t="s">
        <v>29</v>
      </c>
      <c r="M1583">
        <v>1</v>
      </c>
      <c r="N1583">
        <v>0.1</v>
      </c>
      <c r="O1583" t="str">
        <f t="shared" si="49"/>
        <v>0–0.2 hours</v>
      </c>
      <c r="P1583" t="s">
        <v>52</v>
      </c>
    </row>
    <row r="1584" spans="1:16" x14ac:dyDescent="0.4">
      <c r="A1584" t="s">
        <v>1625</v>
      </c>
      <c r="B1584">
        <v>37</v>
      </c>
      <c r="C1584" t="s">
        <v>41</v>
      </c>
      <c r="D1584" t="s">
        <v>22</v>
      </c>
      <c r="E1584">
        <v>0.02</v>
      </c>
      <c r="F1584">
        <v>10</v>
      </c>
      <c r="G1584" t="s">
        <v>23</v>
      </c>
      <c r="H1584" t="s">
        <v>18</v>
      </c>
      <c r="I1584" s="2">
        <v>13.99</v>
      </c>
      <c r="J1584">
        <v>0</v>
      </c>
      <c r="K1584" s="2">
        <f t="shared" si="48"/>
        <v>0</v>
      </c>
      <c r="L1584" t="s">
        <v>43</v>
      </c>
      <c r="M1584">
        <v>5</v>
      </c>
      <c r="N1584">
        <v>0</v>
      </c>
      <c r="O1584" t="str">
        <f t="shared" si="49"/>
        <v>0–0.2 hours</v>
      </c>
      <c r="P1584" t="s">
        <v>25</v>
      </c>
    </row>
    <row r="1585" spans="1:16" x14ac:dyDescent="0.4">
      <c r="A1585" t="s">
        <v>1626</v>
      </c>
      <c r="B1585">
        <v>20</v>
      </c>
      <c r="C1585" t="s">
        <v>15</v>
      </c>
      <c r="D1585" t="s">
        <v>32</v>
      </c>
      <c r="E1585">
        <v>16.64</v>
      </c>
      <c r="F1585">
        <v>40</v>
      </c>
      <c r="G1585" t="s">
        <v>23</v>
      </c>
      <c r="H1585" t="s">
        <v>55</v>
      </c>
      <c r="I1585" s="2">
        <v>17.989999999999998</v>
      </c>
      <c r="J1585">
        <v>1</v>
      </c>
      <c r="K1585" s="2">
        <f t="shared" si="48"/>
        <v>17.989999999999998</v>
      </c>
      <c r="L1585" t="s">
        <v>19</v>
      </c>
      <c r="M1585">
        <v>3</v>
      </c>
      <c r="N1585">
        <v>0.41</v>
      </c>
      <c r="O1585" t="str">
        <f t="shared" si="49"/>
        <v>0.4–0.6 hours</v>
      </c>
      <c r="P1585" t="s">
        <v>30</v>
      </c>
    </row>
    <row r="1586" spans="1:16" x14ac:dyDescent="0.4">
      <c r="A1586" t="s">
        <v>1627</v>
      </c>
      <c r="B1586">
        <v>36</v>
      </c>
      <c r="C1586" t="s">
        <v>41</v>
      </c>
      <c r="D1586" t="s">
        <v>32</v>
      </c>
      <c r="E1586">
        <v>3.24</v>
      </c>
      <c r="F1586">
        <v>53</v>
      </c>
      <c r="G1586" t="s">
        <v>49</v>
      </c>
      <c r="H1586" t="s">
        <v>55</v>
      </c>
      <c r="I1586" s="2">
        <v>17.989999999999998</v>
      </c>
      <c r="J1586">
        <v>1</v>
      </c>
      <c r="K1586" s="2">
        <f t="shared" si="48"/>
        <v>17.989999999999998</v>
      </c>
      <c r="L1586" t="s">
        <v>43</v>
      </c>
      <c r="M1586">
        <v>1</v>
      </c>
      <c r="N1586">
        <v>0.06</v>
      </c>
      <c r="O1586" t="str">
        <f t="shared" si="49"/>
        <v>0–0.2 hours</v>
      </c>
      <c r="P1586" t="s">
        <v>30</v>
      </c>
    </row>
    <row r="1587" spans="1:16" x14ac:dyDescent="0.4">
      <c r="A1587" t="s">
        <v>1628</v>
      </c>
      <c r="B1587">
        <v>43</v>
      </c>
      <c r="C1587" t="s">
        <v>41</v>
      </c>
      <c r="D1587" t="s">
        <v>32</v>
      </c>
      <c r="E1587">
        <v>11.97</v>
      </c>
      <c r="F1587">
        <v>57</v>
      </c>
      <c r="G1587" t="s">
        <v>28</v>
      </c>
      <c r="H1587" t="s">
        <v>57</v>
      </c>
      <c r="I1587" s="2">
        <v>17.989999999999998</v>
      </c>
      <c r="J1587">
        <v>1</v>
      </c>
      <c r="K1587" s="2">
        <f t="shared" si="48"/>
        <v>17.989999999999998</v>
      </c>
      <c r="L1587" t="s">
        <v>37</v>
      </c>
      <c r="M1587">
        <v>2</v>
      </c>
      <c r="N1587">
        <v>0.21</v>
      </c>
      <c r="O1587" t="str">
        <f t="shared" si="49"/>
        <v>0.2–0.4 hours</v>
      </c>
      <c r="P1587" t="s">
        <v>30</v>
      </c>
    </row>
    <row r="1588" spans="1:16" x14ac:dyDescent="0.4">
      <c r="A1588" t="s">
        <v>1629</v>
      </c>
      <c r="B1588">
        <v>25</v>
      </c>
      <c r="C1588" t="s">
        <v>27</v>
      </c>
      <c r="D1588" t="s">
        <v>16</v>
      </c>
      <c r="E1588">
        <v>2.5299999999999998</v>
      </c>
      <c r="F1588">
        <v>25</v>
      </c>
      <c r="G1588" t="s">
        <v>70</v>
      </c>
      <c r="H1588" t="s">
        <v>55</v>
      </c>
      <c r="I1588" s="2">
        <v>8.99</v>
      </c>
      <c r="J1588">
        <v>1</v>
      </c>
      <c r="K1588" s="2">
        <f t="shared" si="48"/>
        <v>8.99</v>
      </c>
      <c r="L1588" t="s">
        <v>37</v>
      </c>
      <c r="M1588">
        <v>1</v>
      </c>
      <c r="N1588">
        <v>0.1</v>
      </c>
      <c r="O1588" t="str">
        <f t="shared" si="49"/>
        <v>0–0.2 hours</v>
      </c>
      <c r="P1588" t="s">
        <v>52</v>
      </c>
    </row>
    <row r="1589" spans="1:16" x14ac:dyDescent="0.4">
      <c r="A1589" t="s">
        <v>1630</v>
      </c>
      <c r="B1589">
        <v>50</v>
      </c>
      <c r="C1589" t="s">
        <v>27</v>
      </c>
      <c r="D1589" t="s">
        <v>22</v>
      </c>
      <c r="E1589">
        <v>8.43</v>
      </c>
      <c r="F1589">
        <v>16</v>
      </c>
      <c r="G1589" t="s">
        <v>23</v>
      </c>
      <c r="H1589" t="s">
        <v>18</v>
      </c>
      <c r="I1589" s="2">
        <v>13.99</v>
      </c>
      <c r="J1589">
        <v>0</v>
      </c>
      <c r="K1589" s="2">
        <f t="shared" si="48"/>
        <v>0</v>
      </c>
      <c r="L1589" t="s">
        <v>43</v>
      </c>
      <c r="M1589">
        <v>3</v>
      </c>
      <c r="N1589">
        <v>0.5</v>
      </c>
      <c r="O1589" t="str">
        <f t="shared" si="49"/>
        <v>0.4–0.6 hours</v>
      </c>
      <c r="P1589" t="s">
        <v>52</v>
      </c>
    </row>
    <row r="1590" spans="1:16" x14ac:dyDescent="0.4">
      <c r="A1590" t="s">
        <v>1631</v>
      </c>
      <c r="B1590">
        <v>70</v>
      </c>
      <c r="C1590" t="s">
        <v>41</v>
      </c>
      <c r="D1590" t="s">
        <v>32</v>
      </c>
      <c r="E1590">
        <v>3.19</v>
      </c>
      <c r="F1590">
        <v>24</v>
      </c>
      <c r="G1590" t="s">
        <v>28</v>
      </c>
      <c r="H1590" t="s">
        <v>55</v>
      </c>
      <c r="I1590" s="2">
        <v>17.989999999999998</v>
      </c>
      <c r="J1590">
        <v>1</v>
      </c>
      <c r="K1590" s="2">
        <f t="shared" si="48"/>
        <v>17.989999999999998</v>
      </c>
      <c r="L1590" t="s">
        <v>29</v>
      </c>
      <c r="M1590">
        <v>2</v>
      </c>
      <c r="N1590">
        <v>0.13</v>
      </c>
      <c r="O1590" t="str">
        <f t="shared" si="49"/>
        <v>0–0.2 hours</v>
      </c>
      <c r="P1590" t="s">
        <v>25</v>
      </c>
    </row>
    <row r="1591" spans="1:16" x14ac:dyDescent="0.4">
      <c r="A1591" t="s">
        <v>1632</v>
      </c>
      <c r="B1591">
        <v>47</v>
      </c>
      <c r="C1591" t="s">
        <v>41</v>
      </c>
      <c r="D1591" t="s">
        <v>32</v>
      </c>
      <c r="E1591">
        <v>9.82</v>
      </c>
      <c r="F1591">
        <v>55</v>
      </c>
      <c r="G1591" t="s">
        <v>70</v>
      </c>
      <c r="H1591" t="s">
        <v>24</v>
      </c>
      <c r="I1591" s="2">
        <v>17.989999999999998</v>
      </c>
      <c r="J1591">
        <v>0</v>
      </c>
      <c r="K1591" s="2">
        <f t="shared" si="48"/>
        <v>0</v>
      </c>
      <c r="L1591" t="s">
        <v>37</v>
      </c>
      <c r="M1591">
        <v>5</v>
      </c>
      <c r="N1591">
        <v>0.18</v>
      </c>
      <c r="O1591" t="str">
        <f t="shared" si="49"/>
        <v>0–0.2 hours</v>
      </c>
      <c r="P1591" t="s">
        <v>30</v>
      </c>
    </row>
    <row r="1592" spans="1:16" x14ac:dyDescent="0.4">
      <c r="A1592" t="s">
        <v>1633</v>
      </c>
      <c r="B1592">
        <v>42</v>
      </c>
      <c r="C1592" t="s">
        <v>27</v>
      </c>
      <c r="D1592" t="s">
        <v>16</v>
      </c>
      <c r="E1592">
        <v>1.52</v>
      </c>
      <c r="F1592">
        <v>48</v>
      </c>
      <c r="G1592" t="s">
        <v>17</v>
      </c>
      <c r="H1592" t="s">
        <v>57</v>
      </c>
      <c r="I1592" s="2">
        <v>8.99</v>
      </c>
      <c r="J1592">
        <v>1</v>
      </c>
      <c r="K1592" s="2">
        <f t="shared" si="48"/>
        <v>8.99</v>
      </c>
      <c r="L1592" t="s">
        <v>37</v>
      </c>
      <c r="M1592">
        <v>5</v>
      </c>
      <c r="N1592">
        <v>0.03</v>
      </c>
      <c r="O1592" t="str">
        <f t="shared" si="49"/>
        <v>0–0.2 hours</v>
      </c>
      <c r="P1592" t="s">
        <v>39</v>
      </c>
    </row>
    <row r="1593" spans="1:16" x14ac:dyDescent="0.4">
      <c r="A1593" t="s">
        <v>1634</v>
      </c>
      <c r="B1593">
        <v>57</v>
      </c>
      <c r="C1593" t="s">
        <v>41</v>
      </c>
      <c r="D1593" t="s">
        <v>32</v>
      </c>
      <c r="E1593">
        <v>24.49</v>
      </c>
      <c r="F1593">
        <v>46</v>
      </c>
      <c r="G1593" t="s">
        <v>33</v>
      </c>
      <c r="H1593" t="s">
        <v>18</v>
      </c>
      <c r="I1593" s="2">
        <v>17.989999999999998</v>
      </c>
      <c r="J1593">
        <v>0</v>
      </c>
      <c r="K1593" s="2">
        <f t="shared" si="48"/>
        <v>0</v>
      </c>
      <c r="L1593" t="s">
        <v>19</v>
      </c>
      <c r="M1593">
        <v>4</v>
      </c>
      <c r="N1593">
        <v>0.52</v>
      </c>
      <c r="O1593" t="str">
        <f t="shared" si="49"/>
        <v>0.4–0.6 hours</v>
      </c>
      <c r="P1593" t="s">
        <v>20</v>
      </c>
    </row>
    <row r="1594" spans="1:16" x14ac:dyDescent="0.4">
      <c r="A1594" t="s">
        <v>1635</v>
      </c>
      <c r="B1594">
        <v>69</v>
      </c>
      <c r="C1594" t="s">
        <v>27</v>
      </c>
      <c r="D1594" t="s">
        <v>22</v>
      </c>
      <c r="E1594">
        <v>3.35</v>
      </c>
      <c r="F1594">
        <v>5</v>
      </c>
      <c r="G1594" t="s">
        <v>23</v>
      </c>
      <c r="H1594" t="s">
        <v>46</v>
      </c>
      <c r="I1594" s="2">
        <v>13.99</v>
      </c>
      <c r="J1594">
        <v>0</v>
      </c>
      <c r="K1594" s="2">
        <f t="shared" si="48"/>
        <v>0</v>
      </c>
      <c r="L1594" t="s">
        <v>19</v>
      </c>
      <c r="M1594">
        <v>4</v>
      </c>
      <c r="N1594">
        <v>0.56000000000000005</v>
      </c>
      <c r="O1594" t="str">
        <f t="shared" si="49"/>
        <v>0.4–0.6 hours</v>
      </c>
      <c r="P1594" t="s">
        <v>20</v>
      </c>
    </row>
    <row r="1595" spans="1:16" x14ac:dyDescent="0.4">
      <c r="A1595" t="s">
        <v>1636</v>
      </c>
      <c r="B1595">
        <v>55</v>
      </c>
      <c r="C1595" t="s">
        <v>41</v>
      </c>
      <c r="D1595" t="s">
        <v>32</v>
      </c>
      <c r="E1595">
        <v>1.2</v>
      </c>
      <c r="F1595">
        <v>32</v>
      </c>
      <c r="G1595" t="s">
        <v>23</v>
      </c>
      <c r="H1595" t="s">
        <v>55</v>
      </c>
      <c r="I1595" s="2">
        <v>17.989999999999998</v>
      </c>
      <c r="J1595">
        <v>1</v>
      </c>
      <c r="K1595" s="2">
        <f t="shared" si="48"/>
        <v>17.989999999999998</v>
      </c>
      <c r="L1595" t="s">
        <v>61</v>
      </c>
      <c r="M1595">
        <v>4</v>
      </c>
      <c r="N1595">
        <v>0.04</v>
      </c>
      <c r="O1595" t="str">
        <f t="shared" si="49"/>
        <v>0–0.2 hours</v>
      </c>
      <c r="P1595" t="s">
        <v>30</v>
      </c>
    </row>
    <row r="1596" spans="1:16" x14ac:dyDescent="0.4">
      <c r="A1596" t="s">
        <v>1637</v>
      </c>
      <c r="B1596">
        <v>40</v>
      </c>
      <c r="C1596" t="s">
        <v>41</v>
      </c>
      <c r="D1596" t="s">
        <v>32</v>
      </c>
      <c r="E1596">
        <v>4.68</v>
      </c>
      <c r="F1596">
        <v>5</v>
      </c>
      <c r="G1596" t="s">
        <v>23</v>
      </c>
      <c r="H1596" t="s">
        <v>57</v>
      </c>
      <c r="I1596" s="2">
        <v>17.989999999999998</v>
      </c>
      <c r="J1596">
        <v>0</v>
      </c>
      <c r="K1596" s="2">
        <f t="shared" si="48"/>
        <v>0</v>
      </c>
      <c r="L1596" t="s">
        <v>37</v>
      </c>
      <c r="M1596">
        <v>4</v>
      </c>
      <c r="N1596">
        <v>0.78</v>
      </c>
      <c r="O1596" t="str">
        <f t="shared" si="49"/>
        <v>0.6–0.8 hours</v>
      </c>
      <c r="P1596" t="s">
        <v>34</v>
      </c>
    </row>
    <row r="1597" spans="1:16" x14ac:dyDescent="0.4">
      <c r="A1597" t="s">
        <v>1638</v>
      </c>
      <c r="B1597">
        <v>52</v>
      </c>
      <c r="C1597" t="s">
        <v>41</v>
      </c>
      <c r="D1597" t="s">
        <v>22</v>
      </c>
      <c r="E1597">
        <v>17.260000000000002</v>
      </c>
      <c r="F1597">
        <v>58</v>
      </c>
      <c r="G1597" t="s">
        <v>70</v>
      </c>
      <c r="H1597" t="s">
        <v>24</v>
      </c>
      <c r="I1597" s="2">
        <v>13.99</v>
      </c>
      <c r="J1597">
        <v>1</v>
      </c>
      <c r="K1597" s="2">
        <f t="shared" si="48"/>
        <v>13.99</v>
      </c>
      <c r="L1597" t="s">
        <v>29</v>
      </c>
      <c r="M1597">
        <v>4</v>
      </c>
      <c r="N1597">
        <v>0.28999999999999998</v>
      </c>
      <c r="O1597" t="str">
        <f t="shared" si="49"/>
        <v>0.2–0.4 hours</v>
      </c>
      <c r="P1597" t="s">
        <v>47</v>
      </c>
    </row>
    <row r="1598" spans="1:16" x14ac:dyDescent="0.4">
      <c r="A1598" t="s">
        <v>1639</v>
      </c>
      <c r="B1598">
        <v>49</v>
      </c>
      <c r="C1598" t="s">
        <v>27</v>
      </c>
      <c r="D1598" t="s">
        <v>22</v>
      </c>
      <c r="E1598">
        <v>11.88</v>
      </c>
      <c r="F1598">
        <v>41</v>
      </c>
      <c r="G1598" t="s">
        <v>28</v>
      </c>
      <c r="H1598" t="s">
        <v>55</v>
      </c>
      <c r="I1598" s="2">
        <v>13.99</v>
      </c>
      <c r="J1598">
        <v>0</v>
      </c>
      <c r="K1598" s="2">
        <f t="shared" si="48"/>
        <v>0</v>
      </c>
      <c r="L1598" t="s">
        <v>61</v>
      </c>
      <c r="M1598">
        <v>4</v>
      </c>
      <c r="N1598">
        <v>0.28000000000000003</v>
      </c>
      <c r="O1598" t="str">
        <f t="shared" si="49"/>
        <v>0.2–0.4 hours</v>
      </c>
      <c r="P1598" t="s">
        <v>34</v>
      </c>
    </row>
    <row r="1599" spans="1:16" x14ac:dyDescent="0.4">
      <c r="A1599" t="s">
        <v>1640</v>
      </c>
      <c r="B1599">
        <v>61</v>
      </c>
      <c r="C1599" t="s">
        <v>15</v>
      </c>
      <c r="D1599" t="s">
        <v>32</v>
      </c>
      <c r="E1599">
        <v>4.58</v>
      </c>
      <c r="F1599">
        <v>33</v>
      </c>
      <c r="G1599" t="s">
        <v>23</v>
      </c>
      <c r="H1599" t="s">
        <v>24</v>
      </c>
      <c r="I1599" s="2">
        <v>17.989999999999998</v>
      </c>
      <c r="J1599">
        <v>1</v>
      </c>
      <c r="K1599" s="2">
        <f t="shared" si="48"/>
        <v>17.989999999999998</v>
      </c>
      <c r="L1599" t="s">
        <v>19</v>
      </c>
      <c r="M1599">
        <v>4</v>
      </c>
      <c r="N1599">
        <v>0.13</v>
      </c>
      <c r="O1599" t="str">
        <f t="shared" si="49"/>
        <v>0–0.2 hours</v>
      </c>
      <c r="P1599" t="s">
        <v>47</v>
      </c>
    </row>
    <row r="1600" spans="1:16" x14ac:dyDescent="0.4">
      <c r="A1600" t="s">
        <v>1641</v>
      </c>
      <c r="B1600">
        <v>63</v>
      </c>
      <c r="C1600" t="s">
        <v>15</v>
      </c>
      <c r="D1600" t="s">
        <v>32</v>
      </c>
      <c r="E1600">
        <v>3.98</v>
      </c>
      <c r="F1600">
        <v>43</v>
      </c>
      <c r="G1600" t="s">
        <v>28</v>
      </c>
      <c r="H1600" t="s">
        <v>46</v>
      </c>
      <c r="I1600" s="2">
        <v>17.989999999999998</v>
      </c>
      <c r="J1600">
        <v>1</v>
      </c>
      <c r="K1600" s="2">
        <f t="shared" si="48"/>
        <v>17.989999999999998</v>
      </c>
      <c r="L1600" t="s">
        <v>43</v>
      </c>
      <c r="M1600">
        <v>2</v>
      </c>
      <c r="N1600">
        <v>0.09</v>
      </c>
      <c r="O1600" t="str">
        <f t="shared" si="49"/>
        <v>0–0.2 hours</v>
      </c>
      <c r="P1600" t="s">
        <v>34</v>
      </c>
    </row>
    <row r="1601" spans="1:16" x14ac:dyDescent="0.4">
      <c r="A1601" t="s">
        <v>1642</v>
      </c>
      <c r="B1601">
        <v>66</v>
      </c>
      <c r="C1601" t="s">
        <v>41</v>
      </c>
      <c r="D1601" t="s">
        <v>16</v>
      </c>
      <c r="E1601">
        <v>8.68</v>
      </c>
      <c r="F1601">
        <v>50</v>
      </c>
      <c r="G1601" t="s">
        <v>33</v>
      </c>
      <c r="H1601" t="s">
        <v>24</v>
      </c>
      <c r="I1601" s="2">
        <v>8.99</v>
      </c>
      <c r="J1601">
        <v>1</v>
      </c>
      <c r="K1601" s="2">
        <f t="shared" si="48"/>
        <v>8.99</v>
      </c>
      <c r="L1601" t="s">
        <v>43</v>
      </c>
      <c r="M1601">
        <v>3</v>
      </c>
      <c r="N1601">
        <v>0.17</v>
      </c>
      <c r="O1601" t="str">
        <f t="shared" si="49"/>
        <v>0–0.2 hours</v>
      </c>
      <c r="P1601" t="s">
        <v>25</v>
      </c>
    </row>
    <row r="1602" spans="1:16" x14ac:dyDescent="0.4">
      <c r="A1602" t="s">
        <v>1643</v>
      </c>
      <c r="B1602">
        <v>65</v>
      </c>
      <c r="C1602" t="s">
        <v>27</v>
      </c>
      <c r="D1602" t="s">
        <v>32</v>
      </c>
      <c r="E1602">
        <v>10.55</v>
      </c>
      <c r="F1602">
        <v>25</v>
      </c>
      <c r="G1602" t="s">
        <v>17</v>
      </c>
      <c r="H1602" t="s">
        <v>46</v>
      </c>
      <c r="I1602" s="2">
        <v>17.989999999999998</v>
      </c>
      <c r="J1602">
        <v>0</v>
      </c>
      <c r="K1602" s="2">
        <f t="shared" si="48"/>
        <v>0</v>
      </c>
      <c r="L1602" t="s">
        <v>19</v>
      </c>
      <c r="M1602">
        <v>5</v>
      </c>
      <c r="N1602">
        <v>0.41</v>
      </c>
      <c r="O1602" t="str">
        <f t="shared" si="49"/>
        <v>0.4–0.6 hours</v>
      </c>
      <c r="P1602" t="s">
        <v>30</v>
      </c>
    </row>
    <row r="1603" spans="1:16" x14ac:dyDescent="0.4">
      <c r="A1603" t="s">
        <v>1644</v>
      </c>
      <c r="B1603">
        <v>47</v>
      </c>
      <c r="C1603" t="s">
        <v>27</v>
      </c>
      <c r="D1603" t="s">
        <v>22</v>
      </c>
      <c r="E1603">
        <v>0.55000000000000004</v>
      </c>
      <c r="F1603">
        <v>40</v>
      </c>
      <c r="G1603" t="s">
        <v>28</v>
      </c>
      <c r="H1603" t="s">
        <v>18</v>
      </c>
      <c r="I1603" s="2">
        <v>13.99</v>
      </c>
      <c r="J1603">
        <v>1</v>
      </c>
      <c r="K1603" s="2">
        <f t="shared" ref="K1603:K1666" si="50">SUMIF(J1603,1,I1603)</f>
        <v>13.99</v>
      </c>
      <c r="L1603" t="s">
        <v>43</v>
      </c>
      <c r="M1603">
        <v>3</v>
      </c>
      <c r="N1603">
        <v>0.01</v>
      </c>
      <c r="O1603" t="str">
        <f t="shared" ref="O1603:O1666" si="51">IF(N1603&gt;1,"1+ hours",IF(N1603&lt;=0.2,"0–0.2 hours",IF(N1603&lt;=0.4,"0.2–0.4 hours",IF(N1603&lt;=0.6,"0.4–0.6 hours",IF(N1603&lt;=0.8,"0.6–0.8 hours","0.8–1 hour")))))</f>
        <v>0–0.2 hours</v>
      </c>
      <c r="P1603" t="s">
        <v>34</v>
      </c>
    </row>
    <row r="1604" spans="1:16" x14ac:dyDescent="0.4">
      <c r="A1604" t="s">
        <v>1645</v>
      </c>
      <c r="B1604">
        <v>47</v>
      </c>
      <c r="C1604" t="s">
        <v>27</v>
      </c>
      <c r="D1604" t="s">
        <v>16</v>
      </c>
      <c r="E1604">
        <v>4.6900000000000004</v>
      </c>
      <c r="F1604">
        <v>46</v>
      </c>
      <c r="G1604" t="s">
        <v>23</v>
      </c>
      <c r="H1604" t="s">
        <v>46</v>
      </c>
      <c r="I1604" s="2">
        <v>8.99</v>
      </c>
      <c r="J1604">
        <v>1</v>
      </c>
      <c r="K1604" s="2">
        <f t="shared" si="50"/>
        <v>8.99</v>
      </c>
      <c r="L1604" t="s">
        <v>29</v>
      </c>
      <c r="M1604">
        <v>2</v>
      </c>
      <c r="N1604">
        <v>0.1</v>
      </c>
      <c r="O1604" t="str">
        <f t="shared" si="51"/>
        <v>0–0.2 hours</v>
      </c>
      <c r="P1604" t="s">
        <v>25</v>
      </c>
    </row>
    <row r="1605" spans="1:16" x14ac:dyDescent="0.4">
      <c r="A1605" t="s">
        <v>1646</v>
      </c>
      <c r="B1605">
        <v>45</v>
      </c>
      <c r="C1605" t="s">
        <v>15</v>
      </c>
      <c r="D1605" t="s">
        <v>22</v>
      </c>
      <c r="E1605">
        <v>26.82</v>
      </c>
      <c r="F1605">
        <v>41</v>
      </c>
      <c r="G1605" t="s">
        <v>33</v>
      </c>
      <c r="H1605" t="s">
        <v>24</v>
      </c>
      <c r="I1605" s="2">
        <v>13.99</v>
      </c>
      <c r="J1605">
        <v>0</v>
      </c>
      <c r="K1605" s="2">
        <f t="shared" si="50"/>
        <v>0</v>
      </c>
      <c r="L1605" t="s">
        <v>61</v>
      </c>
      <c r="M1605">
        <v>5</v>
      </c>
      <c r="N1605">
        <v>0.64</v>
      </c>
      <c r="O1605" t="str">
        <f t="shared" si="51"/>
        <v>0.6–0.8 hours</v>
      </c>
      <c r="P1605" t="s">
        <v>39</v>
      </c>
    </row>
    <row r="1606" spans="1:16" x14ac:dyDescent="0.4">
      <c r="A1606" t="s">
        <v>1647</v>
      </c>
      <c r="B1606">
        <v>68</v>
      </c>
      <c r="C1606" t="s">
        <v>27</v>
      </c>
      <c r="D1606" t="s">
        <v>16</v>
      </c>
      <c r="E1606">
        <v>3.07</v>
      </c>
      <c r="F1606">
        <v>49</v>
      </c>
      <c r="G1606" t="s">
        <v>49</v>
      </c>
      <c r="H1606" t="s">
        <v>46</v>
      </c>
      <c r="I1606" s="2">
        <v>8.99</v>
      </c>
      <c r="J1606">
        <v>1</v>
      </c>
      <c r="K1606" s="2">
        <f t="shared" si="50"/>
        <v>8.99</v>
      </c>
      <c r="L1606" t="s">
        <v>61</v>
      </c>
      <c r="M1606">
        <v>3</v>
      </c>
      <c r="N1606">
        <v>0.06</v>
      </c>
      <c r="O1606" t="str">
        <f t="shared" si="51"/>
        <v>0–0.2 hours</v>
      </c>
      <c r="P1606" t="s">
        <v>39</v>
      </c>
    </row>
    <row r="1607" spans="1:16" x14ac:dyDescent="0.4">
      <c r="A1607" t="s">
        <v>1648</v>
      </c>
      <c r="B1607">
        <v>70</v>
      </c>
      <c r="C1607" t="s">
        <v>15</v>
      </c>
      <c r="D1607" t="s">
        <v>22</v>
      </c>
      <c r="E1607">
        <v>25.23</v>
      </c>
      <c r="F1607">
        <v>7</v>
      </c>
      <c r="G1607" t="s">
        <v>33</v>
      </c>
      <c r="H1607" t="s">
        <v>46</v>
      </c>
      <c r="I1607" s="2">
        <v>13.99</v>
      </c>
      <c r="J1607">
        <v>0</v>
      </c>
      <c r="K1607" s="2">
        <f t="shared" si="50"/>
        <v>0</v>
      </c>
      <c r="L1607" t="s">
        <v>19</v>
      </c>
      <c r="M1607">
        <v>3</v>
      </c>
      <c r="N1607">
        <v>3.15</v>
      </c>
      <c r="O1607" t="str">
        <f t="shared" si="51"/>
        <v>1+ hours</v>
      </c>
      <c r="P1607" t="s">
        <v>47</v>
      </c>
    </row>
    <row r="1608" spans="1:16" x14ac:dyDescent="0.4">
      <c r="A1608" t="s">
        <v>1649</v>
      </c>
      <c r="B1608">
        <v>48</v>
      </c>
      <c r="C1608" t="s">
        <v>41</v>
      </c>
      <c r="D1608" t="s">
        <v>16</v>
      </c>
      <c r="E1608">
        <v>0.31</v>
      </c>
      <c r="F1608">
        <v>37</v>
      </c>
      <c r="G1608" t="s">
        <v>28</v>
      </c>
      <c r="H1608" t="s">
        <v>24</v>
      </c>
      <c r="I1608" s="2">
        <v>8.99</v>
      </c>
      <c r="J1608">
        <v>1</v>
      </c>
      <c r="K1608" s="2">
        <f t="shared" si="50"/>
        <v>8.99</v>
      </c>
      <c r="L1608" t="s">
        <v>29</v>
      </c>
      <c r="M1608">
        <v>2</v>
      </c>
      <c r="N1608">
        <v>0.01</v>
      </c>
      <c r="O1608" t="str">
        <f t="shared" si="51"/>
        <v>0–0.2 hours</v>
      </c>
      <c r="P1608" t="s">
        <v>20</v>
      </c>
    </row>
    <row r="1609" spans="1:16" x14ac:dyDescent="0.4">
      <c r="A1609" t="s">
        <v>1650</v>
      </c>
      <c r="B1609">
        <v>26</v>
      </c>
      <c r="C1609" t="s">
        <v>27</v>
      </c>
      <c r="D1609" t="s">
        <v>16</v>
      </c>
      <c r="E1609">
        <v>28.65</v>
      </c>
      <c r="F1609">
        <v>15</v>
      </c>
      <c r="G1609" t="s">
        <v>23</v>
      </c>
      <c r="H1609" t="s">
        <v>46</v>
      </c>
      <c r="I1609" s="2">
        <v>8.99</v>
      </c>
      <c r="J1609">
        <v>0</v>
      </c>
      <c r="K1609" s="2">
        <f t="shared" si="50"/>
        <v>0</v>
      </c>
      <c r="L1609" t="s">
        <v>61</v>
      </c>
      <c r="M1609">
        <v>4</v>
      </c>
      <c r="N1609">
        <v>1.79</v>
      </c>
      <c r="O1609" t="str">
        <f t="shared" si="51"/>
        <v>1+ hours</v>
      </c>
      <c r="P1609" t="s">
        <v>52</v>
      </c>
    </row>
    <row r="1610" spans="1:16" x14ac:dyDescent="0.4">
      <c r="A1610" t="s">
        <v>1651</v>
      </c>
      <c r="B1610">
        <v>66</v>
      </c>
      <c r="C1610" t="s">
        <v>41</v>
      </c>
      <c r="D1610" t="s">
        <v>32</v>
      </c>
      <c r="E1610">
        <v>5.17</v>
      </c>
      <c r="F1610">
        <v>18</v>
      </c>
      <c r="G1610" t="s">
        <v>70</v>
      </c>
      <c r="H1610" t="s">
        <v>46</v>
      </c>
      <c r="I1610" s="2">
        <v>17.989999999999998</v>
      </c>
      <c r="J1610">
        <v>0</v>
      </c>
      <c r="K1610" s="2">
        <f t="shared" si="50"/>
        <v>0</v>
      </c>
      <c r="L1610" t="s">
        <v>19</v>
      </c>
      <c r="M1610">
        <v>3</v>
      </c>
      <c r="N1610">
        <v>0.27</v>
      </c>
      <c r="O1610" t="str">
        <f t="shared" si="51"/>
        <v>0.2–0.4 hours</v>
      </c>
      <c r="P1610" t="s">
        <v>30</v>
      </c>
    </row>
    <row r="1611" spans="1:16" x14ac:dyDescent="0.4">
      <c r="A1611" t="s">
        <v>1652</v>
      </c>
      <c r="B1611">
        <v>34</v>
      </c>
      <c r="C1611" t="s">
        <v>41</v>
      </c>
      <c r="D1611" t="s">
        <v>16</v>
      </c>
      <c r="E1611">
        <v>1.82</v>
      </c>
      <c r="F1611">
        <v>60</v>
      </c>
      <c r="G1611" t="s">
        <v>70</v>
      </c>
      <c r="H1611" t="s">
        <v>24</v>
      </c>
      <c r="I1611" s="2">
        <v>8.99</v>
      </c>
      <c r="J1611">
        <v>1</v>
      </c>
      <c r="K1611" s="2">
        <f t="shared" si="50"/>
        <v>8.99</v>
      </c>
      <c r="L1611" t="s">
        <v>37</v>
      </c>
      <c r="M1611">
        <v>1</v>
      </c>
      <c r="N1611">
        <v>0.03</v>
      </c>
      <c r="O1611" t="str">
        <f t="shared" si="51"/>
        <v>0–0.2 hours</v>
      </c>
      <c r="P1611" t="s">
        <v>39</v>
      </c>
    </row>
    <row r="1612" spans="1:16" x14ac:dyDescent="0.4">
      <c r="A1612" t="s">
        <v>1653</v>
      </c>
      <c r="B1612">
        <v>48</v>
      </c>
      <c r="C1612" t="s">
        <v>41</v>
      </c>
      <c r="D1612" t="s">
        <v>16</v>
      </c>
      <c r="E1612">
        <v>34.5</v>
      </c>
      <c r="F1612">
        <v>42</v>
      </c>
      <c r="G1612" t="s">
        <v>70</v>
      </c>
      <c r="H1612" t="s">
        <v>24</v>
      </c>
      <c r="I1612" s="2">
        <v>8.99</v>
      </c>
      <c r="J1612">
        <v>0</v>
      </c>
      <c r="K1612" s="2">
        <f t="shared" si="50"/>
        <v>0</v>
      </c>
      <c r="L1612" t="s">
        <v>19</v>
      </c>
      <c r="M1612">
        <v>5</v>
      </c>
      <c r="N1612">
        <v>0.8</v>
      </c>
      <c r="O1612" t="str">
        <f t="shared" si="51"/>
        <v>0.6–0.8 hours</v>
      </c>
      <c r="P1612" t="s">
        <v>52</v>
      </c>
    </row>
    <row r="1613" spans="1:16" x14ac:dyDescent="0.4">
      <c r="A1613" t="s">
        <v>1654</v>
      </c>
      <c r="B1613">
        <v>68</v>
      </c>
      <c r="C1613" t="s">
        <v>27</v>
      </c>
      <c r="D1613" t="s">
        <v>22</v>
      </c>
      <c r="E1613">
        <v>18.07</v>
      </c>
      <c r="F1613">
        <v>1</v>
      </c>
      <c r="G1613" t="s">
        <v>28</v>
      </c>
      <c r="H1613" t="s">
        <v>18</v>
      </c>
      <c r="I1613" s="2">
        <v>13.99</v>
      </c>
      <c r="J1613">
        <v>0</v>
      </c>
      <c r="K1613" s="2">
        <f t="shared" si="50"/>
        <v>0</v>
      </c>
      <c r="L1613" t="s">
        <v>29</v>
      </c>
      <c r="M1613">
        <v>3</v>
      </c>
      <c r="N1613">
        <v>9.0399999999999991</v>
      </c>
      <c r="O1613" t="str">
        <f t="shared" si="51"/>
        <v>1+ hours</v>
      </c>
      <c r="P1613" t="s">
        <v>34</v>
      </c>
    </row>
    <row r="1614" spans="1:16" x14ac:dyDescent="0.4">
      <c r="A1614" t="s">
        <v>1655</v>
      </c>
      <c r="B1614">
        <v>36</v>
      </c>
      <c r="C1614" t="s">
        <v>41</v>
      </c>
      <c r="D1614" t="s">
        <v>22</v>
      </c>
      <c r="E1614">
        <v>15.05</v>
      </c>
      <c r="F1614">
        <v>37</v>
      </c>
      <c r="G1614" t="s">
        <v>17</v>
      </c>
      <c r="H1614" t="s">
        <v>55</v>
      </c>
      <c r="I1614" s="2">
        <v>13.99</v>
      </c>
      <c r="J1614">
        <v>1</v>
      </c>
      <c r="K1614" s="2">
        <f t="shared" si="50"/>
        <v>13.99</v>
      </c>
      <c r="L1614" t="s">
        <v>29</v>
      </c>
      <c r="M1614">
        <v>2</v>
      </c>
      <c r="N1614">
        <v>0.4</v>
      </c>
      <c r="O1614" t="str">
        <f t="shared" si="51"/>
        <v>0.2–0.4 hours</v>
      </c>
      <c r="P1614" t="s">
        <v>39</v>
      </c>
    </row>
    <row r="1615" spans="1:16" x14ac:dyDescent="0.4">
      <c r="A1615" t="s">
        <v>1656</v>
      </c>
      <c r="B1615">
        <v>67</v>
      </c>
      <c r="C1615" t="s">
        <v>15</v>
      </c>
      <c r="D1615" t="s">
        <v>16</v>
      </c>
      <c r="E1615">
        <v>10.82</v>
      </c>
      <c r="F1615">
        <v>53</v>
      </c>
      <c r="G1615" t="s">
        <v>49</v>
      </c>
      <c r="H1615" t="s">
        <v>18</v>
      </c>
      <c r="I1615" s="2">
        <v>8.99</v>
      </c>
      <c r="J1615">
        <v>1</v>
      </c>
      <c r="K1615" s="2">
        <f t="shared" si="50"/>
        <v>8.99</v>
      </c>
      <c r="L1615" t="s">
        <v>19</v>
      </c>
      <c r="M1615">
        <v>5</v>
      </c>
      <c r="N1615">
        <v>0.2</v>
      </c>
      <c r="O1615" t="str">
        <f t="shared" si="51"/>
        <v>0–0.2 hours</v>
      </c>
      <c r="P1615" t="s">
        <v>25</v>
      </c>
    </row>
    <row r="1616" spans="1:16" x14ac:dyDescent="0.4">
      <c r="A1616" t="s">
        <v>1657</v>
      </c>
      <c r="B1616">
        <v>22</v>
      </c>
      <c r="C1616" t="s">
        <v>41</v>
      </c>
      <c r="D1616" t="s">
        <v>22</v>
      </c>
      <c r="E1616">
        <v>4.84</v>
      </c>
      <c r="F1616">
        <v>32</v>
      </c>
      <c r="G1616" t="s">
        <v>49</v>
      </c>
      <c r="H1616" t="s">
        <v>24</v>
      </c>
      <c r="I1616" s="2">
        <v>13.99</v>
      </c>
      <c r="J1616">
        <v>1</v>
      </c>
      <c r="K1616" s="2">
        <f t="shared" si="50"/>
        <v>13.99</v>
      </c>
      <c r="L1616" t="s">
        <v>37</v>
      </c>
      <c r="M1616">
        <v>3</v>
      </c>
      <c r="N1616">
        <v>0.15</v>
      </c>
      <c r="O1616" t="str">
        <f t="shared" si="51"/>
        <v>0–0.2 hours</v>
      </c>
      <c r="P1616" t="s">
        <v>20</v>
      </c>
    </row>
    <row r="1617" spans="1:16" x14ac:dyDescent="0.4">
      <c r="A1617" t="s">
        <v>1658</v>
      </c>
      <c r="B1617">
        <v>45</v>
      </c>
      <c r="C1617" t="s">
        <v>41</v>
      </c>
      <c r="D1617" t="s">
        <v>16</v>
      </c>
      <c r="E1617">
        <v>9.31</v>
      </c>
      <c r="F1617">
        <v>51</v>
      </c>
      <c r="G1617" t="s">
        <v>17</v>
      </c>
      <c r="H1617" t="s">
        <v>57</v>
      </c>
      <c r="I1617" s="2">
        <v>8.99</v>
      </c>
      <c r="J1617">
        <v>1</v>
      </c>
      <c r="K1617" s="2">
        <f t="shared" si="50"/>
        <v>8.99</v>
      </c>
      <c r="L1617" t="s">
        <v>43</v>
      </c>
      <c r="M1617">
        <v>2</v>
      </c>
      <c r="N1617">
        <v>0.18</v>
      </c>
      <c r="O1617" t="str">
        <f t="shared" si="51"/>
        <v>0–0.2 hours</v>
      </c>
      <c r="P1617" t="s">
        <v>39</v>
      </c>
    </row>
    <row r="1618" spans="1:16" x14ac:dyDescent="0.4">
      <c r="A1618" t="s">
        <v>1659</v>
      </c>
      <c r="B1618">
        <v>61</v>
      </c>
      <c r="C1618" t="s">
        <v>27</v>
      </c>
      <c r="D1618" t="s">
        <v>22</v>
      </c>
      <c r="E1618">
        <v>2.27</v>
      </c>
      <c r="F1618">
        <v>27</v>
      </c>
      <c r="G1618" t="s">
        <v>33</v>
      </c>
      <c r="H1618" t="s">
        <v>55</v>
      </c>
      <c r="I1618" s="2">
        <v>13.99</v>
      </c>
      <c r="J1618">
        <v>1</v>
      </c>
      <c r="K1618" s="2">
        <f t="shared" si="50"/>
        <v>13.99</v>
      </c>
      <c r="L1618" t="s">
        <v>61</v>
      </c>
      <c r="M1618">
        <v>3</v>
      </c>
      <c r="N1618">
        <v>0.08</v>
      </c>
      <c r="O1618" t="str">
        <f t="shared" si="51"/>
        <v>0–0.2 hours</v>
      </c>
      <c r="P1618" t="s">
        <v>52</v>
      </c>
    </row>
    <row r="1619" spans="1:16" x14ac:dyDescent="0.4">
      <c r="A1619" t="s">
        <v>1660</v>
      </c>
      <c r="B1619">
        <v>70</v>
      </c>
      <c r="C1619" t="s">
        <v>15</v>
      </c>
      <c r="D1619" t="s">
        <v>32</v>
      </c>
      <c r="E1619">
        <v>18.73</v>
      </c>
      <c r="F1619">
        <v>41</v>
      </c>
      <c r="G1619" t="s">
        <v>28</v>
      </c>
      <c r="H1619" t="s">
        <v>46</v>
      </c>
      <c r="I1619" s="2">
        <v>17.989999999999998</v>
      </c>
      <c r="J1619">
        <v>1</v>
      </c>
      <c r="K1619" s="2">
        <f t="shared" si="50"/>
        <v>17.989999999999998</v>
      </c>
      <c r="L1619" t="s">
        <v>29</v>
      </c>
      <c r="M1619">
        <v>4</v>
      </c>
      <c r="N1619">
        <v>0.45</v>
      </c>
      <c r="O1619" t="str">
        <f t="shared" si="51"/>
        <v>0.4–0.6 hours</v>
      </c>
      <c r="P1619" t="s">
        <v>39</v>
      </c>
    </row>
    <row r="1620" spans="1:16" x14ac:dyDescent="0.4">
      <c r="A1620" t="s">
        <v>1661</v>
      </c>
      <c r="B1620">
        <v>35</v>
      </c>
      <c r="C1620" t="s">
        <v>41</v>
      </c>
      <c r="D1620" t="s">
        <v>32</v>
      </c>
      <c r="E1620">
        <v>16.78</v>
      </c>
      <c r="F1620">
        <v>15</v>
      </c>
      <c r="G1620" t="s">
        <v>33</v>
      </c>
      <c r="H1620" t="s">
        <v>46</v>
      </c>
      <c r="I1620" s="2">
        <v>17.989999999999998</v>
      </c>
      <c r="J1620">
        <v>0</v>
      </c>
      <c r="K1620" s="2">
        <f t="shared" si="50"/>
        <v>0</v>
      </c>
      <c r="L1620" t="s">
        <v>43</v>
      </c>
      <c r="M1620">
        <v>2</v>
      </c>
      <c r="N1620">
        <v>1.05</v>
      </c>
      <c r="O1620" t="str">
        <f t="shared" si="51"/>
        <v>1+ hours</v>
      </c>
      <c r="P1620" t="s">
        <v>52</v>
      </c>
    </row>
    <row r="1621" spans="1:16" x14ac:dyDescent="0.4">
      <c r="A1621" t="s">
        <v>1662</v>
      </c>
      <c r="B1621">
        <v>37</v>
      </c>
      <c r="C1621" t="s">
        <v>15</v>
      </c>
      <c r="D1621" t="s">
        <v>16</v>
      </c>
      <c r="E1621">
        <v>24.82</v>
      </c>
      <c r="F1621">
        <v>46</v>
      </c>
      <c r="G1621" t="s">
        <v>70</v>
      </c>
      <c r="H1621" t="s">
        <v>18</v>
      </c>
      <c r="I1621" s="2">
        <v>8.99</v>
      </c>
      <c r="J1621">
        <v>0</v>
      </c>
      <c r="K1621" s="2">
        <f t="shared" si="50"/>
        <v>0</v>
      </c>
      <c r="L1621" t="s">
        <v>29</v>
      </c>
      <c r="M1621">
        <v>2</v>
      </c>
      <c r="N1621">
        <v>0.53</v>
      </c>
      <c r="O1621" t="str">
        <f t="shared" si="51"/>
        <v>0.4–0.6 hours</v>
      </c>
      <c r="P1621" t="s">
        <v>39</v>
      </c>
    </row>
    <row r="1622" spans="1:16" x14ac:dyDescent="0.4">
      <c r="A1622" t="s">
        <v>1663</v>
      </c>
      <c r="B1622">
        <v>54</v>
      </c>
      <c r="C1622" t="s">
        <v>27</v>
      </c>
      <c r="D1622" t="s">
        <v>32</v>
      </c>
      <c r="E1622">
        <v>11.6</v>
      </c>
      <c r="F1622">
        <v>33</v>
      </c>
      <c r="G1622" t="s">
        <v>17</v>
      </c>
      <c r="H1622" t="s">
        <v>18</v>
      </c>
      <c r="I1622" s="2">
        <v>17.989999999999998</v>
      </c>
      <c r="J1622">
        <v>1</v>
      </c>
      <c r="K1622" s="2">
        <f t="shared" si="50"/>
        <v>17.989999999999998</v>
      </c>
      <c r="L1622" t="s">
        <v>19</v>
      </c>
      <c r="M1622">
        <v>4</v>
      </c>
      <c r="N1622">
        <v>0.34</v>
      </c>
      <c r="O1622" t="str">
        <f t="shared" si="51"/>
        <v>0.2–0.4 hours</v>
      </c>
      <c r="P1622" t="s">
        <v>34</v>
      </c>
    </row>
    <row r="1623" spans="1:16" x14ac:dyDescent="0.4">
      <c r="A1623" t="s">
        <v>1664</v>
      </c>
      <c r="B1623">
        <v>61</v>
      </c>
      <c r="C1623" t="s">
        <v>41</v>
      </c>
      <c r="D1623" t="s">
        <v>16</v>
      </c>
      <c r="E1623">
        <v>16.100000000000001</v>
      </c>
      <c r="F1623">
        <v>0</v>
      </c>
      <c r="G1623" t="s">
        <v>33</v>
      </c>
      <c r="H1623" t="s">
        <v>18</v>
      </c>
      <c r="I1623" s="2">
        <v>8.99</v>
      </c>
      <c r="J1623">
        <v>0</v>
      </c>
      <c r="K1623" s="2">
        <f t="shared" si="50"/>
        <v>0</v>
      </c>
      <c r="L1623" t="s">
        <v>37</v>
      </c>
      <c r="M1623">
        <v>1</v>
      </c>
      <c r="N1623">
        <v>16.100000000000001</v>
      </c>
      <c r="O1623" t="str">
        <f t="shared" si="51"/>
        <v>1+ hours</v>
      </c>
      <c r="P1623" t="s">
        <v>20</v>
      </c>
    </row>
    <row r="1624" spans="1:16" x14ac:dyDescent="0.4">
      <c r="A1624" t="s">
        <v>1665</v>
      </c>
      <c r="B1624">
        <v>20</v>
      </c>
      <c r="C1624" t="s">
        <v>27</v>
      </c>
      <c r="D1624" t="s">
        <v>16</v>
      </c>
      <c r="E1624">
        <v>12.66</v>
      </c>
      <c r="F1624">
        <v>8</v>
      </c>
      <c r="G1624" t="s">
        <v>17</v>
      </c>
      <c r="H1624" t="s">
        <v>18</v>
      </c>
      <c r="I1624" s="2">
        <v>8.99</v>
      </c>
      <c r="J1624">
        <v>0</v>
      </c>
      <c r="K1624" s="2">
        <f t="shared" si="50"/>
        <v>0</v>
      </c>
      <c r="L1624" t="s">
        <v>43</v>
      </c>
      <c r="M1624">
        <v>5</v>
      </c>
      <c r="N1624">
        <v>1.41</v>
      </c>
      <c r="O1624" t="str">
        <f t="shared" si="51"/>
        <v>1+ hours</v>
      </c>
      <c r="P1624" t="s">
        <v>47</v>
      </c>
    </row>
    <row r="1625" spans="1:16" x14ac:dyDescent="0.4">
      <c r="A1625" t="s">
        <v>1666</v>
      </c>
      <c r="B1625">
        <v>19</v>
      </c>
      <c r="C1625" t="s">
        <v>41</v>
      </c>
      <c r="D1625" t="s">
        <v>16</v>
      </c>
      <c r="E1625">
        <v>4.03</v>
      </c>
      <c r="F1625">
        <v>20</v>
      </c>
      <c r="G1625" t="s">
        <v>49</v>
      </c>
      <c r="H1625" t="s">
        <v>46</v>
      </c>
      <c r="I1625" s="2">
        <v>8.99</v>
      </c>
      <c r="J1625">
        <v>1</v>
      </c>
      <c r="K1625" s="2">
        <f t="shared" si="50"/>
        <v>8.99</v>
      </c>
      <c r="L1625" t="s">
        <v>19</v>
      </c>
      <c r="M1625">
        <v>5</v>
      </c>
      <c r="N1625">
        <v>0.19</v>
      </c>
      <c r="O1625" t="str">
        <f t="shared" si="51"/>
        <v>0–0.2 hours</v>
      </c>
      <c r="P1625" t="s">
        <v>30</v>
      </c>
    </row>
    <row r="1626" spans="1:16" x14ac:dyDescent="0.4">
      <c r="A1626" t="s">
        <v>1667</v>
      </c>
      <c r="B1626">
        <v>18</v>
      </c>
      <c r="C1626" t="s">
        <v>27</v>
      </c>
      <c r="D1626" t="s">
        <v>22</v>
      </c>
      <c r="E1626">
        <v>5.81</v>
      </c>
      <c r="F1626">
        <v>49</v>
      </c>
      <c r="G1626" t="s">
        <v>23</v>
      </c>
      <c r="H1626" t="s">
        <v>46</v>
      </c>
      <c r="I1626" s="2">
        <v>13.99</v>
      </c>
      <c r="J1626">
        <v>1</v>
      </c>
      <c r="K1626" s="2">
        <f t="shared" si="50"/>
        <v>13.99</v>
      </c>
      <c r="L1626" t="s">
        <v>43</v>
      </c>
      <c r="M1626">
        <v>2</v>
      </c>
      <c r="N1626">
        <v>0.12</v>
      </c>
      <c r="O1626" t="str">
        <f t="shared" si="51"/>
        <v>0–0.2 hours</v>
      </c>
      <c r="P1626" t="s">
        <v>25</v>
      </c>
    </row>
    <row r="1627" spans="1:16" x14ac:dyDescent="0.4">
      <c r="A1627" t="s">
        <v>1668</v>
      </c>
      <c r="B1627">
        <v>47</v>
      </c>
      <c r="C1627" t="s">
        <v>15</v>
      </c>
      <c r="D1627" t="s">
        <v>22</v>
      </c>
      <c r="E1627">
        <v>3.5</v>
      </c>
      <c r="F1627">
        <v>32</v>
      </c>
      <c r="G1627" t="s">
        <v>23</v>
      </c>
      <c r="H1627" t="s">
        <v>57</v>
      </c>
      <c r="I1627" s="2">
        <v>13.99</v>
      </c>
      <c r="J1627">
        <v>1</v>
      </c>
      <c r="K1627" s="2">
        <f t="shared" si="50"/>
        <v>13.99</v>
      </c>
      <c r="L1627" t="s">
        <v>29</v>
      </c>
      <c r="M1627">
        <v>1</v>
      </c>
      <c r="N1627">
        <v>0.11</v>
      </c>
      <c r="O1627" t="str">
        <f t="shared" si="51"/>
        <v>0–0.2 hours</v>
      </c>
      <c r="P1627" t="s">
        <v>25</v>
      </c>
    </row>
    <row r="1628" spans="1:16" x14ac:dyDescent="0.4">
      <c r="A1628" t="s">
        <v>1669</v>
      </c>
      <c r="B1628">
        <v>37</v>
      </c>
      <c r="C1628" t="s">
        <v>27</v>
      </c>
      <c r="D1628" t="s">
        <v>32</v>
      </c>
      <c r="E1628">
        <v>0.83</v>
      </c>
      <c r="F1628">
        <v>45</v>
      </c>
      <c r="G1628" t="s">
        <v>23</v>
      </c>
      <c r="H1628" t="s">
        <v>18</v>
      </c>
      <c r="I1628" s="2">
        <v>17.989999999999998</v>
      </c>
      <c r="J1628">
        <v>1</v>
      </c>
      <c r="K1628" s="2">
        <f t="shared" si="50"/>
        <v>17.989999999999998</v>
      </c>
      <c r="L1628" t="s">
        <v>37</v>
      </c>
      <c r="M1628">
        <v>4</v>
      </c>
      <c r="N1628">
        <v>0.02</v>
      </c>
      <c r="O1628" t="str">
        <f t="shared" si="51"/>
        <v>0–0.2 hours</v>
      </c>
      <c r="P1628" t="s">
        <v>52</v>
      </c>
    </row>
    <row r="1629" spans="1:16" x14ac:dyDescent="0.4">
      <c r="A1629" t="s">
        <v>1670</v>
      </c>
      <c r="B1629">
        <v>65</v>
      </c>
      <c r="C1629" t="s">
        <v>41</v>
      </c>
      <c r="D1629" t="s">
        <v>22</v>
      </c>
      <c r="E1629">
        <v>5.46</v>
      </c>
      <c r="F1629">
        <v>55</v>
      </c>
      <c r="G1629" t="s">
        <v>49</v>
      </c>
      <c r="H1629" t="s">
        <v>57</v>
      </c>
      <c r="I1629" s="2">
        <v>13.99</v>
      </c>
      <c r="J1629">
        <v>1</v>
      </c>
      <c r="K1629" s="2">
        <f t="shared" si="50"/>
        <v>13.99</v>
      </c>
      <c r="L1629" t="s">
        <v>43</v>
      </c>
      <c r="M1629">
        <v>2</v>
      </c>
      <c r="N1629">
        <v>0.1</v>
      </c>
      <c r="O1629" t="str">
        <f t="shared" si="51"/>
        <v>0–0.2 hours</v>
      </c>
      <c r="P1629" t="s">
        <v>25</v>
      </c>
    </row>
    <row r="1630" spans="1:16" x14ac:dyDescent="0.4">
      <c r="A1630" t="s">
        <v>1671</v>
      </c>
      <c r="B1630">
        <v>26</v>
      </c>
      <c r="C1630" t="s">
        <v>15</v>
      </c>
      <c r="D1630" t="s">
        <v>32</v>
      </c>
      <c r="E1630">
        <v>19.48</v>
      </c>
      <c r="F1630">
        <v>16</v>
      </c>
      <c r="G1630" t="s">
        <v>49</v>
      </c>
      <c r="H1630" t="s">
        <v>55</v>
      </c>
      <c r="I1630" s="2">
        <v>17.989999999999998</v>
      </c>
      <c r="J1630">
        <v>0</v>
      </c>
      <c r="K1630" s="2">
        <f t="shared" si="50"/>
        <v>0</v>
      </c>
      <c r="L1630" t="s">
        <v>29</v>
      </c>
      <c r="M1630">
        <v>5</v>
      </c>
      <c r="N1630">
        <v>1.1499999999999999</v>
      </c>
      <c r="O1630" t="str">
        <f t="shared" si="51"/>
        <v>1+ hours</v>
      </c>
      <c r="P1630" t="s">
        <v>39</v>
      </c>
    </row>
    <row r="1631" spans="1:16" x14ac:dyDescent="0.4">
      <c r="A1631" t="s">
        <v>1672</v>
      </c>
      <c r="B1631">
        <v>38</v>
      </c>
      <c r="C1631" t="s">
        <v>15</v>
      </c>
      <c r="D1631" t="s">
        <v>16</v>
      </c>
      <c r="E1631">
        <v>8.81</v>
      </c>
      <c r="F1631">
        <v>17</v>
      </c>
      <c r="G1631" t="s">
        <v>17</v>
      </c>
      <c r="H1631" t="s">
        <v>24</v>
      </c>
      <c r="I1631" s="2">
        <v>8.99</v>
      </c>
      <c r="J1631">
        <v>0</v>
      </c>
      <c r="K1631" s="2">
        <f t="shared" si="50"/>
        <v>0</v>
      </c>
      <c r="L1631" t="s">
        <v>37</v>
      </c>
      <c r="M1631">
        <v>4</v>
      </c>
      <c r="N1631">
        <v>0.49</v>
      </c>
      <c r="O1631" t="str">
        <f t="shared" si="51"/>
        <v>0.4–0.6 hours</v>
      </c>
      <c r="P1631" t="s">
        <v>39</v>
      </c>
    </row>
    <row r="1632" spans="1:16" x14ac:dyDescent="0.4">
      <c r="A1632" t="s">
        <v>1673</v>
      </c>
      <c r="B1632">
        <v>67</v>
      </c>
      <c r="C1632" t="s">
        <v>27</v>
      </c>
      <c r="D1632" t="s">
        <v>32</v>
      </c>
      <c r="E1632">
        <v>4.2</v>
      </c>
      <c r="F1632">
        <v>3</v>
      </c>
      <c r="G1632" t="s">
        <v>49</v>
      </c>
      <c r="H1632" t="s">
        <v>55</v>
      </c>
      <c r="I1632" s="2">
        <v>17.989999999999998</v>
      </c>
      <c r="J1632">
        <v>0</v>
      </c>
      <c r="K1632" s="2">
        <f t="shared" si="50"/>
        <v>0</v>
      </c>
      <c r="L1632" t="s">
        <v>29</v>
      </c>
      <c r="M1632">
        <v>5</v>
      </c>
      <c r="N1632">
        <v>1.05</v>
      </c>
      <c r="O1632" t="str">
        <f t="shared" si="51"/>
        <v>1+ hours</v>
      </c>
      <c r="P1632" t="s">
        <v>20</v>
      </c>
    </row>
    <row r="1633" spans="1:16" x14ac:dyDescent="0.4">
      <c r="A1633" t="s">
        <v>1674</v>
      </c>
      <c r="B1633">
        <v>20</v>
      </c>
      <c r="C1633" t="s">
        <v>15</v>
      </c>
      <c r="D1633" t="s">
        <v>22</v>
      </c>
      <c r="E1633">
        <v>11.97</v>
      </c>
      <c r="F1633">
        <v>2</v>
      </c>
      <c r="G1633" t="s">
        <v>17</v>
      </c>
      <c r="H1633" t="s">
        <v>24</v>
      </c>
      <c r="I1633" s="2">
        <v>13.99</v>
      </c>
      <c r="J1633">
        <v>0</v>
      </c>
      <c r="K1633" s="2">
        <f t="shared" si="50"/>
        <v>0</v>
      </c>
      <c r="L1633" t="s">
        <v>29</v>
      </c>
      <c r="M1633">
        <v>5</v>
      </c>
      <c r="N1633">
        <v>3.99</v>
      </c>
      <c r="O1633" t="str">
        <f t="shared" si="51"/>
        <v>1+ hours</v>
      </c>
      <c r="P1633" t="s">
        <v>47</v>
      </c>
    </row>
    <row r="1634" spans="1:16" x14ac:dyDescent="0.4">
      <c r="A1634" t="s">
        <v>1675</v>
      </c>
      <c r="B1634">
        <v>38</v>
      </c>
      <c r="C1634" t="s">
        <v>27</v>
      </c>
      <c r="D1634" t="s">
        <v>22</v>
      </c>
      <c r="E1634">
        <v>4.0599999999999996</v>
      </c>
      <c r="F1634">
        <v>26</v>
      </c>
      <c r="G1634" t="s">
        <v>49</v>
      </c>
      <c r="H1634" t="s">
        <v>55</v>
      </c>
      <c r="I1634" s="2">
        <v>13.99</v>
      </c>
      <c r="J1634">
        <v>1</v>
      </c>
      <c r="K1634" s="2">
        <f t="shared" si="50"/>
        <v>13.99</v>
      </c>
      <c r="L1634" t="s">
        <v>29</v>
      </c>
      <c r="M1634">
        <v>5</v>
      </c>
      <c r="N1634">
        <v>0.15</v>
      </c>
      <c r="O1634" t="str">
        <f t="shared" si="51"/>
        <v>0–0.2 hours</v>
      </c>
      <c r="P1634" t="s">
        <v>47</v>
      </c>
    </row>
    <row r="1635" spans="1:16" x14ac:dyDescent="0.4">
      <c r="A1635" t="s">
        <v>1676</v>
      </c>
      <c r="B1635">
        <v>59</v>
      </c>
      <c r="C1635" t="s">
        <v>15</v>
      </c>
      <c r="D1635" t="s">
        <v>16</v>
      </c>
      <c r="E1635">
        <v>7.97</v>
      </c>
      <c r="F1635">
        <v>11</v>
      </c>
      <c r="G1635" t="s">
        <v>28</v>
      </c>
      <c r="H1635" t="s">
        <v>18</v>
      </c>
      <c r="I1635" s="2">
        <v>8.99</v>
      </c>
      <c r="J1635">
        <v>0</v>
      </c>
      <c r="K1635" s="2">
        <f t="shared" si="50"/>
        <v>0</v>
      </c>
      <c r="L1635" t="s">
        <v>29</v>
      </c>
      <c r="M1635">
        <v>1</v>
      </c>
      <c r="N1635">
        <v>0.66</v>
      </c>
      <c r="O1635" t="str">
        <f t="shared" si="51"/>
        <v>0.6–0.8 hours</v>
      </c>
      <c r="P1635" t="s">
        <v>20</v>
      </c>
    </row>
    <row r="1636" spans="1:16" x14ac:dyDescent="0.4">
      <c r="A1636" t="s">
        <v>1677</v>
      </c>
      <c r="B1636">
        <v>37</v>
      </c>
      <c r="C1636" t="s">
        <v>41</v>
      </c>
      <c r="D1636" t="s">
        <v>32</v>
      </c>
      <c r="E1636">
        <v>8.02</v>
      </c>
      <c r="F1636">
        <v>53</v>
      </c>
      <c r="G1636" t="s">
        <v>70</v>
      </c>
      <c r="H1636" t="s">
        <v>57</v>
      </c>
      <c r="I1636" s="2">
        <v>17.989999999999998</v>
      </c>
      <c r="J1636">
        <v>1</v>
      </c>
      <c r="K1636" s="2">
        <f t="shared" si="50"/>
        <v>17.989999999999998</v>
      </c>
      <c r="L1636" t="s">
        <v>19</v>
      </c>
      <c r="M1636">
        <v>4</v>
      </c>
      <c r="N1636">
        <v>0.15</v>
      </c>
      <c r="O1636" t="str">
        <f t="shared" si="51"/>
        <v>0–0.2 hours</v>
      </c>
      <c r="P1636" t="s">
        <v>47</v>
      </c>
    </row>
    <row r="1637" spans="1:16" x14ac:dyDescent="0.4">
      <c r="A1637" t="s">
        <v>1678</v>
      </c>
      <c r="B1637">
        <v>54</v>
      </c>
      <c r="C1637" t="s">
        <v>15</v>
      </c>
      <c r="D1637" t="s">
        <v>22</v>
      </c>
      <c r="E1637">
        <v>2.79</v>
      </c>
      <c r="F1637">
        <v>1</v>
      </c>
      <c r="G1637" t="s">
        <v>49</v>
      </c>
      <c r="H1637" t="s">
        <v>18</v>
      </c>
      <c r="I1637" s="2">
        <v>13.99</v>
      </c>
      <c r="J1637">
        <v>0</v>
      </c>
      <c r="K1637" s="2">
        <f t="shared" si="50"/>
        <v>0</v>
      </c>
      <c r="L1637" t="s">
        <v>61</v>
      </c>
      <c r="M1637">
        <v>1</v>
      </c>
      <c r="N1637">
        <v>1.4</v>
      </c>
      <c r="O1637" t="str">
        <f t="shared" si="51"/>
        <v>1+ hours</v>
      </c>
      <c r="P1637" t="s">
        <v>20</v>
      </c>
    </row>
    <row r="1638" spans="1:16" x14ac:dyDescent="0.4">
      <c r="A1638" t="s">
        <v>1679</v>
      </c>
      <c r="B1638">
        <v>24</v>
      </c>
      <c r="C1638" t="s">
        <v>27</v>
      </c>
      <c r="D1638" t="s">
        <v>22</v>
      </c>
      <c r="E1638">
        <v>11.33</v>
      </c>
      <c r="F1638">
        <v>47</v>
      </c>
      <c r="G1638" t="s">
        <v>70</v>
      </c>
      <c r="H1638" t="s">
        <v>24</v>
      </c>
      <c r="I1638" s="2">
        <v>13.99</v>
      </c>
      <c r="J1638">
        <v>1</v>
      </c>
      <c r="K1638" s="2">
        <f t="shared" si="50"/>
        <v>13.99</v>
      </c>
      <c r="L1638" t="s">
        <v>61</v>
      </c>
      <c r="M1638">
        <v>3</v>
      </c>
      <c r="N1638">
        <v>0.24</v>
      </c>
      <c r="O1638" t="str">
        <f t="shared" si="51"/>
        <v>0.2–0.4 hours</v>
      </c>
      <c r="P1638" t="s">
        <v>47</v>
      </c>
    </row>
    <row r="1639" spans="1:16" x14ac:dyDescent="0.4">
      <c r="A1639" t="s">
        <v>1680</v>
      </c>
      <c r="B1639">
        <v>69</v>
      </c>
      <c r="C1639" t="s">
        <v>41</v>
      </c>
      <c r="D1639" t="s">
        <v>32</v>
      </c>
      <c r="E1639">
        <v>20.29</v>
      </c>
      <c r="F1639">
        <v>37</v>
      </c>
      <c r="G1639" t="s">
        <v>70</v>
      </c>
      <c r="H1639" t="s">
        <v>18</v>
      </c>
      <c r="I1639" s="2">
        <v>17.989999999999998</v>
      </c>
      <c r="J1639">
        <v>0</v>
      </c>
      <c r="K1639" s="2">
        <f t="shared" si="50"/>
        <v>0</v>
      </c>
      <c r="L1639" t="s">
        <v>37</v>
      </c>
      <c r="M1639">
        <v>5</v>
      </c>
      <c r="N1639">
        <v>0.53</v>
      </c>
      <c r="O1639" t="str">
        <f t="shared" si="51"/>
        <v>0.4–0.6 hours</v>
      </c>
      <c r="P1639" t="s">
        <v>34</v>
      </c>
    </row>
    <row r="1640" spans="1:16" x14ac:dyDescent="0.4">
      <c r="A1640" t="s">
        <v>1681</v>
      </c>
      <c r="B1640">
        <v>24</v>
      </c>
      <c r="C1640" t="s">
        <v>27</v>
      </c>
      <c r="D1640" t="s">
        <v>16</v>
      </c>
      <c r="E1640">
        <v>9.1300000000000008</v>
      </c>
      <c r="F1640">
        <v>10</v>
      </c>
      <c r="G1640" t="s">
        <v>28</v>
      </c>
      <c r="H1640" t="s">
        <v>46</v>
      </c>
      <c r="I1640" s="2">
        <v>8.99</v>
      </c>
      <c r="J1640">
        <v>0</v>
      </c>
      <c r="K1640" s="2">
        <f t="shared" si="50"/>
        <v>0</v>
      </c>
      <c r="L1640" t="s">
        <v>37</v>
      </c>
      <c r="M1640">
        <v>4</v>
      </c>
      <c r="N1640">
        <v>0.83</v>
      </c>
      <c r="O1640" t="str">
        <f t="shared" si="51"/>
        <v>0.8–1 hour</v>
      </c>
      <c r="P1640" t="s">
        <v>52</v>
      </c>
    </row>
    <row r="1641" spans="1:16" x14ac:dyDescent="0.4">
      <c r="A1641" t="s">
        <v>1682</v>
      </c>
      <c r="B1641">
        <v>58</v>
      </c>
      <c r="C1641" t="s">
        <v>15</v>
      </c>
      <c r="D1641" t="s">
        <v>22</v>
      </c>
      <c r="E1641">
        <v>13.23</v>
      </c>
      <c r="F1641">
        <v>18</v>
      </c>
      <c r="G1641" t="s">
        <v>28</v>
      </c>
      <c r="H1641" t="s">
        <v>46</v>
      </c>
      <c r="I1641" s="2">
        <v>13.99</v>
      </c>
      <c r="J1641">
        <v>0</v>
      </c>
      <c r="K1641" s="2">
        <f t="shared" si="50"/>
        <v>0</v>
      </c>
      <c r="L1641" t="s">
        <v>37</v>
      </c>
      <c r="M1641">
        <v>5</v>
      </c>
      <c r="N1641">
        <v>0.7</v>
      </c>
      <c r="O1641" t="str">
        <f t="shared" si="51"/>
        <v>0.6–0.8 hours</v>
      </c>
      <c r="P1641" t="s">
        <v>47</v>
      </c>
    </row>
    <row r="1642" spans="1:16" x14ac:dyDescent="0.4">
      <c r="A1642" t="s">
        <v>1683</v>
      </c>
      <c r="B1642">
        <v>44</v>
      </c>
      <c r="C1642" t="s">
        <v>41</v>
      </c>
      <c r="D1642" t="s">
        <v>32</v>
      </c>
      <c r="E1642">
        <v>13.56</v>
      </c>
      <c r="F1642">
        <v>14</v>
      </c>
      <c r="G1642" t="s">
        <v>28</v>
      </c>
      <c r="H1642" t="s">
        <v>55</v>
      </c>
      <c r="I1642" s="2">
        <v>17.989999999999998</v>
      </c>
      <c r="J1642">
        <v>0</v>
      </c>
      <c r="K1642" s="2">
        <f t="shared" si="50"/>
        <v>0</v>
      </c>
      <c r="L1642" t="s">
        <v>37</v>
      </c>
      <c r="M1642">
        <v>1</v>
      </c>
      <c r="N1642">
        <v>0.9</v>
      </c>
      <c r="O1642" t="str">
        <f t="shared" si="51"/>
        <v>0.8–1 hour</v>
      </c>
      <c r="P1642" t="s">
        <v>52</v>
      </c>
    </row>
    <row r="1643" spans="1:16" x14ac:dyDescent="0.4">
      <c r="A1643" t="s">
        <v>1684</v>
      </c>
      <c r="B1643">
        <v>50</v>
      </c>
      <c r="C1643" t="s">
        <v>41</v>
      </c>
      <c r="D1643" t="s">
        <v>22</v>
      </c>
      <c r="E1643">
        <v>30.53</v>
      </c>
      <c r="F1643">
        <v>31</v>
      </c>
      <c r="G1643" t="s">
        <v>70</v>
      </c>
      <c r="H1643" t="s">
        <v>55</v>
      </c>
      <c r="I1643" s="2">
        <v>13.99</v>
      </c>
      <c r="J1643">
        <v>0</v>
      </c>
      <c r="K1643" s="2">
        <f t="shared" si="50"/>
        <v>0</v>
      </c>
      <c r="L1643" t="s">
        <v>19</v>
      </c>
      <c r="M1643">
        <v>5</v>
      </c>
      <c r="N1643">
        <v>0.95</v>
      </c>
      <c r="O1643" t="str">
        <f t="shared" si="51"/>
        <v>0.8–1 hour</v>
      </c>
      <c r="P1643" t="s">
        <v>20</v>
      </c>
    </row>
    <row r="1644" spans="1:16" x14ac:dyDescent="0.4">
      <c r="A1644" t="s">
        <v>1685</v>
      </c>
      <c r="B1644">
        <v>66</v>
      </c>
      <c r="C1644" t="s">
        <v>15</v>
      </c>
      <c r="D1644" t="s">
        <v>32</v>
      </c>
      <c r="E1644">
        <v>14.15</v>
      </c>
      <c r="F1644">
        <v>14</v>
      </c>
      <c r="G1644" t="s">
        <v>49</v>
      </c>
      <c r="H1644" t="s">
        <v>24</v>
      </c>
      <c r="I1644" s="2">
        <v>17.989999999999998</v>
      </c>
      <c r="J1644">
        <v>0</v>
      </c>
      <c r="K1644" s="2">
        <f t="shared" si="50"/>
        <v>0</v>
      </c>
      <c r="L1644" t="s">
        <v>43</v>
      </c>
      <c r="M1644">
        <v>1</v>
      </c>
      <c r="N1644">
        <v>0.94</v>
      </c>
      <c r="O1644" t="str">
        <f t="shared" si="51"/>
        <v>0.8–1 hour</v>
      </c>
      <c r="P1644" t="s">
        <v>20</v>
      </c>
    </row>
    <row r="1645" spans="1:16" x14ac:dyDescent="0.4">
      <c r="A1645" t="s">
        <v>1686</v>
      </c>
      <c r="B1645">
        <v>40</v>
      </c>
      <c r="C1645" t="s">
        <v>15</v>
      </c>
      <c r="D1645" t="s">
        <v>16</v>
      </c>
      <c r="E1645">
        <v>24.02</v>
      </c>
      <c r="F1645">
        <v>23</v>
      </c>
      <c r="G1645" t="s">
        <v>28</v>
      </c>
      <c r="H1645" t="s">
        <v>46</v>
      </c>
      <c r="I1645" s="2">
        <v>8.99</v>
      </c>
      <c r="J1645">
        <v>0</v>
      </c>
      <c r="K1645" s="2">
        <f t="shared" si="50"/>
        <v>0</v>
      </c>
      <c r="L1645" t="s">
        <v>43</v>
      </c>
      <c r="M1645">
        <v>5</v>
      </c>
      <c r="N1645">
        <v>1</v>
      </c>
      <c r="O1645" t="str">
        <f t="shared" si="51"/>
        <v>0.8–1 hour</v>
      </c>
      <c r="P1645" t="s">
        <v>52</v>
      </c>
    </row>
    <row r="1646" spans="1:16" x14ac:dyDescent="0.4">
      <c r="A1646" t="s">
        <v>1687</v>
      </c>
      <c r="B1646">
        <v>25</v>
      </c>
      <c r="C1646" t="s">
        <v>41</v>
      </c>
      <c r="D1646" t="s">
        <v>22</v>
      </c>
      <c r="E1646">
        <v>7.35</v>
      </c>
      <c r="F1646">
        <v>41</v>
      </c>
      <c r="G1646" t="s">
        <v>28</v>
      </c>
      <c r="H1646" t="s">
        <v>18</v>
      </c>
      <c r="I1646" s="2">
        <v>13.99</v>
      </c>
      <c r="J1646">
        <v>1</v>
      </c>
      <c r="K1646" s="2">
        <f t="shared" si="50"/>
        <v>13.99</v>
      </c>
      <c r="L1646" t="s">
        <v>61</v>
      </c>
      <c r="M1646">
        <v>1</v>
      </c>
      <c r="N1646">
        <v>0.17</v>
      </c>
      <c r="O1646" t="str">
        <f t="shared" si="51"/>
        <v>0–0.2 hours</v>
      </c>
      <c r="P1646" t="s">
        <v>52</v>
      </c>
    </row>
    <row r="1647" spans="1:16" x14ac:dyDescent="0.4">
      <c r="A1647" t="s">
        <v>1688</v>
      </c>
      <c r="B1647">
        <v>31</v>
      </c>
      <c r="C1647" t="s">
        <v>27</v>
      </c>
      <c r="D1647" t="s">
        <v>16</v>
      </c>
      <c r="E1647">
        <v>3.89</v>
      </c>
      <c r="F1647">
        <v>0</v>
      </c>
      <c r="G1647" t="s">
        <v>33</v>
      </c>
      <c r="H1647" t="s">
        <v>46</v>
      </c>
      <c r="I1647" s="2">
        <v>8.99</v>
      </c>
      <c r="J1647">
        <v>0</v>
      </c>
      <c r="K1647" s="2">
        <f t="shared" si="50"/>
        <v>0</v>
      </c>
      <c r="L1647" t="s">
        <v>61</v>
      </c>
      <c r="M1647">
        <v>3</v>
      </c>
      <c r="N1647">
        <v>3.89</v>
      </c>
      <c r="O1647" t="str">
        <f t="shared" si="51"/>
        <v>1+ hours</v>
      </c>
      <c r="P1647" t="s">
        <v>39</v>
      </c>
    </row>
    <row r="1648" spans="1:16" x14ac:dyDescent="0.4">
      <c r="A1648" t="s">
        <v>1689</v>
      </c>
      <c r="B1648">
        <v>61</v>
      </c>
      <c r="C1648" t="s">
        <v>41</v>
      </c>
      <c r="D1648" t="s">
        <v>22</v>
      </c>
      <c r="E1648">
        <v>4.1399999999999997</v>
      </c>
      <c r="F1648">
        <v>30</v>
      </c>
      <c r="G1648" t="s">
        <v>28</v>
      </c>
      <c r="H1648" t="s">
        <v>46</v>
      </c>
      <c r="I1648" s="2">
        <v>13.99</v>
      </c>
      <c r="J1648">
        <v>1</v>
      </c>
      <c r="K1648" s="2">
        <f t="shared" si="50"/>
        <v>13.99</v>
      </c>
      <c r="L1648" t="s">
        <v>61</v>
      </c>
      <c r="M1648">
        <v>2</v>
      </c>
      <c r="N1648">
        <v>0.13</v>
      </c>
      <c r="O1648" t="str">
        <f t="shared" si="51"/>
        <v>0–0.2 hours</v>
      </c>
      <c r="P1648" t="s">
        <v>30</v>
      </c>
    </row>
    <row r="1649" spans="1:16" x14ac:dyDescent="0.4">
      <c r="A1649" t="s">
        <v>1690</v>
      </c>
      <c r="B1649">
        <v>36</v>
      </c>
      <c r="C1649" t="s">
        <v>41</v>
      </c>
      <c r="D1649" t="s">
        <v>16</v>
      </c>
      <c r="E1649">
        <v>6.54</v>
      </c>
      <c r="F1649">
        <v>28</v>
      </c>
      <c r="G1649" t="s">
        <v>33</v>
      </c>
      <c r="H1649" t="s">
        <v>46</v>
      </c>
      <c r="I1649" s="2">
        <v>8.99</v>
      </c>
      <c r="J1649">
        <v>0</v>
      </c>
      <c r="K1649" s="2">
        <f t="shared" si="50"/>
        <v>0</v>
      </c>
      <c r="L1649" t="s">
        <v>37</v>
      </c>
      <c r="M1649">
        <v>5</v>
      </c>
      <c r="N1649">
        <v>0.23</v>
      </c>
      <c r="O1649" t="str">
        <f t="shared" si="51"/>
        <v>0.2–0.4 hours</v>
      </c>
      <c r="P1649" t="s">
        <v>20</v>
      </c>
    </row>
    <row r="1650" spans="1:16" x14ac:dyDescent="0.4">
      <c r="A1650" t="s">
        <v>1691</v>
      </c>
      <c r="B1650">
        <v>60</v>
      </c>
      <c r="C1650" t="s">
        <v>41</v>
      </c>
      <c r="D1650" t="s">
        <v>22</v>
      </c>
      <c r="E1650">
        <v>6.23</v>
      </c>
      <c r="F1650">
        <v>19</v>
      </c>
      <c r="G1650" t="s">
        <v>49</v>
      </c>
      <c r="H1650" t="s">
        <v>55</v>
      </c>
      <c r="I1650" s="2">
        <v>13.99</v>
      </c>
      <c r="J1650">
        <v>0</v>
      </c>
      <c r="K1650" s="2">
        <f t="shared" si="50"/>
        <v>0</v>
      </c>
      <c r="L1650" t="s">
        <v>43</v>
      </c>
      <c r="M1650">
        <v>5</v>
      </c>
      <c r="N1650">
        <v>0.31</v>
      </c>
      <c r="O1650" t="str">
        <f t="shared" si="51"/>
        <v>0.2–0.4 hours</v>
      </c>
      <c r="P1650" t="s">
        <v>52</v>
      </c>
    </row>
    <row r="1651" spans="1:16" x14ac:dyDescent="0.4">
      <c r="A1651" t="s">
        <v>1692</v>
      </c>
      <c r="B1651">
        <v>54</v>
      </c>
      <c r="C1651" t="s">
        <v>41</v>
      </c>
      <c r="D1651" t="s">
        <v>32</v>
      </c>
      <c r="E1651">
        <v>6.26</v>
      </c>
      <c r="F1651">
        <v>51</v>
      </c>
      <c r="G1651" t="s">
        <v>49</v>
      </c>
      <c r="H1651" t="s">
        <v>55</v>
      </c>
      <c r="I1651" s="2">
        <v>17.989999999999998</v>
      </c>
      <c r="J1651">
        <v>1</v>
      </c>
      <c r="K1651" s="2">
        <f t="shared" si="50"/>
        <v>17.989999999999998</v>
      </c>
      <c r="L1651" t="s">
        <v>19</v>
      </c>
      <c r="M1651">
        <v>3</v>
      </c>
      <c r="N1651">
        <v>0.12</v>
      </c>
      <c r="O1651" t="str">
        <f t="shared" si="51"/>
        <v>0–0.2 hours</v>
      </c>
      <c r="P1651" t="s">
        <v>34</v>
      </c>
    </row>
    <row r="1652" spans="1:16" x14ac:dyDescent="0.4">
      <c r="A1652" t="s">
        <v>1693</v>
      </c>
      <c r="B1652">
        <v>57</v>
      </c>
      <c r="C1652" t="s">
        <v>41</v>
      </c>
      <c r="D1652" t="s">
        <v>32</v>
      </c>
      <c r="E1652">
        <v>7.79</v>
      </c>
      <c r="F1652">
        <v>46</v>
      </c>
      <c r="G1652" t="s">
        <v>23</v>
      </c>
      <c r="H1652" t="s">
        <v>18</v>
      </c>
      <c r="I1652" s="2">
        <v>17.989999999999998</v>
      </c>
      <c r="J1652">
        <v>1</v>
      </c>
      <c r="K1652" s="2">
        <f t="shared" si="50"/>
        <v>17.989999999999998</v>
      </c>
      <c r="L1652" t="s">
        <v>29</v>
      </c>
      <c r="M1652">
        <v>5</v>
      </c>
      <c r="N1652">
        <v>0.17</v>
      </c>
      <c r="O1652" t="str">
        <f t="shared" si="51"/>
        <v>0–0.2 hours</v>
      </c>
      <c r="P1652" t="s">
        <v>52</v>
      </c>
    </row>
    <row r="1653" spans="1:16" x14ac:dyDescent="0.4">
      <c r="A1653" t="s">
        <v>1694</v>
      </c>
      <c r="B1653">
        <v>20</v>
      </c>
      <c r="C1653" t="s">
        <v>27</v>
      </c>
      <c r="D1653" t="s">
        <v>16</v>
      </c>
      <c r="E1653">
        <v>1</v>
      </c>
      <c r="F1653">
        <v>32</v>
      </c>
      <c r="G1653" t="s">
        <v>17</v>
      </c>
      <c r="H1653" t="s">
        <v>57</v>
      </c>
      <c r="I1653" s="2">
        <v>8.99</v>
      </c>
      <c r="J1653">
        <v>1</v>
      </c>
      <c r="K1653" s="2">
        <f t="shared" si="50"/>
        <v>8.99</v>
      </c>
      <c r="L1653" t="s">
        <v>61</v>
      </c>
      <c r="M1653">
        <v>2</v>
      </c>
      <c r="N1653">
        <v>0.03</v>
      </c>
      <c r="O1653" t="str">
        <f t="shared" si="51"/>
        <v>0–0.2 hours</v>
      </c>
      <c r="P1653" t="s">
        <v>39</v>
      </c>
    </row>
    <row r="1654" spans="1:16" x14ac:dyDescent="0.4">
      <c r="A1654" t="s">
        <v>1695</v>
      </c>
      <c r="B1654">
        <v>18</v>
      </c>
      <c r="C1654" t="s">
        <v>27</v>
      </c>
      <c r="D1654" t="s">
        <v>22</v>
      </c>
      <c r="E1654">
        <v>9.2899999999999991</v>
      </c>
      <c r="F1654">
        <v>52</v>
      </c>
      <c r="G1654" t="s">
        <v>28</v>
      </c>
      <c r="H1654" t="s">
        <v>24</v>
      </c>
      <c r="I1654" s="2">
        <v>13.99</v>
      </c>
      <c r="J1654">
        <v>1</v>
      </c>
      <c r="K1654" s="2">
        <f t="shared" si="50"/>
        <v>13.99</v>
      </c>
      <c r="L1654" t="s">
        <v>43</v>
      </c>
      <c r="M1654">
        <v>2</v>
      </c>
      <c r="N1654">
        <v>0.18</v>
      </c>
      <c r="O1654" t="str">
        <f t="shared" si="51"/>
        <v>0–0.2 hours</v>
      </c>
      <c r="P1654" t="s">
        <v>34</v>
      </c>
    </row>
    <row r="1655" spans="1:16" x14ac:dyDescent="0.4">
      <c r="A1655" t="s">
        <v>1696</v>
      </c>
      <c r="B1655">
        <v>57</v>
      </c>
      <c r="C1655" t="s">
        <v>41</v>
      </c>
      <c r="D1655" t="s">
        <v>16</v>
      </c>
      <c r="E1655">
        <v>3.31</v>
      </c>
      <c r="F1655">
        <v>57</v>
      </c>
      <c r="G1655" t="s">
        <v>23</v>
      </c>
      <c r="H1655" t="s">
        <v>24</v>
      </c>
      <c r="I1655" s="2">
        <v>8.99</v>
      </c>
      <c r="J1655">
        <v>1</v>
      </c>
      <c r="K1655" s="2">
        <f t="shared" si="50"/>
        <v>8.99</v>
      </c>
      <c r="L1655" t="s">
        <v>19</v>
      </c>
      <c r="M1655">
        <v>2</v>
      </c>
      <c r="N1655">
        <v>0.06</v>
      </c>
      <c r="O1655" t="str">
        <f t="shared" si="51"/>
        <v>0–0.2 hours</v>
      </c>
      <c r="P1655" t="s">
        <v>30</v>
      </c>
    </row>
    <row r="1656" spans="1:16" x14ac:dyDescent="0.4">
      <c r="A1656" t="s">
        <v>1697</v>
      </c>
      <c r="B1656">
        <v>33</v>
      </c>
      <c r="C1656" t="s">
        <v>27</v>
      </c>
      <c r="D1656" t="s">
        <v>22</v>
      </c>
      <c r="E1656">
        <v>19.28</v>
      </c>
      <c r="F1656">
        <v>19</v>
      </c>
      <c r="G1656" t="s">
        <v>70</v>
      </c>
      <c r="H1656" t="s">
        <v>57</v>
      </c>
      <c r="I1656" s="2">
        <v>13.99</v>
      </c>
      <c r="J1656">
        <v>0</v>
      </c>
      <c r="K1656" s="2">
        <f t="shared" si="50"/>
        <v>0</v>
      </c>
      <c r="L1656" t="s">
        <v>61</v>
      </c>
      <c r="M1656">
        <v>4</v>
      </c>
      <c r="N1656">
        <v>0.96</v>
      </c>
      <c r="O1656" t="str">
        <f t="shared" si="51"/>
        <v>0.8–1 hour</v>
      </c>
      <c r="P1656" t="s">
        <v>25</v>
      </c>
    </row>
    <row r="1657" spans="1:16" x14ac:dyDescent="0.4">
      <c r="A1657" t="s">
        <v>1698</v>
      </c>
      <c r="B1657">
        <v>68</v>
      </c>
      <c r="C1657" t="s">
        <v>27</v>
      </c>
      <c r="D1657" t="s">
        <v>32</v>
      </c>
      <c r="E1657">
        <v>23.8</v>
      </c>
      <c r="F1657">
        <v>4</v>
      </c>
      <c r="G1657" t="s">
        <v>33</v>
      </c>
      <c r="H1657" t="s">
        <v>57</v>
      </c>
      <c r="I1657" s="2">
        <v>17.989999999999998</v>
      </c>
      <c r="J1657">
        <v>0</v>
      </c>
      <c r="K1657" s="2">
        <f t="shared" si="50"/>
        <v>0</v>
      </c>
      <c r="L1657" t="s">
        <v>29</v>
      </c>
      <c r="M1657">
        <v>2</v>
      </c>
      <c r="N1657">
        <v>4.76</v>
      </c>
      <c r="O1657" t="str">
        <f t="shared" si="51"/>
        <v>1+ hours</v>
      </c>
      <c r="P1657" t="s">
        <v>25</v>
      </c>
    </row>
    <row r="1658" spans="1:16" x14ac:dyDescent="0.4">
      <c r="A1658" t="s">
        <v>1699</v>
      </c>
      <c r="B1658">
        <v>66</v>
      </c>
      <c r="C1658" t="s">
        <v>27</v>
      </c>
      <c r="D1658" t="s">
        <v>32</v>
      </c>
      <c r="E1658">
        <v>7.68</v>
      </c>
      <c r="F1658">
        <v>15</v>
      </c>
      <c r="G1658" t="s">
        <v>49</v>
      </c>
      <c r="H1658" t="s">
        <v>57</v>
      </c>
      <c r="I1658" s="2">
        <v>17.989999999999998</v>
      </c>
      <c r="J1658">
        <v>0</v>
      </c>
      <c r="K1658" s="2">
        <f t="shared" si="50"/>
        <v>0</v>
      </c>
      <c r="L1658" t="s">
        <v>29</v>
      </c>
      <c r="M1658">
        <v>4</v>
      </c>
      <c r="N1658">
        <v>0.48</v>
      </c>
      <c r="O1658" t="str">
        <f t="shared" si="51"/>
        <v>0.4–0.6 hours</v>
      </c>
      <c r="P1658" t="s">
        <v>30</v>
      </c>
    </row>
    <row r="1659" spans="1:16" x14ac:dyDescent="0.4">
      <c r="A1659" t="s">
        <v>1700</v>
      </c>
      <c r="B1659">
        <v>30</v>
      </c>
      <c r="C1659" t="s">
        <v>41</v>
      </c>
      <c r="D1659" t="s">
        <v>16</v>
      </c>
      <c r="E1659">
        <v>6.54</v>
      </c>
      <c r="F1659">
        <v>20</v>
      </c>
      <c r="G1659" t="s">
        <v>70</v>
      </c>
      <c r="H1659" t="s">
        <v>57</v>
      </c>
      <c r="I1659" s="2">
        <v>8.99</v>
      </c>
      <c r="J1659">
        <v>1</v>
      </c>
      <c r="K1659" s="2">
        <f t="shared" si="50"/>
        <v>8.99</v>
      </c>
      <c r="L1659" t="s">
        <v>37</v>
      </c>
      <c r="M1659">
        <v>1</v>
      </c>
      <c r="N1659">
        <v>0.31</v>
      </c>
      <c r="O1659" t="str">
        <f t="shared" si="51"/>
        <v>0.2–0.4 hours</v>
      </c>
      <c r="P1659" t="s">
        <v>30</v>
      </c>
    </row>
    <row r="1660" spans="1:16" x14ac:dyDescent="0.4">
      <c r="A1660" t="s">
        <v>1701</v>
      </c>
      <c r="B1660">
        <v>38</v>
      </c>
      <c r="C1660" t="s">
        <v>27</v>
      </c>
      <c r="D1660" t="s">
        <v>16</v>
      </c>
      <c r="E1660">
        <v>7.92</v>
      </c>
      <c r="F1660">
        <v>18</v>
      </c>
      <c r="G1660" t="s">
        <v>49</v>
      </c>
      <c r="H1660" t="s">
        <v>18</v>
      </c>
      <c r="I1660" s="2">
        <v>8.99</v>
      </c>
      <c r="J1660">
        <v>1</v>
      </c>
      <c r="K1660" s="2">
        <f t="shared" si="50"/>
        <v>8.99</v>
      </c>
      <c r="L1660" t="s">
        <v>29</v>
      </c>
      <c r="M1660">
        <v>1</v>
      </c>
      <c r="N1660">
        <v>0.42</v>
      </c>
      <c r="O1660" t="str">
        <f t="shared" si="51"/>
        <v>0.4–0.6 hours</v>
      </c>
      <c r="P1660" t="s">
        <v>25</v>
      </c>
    </row>
    <row r="1661" spans="1:16" x14ac:dyDescent="0.4">
      <c r="A1661" t="s">
        <v>1702</v>
      </c>
      <c r="B1661">
        <v>55</v>
      </c>
      <c r="C1661" t="s">
        <v>15</v>
      </c>
      <c r="D1661" t="s">
        <v>32</v>
      </c>
      <c r="E1661">
        <v>4.3600000000000003</v>
      </c>
      <c r="F1661">
        <v>52</v>
      </c>
      <c r="G1661" t="s">
        <v>33</v>
      </c>
      <c r="H1661" t="s">
        <v>55</v>
      </c>
      <c r="I1661" s="2">
        <v>17.989999999999998</v>
      </c>
      <c r="J1661">
        <v>1</v>
      </c>
      <c r="K1661" s="2">
        <f t="shared" si="50"/>
        <v>17.989999999999998</v>
      </c>
      <c r="L1661" t="s">
        <v>29</v>
      </c>
      <c r="M1661">
        <v>2</v>
      </c>
      <c r="N1661">
        <v>0.08</v>
      </c>
      <c r="O1661" t="str">
        <f t="shared" si="51"/>
        <v>0–0.2 hours</v>
      </c>
      <c r="P1661" t="s">
        <v>47</v>
      </c>
    </row>
    <row r="1662" spans="1:16" x14ac:dyDescent="0.4">
      <c r="A1662" t="s">
        <v>1703</v>
      </c>
      <c r="B1662">
        <v>31</v>
      </c>
      <c r="C1662" t="s">
        <v>41</v>
      </c>
      <c r="D1662" t="s">
        <v>16</v>
      </c>
      <c r="E1662">
        <v>11.88</v>
      </c>
      <c r="F1662">
        <v>56</v>
      </c>
      <c r="G1662" t="s">
        <v>17</v>
      </c>
      <c r="H1662" t="s">
        <v>57</v>
      </c>
      <c r="I1662" s="2">
        <v>8.99</v>
      </c>
      <c r="J1662">
        <v>1</v>
      </c>
      <c r="K1662" s="2">
        <f t="shared" si="50"/>
        <v>8.99</v>
      </c>
      <c r="L1662" t="s">
        <v>37</v>
      </c>
      <c r="M1662">
        <v>5</v>
      </c>
      <c r="N1662">
        <v>0.21</v>
      </c>
      <c r="O1662" t="str">
        <f t="shared" si="51"/>
        <v>0.2–0.4 hours</v>
      </c>
      <c r="P1662" t="s">
        <v>25</v>
      </c>
    </row>
    <row r="1663" spans="1:16" x14ac:dyDescent="0.4">
      <c r="A1663" t="s">
        <v>1704</v>
      </c>
      <c r="B1663">
        <v>33</v>
      </c>
      <c r="C1663" t="s">
        <v>27</v>
      </c>
      <c r="D1663" t="s">
        <v>32</v>
      </c>
      <c r="E1663">
        <v>0.06</v>
      </c>
      <c r="F1663">
        <v>53</v>
      </c>
      <c r="G1663" t="s">
        <v>70</v>
      </c>
      <c r="H1663" t="s">
        <v>55</v>
      </c>
      <c r="I1663" s="2">
        <v>17.989999999999998</v>
      </c>
      <c r="J1663">
        <v>1</v>
      </c>
      <c r="K1663" s="2">
        <f t="shared" si="50"/>
        <v>17.989999999999998</v>
      </c>
      <c r="L1663" t="s">
        <v>43</v>
      </c>
      <c r="M1663">
        <v>3</v>
      </c>
      <c r="N1663">
        <v>0</v>
      </c>
      <c r="O1663" t="str">
        <f t="shared" si="51"/>
        <v>0–0.2 hours</v>
      </c>
      <c r="P1663" t="s">
        <v>34</v>
      </c>
    </row>
    <row r="1664" spans="1:16" x14ac:dyDescent="0.4">
      <c r="A1664" t="s">
        <v>1705</v>
      </c>
      <c r="B1664">
        <v>63</v>
      </c>
      <c r="C1664" t="s">
        <v>27</v>
      </c>
      <c r="D1664" t="s">
        <v>22</v>
      </c>
      <c r="E1664">
        <v>18.489999999999998</v>
      </c>
      <c r="F1664">
        <v>13</v>
      </c>
      <c r="G1664" t="s">
        <v>23</v>
      </c>
      <c r="H1664" t="s">
        <v>18</v>
      </c>
      <c r="I1664" s="2">
        <v>13.99</v>
      </c>
      <c r="J1664">
        <v>0</v>
      </c>
      <c r="K1664" s="2">
        <f t="shared" si="50"/>
        <v>0</v>
      </c>
      <c r="L1664" t="s">
        <v>43</v>
      </c>
      <c r="M1664">
        <v>1</v>
      </c>
      <c r="N1664">
        <v>1.32</v>
      </c>
      <c r="O1664" t="str">
        <f t="shared" si="51"/>
        <v>1+ hours</v>
      </c>
      <c r="P1664" t="s">
        <v>30</v>
      </c>
    </row>
    <row r="1665" spans="1:16" x14ac:dyDescent="0.4">
      <c r="A1665" t="s">
        <v>1706</v>
      </c>
      <c r="B1665">
        <v>45</v>
      </c>
      <c r="C1665" t="s">
        <v>15</v>
      </c>
      <c r="D1665" t="s">
        <v>16</v>
      </c>
      <c r="E1665">
        <v>6.87</v>
      </c>
      <c r="F1665">
        <v>11</v>
      </c>
      <c r="G1665" t="s">
        <v>23</v>
      </c>
      <c r="H1665" t="s">
        <v>46</v>
      </c>
      <c r="I1665" s="2">
        <v>8.99</v>
      </c>
      <c r="J1665">
        <v>0</v>
      </c>
      <c r="K1665" s="2">
        <f t="shared" si="50"/>
        <v>0</v>
      </c>
      <c r="L1665" t="s">
        <v>37</v>
      </c>
      <c r="M1665">
        <v>3</v>
      </c>
      <c r="N1665">
        <v>0.56999999999999995</v>
      </c>
      <c r="O1665" t="str">
        <f t="shared" si="51"/>
        <v>0.4–0.6 hours</v>
      </c>
      <c r="P1665" t="s">
        <v>30</v>
      </c>
    </row>
    <row r="1666" spans="1:16" x14ac:dyDescent="0.4">
      <c r="A1666" t="s">
        <v>1707</v>
      </c>
      <c r="B1666">
        <v>24</v>
      </c>
      <c r="C1666" t="s">
        <v>41</v>
      </c>
      <c r="D1666" t="s">
        <v>16</v>
      </c>
      <c r="E1666">
        <v>0.75</v>
      </c>
      <c r="F1666">
        <v>26</v>
      </c>
      <c r="G1666" t="s">
        <v>70</v>
      </c>
      <c r="H1666" t="s">
        <v>46</v>
      </c>
      <c r="I1666" s="2">
        <v>8.99</v>
      </c>
      <c r="J1666">
        <v>1</v>
      </c>
      <c r="K1666" s="2">
        <f t="shared" si="50"/>
        <v>8.99</v>
      </c>
      <c r="L1666" t="s">
        <v>19</v>
      </c>
      <c r="M1666">
        <v>2</v>
      </c>
      <c r="N1666">
        <v>0.03</v>
      </c>
      <c r="O1666" t="str">
        <f t="shared" si="51"/>
        <v>0–0.2 hours</v>
      </c>
      <c r="P1666" t="s">
        <v>30</v>
      </c>
    </row>
    <row r="1667" spans="1:16" x14ac:dyDescent="0.4">
      <c r="A1667" t="s">
        <v>1708</v>
      </c>
      <c r="B1667">
        <v>35</v>
      </c>
      <c r="C1667" t="s">
        <v>15</v>
      </c>
      <c r="D1667" t="s">
        <v>16</v>
      </c>
      <c r="E1667">
        <v>8.8699999999999992</v>
      </c>
      <c r="F1667">
        <v>10</v>
      </c>
      <c r="G1667" t="s">
        <v>33</v>
      </c>
      <c r="H1667" t="s">
        <v>46</v>
      </c>
      <c r="I1667" s="2">
        <v>8.99</v>
      </c>
      <c r="J1667">
        <v>0</v>
      </c>
      <c r="K1667" s="2">
        <f t="shared" ref="K1667:K1730" si="52">SUMIF(J1667,1,I1667)</f>
        <v>0</v>
      </c>
      <c r="L1667" t="s">
        <v>61</v>
      </c>
      <c r="M1667">
        <v>2</v>
      </c>
      <c r="N1667">
        <v>0.81</v>
      </c>
      <c r="O1667" t="str">
        <f t="shared" ref="O1667:O1730" si="53">IF(N1667&gt;1,"1+ hours",IF(N1667&lt;=0.2,"0–0.2 hours",IF(N1667&lt;=0.4,"0.2–0.4 hours",IF(N1667&lt;=0.6,"0.4–0.6 hours",IF(N1667&lt;=0.8,"0.6–0.8 hours","0.8–1 hour")))))</f>
        <v>0.8–1 hour</v>
      </c>
      <c r="P1667" t="s">
        <v>30</v>
      </c>
    </row>
    <row r="1668" spans="1:16" x14ac:dyDescent="0.4">
      <c r="A1668" t="s">
        <v>1709</v>
      </c>
      <c r="B1668">
        <v>69</v>
      </c>
      <c r="C1668" t="s">
        <v>41</v>
      </c>
      <c r="D1668" t="s">
        <v>16</v>
      </c>
      <c r="E1668">
        <v>21.53</v>
      </c>
      <c r="F1668">
        <v>7</v>
      </c>
      <c r="G1668" t="s">
        <v>70</v>
      </c>
      <c r="H1668" t="s">
        <v>46</v>
      </c>
      <c r="I1668" s="2">
        <v>8.99</v>
      </c>
      <c r="J1668">
        <v>0</v>
      </c>
      <c r="K1668" s="2">
        <f t="shared" si="52"/>
        <v>0</v>
      </c>
      <c r="L1668" t="s">
        <v>29</v>
      </c>
      <c r="M1668">
        <v>3</v>
      </c>
      <c r="N1668">
        <v>2.69</v>
      </c>
      <c r="O1668" t="str">
        <f t="shared" si="53"/>
        <v>1+ hours</v>
      </c>
      <c r="P1668" t="s">
        <v>47</v>
      </c>
    </row>
    <row r="1669" spans="1:16" x14ac:dyDescent="0.4">
      <c r="A1669" s="1" t="s">
        <v>1710</v>
      </c>
      <c r="B1669">
        <v>50</v>
      </c>
      <c r="C1669" t="s">
        <v>15</v>
      </c>
      <c r="D1669" t="s">
        <v>22</v>
      </c>
      <c r="E1669">
        <v>7.54</v>
      </c>
      <c r="F1669">
        <v>18</v>
      </c>
      <c r="G1669" t="s">
        <v>49</v>
      </c>
      <c r="H1669" t="s">
        <v>55</v>
      </c>
      <c r="I1669" s="2">
        <v>13.99</v>
      </c>
      <c r="J1669">
        <v>0</v>
      </c>
      <c r="K1669" s="2">
        <f t="shared" si="52"/>
        <v>0</v>
      </c>
      <c r="L1669" t="s">
        <v>61</v>
      </c>
      <c r="M1669">
        <v>4</v>
      </c>
      <c r="N1669">
        <v>0.4</v>
      </c>
      <c r="O1669" t="str">
        <f t="shared" si="53"/>
        <v>0.2–0.4 hours</v>
      </c>
      <c r="P1669" t="s">
        <v>20</v>
      </c>
    </row>
    <row r="1670" spans="1:16" x14ac:dyDescent="0.4">
      <c r="A1670" t="s">
        <v>1711</v>
      </c>
      <c r="B1670">
        <v>69</v>
      </c>
      <c r="C1670" t="s">
        <v>27</v>
      </c>
      <c r="D1670" t="s">
        <v>32</v>
      </c>
      <c r="E1670">
        <v>6.95</v>
      </c>
      <c r="F1670">
        <v>54</v>
      </c>
      <c r="G1670" t="s">
        <v>23</v>
      </c>
      <c r="H1670" t="s">
        <v>55</v>
      </c>
      <c r="I1670" s="2">
        <v>17.989999999999998</v>
      </c>
      <c r="J1670">
        <v>0</v>
      </c>
      <c r="K1670" s="2">
        <f t="shared" si="52"/>
        <v>0</v>
      </c>
      <c r="L1670" t="s">
        <v>37</v>
      </c>
      <c r="M1670">
        <v>5</v>
      </c>
      <c r="N1670">
        <v>0.13</v>
      </c>
      <c r="O1670" t="str">
        <f t="shared" si="53"/>
        <v>0–0.2 hours</v>
      </c>
      <c r="P1670" t="s">
        <v>20</v>
      </c>
    </row>
    <row r="1671" spans="1:16" x14ac:dyDescent="0.4">
      <c r="A1671" t="s">
        <v>1712</v>
      </c>
      <c r="B1671">
        <v>37</v>
      </c>
      <c r="C1671" t="s">
        <v>15</v>
      </c>
      <c r="D1671" t="s">
        <v>32</v>
      </c>
      <c r="E1671">
        <v>58.79</v>
      </c>
      <c r="F1671">
        <v>27</v>
      </c>
      <c r="G1671" t="s">
        <v>70</v>
      </c>
      <c r="H1671" t="s">
        <v>24</v>
      </c>
      <c r="I1671" s="2">
        <v>17.989999999999998</v>
      </c>
      <c r="J1671">
        <v>0</v>
      </c>
      <c r="K1671" s="2">
        <f t="shared" si="52"/>
        <v>0</v>
      </c>
      <c r="L1671" t="s">
        <v>29</v>
      </c>
      <c r="M1671">
        <v>3</v>
      </c>
      <c r="N1671">
        <v>2.1</v>
      </c>
      <c r="O1671" t="str">
        <f t="shared" si="53"/>
        <v>1+ hours</v>
      </c>
      <c r="P1671" t="s">
        <v>30</v>
      </c>
    </row>
    <row r="1672" spans="1:16" x14ac:dyDescent="0.4">
      <c r="A1672" t="s">
        <v>1713</v>
      </c>
      <c r="B1672">
        <v>50</v>
      </c>
      <c r="C1672" t="s">
        <v>15</v>
      </c>
      <c r="D1672" t="s">
        <v>16</v>
      </c>
      <c r="E1672">
        <v>18.87</v>
      </c>
      <c r="F1672">
        <v>28</v>
      </c>
      <c r="G1672" t="s">
        <v>33</v>
      </c>
      <c r="H1672" t="s">
        <v>24</v>
      </c>
      <c r="I1672" s="2">
        <v>8.99</v>
      </c>
      <c r="J1672">
        <v>0</v>
      </c>
      <c r="K1672" s="2">
        <f t="shared" si="52"/>
        <v>0</v>
      </c>
      <c r="L1672" t="s">
        <v>29</v>
      </c>
      <c r="M1672">
        <v>4</v>
      </c>
      <c r="N1672">
        <v>0.65</v>
      </c>
      <c r="O1672" t="str">
        <f t="shared" si="53"/>
        <v>0.6–0.8 hours</v>
      </c>
      <c r="P1672" t="s">
        <v>20</v>
      </c>
    </row>
    <row r="1673" spans="1:16" x14ac:dyDescent="0.4">
      <c r="A1673" t="s">
        <v>1714</v>
      </c>
      <c r="B1673">
        <v>56</v>
      </c>
      <c r="C1673" t="s">
        <v>15</v>
      </c>
      <c r="D1673" t="s">
        <v>32</v>
      </c>
      <c r="E1673">
        <v>0.12</v>
      </c>
      <c r="F1673">
        <v>10</v>
      </c>
      <c r="G1673" t="s">
        <v>33</v>
      </c>
      <c r="H1673" t="s">
        <v>46</v>
      </c>
      <c r="I1673" s="2">
        <v>17.989999999999998</v>
      </c>
      <c r="J1673">
        <v>1</v>
      </c>
      <c r="K1673" s="2">
        <f t="shared" si="52"/>
        <v>17.989999999999998</v>
      </c>
      <c r="L1673" t="s">
        <v>29</v>
      </c>
      <c r="M1673">
        <v>4</v>
      </c>
      <c r="N1673">
        <v>0.01</v>
      </c>
      <c r="O1673" t="str">
        <f t="shared" si="53"/>
        <v>0–0.2 hours</v>
      </c>
      <c r="P1673" t="s">
        <v>34</v>
      </c>
    </row>
    <row r="1674" spans="1:16" x14ac:dyDescent="0.4">
      <c r="A1674" t="s">
        <v>1715</v>
      </c>
      <c r="B1674">
        <v>29</v>
      </c>
      <c r="C1674" t="s">
        <v>27</v>
      </c>
      <c r="D1674" t="s">
        <v>32</v>
      </c>
      <c r="E1674">
        <v>17.11</v>
      </c>
      <c r="F1674">
        <v>5</v>
      </c>
      <c r="G1674" t="s">
        <v>49</v>
      </c>
      <c r="H1674" t="s">
        <v>24</v>
      </c>
      <c r="I1674" s="2">
        <v>17.989999999999998</v>
      </c>
      <c r="J1674">
        <v>0</v>
      </c>
      <c r="K1674" s="2">
        <f t="shared" si="52"/>
        <v>0</v>
      </c>
      <c r="L1674" t="s">
        <v>29</v>
      </c>
      <c r="M1674">
        <v>1</v>
      </c>
      <c r="N1674">
        <v>2.85</v>
      </c>
      <c r="O1674" t="str">
        <f t="shared" si="53"/>
        <v>1+ hours</v>
      </c>
      <c r="P1674" t="s">
        <v>34</v>
      </c>
    </row>
    <row r="1675" spans="1:16" x14ac:dyDescent="0.4">
      <c r="A1675" t="s">
        <v>1716</v>
      </c>
      <c r="B1675">
        <v>48</v>
      </c>
      <c r="C1675" t="s">
        <v>41</v>
      </c>
      <c r="D1675" t="s">
        <v>16</v>
      </c>
      <c r="E1675">
        <v>3.88</v>
      </c>
      <c r="F1675">
        <v>17</v>
      </c>
      <c r="G1675" t="s">
        <v>49</v>
      </c>
      <c r="H1675" t="s">
        <v>24</v>
      </c>
      <c r="I1675" s="2">
        <v>8.99</v>
      </c>
      <c r="J1675">
        <v>1</v>
      </c>
      <c r="K1675" s="2">
        <f t="shared" si="52"/>
        <v>8.99</v>
      </c>
      <c r="L1675" t="s">
        <v>37</v>
      </c>
      <c r="M1675">
        <v>1</v>
      </c>
      <c r="N1675">
        <v>0.22</v>
      </c>
      <c r="O1675" t="str">
        <f t="shared" si="53"/>
        <v>0.2–0.4 hours</v>
      </c>
      <c r="P1675" t="s">
        <v>20</v>
      </c>
    </row>
    <row r="1676" spans="1:16" x14ac:dyDescent="0.4">
      <c r="A1676" t="s">
        <v>1717</v>
      </c>
      <c r="B1676">
        <v>28</v>
      </c>
      <c r="C1676" t="s">
        <v>41</v>
      </c>
      <c r="D1676" t="s">
        <v>32</v>
      </c>
      <c r="E1676">
        <v>9.2200000000000006</v>
      </c>
      <c r="F1676">
        <v>44</v>
      </c>
      <c r="G1676" t="s">
        <v>23</v>
      </c>
      <c r="H1676" t="s">
        <v>55</v>
      </c>
      <c r="I1676" s="2">
        <v>17.989999999999998</v>
      </c>
      <c r="J1676">
        <v>1</v>
      </c>
      <c r="K1676" s="2">
        <f t="shared" si="52"/>
        <v>17.989999999999998</v>
      </c>
      <c r="L1676" t="s">
        <v>61</v>
      </c>
      <c r="M1676">
        <v>3</v>
      </c>
      <c r="N1676">
        <v>0.2</v>
      </c>
      <c r="O1676" t="str">
        <f t="shared" si="53"/>
        <v>0–0.2 hours</v>
      </c>
      <c r="P1676" t="s">
        <v>30</v>
      </c>
    </row>
    <row r="1677" spans="1:16" x14ac:dyDescent="0.4">
      <c r="A1677" t="s">
        <v>1718</v>
      </c>
      <c r="B1677">
        <v>19</v>
      </c>
      <c r="C1677" t="s">
        <v>15</v>
      </c>
      <c r="D1677" t="s">
        <v>22</v>
      </c>
      <c r="E1677">
        <v>1.86</v>
      </c>
      <c r="F1677">
        <v>13</v>
      </c>
      <c r="G1677" t="s">
        <v>28</v>
      </c>
      <c r="H1677" t="s">
        <v>46</v>
      </c>
      <c r="I1677" s="2">
        <v>13.99</v>
      </c>
      <c r="J1677">
        <v>0</v>
      </c>
      <c r="K1677" s="2">
        <f t="shared" si="52"/>
        <v>0</v>
      </c>
      <c r="L1677" t="s">
        <v>43</v>
      </c>
      <c r="M1677">
        <v>4</v>
      </c>
      <c r="N1677">
        <v>0.13</v>
      </c>
      <c r="O1677" t="str">
        <f t="shared" si="53"/>
        <v>0–0.2 hours</v>
      </c>
      <c r="P1677" t="s">
        <v>52</v>
      </c>
    </row>
    <row r="1678" spans="1:16" x14ac:dyDescent="0.4">
      <c r="A1678" t="s">
        <v>1719</v>
      </c>
      <c r="B1678">
        <v>35</v>
      </c>
      <c r="C1678" t="s">
        <v>15</v>
      </c>
      <c r="D1678" t="s">
        <v>22</v>
      </c>
      <c r="E1678">
        <v>5.16</v>
      </c>
      <c r="F1678">
        <v>17</v>
      </c>
      <c r="G1678" t="s">
        <v>33</v>
      </c>
      <c r="H1678" t="s">
        <v>24</v>
      </c>
      <c r="I1678" s="2">
        <v>13.99</v>
      </c>
      <c r="J1678">
        <v>0</v>
      </c>
      <c r="K1678" s="2">
        <f t="shared" si="52"/>
        <v>0</v>
      </c>
      <c r="L1678" t="s">
        <v>61</v>
      </c>
      <c r="M1678">
        <v>4</v>
      </c>
      <c r="N1678">
        <v>0.28999999999999998</v>
      </c>
      <c r="O1678" t="str">
        <f t="shared" si="53"/>
        <v>0.2–0.4 hours</v>
      </c>
      <c r="P1678" t="s">
        <v>47</v>
      </c>
    </row>
    <row r="1679" spans="1:16" x14ac:dyDescent="0.4">
      <c r="A1679" t="s">
        <v>1720</v>
      </c>
      <c r="B1679">
        <v>51</v>
      </c>
      <c r="C1679" t="s">
        <v>15</v>
      </c>
      <c r="D1679" t="s">
        <v>16</v>
      </c>
      <c r="E1679">
        <v>1.5</v>
      </c>
      <c r="F1679">
        <v>34</v>
      </c>
      <c r="G1679" t="s">
        <v>49</v>
      </c>
      <c r="H1679" t="s">
        <v>18</v>
      </c>
      <c r="I1679" s="2">
        <v>8.99</v>
      </c>
      <c r="J1679">
        <v>1</v>
      </c>
      <c r="K1679" s="2">
        <f t="shared" si="52"/>
        <v>8.99</v>
      </c>
      <c r="L1679" t="s">
        <v>29</v>
      </c>
      <c r="M1679">
        <v>2</v>
      </c>
      <c r="N1679">
        <v>0.04</v>
      </c>
      <c r="O1679" t="str">
        <f t="shared" si="53"/>
        <v>0–0.2 hours</v>
      </c>
      <c r="P1679" t="s">
        <v>52</v>
      </c>
    </row>
    <row r="1680" spans="1:16" x14ac:dyDescent="0.4">
      <c r="A1680" t="s">
        <v>1721</v>
      </c>
      <c r="B1680">
        <v>66</v>
      </c>
      <c r="C1680" t="s">
        <v>41</v>
      </c>
      <c r="D1680" t="s">
        <v>32</v>
      </c>
      <c r="E1680">
        <v>5.73</v>
      </c>
      <c r="F1680">
        <v>58</v>
      </c>
      <c r="G1680" t="s">
        <v>23</v>
      </c>
      <c r="H1680" t="s">
        <v>55</v>
      </c>
      <c r="I1680" s="2">
        <v>17.989999999999998</v>
      </c>
      <c r="J1680">
        <v>1</v>
      </c>
      <c r="K1680" s="2">
        <f t="shared" si="52"/>
        <v>17.989999999999998</v>
      </c>
      <c r="L1680" t="s">
        <v>43</v>
      </c>
      <c r="M1680">
        <v>1</v>
      </c>
      <c r="N1680">
        <v>0.1</v>
      </c>
      <c r="O1680" t="str">
        <f t="shared" si="53"/>
        <v>0–0.2 hours</v>
      </c>
      <c r="P1680" t="s">
        <v>20</v>
      </c>
    </row>
    <row r="1681" spans="1:16" x14ac:dyDescent="0.4">
      <c r="A1681" t="s">
        <v>1722</v>
      </c>
      <c r="B1681">
        <v>55</v>
      </c>
      <c r="C1681" t="s">
        <v>41</v>
      </c>
      <c r="D1681" t="s">
        <v>16</v>
      </c>
      <c r="E1681">
        <v>10.19</v>
      </c>
      <c r="F1681">
        <v>5</v>
      </c>
      <c r="G1681" t="s">
        <v>23</v>
      </c>
      <c r="H1681" t="s">
        <v>55</v>
      </c>
      <c r="I1681" s="2">
        <v>8.99</v>
      </c>
      <c r="J1681">
        <v>0</v>
      </c>
      <c r="K1681" s="2">
        <f t="shared" si="52"/>
        <v>0</v>
      </c>
      <c r="L1681" t="s">
        <v>43</v>
      </c>
      <c r="M1681">
        <v>3</v>
      </c>
      <c r="N1681">
        <v>1.7</v>
      </c>
      <c r="O1681" t="str">
        <f t="shared" si="53"/>
        <v>1+ hours</v>
      </c>
      <c r="P1681" t="s">
        <v>20</v>
      </c>
    </row>
    <row r="1682" spans="1:16" x14ac:dyDescent="0.4">
      <c r="A1682" t="s">
        <v>1723</v>
      </c>
      <c r="B1682">
        <v>63</v>
      </c>
      <c r="C1682" t="s">
        <v>41</v>
      </c>
      <c r="D1682" t="s">
        <v>16</v>
      </c>
      <c r="E1682">
        <v>6.81</v>
      </c>
      <c r="F1682">
        <v>18</v>
      </c>
      <c r="G1682" t="s">
        <v>23</v>
      </c>
      <c r="H1682" t="s">
        <v>18</v>
      </c>
      <c r="I1682" s="2">
        <v>8.99</v>
      </c>
      <c r="J1682">
        <v>0</v>
      </c>
      <c r="K1682" s="2">
        <f t="shared" si="52"/>
        <v>0</v>
      </c>
      <c r="L1682" t="s">
        <v>19</v>
      </c>
      <c r="M1682">
        <v>4</v>
      </c>
      <c r="N1682">
        <v>0.36</v>
      </c>
      <c r="O1682" t="str">
        <f t="shared" si="53"/>
        <v>0.2–0.4 hours</v>
      </c>
      <c r="P1682" t="s">
        <v>47</v>
      </c>
    </row>
    <row r="1683" spans="1:16" x14ac:dyDescent="0.4">
      <c r="A1683" t="s">
        <v>1724</v>
      </c>
      <c r="B1683">
        <v>27</v>
      </c>
      <c r="C1683" t="s">
        <v>15</v>
      </c>
      <c r="D1683" t="s">
        <v>32</v>
      </c>
      <c r="E1683">
        <v>6.78</v>
      </c>
      <c r="F1683">
        <v>4</v>
      </c>
      <c r="G1683" t="s">
        <v>49</v>
      </c>
      <c r="H1683" t="s">
        <v>24</v>
      </c>
      <c r="I1683" s="2">
        <v>17.989999999999998</v>
      </c>
      <c r="J1683">
        <v>0</v>
      </c>
      <c r="K1683" s="2">
        <f t="shared" si="52"/>
        <v>0</v>
      </c>
      <c r="L1683" t="s">
        <v>43</v>
      </c>
      <c r="M1683">
        <v>3</v>
      </c>
      <c r="N1683">
        <v>1.36</v>
      </c>
      <c r="O1683" t="str">
        <f t="shared" si="53"/>
        <v>1+ hours</v>
      </c>
      <c r="P1683" t="s">
        <v>30</v>
      </c>
    </row>
    <row r="1684" spans="1:16" x14ac:dyDescent="0.4">
      <c r="A1684" t="s">
        <v>1725</v>
      </c>
      <c r="B1684">
        <v>34</v>
      </c>
      <c r="C1684" t="s">
        <v>15</v>
      </c>
      <c r="D1684" t="s">
        <v>22</v>
      </c>
      <c r="E1684">
        <v>1.92</v>
      </c>
      <c r="F1684">
        <v>31</v>
      </c>
      <c r="G1684" t="s">
        <v>33</v>
      </c>
      <c r="H1684" t="s">
        <v>18</v>
      </c>
      <c r="I1684" s="2">
        <v>13.99</v>
      </c>
      <c r="J1684">
        <v>1</v>
      </c>
      <c r="K1684" s="2">
        <f t="shared" si="52"/>
        <v>13.99</v>
      </c>
      <c r="L1684" t="s">
        <v>43</v>
      </c>
      <c r="M1684">
        <v>1</v>
      </c>
      <c r="N1684">
        <v>0.06</v>
      </c>
      <c r="O1684" t="str">
        <f t="shared" si="53"/>
        <v>0–0.2 hours</v>
      </c>
      <c r="P1684" t="s">
        <v>20</v>
      </c>
    </row>
    <row r="1685" spans="1:16" x14ac:dyDescent="0.4">
      <c r="A1685" t="s">
        <v>1726</v>
      </c>
      <c r="B1685">
        <v>39</v>
      </c>
      <c r="C1685" t="s">
        <v>15</v>
      </c>
      <c r="D1685" t="s">
        <v>22</v>
      </c>
      <c r="E1685">
        <v>8.6</v>
      </c>
      <c r="F1685">
        <v>37</v>
      </c>
      <c r="G1685" t="s">
        <v>23</v>
      </c>
      <c r="H1685" t="s">
        <v>24</v>
      </c>
      <c r="I1685" s="2">
        <v>13.99</v>
      </c>
      <c r="J1685">
        <v>0</v>
      </c>
      <c r="K1685" s="2">
        <f t="shared" si="52"/>
        <v>0</v>
      </c>
      <c r="L1685" t="s">
        <v>61</v>
      </c>
      <c r="M1685">
        <v>4</v>
      </c>
      <c r="N1685">
        <v>0.23</v>
      </c>
      <c r="O1685" t="str">
        <f t="shared" si="53"/>
        <v>0.2–0.4 hours</v>
      </c>
      <c r="P1685" t="s">
        <v>20</v>
      </c>
    </row>
    <row r="1686" spans="1:16" x14ac:dyDescent="0.4">
      <c r="A1686" t="s">
        <v>1727</v>
      </c>
      <c r="B1686">
        <v>34</v>
      </c>
      <c r="C1686" t="s">
        <v>27</v>
      </c>
      <c r="D1686" t="s">
        <v>22</v>
      </c>
      <c r="E1686">
        <v>4.0599999999999996</v>
      </c>
      <c r="F1686">
        <v>44</v>
      </c>
      <c r="G1686" t="s">
        <v>23</v>
      </c>
      <c r="H1686" t="s">
        <v>57</v>
      </c>
      <c r="I1686" s="2">
        <v>13.99</v>
      </c>
      <c r="J1686">
        <v>1</v>
      </c>
      <c r="K1686" s="2">
        <f t="shared" si="52"/>
        <v>13.99</v>
      </c>
      <c r="L1686" t="s">
        <v>43</v>
      </c>
      <c r="M1686">
        <v>1</v>
      </c>
      <c r="N1686">
        <v>0.09</v>
      </c>
      <c r="O1686" t="str">
        <f t="shared" si="53"/>
        <v>0–0.2 hours</v>
      </c>
      <c r="P1686" t="s">
        <v>30</v>
      </c>
    </row>
    <row r="1687" spans="1:16" x14ac:dyDescent="0.4">
      <c r="A1687" t="s">
        <v>1728</v>
      </c>
      <c r="B1687">
        <v>24</v>
      </c>
      <c r="C1687" t="s">
        <v>27</v>
      </c>
      <c r="D1687" t="s">
        <v>22</v>
      </c>
      <c r="E1687">
        <v>30.49</v>
      </c>
      <c r="F1687">
        <v>39</v>
      </c>
      <c r="G1687" t="s">
        <v>70</v>
      </c>
      <c r="H1687" t="s">
        <v>18</v>
      </c>
      <c r="I1687" s="2">
        <v>13.99</v>
      </c>
      <c r="J1687">
        <v>0</v>
      </c>
      <c r="K1687" s="2">
        <f t="shared" si="52"/>
        <v>0</v>
      </c>
      <c r="L1687" t="s">
        <v>43</v>
      </c>
      <c r="M1687">
        <v>1</v>
      </c>
      <c r="N1687">
        <v>0.76</v>
      </c>
      <c r="O1687" t="str">
        <f t="shared" si="53"/>
        <v>0.6–0.8 hours</v>
      </c>
      <c r="P1687" t="s">
        <v>25</v>
      </c>
    </row>
    <row r="1688" spans="1:16" x14ac:dyDescent="0.4">
      <c r="A1688" t="s">
        <v>1729</v>
      </c>
      <c r="B1688">
        <v>33</v>
      </c>
      <c r="C1688" t="s">
        <v>27</v>
      </c>
      <c r="D1688" t="s">
        <v>16</v>
      </c>
      <c r="E1688">
        <v>6.73</v>
      </c>
      <c r="F1688">
        <v>46</v>
      </c>
      <c r="G1688" t="s">
        <v>49</v>
      </c>
      <c r="H1688" t="s">
        <v>55</v>
      </c>
      <c r="I1688" s="2">
        <v>8.99</v>
      </c>
      <c r="J1688">
        <v>1</v>
      </c>
      <c r="K1688" s="2">
        <f t="shared" si="52"/>
        <v>8.99</v>
      </c>
      <c r="L1688" t="s">
        <v>61</v>
      </c>
      <c r="M1688">
        <v>2</v>
      </c>
      <c r="N1688">
        <v>0.14000000000000001</v>
      </c>
      <c r="O1688" t="str">
        <f t="shared" si="53"/>
        <v>0–0.2 hours</v>
      </c>
      <c r="P1688" t="s">
        <v>30</v>
      </c>
    </row>
    <row r="1689" spans="1:16" x14ac:dyDescent="0.4">
      <c r="A1689" t="s">
        <v>1730</v>
      </c>
      <c r="B1689">
        <v>62</v>
      </c>
      <c r="C1689" t="s">
        <v>41</v>
      </c>
      <c r="D1689" t="s">
        <v>16</v>
      </c>
      <c r="E1689">
        <v>0.9</v>
      </c>
      <c r="F1689">
        <v>22</v>
      </c>
      <c r="G1689" t="s">
        <v>49</v>
      </c>
      <c r="H1689" t="s">
        <v>57</v>
      </c>
      <c r="I1689" s="2">
        <v>8.99</v>
      </c>
      <c r="J1689">
        <v>1</v>
      </c>
      <c r="K1689" s="2">
        <f t="shared" si="52"/>
        <v>8.99</v>
      </c>
      <c r="L1689" t="s">
        <v>37</v>
      </c>
      <c r="M1689">
        <v>4</v>
      </c>
      <c r="N1689">
        <v>0.04</v>
      </c>
      <c r="O1689" t="str">
        <f t="shared" si="53"/>
        <v>0–0.2 hours</v>
      </c>
      <c r="P1689" t="s">
        <v>39</v>
      </c>
    </row>
    <row r="1690" spans="1:16" x14ac:dyDescent="0.4">
      <c r="A1690" t="s">
        <v>1731</v>
      </c>
      <c r="B1690">
        <v>51</v>
      </c>
      <c r="C1690" t="s">
        <v>27</v>
      </c>
      <c r="D1690" t="s">
        <v>16</v>
      </c>
      <c r="E1690">
        <v>7.61</v>
      </c>
      <c r="F1690">
        <v>23</v>
      </c>
      <c r="G1690" t="s">
        <v>49</v>
      </c>
      <c r="H1690" t="s">
        <v>57</v>
      </c>
      <c r="I1690" s="2">
        <v>8.99</v>
      </c>
      <c r="J1690">
        <v>1</v>
      </c>
      <c r="K1690" s="2">
        <f t="shared" si="52"/>
        <v>8.99</v>
      </c>
      <c r="L1690" t="s">
        <v>19</v>
      </c>
      <c r="M1690">
        <v>3</v>
      </c>
      <c r="N1690">
        <v>0.32</v>
      </c>
      <c r="O1690" t="str">
        <f t="shared" si="53"/>
        <v>0.2–0.4 hours</v>
      </c>
      <c r="P1690" t="s">
        <v>47</v>
      </c>
    </row>
    <row r="1691" spans="1:16" x14ac:dyDescent="0.4">
      <c r="A1691" t="s">
        <v>1732</v>
      </c>
      <c r="B1691">
        <v>48</v>
      </c>
      <c r="C1691" t="s">
        <v>41</v>
      </c>
      <c r="D1691" t="s">
        <v>16</v>
      </c>
      <c r="E1691">
        <v>7.52</v>
      </c>
      <c r="F1691">
        <v>48</v>
      </c>
      <c r="G1691" t="s">
        <v>28</v>
      </c>
      <c r="H1691" t="s">
        <v>55</v>
      </c>
      <c r="I1691" s="2">
        <v>8.99</v>
      </c>
      <c r="J1691">
        <v>1</v>
      </c>
      <c r="K1691" s="2">
        <f t="shared" si="52"/>
        <v>8.99</v>
      </c>
      <c r="L1691" t="s">
        <v>37</v>
      </c>
      <c r="M1691">
        <v>3</v>
      </c>
      <c r="N1691">
        <v>0.15</v>
      </c>
      <c r="O1691" t="str">
        <f t="shared" si="53"/>
        <v>0–0.2 hours</v>
      </c>
      <c r="P1691" t="s">
        <v>39</v>
      </c>
    </row>
    <row r="1692" spans="1:16" x14ac:dyDescent="0.4">
      <c r="A1692" t="s">
        <v>1733</v>
      </c>
      <c r="B1692">
        <v>20</v>
      </c>
      <c r="C1692" t="s">
        <v>41</v>
      </c>
      <c r="D1692" t="s">
        <v>32</v>
      </c>
      <c r="E1692">
        <v>6.94</v>
      </c>
      <c r="F1692">
        <v>45</v>
      </c>
      <c r="G1692" t="s">
        <v>49</v>
      </c>
      <c r="H1692" t="s">
        <v>24</v>
      </c>
      <c r="I1692" s="2">
        <v>17.989999999999998</v>
      </c>
      <c r="J1692">
        <v>1</v>
      </c>
      <c r="K1692" s="2">
        <f t="shared" si="52"/>
        <v>17.989999999999998</v>
      </c>
      <c r="L1692" t="s">
        <v>61</v>
      </c>
      <c r="M1692">
        <v>1</v>
      </c>
      <c r="N1692">
        <v>0.15</v>
      </c>
      <c r="O1692" t="str">
        <f t="shared" si="53"/>
        <v>0–0.2 hours</v>
      </c>
      <c r="P1692" t="s">
        <v>47</v>
      </c>
    </row>
    <row r="1693" spans="1:16" x14ac:dyDescent="0.4">
      <c r="A1693" t="s">
        <v>1734</v>
      </c>
      <c r="B1693">
        <v>44</v>
      </c>
      <c r="C1693" t="s">
        <v>41</v>
      </c>
      <c r="D1693" t="s">
        <v>32</v>
      </c>
      <c r="E1693">
        <v>0.62</v>
      </c>
      <c r="F1693">
        <v>22</v>
      </c>
      <c r="G1693" t="s">
        <v>17</v>
      </c>
      <c r="H1693" t="s">
        <v>57</v>
      </c>
      <c r="I1693" s="2">
        <v>17.989999999999998</v>
      </c>
      <c r="J1693">
        <v>1</v>
      </c>
      <c r="K1693" s="2">
        <f t="shared" si="52"/>
        <v>17.989999999999998</v>
      </c>
      <c r="L1693" t="s">
        <v>43</v>
      </c>
      <c r="M1693">
        <v>2</v>
      </c>
      <c r="N1693">
        <v>0.03</v>
      </c>
      <c r="O1693" t="str">
        <f t="shared" si="53"/>
        <v>0–0.2 hours</v>
      </c>
      <c r="P1693" t="s">
        <v>52</v>
      </c>
    </row>
    <row r="1694" spans="1:16" x14ac:dyDescent="0.4">
      <c r="A1694" t="s">
        <v>1735</v>
      </c>
      <c r="B1694">
        <v>62</v>
      </c>
      <c r="C1694" t="s">
        <v>27</v>
      </c>
      <c r="D1694" t="s">
        <v>16</v>
      </c>
      <c r="E1694">
        <v>79.180000000000007</v>
      </c>
      <c r="F1694">
        <v>18</v>
      </c>
      <c r="G1694" t="s">
        <v>23</v>
      </c>
      <c r="H1694" t="s">
        <v>18</v>
      </c>
      <c r="I1694" s="2">
        <v>8.99</v>
      </c>
      <c r="J1694">
        <v>0</v>
      </c>
      <c r="K1694" s="2">
        <f t="shared" si="52"/>
        <v>0</v>
      </c>
      <c r="L1694" t="s">
        <v>61</v>
      </c>
      <c r="M1694">
        <v>3</v>
      </c>
      <c r="N1694">
        <v>4.17</v>
      </c>
      <c r="O1694" t="str">
        <f t="shared" si="53"/>
        <v>1+ hours</v>
      </c>
      <c r="P1694" t="s">
        <v>52</v>
      </c>
    </row>
    <row r="1695" spans="1:16" x14ac:dyDescent="0.4">
      <c r="A1695" t="s">
        <v>1736</v>
      </c>
      <c r="B1695">
        <v>41</v>
      </c>
      <c r="C1695" t="s">
        <v>15</v>
      </c>
      <c r="D1695" t="s">
        <v>16</v>
      </c>
      <c r="E1695">
        <v>5.65</v>
      </c>
      <c r="F1695">
        <v>57</v>
      </c>
      <c r="G1695" t="s">
        <v>17</v>
      </c>
      <c r="H1695" t="s">
        <v>57</v>
      </c>
      <c r="I1695" s="2">
        <v>8.99</v>
      </c>
      <c r="J1695">
        <v>1</v>
      </c>
      <c r="K1695" s="2">
        <f t="shared" si="52"/>
        <v>8.99</v>
      </c>
      <c r="L1695" t="s">
        <v>37</v>
      </c>
      <c r="M1695">
        <v>5</v>
      </c>
      <c r="N1695">
        <v>0.1</v>
      </c>
      <c r="O1695" t="str">
        <f t="shared" si="53"/>
        <v>0–0.2 hours</v>
      </c>
      <c r="P1695" t="s">
        <v>47</v>
      </c>
    </row>
    <row r="1696" spans="1:16" x14ac:dyDescent="0.4">
      <c r="A1696" t="s">
        <v>1737</v>
      </c>
      <c r="B1696">
        <v>51</v>
      </c>
      <c r="C1696" t="s">
        <v>15</v>
      </c>
      <c r="D1696" t="s">
        <v>32</v>
      </c>
      <c r="E1696">
        <v>1.37</v>
      </c>
      <c r="F1696">
        <v>60</v>
      </c>
      <c r="G1696" t="s">
        <v>49</v>
      </c>
      <c r="H1696" t="s">
        <v>57</v>
      </c>
      <c r="I1696" s="2">
        <v>17.989999999999998</v>
      </c>
      <c r="J1696">
        <v>1</v>
      </c>
      <c r="K1696" s="2">
        <f t="shared" si="52"/>
        <v>17.989999999999998</v>
      </c>
      <c r="L1696" t="s">
        <v>43</v>
      </c>
      <c r="M1696">
        <v>4</v>
      </c>
      <c r="N1696">
        <v>0.02</v>
      </c>
      <c r="O1696" t="str">
        <f t="shared" si="53"/>
        <v>0–0.2 hours</v>
      </c>
      <c r="P1696" t="s">
        <v>20</v>
      </c>
    </row>
    <row r="1697" spans="1:16" x14ac:dyDescent="0.4">
      <c r="A1697" t="s">
        <v>1738</v>
      </c>
      <c r="B1697">
        <v>39</v>
      </c>
      <c r="C1697" t="s">
        <v>27</v>
      </c>
      <c r="D1697" t="s">
        <v>22</v>
      </c>
      <c r="E1697">
        <v>17.670000000000002</v>
      </c>
      <c r="F1697">
        <v>13</v>
      </c>
      <c r="G1697" t="s">
        <v>23</v>
      </c>
      <c r="H1697" t="s">
        <v>57</v>
      </c>
      <c r="I1697" s="2">
        <v>13.99</v>
      </c>
      <c r="J1697">
        <v>0</v>
      </c>
      <c r="K1697" s="2">
        <f t="shared" si="52"/>
        <v>0</v>
      </c>
      <c r="L1697" t="s">
        <v>37</v>
      </c>
      <c r="M1697">
        <v>3</v>
      </c>
      <c r="N1697">
        <v>1.26</v>
      </c>
      <c r="O1697" t="str">
        <f t="shared" si="53"/>
        <v>1+ hours</v>
      </c>
      <c r="P1697" t="s">
        <v>39</v>
      </c>
    </row>
    <row r="1698" spans="1:16" x14ac:dyDescent="0.4">
      <c r="A1698" t="s">
        <v>1739</v>
      </c>
      <c r="B1698">
        <v>52</v>
      </c>
      <c r="C1698" t="s">
        <v>15</v>
      </c>
      <c r="D1698" t="s">
        <v>16</v>
      </c>
      <c r="E1698">
        <v>9.57</v>
      </c>
      <c r="F1698">
        <v>25</v>
      </c>
      <c r="G1698" t="s">
        <v>49</v>
      </c>
      <c r="H1698" t="s">
        <v>18</v>
      </c>
      <c r="I1698" s="2">
        <v>8.99</v>
      </c>
      <c r="J1698">
        <v>0</v>
      </c>
      <c r="K1698" s="2">
        <f t="shared" si="52"/>
        <v>0</v>
      </c>
      <c r="L1698" t="s">
        <v>37</v>
      </c>
      <c r="M1698">
        <v>5</v>
      </c>
      <c r="N1698">
        <v>0.37</v>
      </c>
      <c r="O1698" t="str">
        <f t="shared" si="53"/>
        <v>0.2–0.4 hours</v>
      </c>
      <c r="P1698" t="s">
        <v>34</v>
      </c>
    </row>
    <row r="1699" spans="1:16" x14ac:dyDescent="0.4">
      <c r="A1699" t="s">
        <v>1740</v>
      </c>
      <c r="B1699">
        <v>22</v>
      </c>
      <c r="C1699" t="s">
        <v>41</v>
      </c>
      <c r="D1699" t="s">
        <v>32</v>
      </c>
      <c r="E1699">
        <v>2.14</v>
      </c>
      <c r="F1699">
        <v>52</v>
      </c>
      <c r="G1699" t="s">
        <v>33</v>
      </c>
      <c r="H1699" t="s">
        <v>18</v>
      </c>
      <c r="I1699" s="2">
        <v>17.989999999999998</v>
      </c>
      <c r="J1699">
        <v>1</v>
      </c>
      <c r="K1699" s="2">
        <f t="shared" si="52"/>
        <v>17.989999999999998</v>
      </c>
      <c r="L1699" t="s">
        <v>43</v>
      </c>
      <c r="M1699">
        <v>2</v>
      </c>
      <c r="N1699">
        <v>0.04</v>
      </c>
      <c r="O1699" t="str">
        <f t="shared" si="53"/>
        <v>0–0.2 hours</v>
      </c>
      <c r="P1699" t="s">
        <v>34</v>
      </c>
    </row>
    <row r="1700" spans="1:16" x14ac:dyDescent="0.4">
      <c r="A1700" t="s">
        <v>1741</v>
      </c>
      <c r="B1700">
        <v>23</v>
      </c>
      <c r="C1700" t="s">
        <v>27</v>
      </c>
      <c r="D1700" t="s">
        <v>16</v>
      </c>
      <c r="E1700">
        <v>8.23</v>
      </c>
      <c r="F1700">
        <v>23</v>
      </c>
      <c r="G1700" t="s">
        <v>33</v>
      </c>
      <c r="H1700" t="s">
        <v>55</v>
      </c>
      <c r="I1700" s="2">
        <v>8.99</v>
      </c>
      <c r="J1700">
        <v>1</v>
      </c>
      <c r="K1700" s="2">
        <f t="shared" si="52"/>
        <v>8.99</v>
      </c>
      <c r="L1700" t="s">
        <v>43</v>
      </c>
      <c r="M1700">
        <v>1</v>
      </c>
      <c r="N1700">
        <v>0.34</v>
      </c>
      <c r="O1700" t="str">
        <f t="shared" si="53"/>
        <v>0.2–0.4 hours</v>
      </c>
      <c r="P1700" t="s">
        <v>20</v>
      </c>
    </row>
    <row r="1701" spans="1:16" x14ac:dyDescent="0.4">
      <c r="A1701" t="s">
        <v>1742</v>
      </c>
      <c r="B1701">
        <v>44</v>
      </c>
      <c r="C1701" t="s">
        <v>41</v>
      </c>
      <c r="D1701" t="s">
        <v>16</v>
      </c>
      <c r="E1701">
        <v>24.96</v>
      </c>
      <c r="F1701">
        <v>35</v>
      </c>
      <c r="G1701" t="s">
        <v>23</v>
      </c>
      <c r="H1701" t="s">
        <v>18</v>
      </c>
      <c r="I1701" s="2">
        <v>8.99</v>
      </c>
      <c r="J1701">
        <v>0</v>
      </c>
      <c r="K1701" s="2">
        <f t="shared" si="52"/>
        <v>0</v>
      </c>
      <c r="L1701" t="s">
        <v>29</v>
      </c>
      <c r="M1701">
        <v>2</v>
      </c>
      <c r="N1701">
        <v>0.69</v>
      </c>
      <c r="O1701" t="str">
        <f t="shared" si="53"/>
        <v>0.6–0.8 hours</v>
      </c>
      <c r="P1701" t="s">
        <v>52</v>
      </c>
    </row>
    <row r="1702" spans="1:16" x14ac:dyDescent="0.4">
      <c r="A1702" t="s">
        <v>1743</v>
      </c>
      <c r="B1702">
        <v>58</v>
      </c>
      <c r="C1702" t="s">
        <v>27</v>
      </c>
      <c r="D1702" t="s">
        <v>22</v>
      </c>
      <c r="E1702">
        <v>2.5299999999999998</v>
      </c>
      <c r="F1702">
        <v>54</v>
      </c>
      <c r="G1702" t="s">
        <v>23</v>
      </c>
      <c r="H1702" t="s">
        <v>55</v>
      </c>
      <c r="I1702" s="2">
        <v>13.99</v>
      </c>
      <c r="J1702">
        <v>1</v>
      </c>
      <c r="K1702" s="2">
        <f t="shared" si="52"/>
        <v>13.99</v>
      </c>
      <c r="L1702" t="s">
        <v>19</v>
      </c>
      <c r="M1702">
        <v>5</v>
      </c>
      <c r="N1702">
        <v>0.05</v>
      </c>
      <c r="O1702" t="str">
        <f t="shared" si="53"/>
        <v>0–0.2 hours</v>
      </c>
      <c r="P1702" t="s">
        <v>25</v>
      </c>
    </row>
    <row r="1703" spans="1:16" x14ac:dyDescent="0.4">
      <c r="A1703" t="s">
        <v>1744</v>
      </c>
      <c r="B1703">
        <v>37</v>
      </c>
      <c r="C1703" t="s">
        <v>41</v>
      </c>
      <c r="D1703" t="s">
        <v>22</v>
      </c>
      <c r="E1703">
        <v>5.08</v>
      </c>
      <c r="F1703">
        <v>40</v>
      </c>
      <c r="G1703" t="s">
        <v>17</v>
      </c>
      <c r="H1703" t="s">
        <v>46</v>
      </c>
      <c r="I1703" s="2">
        <v>13.99</v>
      </c>
      <c r="J1703">
        <v>0</v>
      </c>
      <c r="K1703" s="2">
        <f t="shared" si="52"/>
        <v>0</v>
      </c>
      <c r="L1703" t="s">
        <v>43</v>
      </c>
      <c r="M1703">
        <v>4</v>
      </c>
      <c r="N1703">
        <v>0.12</v>
      </c>
      <c r="O1703" t="str">
        <f t="shared" si="53"/>
        <v>0–0.2 hours</v>
      </c>
      <c r="P1703" t="s">
        <v>52</v>
      </c>
    </row>
    <row r="1704" spans="1:16" x14ac:dyDescent="0.4">
      <c r="A1704" t="s">
        <v>1745</v>
      </c>
      <c r="B1704">
        <v>62</v>
      </c>
      <c r="C1704" t="s">
        <v>15</v>
      </c>
      <c r="D1704" t="s">
        <v>22</v>
      </c>
      <c r="E1704">
        <v>7.36</v>
      </c>
      <c r="F1704">
        <v>45</v>
      </c>
      <c r="G1704" t="s">
        <v>17</v>
      </c>
      <c r="H1704" t="s">
        <v>46</v>
      </c>
      <c r="I1704" s="2">
        <v>13.99</v>
      </c>
      <c r="J1704">
        <v>1</v>
      </c>
      <c r="K1704" s="2">
        <f t="shared" si="52"/>
        <v>13.99</v>
      </c>
      <c r="L1704" t="s">
        <v>43</v>
      </c>
      <c r="M1704">
        <v>2</v>
      </c>
      <c r="N1704">
        <v>0.16</v>
      </c>
      <c r="O1704" t="str">
        <f t="shared" si="53"/>
        <v>0–0.2 hours</v>
      </c>
      <c r="P1704" t="s">
        <v>34</v>
      </c>
    </row>
    <row r="1705" spans="1:16" x14ac:dyDescent="0.4">
      <c r="A1705" t="s">
        <v>1746</v>
      </c>
      <c r="B1705">
        <v>22</v>
      </c>
      <c r="C1705" t="s">
        <v>27</v>
      </c>
      <c r="D1705" t="s">
        <v>16</v>
      </c>
      <c r="E1705">
        <v>8.01</v>
      </c>
      <c r="F1705">
        <v>26</v>
      </c>
      <c r="G1705" t="s">
        <v>23</v>
      </c>
      <c r="H1705" t="s">
        <v>57</v>
      </c>
      <c r="I1705" s="2">
        <v>8.99</v>
      </c>
      <c r="J1705">
        <v>1</v>
      </c>
      <c r="K1705" s="2">
        <f t="shared" si="52"/>
        <v>8.99</v>
      </c>
      <c r="L1705" t="s">
        <v>43</v>
      </c>
      <c r="M1705">
        <v>1</v>
      </c>
      <c r="N1705">
        <v>0.3</v>
      </c>
      <c r="O1705" t="str">
        <f t="shared" si="53"/>
        <v>0.2–0.4 hours</v>
      </c>
      <c r="P1705" t="s">
        <v>30</v>
      </c>
    </row>
    <row r="1706" spans="1:16" x14ac:dyDescent="0.4">
      <c r="A1706" t="s">
        <v>1747</v>
      </c>
      <c r="B1706">
        <v>59</v>
      </c>
      <c r="C1706" t="s">
        <v>41</v>
      </c>
      <c r="D1706" t="s">
        <v>22</v>
      </c>
      <c r="E1706">
        <v>1.86</v>
      </c>
      <c r="F1706">
        <v>40</v>
      </c>
      <c r="G1706" t="s">
        <v>49</v>
      </c>
      <c r="H1706" t="s">
        <v>46</v>
      </c>
      <c r="I1706" s="2">
        <v>13.99</v>
      </c>
      <c r="J1706">
        <v>1</v>
      </c>
      <c r="K1706" s="2">
        <f t="shared" si="52"/>
        <v>13.99</v>
      </c>
      <c r="L1706" t="s">
        <v>29</v>
      </c>
      <c r="M1706">
        <v>5</v>
      </c>
      <c r="N1706">
        <v>0.05</v>
      </c>
      <c r="O1706" t="str">
        <f t="shared" si="53"/>
        <v>0–0.2 hours</v>
      </c>
      <c r="P1706" t="s">
        <v>30</v>
      </c>
    </row>
    <row r="1707" spans="1:16" x14ac:dyDescent="0.4">
      <c r="A1707" t="s">
        <v>1748</v>
      </c>
      <c r="B1707">
        <v>67</v>
      </c>
      <c r="C1707" t="s">
        <v>41</v>
      </c>
      <c r="D1707" t="s">
        <v>32</v>
      </c>
      <c r="E1707">
        <v>7.94</v>
      </c>
      <c r="F1707">
        <v>52</v>
      </c>
      <c r="G1707" t="s">
        <v>49</v>
      </c>
      <c r="H1707" t="s">
        <v>57</v>
      </c>
      <c r="I1707" s="2">
        <v>17.989999999999998</v>
      </c>
      <c r="J1707">
        <v>1</v>
      </c>
      <c r="K1707" s="2">
        <f t="shared" si="52"/>
        <v>17.989999999999998</v>
      </c>
      <c r="L1707" t="s">
        <v>29</v>
      </c>
      <c r="M1707">
        <v>1</v>
      </c>
      <c r="N1707">
        <v>0.15</v>
      </c>
      <c r="O1707" t="str">
        <f t="shared" si="53"/>
        <v>0–0.2 hours</v>
      </c>
      <c r="P1707" t="s">
        <v>34</v>
      </c>
    </row>
    <row r="1708" spans="1:16" x14ac:dyDescent="0.4">
      <c r="A1708" t="s">
        <v>1749</v>
      </c>
      <c r="B1708">
        <v>63</v>
      </c>
      <c r="C1708" t="s">
        <v>27</v>
      </c>
      <c r="D1708" t="s">
        <v>16</v>
      </c>
      <c r="E1708">
        <v>1.84</v>
      </c>
      <c r="F1708">
        <v>15</v>
      </c>
      <c r="G1708" t="s">
        <v>49</v>
      </c>
      <c r="H1708" t="s">
        <v>55</v>
      </c>
      <c r="I1708" s="2">
        <v>8.99</v>
      </c>
      <c r="J1708">
        <v>1</v>
      </c>
      <c r="K1708" s="2">
        <f t="shared" si="52"/>
        <v>8.99</v>
      </c>
      <c r="L1708" t="s">
        <v>37</v>
      </c>
      <c r="M1708">
        <v>3</v>
      </c>
      <c r="N1708">
        <v>0.12</v>
      </c>
      <c r="O1708" t="str">
        <f t="shared" si="53"/>
        <v>0–0.2 hours</v>
      </c>
      <c r="P1708" t="s">
        <v>20</v>
      </c>
    </row>
    <row r="1709" spans="1:16" x14ac:dyDescent="0.4">
      <c r="A1709" t="s">
        <v>1750</v>
      </c>
      <c r="B1709">
        <v>23</v>
      </c>
      <c r="C1709" t="s">
        <v>15</v>
      </c>
      <c r="D1709" t="s">
        <v>16</v>
      </c>
      <c r="E1709">
        <v>1.04</v>
      </c>
      <c r="F1709">
        <v>59</v>
      </c>
      <c r="G1709" t="s">
        <v>49</v>
      </c>
      <c r="H1709" t="s">
        <v>57</v>
      </c>
      <c r="I1709" s="2">
        <v>8.99</v>
      </c>
      <c r="J1709">
        <v>1</v>
      </c>
      <c r="K1709" s="2">
        <f t="shared" si="52"/>
        <v>8.99</v>
      </c>
      <c r="L1709" t="s">
        <v>61</v>
      </c>
      <c r="M1709">
        <v>4</v>
      </c>
      <c r="N1709">
        <v>0.02</v>
      </c>
      <c r="O1709" t="str">
        <f t="shared" si="53"/>
        <v>0–0.2 hours</v>
      </c>
      <c r="P1709" t="s">
        <v>47</v>
      </c>
    </row>
    <row r="1710" spans="1:16" x14ac:dyDescent="0.4">
      <c r="A1710" t="s">
        <v>1751</v>
      </c>
      <c r="B1710">
        <v>68</v>
      </c>
      <c r="C1710" t="s">
        <v>41</v>
      </c>
      <c r="D1710" t="s">
        <v>16</v>
      </c>
      <c r="E1710">
        <v>24.34</v>
      </c>
      <c r="F1710">
        <v>16</v>
      </c>
      <c r="G1710" t="s">
        <v>33</v>
      </c>
      <c r="H1710" t="s">
        <v>55</v>
      </c>
      <c r="I1710" s="2">
        <v>8.99</v>
      </c>
      <c r="J1710">
        <v>0</v>
      </c>
      <c r="K1710" s="2">
        <f t="shared" si="52"/>
        <v>0</v>
      </c>
      <c r="L1710" t="s">
        <v>61</v>
      </c>
      <c r="M1710">
        <v>5</v>
      </c>
      <c r="N1710">
        <v>1.43</v>
      </c>
      <c r="O1710" t="str">
        <f t="shared" si="53"/>
        <v>1+ hours</v>
      </c>
      <c r="P1710" t="s">
        <v>52</v>
      </c>
    </row>
    <row r="1711" spans="1:16" x14ac:dyDescent="0.4">
      <c r="A1711" t="s">
        <v>1752</v>
      </c>
      <c r="B1711">
        <v>42</v>
      </c>
      <c r="C1711" t="s">
        <v>15</v>
      </c>
      <c r="D1711" t="s">
        <v>22</v>
      </c>
      <c r="E1711">
        <v>0.02</v>
      </c>
      <c r="F1711">
        <v>38</v>
      </c>
      <c r="G1711" t="s">
        <v>23</v>
      </c>
      <c r="H1711" t="s">
        <v>55</v>
      </c>
      <c r="I1711" s="2">
        <v>13.99</v>
      </c>
      <c r="J1711">
        <v>1</v>
      </c>
      <c r="K1711" s="2">
        <f t="shared" si="52"/>
        <v>13.99</v>
      </c>
      <c r="L1711" t="s">
        <v>29</v>
      </c>
      <c r="M1711">
        <v>3</v>
      </c>
      <c r="N1711">
        <v>0</v>
      </c>
      <c r="O1711" t="str">
        <f t="shared" si="53"/>
        <v>0–0.2 hours</v>
      </c>
      <c r="P1711" t="s">
        <v>39</v>
      </c>
    </row>
    <row r="1712" spans="1:16" x14ac:dyDescent="0.4">
      <c r="A1712" t="s">
        <v>1753</v>
      </c>
      <c r="B1712">
        <v>61</v>
      </c>
      <c r="C1712" t="s">
        <v>27</v>
      </c>
      <c r="D1712" t="s">
        <v>32</v>
      </c>
      <c r="E1712">
        <v>6.27</v>
      </c>
      <c r="F1712">
        <v>42</v>
      </c>
      <c r="G1712" t="s">
        <v>49</v>
      </c>
      <c r="H1712" t="s">
        <v>18</v>
      </c>
      <c r="I1712" s="2">
        <v>17.989999999999998</v>
      </c>
      <c r="J1712">
        <v>1</v>
      </c>
      <c r="K1712" s="2">
        <f t="shared" si="52"/>
        <v>17.989999999999998</v>
      </c>
      <c r="L1712" t="s">
        <v>29</v>
      </c>
      <c r="M1712">
        <v>1</v>
      </c>
      <c r="N1712">
        <v>0.15</v>
      </c>
      <c r="O1712" t="str">
        <f t="shared" si="53"/>
        <v>0–0.2 hours</v>
      </c>
      <c r="P1712" t="s">
        <v>20</v>
      </c>
    </row>
    <row r="1713" spans="1:16" x14ac:dyDescent="0.4">
      <c r="A1713" t="s">
        <v>1754</v>
      </c>
      <c r="B1713">
        <v>39</v>
      </c>
      <c r="C1713" t="s">
        <v>41</v>
      </c>
      <c r="D1713" t="s">
        <v>32</v>
      </c>
      <c r="E1713">
        <v>16.03</v>
      </c>
      <c r="F1713">
        <v>13</v>
      </c>
      <c r="G1713" t="s">
        <v>28</v>
      </c>
      <c r="H1713" t="s">
        <v>18</v>
      </c>
      <c r="I1713" s="2">
        <v>17.989999999999998</v>
      </c>
      <c r="J1713">
        <v>0</v>
      </c>
      <c r="K1713" s="2">
        <f t="shared" si="52"/>
        <v>0</v>
      </c>
      <c r="L1713" t="s">
        <v>61</v>
      </c>
      <c r="M1713">
        <v>1</v>
      </c>
      <c r="N1713">
        <v>1.1499999999999999</v>
      </c>
      <c r="O1713" t="str">
        <f t="shared" si="53"/>
        <v>1+ hours</v>
      </c>
      <c r="P1713" t="s">
        <v>52</v>
      </c>
    </row>
    <row r="1714" spans="1:16" x14ac:dyDescent="0.4">
      <c r="A1714" t="s">
        <v>1755</v>
      </c>
      <c r="B1714">
        <v>22</v>
      </c>
      <c r="C1714" t="s">
        <v>27</v>
      </c>
      <c r="D1714" t="s">
        <v>22</v>
      </c>
      <c r="E1714">
        <v>2.14</v>
      </c>
      <c r="F1714">
        <v>44</v>
      </c>
      <c r="G1714" t="s">
        <v>33</v>
      </c>
      <c r="H1714" t="s">
        <v>46</v>
      </c>
      <c r="I1714" s="2">
        <v>13.99</v>
      </c>
      <c r="J1714">
        <v>1</v>
      </c>
      <c r="K1714" s="2">
        <f t="shared" si="52"/>
        <v>13.99</v>
      </c>
      <c r="L1714" t="s">
        <v>29</v>
      </c>
      <c r="M1714">
        <v>4</v>
      </c>
      <c r="N1714">
        <v>0.05</v>
      </c>
      <c r="O1714" t="str">
        <f t="shared" si="53"/>
        <v>0–0.2 hours</v>
      </c>
      <c r="P1714" t="s">
        <v>25</v>
      </c>
    </row>
    <row r="1715" spans="1:16" x14ac:dyDescent="0.4">
      <c r="A1715" t="s">
        <v>1756</v>
      </c>
      <c r="B1715">
        <v>46</v>
      </c>
      <c r="C1715" t="s">
        <v>41</v>
      </c>
      <c r="D1715" t="s">
        <v>16</v>
      </c>
      <c r="E1715">
        <v>13.33</v>
      </c>
      <c r="F1715">
        <v>34</v>
      </c>
      <c r="G1715" t="s">
        <v>28</v>
      </c>
      <c r="H1715" t="s">
        <v>46</v>
      </c>
      <c r="I1715" s="2">
        <v>8.99</v>
      </c>
      <c r="J1715">
        <v>1</v>
      </c>
      <c r="K1715" s="2">
        <f t="shared" si="52"/>
        <v>8.99</v>
      </c>
      <c r="L1715" t="s">
        <v>61</v>
      </c>
      <c r="M1715">
        <v>2</v>
      </c>
      <c r="N1715">
        <v>0.38</v>
      </c>
      <c r="O1715" t="str">
        <f t="shared" si="53"/>
        <v>0.2–0.4 hours</v>
      </c>
      <c r="P1715" t="s">
        <v>25</v>
      </c>
    </row>
    <row r="1716" spans="1:16" x14ac:dyDescent="0.4">
      <c r="A1716" t="s">
        <v>1757</v>
      </c>
      <c r="B1716">
        <v>64</v>
      </c>
      <c r="C1716" t="s">
        <v>41</v>
      </c>
      <c r="D1716" t="s">
        <v>16</v>
      </c>
      <c r="E1716">
        <v>15.97</v>
      </c>
      <c r="F1716">
        <v>6</v>
      </c>
      <c r="G1716" t="s">
        <v>33</v>
      </c>
      <c r="H1716" t="s">
        <v>24</v>
      </c>
      <c r="I1716" s="2">
        <v>8.99</v>
      </c>
      <c r="J1716">
        <v>0</v>
      </c>
      <c r="K1716" s="2">
        <f t="shared" si="52"/>
        <v>0</v>
      </c>
      <c r="L1716" t="s">
        <v>61</v>
      </c>
      <c r="M1716">
        <v>1</v>
      </c>
      <c r="N1716">
        <v>2.2799999999999998</v>
      </c>
      <c r="O1716" t="str">
        <f t="shared" si="53"/>
        <v>1+ hours</v>
      </c>
      <c r="P1716" t="s">
        <v>39</v>
      </c>
    </row>
    <row r="1717" spans="1:16" x14ac:dyDescent="0.4">
      <c r="A1717" t="s">
        <v>1758</v>
      </c>
      <c r="B1717">
        <v>35</v>
      </c>
      <c r="C1717" t="s">
        <v>41</v>
      </c>
      <c r="D1717" t="s">
        <v>32</v>
      </c>
      <c r="E1717">
        <v>11.07</v>
      </c>
      <c r="F1717">
        <v>12</v>
      </c>
      <c r="G1717" t="s">
        <v>23</v>
      </c>
      <c r="H1717" t="s">
        <v>57</v>
      </c>
      <c r="I1717" s="2">
        <v>17.989999999999998</v>
      </c>
      <c r="J1717">
        <v>0</v>
      </c>
      <c r="K1717" s="2">
        <f t="shared" si="52"/>
        <v>0</v>
      </c>
      <c r="L1717" t="s">
        <v>43</v>
      </c>
      <c r="M1717">
        <v>3</v>
      </c>
      <c r="N1717">
        <v>0.85</v>
      </c>
      <c r="O1717" t="str">
        <f t="shared" si="53"/>
        <v>0.8–1 hour</v>
      </c>
      <c r="P1717" t="s">
        <v>34</v>
      </c>
    </row>
    <row r="1718" spans="1:16" x14ac:dyDescent="0.4">
      <c r="A1718" t="s">
        <v>1759</v>
      </c>
      <c r="B1718">
        <v>53</v>
      </c>
      <c r="C1718" t="s">
        <v>27</v>
      </c>
      <c r="D1718" t="s">
        <v>16</v>
      </c>
      <c r="E1718">
        <v>7.84</v>
      </c>
      <c r="F1718">
        <v>0</v>
      </c>
      <c r="G1718" t="s">
        <v>70</v>
      </c>
      <c r="H1718" t="s">
        <v>24</v>
      </c>
      <c r="I1718" s="2">
        <v>8.99</v>
      </c>
      <c r="J1718">
        <v>0</v>
      </c>
      <c r="K1718" s="2">
        <f t="shared" si="52"/>
        <v>0</v>
      </c>
      <c r="L1718" t="s">
        <v>19</v>
      </c>
      <c r="M1718">
        <v>3</v>
      </c>
      <c r="N1718">
        <v>7.84</v>
      </c>
      <c r="O1718" t="str">
        <f t="shared" si="53"/>
        <v>1+ hours</v>
      </c>
      <c r="P1718" t="s">
        <v>20</v>
      </c>
    </row>
    <row r="1719" spans="1:16" x14ac:dyDescent="0.4">
      <c r="A1719" t="s">
        <v>1760</v>
      </c>
      <c r="B1719">
        <v>40</v>
      </c>
      <c r="C1719" t="s">
        <v>15</v>
      </c>
      <c r="D1719" t="s">
        <v>16</v>
      </c>
      <c r="E1719">
        <v>8.15</v>
      </c>
      <c r="F1719">
        <v>24</v>
      </c>
      <c r="G1719" t="s">
        <v>17</v>
      </c>
      <c r="H1719" t="s">
        <v>46</v>
      </c>
      <c r="I1719" s="2">
        <v>8.99</v>
      </c>
      <c r="J1719">
        <v>0</v>
      </c>
      <c r="K1719" s="2">
        <f t="shared" si="52"/>
        <v>0</v>
      </c>
      <c r="L1719" t="s">
        <v>43</v>
      </c>
      <c r="M1719">
        <v>4</v>
      </c>
      <c r="N1719">
        <v>0.33</v>
      </c>
      <c r="O1719" t="str">
        <f t="shared" si="53"/>
        <v>0.2–0.4 hours</v>
      </c>
      <c r="P1719" t="s">
        <v>34</v>
      </c>
    </row>
    <row r="1720" spans="1:16" x14ac:dyDescent="0.4">
      <c r="A1720" t="s">
        <v>1761</v>
      </c>
      <c r="B1720">
        <v>41</v>
      </c>
      <c r="C1720" t="s">
        <v>27</v>
      </c>
      <c r="D1720" t="s">
        <v>32</v>
      </c>
      <c r="E1720">
        <v>1.35</v>
      </c>
      <c r="F1720">
        <v>59</v>
      </c>
      <c r="G1720" t="s">
        <v>28</v>
      </c>
      <c r="H1720" t="s">
        <v>46</v>
      </c>
      <c r="I1720" s="2">
        <v>17.989999999999998</v>
      </c>
      <c r="J1720">
        <v>1</v>
      </c>
      <c r="K1720" s="2">
        <f t="shared" si="52"/>
        <v>17.989999999999998</v>
      </c>
      <c r="L1720" t="s">
        <v>43</v>
      </c>
      <c r="M1720">
        <v>1</v>
      </c>
      <c r="N1720">
        <v>0.02</v>
      </c>
      <c r="O1720" t="str">
        <f t="shared" si="53"/>
        <v>0–0.2 hours</v>
      </c>
      <c r="P1720" t="s">
        <v>34</v>
      </c>
    </row>
    <row r="1721" spans="1:16" x14ac:dyDescent="0.4">
      <c r="A1721" t="s">
        <v>1762</v>
      </c>
      <c r="B1721">
        <v>26</v>
      </c>
      <c r="C1721" t="s">
        <v>41</v>
      </c>
      <c r="D1721" t="s">
        <v>22</v>
      </c>
      <c r="E1721">
        <v>41.97</v>
      </c>
      <c r="F1721">
        <v>44</v>
      </c>
      <c r="G1721" t="s">
        <v>49</v>
      </c>
      <c r="H1721" t="s">
        <v>55</v>
      </c>
      <c r="I1721" s="2">
        <v>13.99</v>
      </c>
      <c r="J1721">
        <v>0</v>
      </c>
      <c r="K1721" s="2">
        <f t="shared" si="52"/>
        <v>0</v>
      </c>
      <c r="L1721" t="s">
        <v>19</v>
      </c>
      <c r="M1721">
        <v>2</v>
      </c>
      <c r="N1721">
        <v>0.93</v>
      </c>
      <c r="O1721" t="str">
        <f t="shared" si="53"/>
        <v>0.8–1 hour</v>
      </c>
      <c r="P1721" t="s">
        <v>39</v>
      </c>
    </row>
    <row r="1722" spans="1:16" x14ac:dyDescent="0.4">
      <c r="A1722" t="s">
        <v>1763</v>
      </c>
      <c r="B1722">
        <v>53</v>
      </c>
      <c r="C1722" t="s">
        <v>15</v>
      </c>
      <c r="D1722" t="s">
        <v>22</v>
      </c>
      <c r="E1722">
        <v>7.16</v>
      </c>
      <c r="F1722">
        <v>33</v>
      </c>
      <c r="G1722" t="s">
        <v>28</v>
      </c>
      <c r="H1722" t="s">
        <v>46</v>
      </c>
      <c r="I1722" s="2">
        <v>13.99</v>
      </c>
      <c r="J1722">
        <v>1</v>
      </c>
      <c r="K1722" s="2">
        <f t="shared" si="52"/>
        <v>13.99</v>
      </c>
      <c r="L1722" t="s">
        <v>37</v>
      </c>
      <c r="M1722">
        <v>1</v>
      </c>
      <c r="N1722">
        <v>0.21</v>
      </c>
      <c r="O1722" t="str">
        <f t="shared" si="53"/>
        <v>0.2–0.4 hours</v>
      </c>
      <c r="P1722" t="s">
        <v>30</v>
      </c>
    </row>
    <row r="1723" spans="1:16" x14ac:dyDescent="0.4">
      <c r="A1723" t="s">
        <v>1764</v>
      </c>
      <c r="B1723">
        <v>70</v>
      </c>
      <c r="C1723" t="s">
        <v>27</v>
      </c>
      <c r="D1723" t="s">
        <v>16</v>
      </c>
      <c r="E1723">
        <v>12.25</v>
      </c>
      <c r="F1723">
        <v>8</v>
      </c>
      <c r="G1723" t="s">
        <v>17</v>
      </c>
      <c r="H1723" t="s">
        <v>55</v>
      </c>
      <c r="I1723" s="2">
        <v>8.99</v>
      </c>
      <c r="J1723">
        <v>0</v>
      </c>
      <c r="K1723" s="2">
        <f t="shared" si="52"/>
        <v>0</v>
      </c>
      <c r="L1723" t="s">
        <v>29</v>
      </c>
      <c r="M1723">
        <v>3</v>
      </c>
      <c r="N1723">
        <v>1.36</v>
      </c>
      <c r="O1723" t="str">
        <f t="shared" si="53"/>
        <v>1+ hours</v>
      </c>
      <c r="P1723" t="s">
        <v>34</v>
      </c>
    </row>
    <row r="1724" spans="1:16" x14ac:dyDescent="0.4">
      <c r="A1724" t="s">
        <v>1765</v>
      </c>
      <c r="B1724">
        <v>46</v>
      </c>
      <c r="C1724" t="s">
        <v>15</v>
      </c>
      <c r="D1724" t="s">
        <v>32</v>
      </c>
      <c r="E1724">
        <v>8.98</v>
      </c>
      <c r="F1724">
        <v>13</v>
      </c>
      <c r="G1724" t="s">
        <v>17</v>
      </c>
      <c r="H1724" t="s">
        <v>55</v>
      </c>
      <c r="I1724" s="2">
        <v>17.989999999999998</v>
      </c>
      <c r="J1724">
        <v>0</v>
      </c>
      <c r="K1724" s="2">
        <f t="shared" si="52"/>
        <v>0</v>
      </c>
      <c r="L1724" t="s">
        <v>19</v>
      </c>
      <c r="M1724">
        <v>5</v>
      </c>
      <c r="N1724">
        <v>0.64</v>
      </c>
      <c r="O1724" t="str">
        <f t="shared" si="53"/>
        <v>0.6–0.8 hours</v>
      </c>
      <c r="P1724" t="s">
        <v>39</v>
      </c>
    </row>
    <row r="1725" spans="1:16" x14ac:dyDescent="0.4">
      <c r="A1725" t="s">
        <v>1766</v>
      </c>
      <c r="B1725">
        <v>22</v>
      </c>
      <c r="C1725" t="s">
        <v>15</v>
      </c>
      <c r="D1725" t="s">
        <v>22</v>
      </c>
      <c r="E1725">
        <v>21.77</v>
      </c>
      <c r="F1725">
        <v>26</v>
      </c>
      <c r="G1725" t="s">
        <v>49</v>
      </c>
      <c r="H1725" t="s">
        <v>18</v>
      </c>
      <c r="I1725" s="2">
        <v>13.99</v>
      </c>
      <c r="J1725">
        <v>0</v>
      </c>
      <c r="K1725" s="2">
        <f t="shared" si="52"/>
        <v>0</v>
      </c>
      <c r="L1725" t="s">
        <v>61</v>
      </c>
      <c r="M1725">
        <v>5</v>
      </c>
      <c r="N1725">
        <v>0.81</v>
      </c>
      <c r="O1725" t="str">
        <f t="shared" si="53"/>
        <v>0.8–1 hour</v>
      </c>
      <c r="P1725" t="s">
        <v>39</v>
      </c>
    </row>
    <row r="1726" spans="1:16" x14ac:dyDescent="0.4">
      <c r="A1726" t="s">
        <v>1767</v>
      </c>
      <c r="B1726">
        <v>55</v>
      </c>
      <c r="C1726" t="s">
        <v>27</v>
      </c>
      <c r="D1726" t="s">
        <v>22</v>
      </c>
      <c r="E1726">
        <v>50.26</v>
      </c>
      <c r="F1726">
        <v>53</v>
      </c>
      <c r="G1726" t="s">
        <v>28</v>
      </c>
      <c r="H1726" t="s">
        <v>57</v>
      </c>
      <c r="I1726" s="2">
        <v>13.99</v>
      </c>
      <c r="J1726">
        <v>0</v>
      </c>
      <c r="K1726" s="2">
        <f t="shared" si="52"/>
        <v>0</v>
      </c>
      <c r="L1726" t="s">
        <v>61</v>
      </c>
      <c r="M1726">
        <v>3</v>
      </c>
      <c r="N1726">
        <v>0.93</v>
      </c>
      <c r="O1726" t="str">
        <f t="shared" si="53"/>
        <v>0.8–1 hour</v>
      </c>
      <c r="P1726" t="s">
        <v>47</v>
      </c>
    </row>
    <row r="1727" spans="1:16" x14ac:dyDescent="0.4">
      <c r="A1727" t="s">
        <v>1768</v>
      </c>
      <c r="B1727">
        <v>26</v>
      </c>
      <c r="C1727" t="s">
        <v>41</v>
      </c>
      <c r="D1727" t="s">
        <v>22</v>
      </c>
      <c r="E1727">
        <v>4.97</v>
      </c>
      <c r="F1727">
        <v>10</v>
      </c>
      <c r="G1727" t="s">
        <v>17</v>
      </c>
      <c r="H1727" t="s">
        <v>46</v>
      </c>
      <c r="I1727" s="2">
        <v>13.99</v>
      </c>
      <c r="J1727">
        <v>1</v>
      </c>
      <c r="K1727" s="2">
        <f t="shared" si="52"/>
        <v>13.99</v>
      </c>
      <c r="L1727" t="s">
        <v>43</v>
      </c>
      <c r="M1727">
        <v>1</v>
      </c>
      <c r="N1727">
        <v>0.45</v>
      </c>
      <c r="O1727" t="str">
        <f t="shared" si="53"/>
        <v>0.4–0.6 hours</v>
      </c>
      <c r="P1727" t="s">
        <v>34</v>
      </c>
    </row>
    <row r="1728" spans="1:16" x14ac:dyDescent="0.4">
      <c r="A1728" t="s">
        <v>1769</v>
      </c>
      <c r="B1728">
        <v>43</v>
      </c>
      <c r="C1728" t="s">
        <v>41</v>
      </c>
      <c r="D1728" t="s">
        <v>32</v>
      </c>
      <c r="E1728">
        <v>2.23</v>
      </c>
      <c r="F1728">
        <v>29</v>
      </c>
      <c r="G1728" t="s">
        <v>33</v>
      </c>
      <c r="H1728" t="s">
        <v>46</v>
      </c>
      <c r="I1728" s="2">
        <v>17.989999999999998</v>
      </c>
      <c r="J1728">
        <v>1</v>
      </c>
      <c r="K1728" s="2">
        <f t="shared" si="52"/>
        <v>17.989999999999998</v>
      </c>
      <c r="L1728" t="s">
        <v>19</v>
      </c>
      <c r="M1728">
        <v>1</v>
      </c>
      <c r="N1728">
        <v>7.0000000000000007E-2</v>
      </c>
      <c r="O1728" t="str">
        <f t="shared" si="53"/>
        <v>0–0.2 hours</v>
      </c>
      <c r="P1728" t="s">
        <v>52</v>
      </c>
    </row>
    <row r="1729" spans="1:16" x14ac:dyDescent="0.4">
      <c r="A1729" t="s">
        <v>1770</v>
      </c>
      <c r="B1729">
        <v>51</v>
      </c>
      <c r="C1729" t="s">
        <v>27</v>
      </c>
      <c r="D1729" t="s">
        <v>16</v>
      </c>
      <c r="E1729">
        <v>12.86</v>
      </c>
      <c r="F1729">
        <v>32</v>
      </c>
      <c r="G1729" t="s">
        <v>17</v>
      </c>
      <c r="H1729" t="s">
        <v>46</v>
      </c>
      <c r="I1729" s="2">
        <v>8.99</v>
      </c>
      <c r="J1729">
        <v>1</v>
      </c>
      <c r="K1729" s="2">
        <f t="shared" si="52"/>
        <v>8.99</v>
      </c>
      <c r="L1729" t="s">
        <v>43</v>
      </c>
      <c r="M1729">
        <v>5</v>
      </c>
      <c r="N1729">
        <v>0.39</v>
      </c>
      <c r="O1729" t="str">
        <f t="shared" si="53"/>
        <v>0.2–0.4 hours</v>
      </c>
      <c r="P1729" t="s">
        <v>20</v>
      </c>
    </row>
    <row r="1730" spans="1:16" x14ac:dyDescent="0.4">
      <c r="A1730" t="s">
        <v>1771</v>
      </c>
      <c r="B1730">
        <v>41</v>
      </c>
      <c r="C1730" t="s">
        <v>41</v>
      </c>
      <c r="D1730" t="s">
        <v>22</v>
      </c>
      <c r="E1730">
        <v>9.19</v>
      </c>
      <c r="F1730">
        <v>45</v>
      </c>
      <c r="G1730" t="s">
        <v>70</v>
      </c>
      <c r="H1730" t="s">
        <v>46</v>
      </c>
      <c r="I1730" s="2">
        <v>13.99</v>
      </c>
      <c r="J1730">
        <v>1</v>
      </c>
      <c r="K1730" s="2">
        <f t="shared" si="52"/>
        <v>13.99</v>
      </c>
      <c r="L1730" t="s">
        <v>43</v>
      </c>
      <c r="M1730">
        <v>2</v>
      </c>
      <c r="N1730">
        <v>0.2</v>
      </c>
      <c r="O1730" t="str">
        <f t="shared" si="53"/>
        <v>0–0.2 hours</v>
      </c>
      <c r="P1730" t="s">
        <v>30</v>
      </c>
    </row>
    <row r="1731" spans="1:16" x14ac:dyDescent="0.4">
      <c r="A1731" t="s">
        <v>1772</v>
      </c>
      <c r="B1731">
        <v>25</v>
      </c>
      <c r="C1731" t="s">
        <v>41</v>
      </c>
      <c r="D1731" t="s">
        <v>22</v>
      </c>
      <c r="E1731">
        <v>9.59</v>
      </c>
      <c r="F1731">
        <v>25</v>
      </c>
      <c r="G1731" t="s">
        <v>70</v>
      </c>
      <c r="H1731" t="s">
        <v>18</v>
      </c>
      <c r="I1731" s="2">
        <v>13.99</v>
      </c>
      <c r="J1731">
        <v>0</v>
      </c>
      <c r="K1731" s="2">
        <f t="shared" ref="K1731:K1794" si="54">SUMIF(J1731,1,I1731)</f>
        <v>0</v>
      </c>
      <c r="L1731" t="s">
        <v>43</v>
      </c>
      <c r="M1731">
        <v>2</v>
      </c>
      <c r="N1731">
        <v>0.37</v>
      </c>
      <c r="O1731" t="str">
        <f t="shared" ref="O1731:O1794" si="55">IF(N1731&gt;1,"1+ hours",IF(N1731&lt;=0.2,"0–0.2 hours",IF(N1731&lt;=0.4,"0.2–0.4 hours",IF(N1731&lt;=0.6,"0.4–0.6 hours",IF(N1731&lt;=0.8,"0.6–0.8 hours","0.8–1 hour")))))</f>
        <v>0.2–0.4 hours</v>
      </c>
      <c r="P1731" t="s">
        <v>20</v>
      </c>
    </row>
    <row r="1732" spans="1:16" x14ac:dyDescent="0.4">
      <c r="A1732" t="s">
        <v>1773</v>
      </c>
      <c r="B1732">
        <v>27</v>
      </c>
      <c r="C1732" t="s">
        <v>27</v>
      </c>
      <c r="D1732" t="s">
        <v>32</v>
      </c>
      <c r="E1732">
        <v>5.82</v>
      </c>
      <c r="F1732">
        <v>49</v>
      </c>
      <c r="G1732" t="s">
        <v>33</v>
      </c>
      <c r="H1732" t="s">
        <v>46</v>
      </c>
      <c r="I1732" s="2">
        <v>17.989999999999998</v>
      </c>
      <c r="J1732">
        <v>1</v>
      </c>
      <c r="K1732" s="2">
        <f t="shared" si="54"/>
        <v>17.989999999999998</v>
      </c>
      <c r="L1732" t="s">
        <v>19</v>
      </c>
      <c r="M1732">
        <v>2</v>
      </c>
      <c r="N1732">
        <v>0.12</v>
      </c>
      <c r="O1732" t="str">
        <f t="shared" si="55"/>
        <v>0–0.2 hours</v>
      </c>
      <c r="P1732" t="s">
        <v>52</v>
      </c>
    </row>
    <row r="1733" spans="1:16" x14ac:dyDescent="0.4">
      <c r="A1733" t="s">
        <v>1774</v>
      </c>
      <c r="B1733">
        <v>62</v>
      </c>
      <c r="C1733" t="s">
        <v>41</v>
      </c>
      <c r="D1733" t="s">
        <v>32</v>
      </c>
      <c r="E1733">
        <v>5.94</v>
      </c>
      <c r="F1733">
        <v>16</v>
      </c>
      <c r="G1733" t="s">
        <v>23</v>
      </c>
      <c r="H1733" t="s">
        <v>18</v>
      </c>
      <c r="I1733" s="2">
        <v>17.989999999999998</v>
      </c>
      <c r="J1733">
        <v>0</v>
      </c>
      <c r="K1733" s="2">
        <f t="shared" si="54"/>
        <v>0</v>
      </c>
      <c r="L1733" t="s">
        <v>61</v>
      </c>
      <c r="M1733">
        <v>4</v>
      </c>
      <c r="N1733">
        <v>0.35</v>
      </c>
      <c r="O1733" t="str">
        <f t="shared" si="55"/>
        <v>0.2–0.4 hours</v>
      </c>
      <c r="P1733" t="s">
        <v>52</v>
      </c>
    </row>
    <row r="1734" spans="1:16" x14ac:dyDescent="0.4">
      <c r="A1734" t="s">
        <v>1775</v>
      </c>
      <c r="B1734">
        <v>36</v>
      </c>
      <c r="C1734" t="s">
        <v>15</v>
      </c>
      <c r="D1734" t="s">
        <v>32</v>
      </c>
      <c r="E1734">
        <v>25.4</v>
      </c>
      <c r="F1734">
        <v>46</v>
      </c>
      <c r="G1734" t="s">
        <v>33</v>
      </c>
      <c r="H1734" t="s">
        <v>46</v>
      </c>
      <c r="I1734" s="2">
        <v>17.989999999999998</v>
      </c>
      <c r="J1734">
        <v>0</v>
      </c>
      <c r="K1734" s="2">
        <f t="shared" si="54"/>
        <v>0</v>
      </c>
      <c r="L1734" t="s">
        <v>37</v>
      </c>
      <c r="M1734">
        <v>5</v>
      </c>
      <c r="N1734">
        <v>0.54</v>
      </c>
      <c r="O1734" t="str">
        <f t="shared" si="55"/>
        <v>0.4–0.6 hours</v>
      </c>
      <c r="P1734" t="s">
        <v>52</v>
      </c>
    </row>
    <row r="1735" spans="1:16" x14ac:dyDescent="0.4">
      <c r="A1735" t="s">
        <v>1776</v>
      </c>
      <c r="B1735">
        <v>30</v>
      </c>
      <c r="C1735" t="s">
        <v>41</v>
      </c>
      <c r="D1735" t="s">
        <v>22</v>
      </c>
      <c r="E1735">
        <v>2.2599999999999998</v>
      </c>
      <c r="F1735">
        <v>3</v>
      </c>
      <c r="G1735" t="s">
        <v>49</v>
      </c>
      <c r="H1735" t="s">
        <v>18</v>
      </c>
      <c r="I1735" s="2">
        <v>13.99</v>
      </c>
      <c r="J1735">
        <v>0</v>
      </c>
      <c r="K1735" s="2">
        <f t="shared" si="54"/>
        <v>0</v>
      </c>
      <c r="L1735" t="s">
        <v>19</v>
      </c>
      <c r="M1735">
        <v>4</v>
      </c>
      <c r="N1735">
        <v>0.56000000000000005</v>
      </c>
      <c r="O1735" t="str">
        <f t="shared" si="55"/>
        <v>0.4–0.6 hours</v>
      </c>
      <c r="P1735" t="s">
        <v>52</v>
      </c>
    </row>
    <row r="1736" spans="1:16" x14ac:dyDescent="0.4">
      <c r="A1736" t="s">
        <v>1777</v>
      </c>
      <c r="B1736">
        <v>57</v>
      </c>
      <c r="C1736" t="s">
        <v>15</v>
      </c>
      <c r="D1736" t="s">
        <v>16</v>
      </c>
      <c r="E1736">
        <v>21.42</v>
      </c>
      <c r="F1736">
        <v>51</v>
      </c>
      <c r="G1736" t="s">
        <v>49</v>
      </c>
      <c r="H1736" t="s">
        <v>55</v>
      </c>
      <c r="I1736" s="2">
        <v>8.99</v>
      </c>
      <c r="J1736">
        <v>1</v>
      </c>
      <c r="K1736" s="2">
        <f t="shared" si="54"/>
        <v>8.99</v>
      </c>
      <c r="L1736" t="s">
        <v>19</v>
      </c>
      <c r="M1736">
        <v>4</v>
      </c>
      <c r="N1736">
        <v>0.41</v>
      </c>
      <c r="O1736" t="str">
        <f t="shared" si="55"/>
        <v>0.4–0.6 hours</v>
      </c>
      <c r="P1736" t="s">
        <v>39</v>
      </c>
    </row>
    <row r="1737" spans="1:16" x14ac:dyDescent="0.4">
      <c r="A1737" t="s">
        <v>1778</v>
      </c>
      <c r="B1737">
        <v>48</v>
      </c>
      <c r="C1737" t="s">
        <v>27</v>
      </c>
      <c r="D1737" t="s">
        <v>22</v>
      </c>
      <c r="E1737">
        <v>0.81</v>
      </c>
      <c r="F1737">
        <v>54</v>
      </c>
      <c r="G1737" t="s">
        <v>70</v>
      </c>
      <c r="H1737" t="s">
        <v>24</v>
      </c>
      <c r="I1737" s="2">
        <v>13.99</v>
      </c>
      <c r="J1737">
        <v>1</v>
      </c>
      <c r="K1737" s="2">
        <f t="shared" si="54"/>
        <v>13.99</v>
      </c>
      <c r="L1737" t="s">
        <v>61</v>
      </c>
      <c r="M1737">
        <v>1</v>
      </c>
      <c r="N1737">
        <v>0.01</v>
      </c>
      <c r="O1737" t="str">
        <f t="shared" si="55"/>
        <v>0–0.2 hours</v>
      </c>
      <c r="P1737" t="s">
        <v>20</v>
      </c>
    </row>
    <row r="1738" spans="1:16" x14ac:dyDescent="0.4">
      <c r="A1738" t="s">
        <v>1779</v>
      </c>
      <c r="B1738">
        <v>37</v>
      </c>
      <c r="C1738" t="s">
        <v>27</v>
      </c>
      <c r="D1738" t="s">
        <v>32</v>
      </c>
      <c r="E1738">
        <v>7.79</v>
      </c>
      <c r="F1738">
        <v>55</v>
      </c>
      <c r="G1738" t="s">
        <v>28</v>
      </c>
      <c r="H1738" t="s">
        <v>55</v>
      </c>
      <c r="I1738" s="2">
        <v>17.989999999999998</v>
      </c>
      <c r="J1738">
        <v>1</v>
      </c>
      <c r="K1738" s="2">
        <f t="shared" si="54"/>
        <v>17.989999999999998</v>
      </c>
      <c r="L1738" t="s">
        <v>37</v>
      </c>
      <c r="M1738">
        <v>2</v>
      </c>
      <c r="N1738">
        <v>0.14000000000000001</v>
      </c>
      <c r="O1738" t="str">
        <f t="shared" si="55"/>
        <v>0–0.2 hours</v>
      </c>
      <c r="P1738" t="s">
        <v>52</v>
      </c>
    </row>
    <row r="1739" spans="1:16" x14ac:dyDescent="0.4">
      <c r="A1739" t="s">
        <v>1780</v>
      </c>
      <c r="B1739">
        <v>31</v>
      </c>
      <c r="C1739" t="s">
        <v>27</v>
      </c>
      <c r="D1739" t="s">
        <v>32</v>
      </c>
      <c r="E1739">
        <v>17.829999999999998</v>
      </c>
      <c r="F1739">
        <v>8</v>
      </c>
      <c r="G1739" t="s">
        <v>70</v>
      </c>
      <c r="H1739" t="s">
        <v>57</v>
      </c>
      <c r="I1739" s="2">
        <v>17.989999999999998</v>
      </c>
      <c r="J1739">
        <v>0</v>
      </c>
      <c r="K1739" s="2">
        <f t="shared" si="54"/>
        <v>0</v>
      </c>
      <c r="L1739" t="s">
        <v>43</v>
      </c>
      <c r="M1739">
        <v>3</v>
      </c>
      <c r="N1739">
        <v>1.98</v>
      </c>
      <c r="O1739" t="str">
        <f t="shared" si="55"/>
        <v>1+ hours</v>
      </c>
      <c r="P1739" t="s">
        <v>25</v>
      </c>
    </row>
    <row r="1740" spans="1:16" x14ac:dyDescent="0.4">
      <c r="A1740" t="s">
        <v>1781</v>
      </c>
      <c r="B1740">
        <v>67</v>
      </c>
      <c r="C1740" t="s">
        <v>27</v>
      </c>
      <c r="D1740" t="s">
        <v>16</v>
      </c>
      <c r="E1740">
        <v>0.34</v>
      </c>
      <c r="F1740">
        <v>16</v>
      </c>
      <c r="G1740" t="s">
        <v>23</v>
      </c>
      <c r="H1740" t="s">
        <v>24</v>
      </c>
      <c r="I1740" s="2">
        <v>8.99</v>
      </c>
      <c r="J1740">
        <v>1</v>
      </c>
      <c r="K1740" s="2">
        <f t="shared" si="54"/>
        <v>8.99</v>
      </c>
      <c r="L1740" t="s">
        <v>19</v>
      </c>
      <c r="M1740">
        <v>4</v>
      </c>
      <c r="N1740">
        <v>0.02</v>
      </c>
      <c r="O1740" t="str">
        <f t="shared" si="55"/>
        <v>0–0.2 hours</v>
      </c>
      <c r="P1740" t="s">
        <v>34</v>
      </c>
    </row>
    <row r="1741" spans="1:16" x14ac:dyDescent="0.4">
      <c r="A1741" t="s">
        <v>1782</v>
      </c>
      <c r="B1741">
        <v>49</v>
      </c>
      <c r="C1741" t="s">
        <v>41</v>
      </c>
      <c r="D1741" t="s">
        <v>16</v>
      </c>
      <c r="E1741">
        <v>4.1100000000000003</v>
      </c>
      <c r="F1741">
        <v>3</v>
      </c>
      <c r="G1741" t="s">
        <v>33</v>
      </c>
      <c r="H1741" t="s">
        <v>24</v>
      </c>
      <c r="I1741" s="2">
        <v>8.99</v>
      </c>
      <c r="J1741">
        <v>1</v>
      </c>
      <c r="K1741" s="2">
        <f t="shared" si="54"/>
        <v>8.99</v>
      </c>
      <c r="L1741" t="s">
        <v>29</v>
      </c>
      <c r="M1741">
        <v>3</v>
      </c>
      <c r="N1741">
        <v>1.03</v>
      </c>
      <c r="O1741" t="str">
        <f t="shared" si="55"/>
        <v>1+ hours</v>
      </c>
      <c r="P1741" t="s">
        <v>20</v>
      </c>
    </row>
    <row r="1742" spans="1:16" x14ac:dyDescent="0.4">
      <c r="A1742" t="s">
        <v>1783</v>
      </c>
      <c r="B1742">
        <v>63</v>
      </c>
      <c r="C1742" t="s">
        <v>15</v>
      </c>
      <c r="D1742" t="s">
        <v>32</v>
      </c>
      <c r="E1742">
        <v>13.82</v>
      </c>
      <c r="F1742">
        <v>38</v>
      </c>
      <c r="G1742" t="s">
        <v>70</v>
      </c>
      <c r="H1742" t="s">
        <v>55</v>
      </c>
      <c r="I1742" s="2">
        <v>17.989999999999998</v>
      </c>
      <c r="J1742">
        <v>1</v>
      </c>
      <c r="K1742" s="2">
        <f t="shared" si="54"/>
        <v>17.989999999999998</v>
      </c>
      <c r="L1742" t="s">
        <v>29</v>
      </c>
      <c r="M1742">
        <v>2</v>
      </c>
      <c r="N1742">
        <v>0.35</v>
      </c>
      <c r="O1742" t="str">
        <f t="shared" si="55"/>
        <v>0.2–0.4 hours</v>
      </c>
      <c r="P1742" t="s">
        <v>25</v>
      </c>
    </row>
    <row r="1743" spans="1:16" x14ac:dyDescent="0.4">
      <c r="A1743" t="s">
        <v>1784</v>
      </c>
      <c r="B1743">
        <v>48</v>
      </c>
      <c r="C1743" t="s">
        <v>41</v>
      </c>
      <c r="D1743" t="s">
        <v>16</v>
      </c>
      <c r="E1743">
        <v>2.12</v>
      </c>
      <c r="F1743">
        <v>52</v>
      </c>
      <c r="G1743" t="s">
        <v>70</v>
      </c>
      <c r="H1743" t="s">
        <v>46</v>
      </c>
      <c r="I1743" s="2">
        <v>8.99</v>
      </c>
      <c r="J1743">
        <v>1</v>
      </c>
      <c r="K1743" s="2">
        <f t="shared" si="54"/>
        <v>8.99</v>
      </c>
      <c r="L1743" t="s">
        <v>29</v>
      </c>
      <c r="M1743">
        <v>5</v>
      </c>
      <c r="N1743">
        <v>0.04</v>
      </c>
      <c r="O1743" t="str">
        <f t="shared" si="55"/>
        <v>0–0.2 hours</v>
      </c>
      <c r="P1743" t="s">
        <v>52</v>
      </c>
    </row>
    <row r="1744" spans="1:16" x14ac:dyDescent="0.4">
      <c r="A1744" t="s">
        <v>1785</v>
      </c>
      <c r="B1744">
        <v>42</v>
      </c>
      <c r="C1744" t="s">
        <v>15</v>
      </c>
      <c r="D1744" t="s">
        <v>16</v>
      </c>
      <c r="E1744">
        <v>28.96</v>
      </c>
      <c r="F1744">
        <v>22</v>
      </c>
      <c r="G1744" t="s">
        <v>23</v>
      </c>
      <c r="H1744" t="s">
        <v>46</v>
      </c>
      <c r="I1744" s="2">
        <v>8.99</v>
      </c>
      <c r="J1744">
        <v>0</v>
      </c>
      <c r="K1744" s="2">
        <f t="shared" si="54"/>
        <v>0</v>
      </c>
      <c r="L1744" t="s">
        <v>43</v>
      </c>
      <c r="M1744">
        <v>5</v>
      </c>
      <c r="N1744">
        <v>1.26</v>
      </c>
      <c r="O1744" t="str">
        <f t="shared" si="55"/>
        <v>1+ hours</v>
      </c>
      <c r="P1744" t="s">
        <v>25</v>
      </c>
    </row>
    <row r="1745" spans="1:16" x14ac:dyDescent="0.4">
      <c r="A1745" t="s">
        <v>1786</v>
      </c>
      <c r="B1745">
        <v>54</v>
      </c>
      <c r="C1745" t="s">
        <v>41</v>
      </c>
      <c r="D1745" t="s">
        <v>22</v>
      </c>
      <c r="E1745">
        <v>13.51</v>
      </c>
      <c r="F1745">
        <v>26</v>
      </c>
      <c r="G1745" t="s">
        <v>28</v>
      </c>
      <c r="H1745" t="s">
        <v>57</v>
      </c>
      <c r="I1745" s="2">
        <v>13.99</v>
      </c>
      <c r="J1745">
        <v>0</v>
      </c>
      <c r="K1745" s="2">
        <f t="shared" si="54"/>
        <v>0</v>
      </c>
      <c r="L1745" t="s">
        <v>43</v>
      </c>
      <c r="M1745">
        <v>4</v>
      </c>
      <c r="N1745">
        <v>0.5</v>
      </c>
      <c r="O1745" t="str">
        <f t="shared" si="55"/>
        <v>0.4–0.6 hours</v>
      </c>
      <c r="P1745" t="s">
        <v>34</v>
      </c>
    </row>
    <row r="1746" spans="1:16" x14ac:dyDescent="0.4">
      <c r="A1746" t="s">
        <v>1787</v>
      </c>
      <c r="B1746">
        <v>39</v>
      </c>
      <c r="C1746" t="s">
        <v>15</v>
      </c>
      <c r="D1746" t="s">
        <v>32</v>
      </c>
      <c r="E1746">
        <v>3.87</v>
      </c>
      <c r="F1746">
        <v>23</v>
      </c>
      <c r="G1746" t="s">
        <v>70</v>
      </c>
      <c r="H1746" t="s">
        <v>46</v>
      </c>
      <c r="I1746" s="2">
        <v>17.989999999999998</v>
      </c>
      <c r="J1746">
        <v>0</v>
      </c>
      <c r="K1746" s="2">
        <f t="shared" si="54"/>
        <v>0</v>
      </c>
      <c r="L1746" t="s">
        <v>37</v>
      </c>
      <c r="M1746">
        <v>5</v>
      </c>
      <c r="N1746">
        <v>0.16</v>
      </c>
      <c r="O1746" t="str">
        <f t="shared" si="55"/>
        <v>0–0.2 hours</v>
      </c>
      <c r="P1746" t="s">
        <v>30</v>
      </c>
    </row>
    <row r="1747" spans="1:16" x14ac:dyDescent="0.4">
      <c r="A1747" t="s">
        <v>1788</v>
      </c>
      <c r="B1747">
        <v>31</v>
      </c>
      <c r="C1747" t="s">
        <v>15</v>
      </c>
      <c r="D1747" t="s">
        <v>32</v>
      </c>
      <c r="E1747">
        <v>15.41</v>
      </c>
      <c r="F1747">
        <v>44</v>
      </c>
      <c r="G1747" t="s">
        <v>70</v>
      </c>
      <c r="H1747" t="s">
        <v>55</v>
      </c>
      <c r="I1747" s="2">
        <v>17.989999999999998</v>
      </c>
      <c r="J1747">
        <v>1</v>
      </c>
      <c r="K1747" s="2">
        <f t="shared" si="54"/>
        <v>17.989999999999998</v>
      </c>
      <c r="L1747" t="s">
        <v>43</v>
      </c>
      <c r="M1747">
        <v>2</v>
      </c>
      <c r="N1747">
        <v>0.34</v>
      </c>
      <c r="O1747" t="str">
        <f t="shared" si="55"/>
        <v>0.2–0.4 hours</v>
      </c>
      <c r="P1747" t="s">
        <v>25</v>
      </c>
    </row>
    <row r="1748" spans="1:16" x14ac:dyDescent="0.4">
      <c r="A1748" s="1" t="s">
        <v>1789</v>
      </c>
      <c r="B1748">
        <v>46</v>
      </c>
      <c r="C1748" t="s">
        <v>27</v>
      </c>
      <c r="D1748" t="s">
        <v>22</v>
      </c>
      <c r="E1748">
        <v>3.07</v>
      </c>
      <c r="F1748">
        <v>51</v>
      </c>
      <c r="G1748" t="s">
        <v>23</v>
      </c>
      <c r="H1748" t="s">
        <v>57</v>
      </c>
      <c r="I1748" s="2">
        <v>13.99</v>
      </c>
      <c r="J1748">
        <v>1</v>
      </c>
      <c r="K1748" s="2">
        <f t="shared" si="54"/>
        <v>13.99</v>
      </c>
      <c r="L1748" t="s">
        <v>29</v>
      </c>
      <c r="M1748">
        <v>2</v>
      </c>
      <c r="N1748">
        <v>0.06</v>
      </c>
      <c r="O1748" t="str">
        <f t="shared" si="55"/>
        <v>0–0.2 hours</v>
      </c>
      <c r="P1748" t="s">
        <v>52</v>
      </c>
    </row>
    <row r="1749" spans="1:16" x14ac:dyDescent="0.4">
      <c r="A1749" t="s">
        <v>1790</v>
      </c>
      <c r="B1749">
        <v>53</v>
      </c>
      <c r="C1749" t="s">
        <v>41</v>
      </c>
      <c r="D1749" t="s">
        <v>16</v>
      </c>
      <c r="E1749">
        <v>0.09</v>
      </c>
      <c r="F1749">
        <v>18</v>
      </c>
      <c r="G1749" t="s">
        <v>17</v>
      </c>
      <c r="H1749" t="s">
        <v>24</v>
      </c>
      <c r="I1749" s="2">
        <v>8.99</v>
      </c>
      <c r="J1749">
        <v>1</v>
      </c>
      <c r="K1749" s="2">
        <f t="shared" si="54"/>
        <v>8.99</v>
      </c>
      <c r="L1749" t="s">
        <v>43</v>
      </c>
      <c r="M1749">
        <v>3</v>
      </c>
      <c r="N1749">
        <v>0</v>
      </c>
      <c r="O1749" t="str">
        <f t="shared" si="55"/>
        <v>0–0.2 hours</v>
      </c>
      <c r="P1749" t="s">
        <v>47</v>
      </c>
    </row>
    <row r="1750" spans="1:16" x14ac:dyDescent="0.4">
      <c r="A1750" t="s">
        <v>1791</v>
      </c>
      <c r="B1750">
        <v>33</v>
      </c>
      <c r="C1750" t="s">
        <v>27</v>
      </c>
      <c r="D1750" t="s">
        <v>32</v>
      </c>
      <c r="E1750">
        <v>3.91</v>
      </c>
      <c r="F1750">
        <v>11</v>
      </c>
      <c r="G1750" t="s">
        <v>33</v>
      </c>
      <c r="H1750" t="s">
        <v>55</v>
      </c>
      <c r="I1750" s="2">
        <v>17.989999999999998</v>
      </c>
      <c r="J1750">
        <v>1</v>
      </c>
      <c r="K1750" s="2">
        <f t="shared" si="54"/>
        <v>17.989999999999998</v>
      </c>
      <c r="L1750" t="s">
        <v>37</v>
      </c>
      <c r="M1750">
        <v>2</v>
      </c>
      <c r="N1750">
        <v>0.33</v>
      </c>
      <c r="O1750" t="str">
        <f t="shared" si="55"/>
        <v>0.2–0.4 hours</v>
      </c>
      <c r="P1750" t="s">
        <v>47</v>
      </c>
    </row>
    <row r="1751" spans="1:16" x14ac:dyDescent="0.4">
      <c r="A1751" t="s">
        <v>1792</v>
      </c>
      <c r="B1751">
        <v>67</v>
      </c>
      <c r="C1751" t="s">
        <v>41</v>
      </c>
      <c r="D1751" t="s">
        <v>22</v>
      </c>
      <c r="E1751">
        <v>1.71</v>
      </c>
      <c r="F1751">
        <v>47</v>
      </c>
      <c r="G1751" t="s">
        <v>28</v>
      </c>
      <c r="H1751" t="s">
        <v>57</v>
      </c>
      <c r="I1751" s="2">
        <v>13.99</v>
      </c>
      <c r="J1751">
        <v>1</v>
      </c>
      <c r="K1751" s="2">
        <f t="shared" si="54"/>
        <v>13.99</v>
      </c>
      <c r="L1751" t="s">
        <v>29</v>
      </c>
      <c r="M1751">
        <v>2</v>
      </c>
      <c r="N1751">
        <v>0.04</v>
      </c>
      <c r="O1751" t="str">
        <f t="shared" si="55"/>
        <v>0–0.2 hours</v>
      </c>
      <c r="P1751" t="s">
        <v>39</v>
      </c>
    </row>
    <row r="1752" spans="1:16" x14ac:dyDescent="0.4">
      <c r="A1752" t="s">
        <v>1793</v>
      </c>
      <c r="B1752">
        <v>37</v>
      </c>
      <c r="C1752" t="s">
        <v>27</v>
      </c>
      <c r="D1752" t="s">
        <v>32</v>
      </c>
      <c r="E1752">
        <v>0.56000000000000005</v>
      </c>
      <c r="F1752">
        <v>50</v>
      </c>
      <c r="G1752" t="s">
        <v>23</v>
      </c>
      <c r="H1752" t="s">
        <v>18</v>
      </c>
      <c r="I1752" s="2">
        <v>17.989999999999998</v>
      </c>
      <c r="J1752">
        <v>1</v>
      </c>
      <c r="K1752" s="2">
        <f t="shared" si="54"/>
        <v>17.989999999999998</v>
      </c>
      <c r="L1752" t="s">
        <v>37</v>
      </c>
      <c r="M1752">
        <v>3</v>
      </c>
      <c r="N1752">
        <v>0.01</v>
      </c>
      <c r="O1752" t="str">
        <f t="shared" si="55"/>
        <v>0–0.2 hours</v>
      </c>
      <c r="P1752" t="s">
        <v>52</v>
      </c>
    </row>
    <row r="1753" spans="1:16" x14ac:dyDescent="0.4">
      <c r="A1753" s="1" t="s">
        <v>1794</v>
      </c>
      <c r="B1753">
        <v>25</v>
      </c>
      <c r="C1753" t="s">
        <v>41</v>
      </c>
      <c r="D1753" t="s">
        <v>22</v>
      </c>
      <c r="E1753">
        <v>7.12</v>
      </c>
      <c r="F1753">
        <v>33</v>
      </c>
      <c r="G1753" t="s">
        <v>49</v>
      </c>
      <c r="H1753" t="s">
        <v>46</v>
      </c>
      <c r="I1753" s="2">
        <v>13.99</v>
      </c>
      <c r="J1753">
        <v>1</v>
      </c>
      <c r="K1753" s="2">
        <f t="shared" si="54"/>
        <v>13.99</v>
      </c>
      <c r="L1753" t="s">
        <v>29</v>
      </c>
      <c r="M1753">
        <v>2</v>
      </c>
      <c r="N1753">
        <v>0.21</v>
      </c>
      <c r="O1753" t="str">
        <f t="shared" si="55"/>
        <v>0.2–0.4 hours</v>
      </c>
      <c r="P1753" t="s">
        <v>52</v>
      </c>
    </row>
    <row r="1754" spans="1:16" x14ac:dyDescent="0.4">
      <c r="A1754" t="s">
        <v>1795</v>
      </c>
      <c r="B1754">
        <v>54</v>
      </c>
      <c r="C1754" t="s">
        <v>27</v>
      </c>
      <c r="D1754" t="s">
        <v>32</v>
      </c>
      <c r="E1754">
        <v>1.42</v>
      </c>
      <c r="F1754">
        <v>59</v>
      </c>
      <c r="G1754" t="s">
        <v>49</v>
      </c>
      <c r="H1754" t="s">
        <v>46</v>
      </c>
      <c r="I1754" s="2">
        <v>17.989999999999998</v>
      </c>
      <c r="J1754">
        <v>1</v>
      </c>
      <c r="K1754" s="2">
        <f t="shared" si="54"/>
        <v>17.989999999999998</v>
      </c>
      <c r="L1754" t="s">
        <v>61</v>
      </c>
      <c r="M1754">
        <v>5</v>
      </c>
      <c r="N1754">
        <v>0.02</v>
      </c>
      <c r="O1754" t="str">
        <f t="shared" si="55"/>
        <v>0–0.2 hours</v>
      </c>
      <c r="P1754" t="s">
        <v>52</v>
      </c>
    </row>
    <row r="1755" spans="1:16" x14ac:dyDescent="0.4">
      <c r="A1755" t="s">
        <v>1796</v>
      </c>
      <c r="B1755">
        <v>29</v>
      </c>
      <c r="C1755" t="s">
        <v>27</v>
      </c>
      <c r="D1755" t="s">
        <v>16</v>
      </c>
      <c r="E1755">
        <v>18.53</v>
      </c>
      <c r="F1755">
        <v>27</v>
      </c>
      <c r="G1755" t="s">
        <v>17</v>
      </c>
      <c r="H1755" t="s">
        <v>24</v>
      </c>
      <c r="I1755" s="2">
        <v>8.99</v>
      </c>
      <c r="J1755">
        <v>0</v>
      </c>
      <c r="K1755" s="2">
        <f t="shared" si="54"/>
        <v>0</v>
      </c>
      <c r="L1755" t="s">
        <v>43</v>
      </c>
      <c r="M1755">
        <v>4</v>
      </c>
      <c r="N1755">
        <v>0.66</v>
      </c>
      <c r="O1755" t="str">
        <f t="shared" si="55"/>
        <v>0.6–0.8 hours</v>
      </c>
      <c r="P1755" t="s">
        <v>47</v>
      </c>
    </row>
    <row r="1756" spans="1:16" x14ac:dyDescent="0.4">
      <c r="A1756" t="s">
        <v>1797</v>
      </c>
      <c r="B1756">
        <v>63</v>
      </c>
      <c r="C1756" t="s">
        <v>41</v>
      </c>
      <c r="D1756" t="s">
        <v>32</v>
      </c>
      <c r="E1756">
        <v>13.66</v>
      </c>
      <c r="F1756">
        <v>4</v>
      </c>
      <c r="G1756" t="s">
        <v>28</v>
      </c>
      <c r="H1756" t="s">
        <v>24</v>
      </c>
      <c r="I1756" s="2">
        <v>17.989999999999998</v>
      </c>
      <c r="J1756">
        <v>0</v>
      </c>
      <c r="K1756" s="2">
        <f t="shared" si="54"/>
        <v>0</v>
      </c>
      <c r="L1756" t="s">
        <v>43</v>
      </c>
      <c r="M1756">
        <v>2</v>
      </c>
      <c r="N1756">
        <v>2.73</v>
      </c>
      <c r="O1756" t="str">
        <f t="shared" si="55"/>
        <v>1+ hours</v>
      </c>
      <c r="P1756" t="s">
        <v>25</v>
      </c>
    </row>
    <row r="1757" spans="1:16" x14ac:dyDescent="0.4">
      <c r="A1757" t="s">
        <v>1798</v>
      </c>
      <c r="B1757">
        <v>30</v>
      </c>
      <c r="C1757" t="s">
        <v>27</v>
      </c>
      <c r="D1757" t="s">
        <v>22</v>
      </c>
      <c r="E1757">
        <v>6.03</v>
      </c>
      <c r="F1757">
        <v>6</v>
      </c>
      <c r="G1757" t="s">
        <v>23</v>
      </c>
      <c r="H1757" t="s">
        <v>55</v>
      </c>
      <c r="I1757" s="2">
        <v>13.99</v>
      </c>
      <c r="J1757">
        <v>0</v>
      </c>
      <c r="K1757" s="2">
        <f t="shared" si="54"/>
        <v>0</v>
      </c>
      <c r="L1757" t="s">
        <v>29</v>
      </c>
      <c r="M1757">
        <v>1</v>
      </c>
      <c r="N1757">
        <v>0.86</v>
      </c>
      <c r="O1757" t="str">
        <f t="shared" si="55"/>
        <v>0.8–1 hour</v>
      </c>
      <c r="P1757" t="s">
        <v>34</v>
      </c>
    </row>
    <row r="1758" spans="1:16" x14ac:dyDescent="0.4">
      <c r="A1758" t="s">
        <v>1799</v>
      </c>
      <c r="B1758">
        <v>50</v>
      </c>
      <c r="C1758" t="s">
        <v>27</v>
      </c>
      <c r="D1758" t="s">
        <v>22</v>
      </c>
      <c r="E1758">
        <v>16.829999999999998</v>
      </c>
      <c r="F1758">
        <v>11</v>
      </c>
      <c r="G1758" t="s">
        <v>49</v>
      </c>
      <c r="H1758" t="s">
        <v>57</v>
      </c>
      <c r="I1758" s="2">
        <v>13.99</v>
      </c>
      <c r="J1758">
        <v>0</v>
      </c>
      <c r="K1758" s="2">
        <f t="shared" si="54"/>
        <v>0</v>
      </c>
      <c r="L1758" t="s">
        <v>61</v>
      </c>
      <c r="M1758">
        <v>2</v>
      </c>
      <c r="N1758">
        <v>1.4</v>
      </c>
      <c r="O1758" t="str">
        <f t="shared" si="55"/>
        <v>1+ hours</v>
      </c>
      <c r="P1758" t="s">
        <v>52</v>
      </c>
    </row>
    <row r="1759" spans="1:16" x14ac:dyDescent="0.4">
      <c r="A1759" t="s">
        <v>1800</v>
      </c>
      <c r="B1759">
        <v>36</v>
      </c>
      <c r="C1759" t="s">
        <v>41</v>
      </c>
      <c r="D1759" t="s">
        <v>22</v>
      </c>
      <c r="E1759">
        <v>10.58</v>
      </c>
      <c r="F1759">
        <v>0</v>
      </c>
      <c r="G1759" t="s">
        <v>23</v>
      </c>
      <c r="H1759" t="s">
        <v>57</v>
      </c>
      <c r="I1759" s="2">
        <v>13.99</v>
      </c>
      <c r="J1759">
        <v>0</v>
      </c>
      <c r="K1759" s="2">
        <f t="shared" si="54"/>
        <v>0</v>
      </c>
      <c r="L1759" t="s">
        <v>61</v>
      </c>
      <c r="M1759">
        <v>1</v>
      </c>
      <c r="N1759">
        <v>10.58</v>
      </c>
      <c r="O1759" t="str">
        <f t="shared" si="55"/>
        <v>1+ hours</v>
      </c>
      <c r="P1759" t="s">
        <v>39</v>
      </c>
    </row>
    <row r="1760" spans="1:16" x14ac:dyDescent="0.4">
      <c r="A1760" t="s">
        <v>1801</v>
      </c>
      <c r="B1760">
        <v>56</v>
      </c>
      <c r="C1760" t="s">
        <v>15</v>
      </c>
      <c r="D1760" t="s">
        <v>22</v>
      </c>
      <c r="E1760">
        <v>11</v>
      </c>
      <c r="F1760">
        <v>21</v>
      </c>
      <c r="G1760" t="s">
        <v>33</v>
      </c>
      <c r="H1760" t="s">
        <v>18</v>
      </c>
      <c r="I1760" s="2">
        <v>13.99</v>
      </c>
      <c r="J1760">
        <v>0</v>
      </c>
      <c r="K1760" s="2">
        <f t="shared" si="54"/>
        <v>0</v>
      </c>
      <c r="L1760" t="s">
        <v>37</v>
      </c>
      <c r="M1760">
        <v>2</v>
      </c>
      <c r="N1760">
        <v>0.5</v>
      </c>
      <c r="O1760" t="str">
        <f t="shared" si="55"/>
        <v>0.4–0.6 hours</v>
      </c>
      <c r="P1760" t="s">
        <v>30</v>
      </c>
    </row>
    <row r="1761" spans="1:16" x14ac:dyDescent="0.4">
      <c r="A1761" t="s">
        <v>1802</v>
      </c>
      <c r="B1761">
        <v>65</v>
      </c>
      <c r="C1761" t="s">
        <v>15</v>
      </c>
      <c r="D1761" t="s">
        <v>16</v>
      </c>
      <c r="E1761">
        <v>4.92</v>
      </c>
      <c r="F1761">
        <v>44</v>
      </c>
      <c r="G1761" t="s">
        <v>33</v>
      </c>
      <c r="H1761" t="s">
        <v>57</v>
      </c>
      <c r="I1761" s="2">
        <v>8.99</v>
      </c>
      <c r="J1761">
        <v>1</v>
      </c>
      <c r="K1761" s="2">
        <f t="shared" si="54"/>
        <v>8.99</v>
      </c>
      <c r="L1761" t="s">
        <v>29</v>
      </c>
      <c r="M1761">
        <v>5</v>
      </c>
      <c r="N1761">
        <v>0.11</v>
      </c>
      <c r="O1761" t="str">
        <f t="shared" si="55"/>
        <v>0–0.2 hours</v>
      </c>
      <c r="P1761" t="s">
        <v>47</v>
      </c>
    </row>
    <row r="1762" spans="1:16" x14ac:dyDescent="0.4">
      <c r="A1762" t="s">
        <v>1803</v>
      </c>
      <c r="B1762">
        <v>54</v>
      </c>
      <c r="C1762" t="s">
        <v>27</v>
      </c>
      <c r="D1762" t="s">
        <v>16</v>
      </c>
      <c r="E1762">
        <v>39.11</v>
      </c>
      <c r="F1762">
        <v>53</v>
      </c>
      <c r="G1762" t="s">
        <v>49</v>
      </c>
      <c r="H1762" t="s">
        <v>46</v>
      </c>
      <c r="I1762" s="2">
        <v>8.99</v>
      </c>
      <c r="J1762">
        <v>0</v>
      </c>
      <c r="K1762" s="2">
        <f t="shared" si="54"/>
        <v>0</v>
      </c>
      <c r="L1762" t="s">
        <v>19</v>
      </c>
      <c r="M1762">
        <v>3</v>
      </c>
      <c r="N1762">
        <v>0.72</v>
      </c>
      <c r="O1762" t="str">
        <f t="shared" si="55"/>
        <v>0.6–0.8 hours</v>
      </c>
      <c r="P1762" t="s">
        <v>34</v>
      </c>
    </row>
    <row r="1763" spans="1:16" x14ac:dyDescent="0.4">
      <c r="A1763" t="s">
        <v>1804</v>
      </c>
      <c r="B1763">
        <v>38</v>
      </c>
      <c r="C1763" t="s">
        <v>41</v>
      </c>
      <c r="D1763" t="s">
        <v>16</v>
      </c>
      <c r="E1763">
        <v>23.85</v>
      </c>
      <c r="F1763">
        <v>37</v>
      </c>
      <c r="G1763" t="s">
        <v>49</v>
      </c>
      <c r="H1763" t="s">
        <v>57</v>
      </c>
      <c r="I1763" s="2">
        <v>8.99</v>
      </c>
      <c r="J1763">
        <v>0</v>
      </c>
      <c r="K1763" s="2">
        <f t="shared" si="54"/>
        <v>0</v>
      </c>
      <c r="L1763" t="s">
        <v>61</v>
      </c>
      <c r="M1763">
        <v>1</v>
      </c>
      <c r="N1763">
        <v>0.63</v>
      </c>
      <c r="O1763" t="str">
        <f t="shared" si="55"/>
        <v>0.6–0.8 hours</v>
      </c>
      <c r="P1763" t="s">
        <v>30</v>
      </c>
    </row>
    <row r="1764" spans="1:16" x14ac:dyDescent="0.4">
      <c r="A1764" t="s">
        <v>1805</v>
      </c>
      <c r="B1764">
        <v>54</v>
      </c>
      <c r="C1764" t="s">
        <v>41</v>
      </c>
      <c r="D1764" t="s">
        <v>32</v>
      </c>
      <c r="E1764">
        <v>12.02</v>
      </c>
      <c r="F1764">
        <v>58</v>
      </c>
      <c r="G1764" t="s">
        <v>23</v>
      </c>
      <c r="H1764" t="s">
        <v>57</v>
      </c>
      <c r="I1764" s="2">
        <v>17.989999999999998</v>
      </c>
      <c r="J1764">
        <v>1</v>
      </c>
      <c r="K1764" s="2">
        <f t="shared" si="54"/>
        <v>17.989999999999998</v>
      </c>
      <c r="L1764" t="s">
        <v>37</v>
      </c>
      <c r="M1764">
        <v>3</v>
      </c>
      <c r="N1764">
        <v>0.2</v>
      </c>
      <c r="O1764" t="str">
        <f t="shared" si="55"/>
        <v>0–0.2 hours</v>
      </c>
      <c r="P1764" t="s">
        <v>52</v>
      </c>
    </row>
    <row r="1765" spans="1:16" x14ac:dyDescent="0.4">
      <c r="A1765" t="s">
        <v>1806</v>
      </c>
      <c r="B1765">
        <v>60</v>
      </c>
      <c r="C1765" t="s">
        <v>41</v>
      </c>
      <c r="D1765" t="s">
        <v>32</v>
      </c>
      <c r="E1765">
        <v>17.14</v>
      </c>
      <c r="F1765">
        <v>28</v>
      </c>
      <c r="G1765" t="s">
        <v>33</v>
      </c>
      <c r="H1765" t="s">
        <v>55</v>
      </c>
      <c r="I1765" s="2">
        <v>17.989999999999998</v>
      </c>
      <c r="J1765">
        <v>0</v>
      </c>
      <c r="K1765" s="2">
        <f t="shared" si="54"/>
        <v>0</v>
      </c>
      <c r="L1765" t="s">
        <v>19</v>
      </c>
      <c r="M1765">
        <v>5</v>
      </c>
      <c r="N1765">
        <v>0.59</v>
      </c>
      <c r="O1765" t="str">
        <f t="shared" si="55"/>
        <v>0.4–0.6 hours</v>
      </c>
      <c r="P1765" t="s">
        <v>25</v>
      </c>
    </row>
    <row r="1766" spans="1:16" x14ac:dyDescent="0.4">
      <c r="A1766" t="s">
        <v>1807</v>
      </c>
      <c r="B1766">
        <v>40</v>
      </c>
      <c r="C1766" t="s">
        <v>15</v>
      </c>
      <c r="D1766" t="s">
        <v>32</v>
      </c>
      <c r="E1766">
        <v>2.14</v>
      </c>
      <c r="F1766">
        <v>12</v>
      </c>
      <c r="G1766" t="s">
        <v>49</v>
      </c>
      <c r="H1766" t="s">
        <v>18</v>
      </c>
      <c r="I1766" s="2">
        <v>17.989999999999998</v>
      </c>
      <c r="J1766">
        <v>1</v>
      </c>
      <c r="K1766" s="2">
        <f t="shared" si="54"/>
        <v>17.989999999999998</v>
      </c>
      <c r="L1766" t="s">
        <v>29</v>
      </c>
      <c r="M1766">
        <v>1</v>
      </c>
      <c r="N1766">
        <v>0.16</v>
      </c>
      <c r="O1766" t="str">
        <f t="shared" si="55"/>
        <v>0–0.2 hours</v>
      </c>
      <c r="P1766" t="s">
        <v>20</v>
      </c>
    </row>
    <row r="1767" spans="1:16" x14ac:dyDescent="0.4">
      <c r="A1767" t="s">
        <v>1808</v>
      </c>
      <c r="B1767">
        <v>23</v>
      </c>
      <c r="C1767" t="s">
        <v>27</v>
      </c>
      <c r="D1767" t="s">
        <v>32</v>
      </c>
      <c r="E1767">
        <v>14.78</v>
      </c>
      <c r="F1767">
        <v>11</v>
      </c>
      <c r="G1767" t="s">
        <v>33</v>
      </c>
      <c r="H1767" t="s">
        <v>18</v>
      </c>
      <c r="I1767" s="2">
        <v>17.989999999999998</v>
      </c>
      <c r="J1767">
        <v>0</v>
      </c>
      <c r="K1767" s="2">
        <f t="shared" si="54"/>
        <v>0</v>
      </c>
      <c r="L1767" t="s">
        <v>37</v>
      </c>
      <c r="M1767">
        <v>2</v>
      </c>
      <c r="N1767">
        <v>1.23</v>
      </c>
      <c r="O1767" t="str">
        <f t="shared" si="55"/>
        <v>1+ hours</v>
      </c>
      <c r="P1767" t="s">
        <v>52</v>
      </c>
    </row>
    <row r="1768" spans="1:16" x14ac:dyDescent="0.4">
      <c r="A1768" t="s">
        <v>1809</v>
      </c>
      <c r="B1768">
        <v>25</v>
      </c>
      <c r="C1768" t="s">
        <v>27</v>
      </c>
      <c r="D1768" t="s">
        <v>16</v>
      </c>
      <c r="E1768">
        <v>13.15</v>
      </c>
      <c r="F1768">
        <v>54</v>
      </c>
      <c r="G1768" t="s">
        <v>70</v>
      </c>
      <c r="H1768" t="s">
        <v>18</v>
      </c>
      <c r="I1768" s="2">
        <v>8.99</v>
      </c>
      <c r="J1768">
        <v>1</v>
      </c>
      <c r="K1768" s="2">
        <f t="shared" si="54"/>
        <v>8.99</v>
      </c>
      <c r="L1768" t="s">
        <v>19</v>
      </c>
      <c r="M1768">
        <v>5</v>
      </c>
      <c r="N1768">
        <v>0.24</v>
      </c>
      <c r="O1768" t="str">
        <f t="shared" si="55"/>
        <v>0.2–0.4 hours</v>
      </c>
      <c r="P1768" t="s">
        <v>20</v>
      </c>
    </row>
    <row r="1769" spans="1:16" x14ac:dyDescent="0.4">
      <c r="A1769" t="s">
        <v>1810</v>
      </c>
      <c r="B1769">
        <v>24</v>
      </c>
      <c r="C1769" t="s">
        <v>27</v>
      </c>
      <c r="D1769" t="s">
        <v>32</v>
      </c>
      <c r="E1769">
        <v>17.2</v>
      </c>
      <c r="F1769">
        <v>33</v>
      </c>
      <c r="G1769" t="s">
        <v>28</v>
      </c>
      <c r="H1769" t="s">
        <v>55</v>
      </c>
      <c r="I1769" s="2">
        <v>17.989999999999998</v>
      </c>
      <c r="J1769">
        <v>0</v>
      </c>
      <c r="K1769" s="2">
        <f t="shared" si="54"/>
        <v>0</v>
      </c>
      <c r="L1769" t="s">
        <v>43</v>
      </c>
      <c r="M1769">
        <v>5</v>
      </c>
      <c r="N1769">
        <v>0.51</v>
      </c>
      <c r="O1769" t="str">
        <f t="shared" si="55"/>
        <v>0.4–0.6 hours</v>
      </c>
      <c r="P1769" t="s">
        <v>25</v>
      </c>
    </row>
    <row r="1770" spans="1:16" x14ac:dyDescent="0.4">
      <c r="A1770" t="s">
        <v>1811</v>
      </c>
      <c r="B1770">
        <v>34</v>
      </c>
      <c r="C1770" t="s">
        <v>15</v>
      </c>
      <c r="D1770" t="s">
        <v>16</v>
      </c>
      <c r="E1770">
        <v>4.51</v>
      </c>
      <c r="F1770">
        <v>39</v>
      </c>
      <c r="G1770" t="s">
        <v>49</v>
      </c>
      <c r="H1770" t="s">
        <v>55</v>
      </c>
      <c r="I1770" s="2">
        <v>8.99</v>
      </c>
      <c r="J1770">
        <v>1</v>
      </c>
      <c r="K1770" s="2">
        <f t="shared" si="54"/>
        <v>8.99</v>
      </c>
      <c r="L1770" t="s">
        <v>29</v>
      </c>
      <c r="M1770">
        <v>4</v>
      </c>
      <c r="N1770">
        <v>0.11</v>
      </c>
      <c r="O1770" t="str">
        <f t="shared" si="55"/>
        <v>0–0.2 hours</v>
      </c>
      <c r="P1770" t="s">
        <v>20</v>
      </c>
    </row>
    <row r="1771" spans="1:16" x14ac:dyDescent="0.4">
      <c r="A1771" t="s">
        <v>1812</v>
      </c>
      <c r="B1771">
        <v>37</v>
      </c>
      <c r="C1771" t="s">
        <v>15</v>
      </c>
      <c r="D1771" t="s">
        <v>16</v>
      </c>
      <c r="E1771">
        <v>13.86</v>
      </c>
      <c r="F1771">
        <v>55</v>
      </c>
      <c r="G1771" t="s">
        <v>33</v>
      </c>
      <c r="H1771" t="s">
        <v>24</v>
      </c>
      <c r="I1771" s="2">
        <v>8.99</v>
      </c>
      <c r="J1771">
        <v>1</v>
      </c>
      <c r="K1771" s="2">
        <f t="shared" si="54"/>
        <v>8.99</v>
      </c>
      <c r="L1771" t="s">
        <v>43</v>
      </c>
      <c r="M1771">
        <v>2</v>
      </c>
      <c r="N1771">
        <v>0.25</v>
      </c>
      <c r="O1771" t="str">
        <f t="shared" si="55"/>
        <v>0.2–0.4 hours</v>
      </c>
      <c r="P1771" t="s">
        <v>39</v>
      </c>
    </row>
    <row r="1772" spans="1:16" x14ac:dyDescent="0.4">
      <c r="A1772" t="s">
        <v>1813</v>
      </c>
      <c r="B1772">
        <v>24</v>
      </c>
      <c r="C1772" t="s">
        <v>15</v>
      </c>
      <c r="D1772" t="s">
        <v>22</v>
      </c>
      <c r="E1772">
        <v>6.56</v>
      </c>
      <c r="F1772">
        <v>8</v>
      </c>
      <c r="G1772" t="s">
        <v>28</v>
      </c>
      <c r="H1772" t="s">
        <v>18</v>
      </c>
      <c r="I1772" s="2">
        <v>13.99</v>
      </c>
      <c r="J1772">
        <v>0</v>
      </c>
      <c r="K1772" s="2">
        <f t="shared" si="54"/>
        <v>0</v>
      </c>
      <c r="L1772" t="s">
        <v>43</v>
      </c>
      <c r="M1772">
        <v>4</v>
      </c>
      <c r="N1772">
        <v>0.73</v>
      </c>
      <c r="O1772" t="str">
        <f t="shared" si="55"/>
        <v>0.6–0.8 hours</v>
      </c>
      <c r="P1772" t="s">
        <v>39</v>
      </c>
    </row>
    <row r="1773" spans="1:16" x14ac:dyDescent="0.4">
      <c r="A1773" t="s">
        <v>1814</v>
      </c>
      <c r="B1773">
        <v>35</v>
      </c>
      <c r="C1773" t="s">
        <v>41</v>
      </c>
      <c r="D1773" t="s">
        <v>16</v>
      </c>
      <c r="E1773">
        <v>32.1</v>
      </c>
      <c r="F1773">
        <v>58</v>
      </c>
      <c r="G1773" t="s">
        <v>23</v>
      </c>
      <c r="H1773" t="s">
        <v>24</v>
      </c>
      <c r="I1773" s="2">
        <v>8.99</v>
      </c>
      <c r="J1773">
        <v>0</v>
      </c>
      <c r="K1773" s="2">
        <f t="shared" si="54"/>
        <v>0</v>
      </c>
      <c r="L1773" t="s">
        <v>19</v>
      </c>
      <c r="M1773">
        <v>4</v>
      </c>
      <c r="N1773">
        <v>0.54</v>
      </c>
      <c r="O1773" t="str">
        <f t="shared" si="55"/>
        <v>0.4–0.6 hours</v>
      </c>
      <c r="P1773" t="s">
        <v>47</v>
      </c>
    </row>
    <row r="1774" spans="1:16" x14ac:dyDescent="0.4">
      <c r="A1774" t="s">
        <v>1815</v>
      </c>
      <c r="B1774">
        <v>69</v>
      </c>
      <c r="C1774" t="s">
        <v>15</v>
      </c>
      <c r="D1774" t="s">
        <v>22</v>
      </c>
      <c r="E1774">
        <v>1.33</v>
      </c>
      <c r="F1774">
        <v>22</v>
      </c>
      <c r="G1774" t="s">
        <v>17</v>
      </c>
      <c r="H1774" t="s">
        <v>46</v>
      </c>
      <c r="I1774" s="2">
        <v>13.99</v>
      </c>
      <c r="J1774">
        <v>1</v>
      </c>
      <c r="K1774" s="2">
        <f t="shared" si="54"/>
        <v>13.99</v>
      </c>
      <c r="L1774" t="s">
        <v>19</v>
      </c>
      <c r="M1774">
        <v>3</v>
      </c>
      <c r="N1774">
        <v>0.06</v>
      </c>
      <c r="O1774" t="str">
        <f t="shared" si="55"/>
        <v>0–0.2 hours</v>
      </c>
      <c r="P1774" t="s">
        <v>34</v>
      </c>
    </row>
    <row r="1775" spans="1:16" x14ac:dyDescent="0.4">
      <c r="A1775" t="s">
        <v>1816</v>
      </c>
      <c r="B1775">
        <v>69</v>
      </c>
      <c r="C1775" t="s">
        <v>15</v>
      </c>
      <c r="D1775" t="s">
        <v>22</v>
      </c>
      <c r="E1775">
        <v>77.650000000000006</v>
      </c>
      <c r="F1775">
        <v>52</v>
      </c>
      <c r="G1775" t="s">
        <v>33</v>
      </c>
      <c r="H1775" t="s">
        <v>18</v>
      </c>
      <c r="I1775" s="2">
        <v>13.99</v>
      </c>
      <c r="J1775">
        <v>0</v>
      </c>
      <c r="K1775" s="2">
        <f t="shared" si="54"/>
        <v>0</v>
      </c>
      <c r="L1775" t="s">
        <v>43</v>
      </c>
      <c r="M1775">
        <v>2</v>
      </c>
      <c r="N1775">
        <v>1.47</v>
      </c>
      <c r="O1775" t="str">
        <f t="shared" si="55"/>
        <v>1+ hours</v>
      </c>
      <c r="P1775" t="s">
        <v>34</v>
      </c>
    </row>
    <row r="1776" spans="1:16" x14ac:dyDescent="0.4">
      <c r="A1776" t="s">
        <v>1817</v>
      </c>
      <c r="B1776">
        <v>67</v>
      </c>
      <c r="C1776" t="s">
        <v>41</v>
      </c>
      <c r="D1776" t="s">
        <v>22</v>
      </c>
      <c r="E1776">
        <v>5.35</v>
      </c>
      <c r="F1776">
        <v>46</v>
      </c>
      <c r="G1776" t="s">
        <v>17</v>
      </c>
      <c r="H1776" t="s">
        <v>18</v>
      </c>
      <c r="I1776" s="2">
        <v>13.99</v>
      </c>
      <c r="J1776">
        <v>1</v>
      </c>
      <c r="K1776" s="2">
        <f t="shared" si="54"/>
        <v>13.99</v>
      </c>
      <c r="L1776" t="s">
        <v>29</v>
      </c>
      <c r="M1776">
        <v>1</v>
      </c>
      <c r="N1776">
        <v>0.11</v>
      </c>
      <c r="O1776" t="str">
        <f t="shared" si="55"/>
        <v>0–0.2 hours</v>
      </c>
      <c r="P1776" t="s">
        <v>25</v>
      </c>
    </row>
    <row r="1777" spans="1:16" x14ac:dyDescent="0.4">
      <c r="A1777" t="s">
        <v>1818</v>
      </c>
      <c r="B1777">
        <v>66</v>
      </c>
      <c r="C1777" t="s">
        <v>27</v>
      </c>
      <c r="D1777" t="s">
        <v>22</v>
      </c>
      <c r="E1777">
        <v>21.15</v>
      </c>
      <c r="F1777">
        <v>51</v>
      </c>
      <c r="G1777" t="s">
        <v>70</v>
      </c>
      <c r="H1777" t="s">
        <v>57</v>
      </c>
      <c r="I1777" s="2">
        <v>13.99</v>
      </c>
      <c r="J1777">
        <v>0</v>
      </c>
      <c r="K1777" s="2">
        <f t="shared" si="54"/>
        <v>0</v>
      </c>
      <c r="L1777" t="s">
        <v>43</v>
      </c>
      <c r="M1777">
        <v>5</v>
      </c>
      <c r="N1777">
        <v>0.41</v>
      </c>
      <c r="O1777" t="str">
        <f t="shared" si="55"/>
        <v>0.4–0.6 hours</v>
      </c>
      <c r="P1777" t="s">
        <v>25</v>
      </c>
    </row>
    <row r="1778" spans="1:16" x14ac:dyDescent="0.4">
      <c r="A1778" t="s">
        <v>1819</v>
      </c>
      <c r="B1778">
        <v>41</v>
      </c>
      <c r="C1778" t="s">
        <v>41</v>
      </c>
      <c r="D1778" t="s">
        <v>22</v>
      </c>
      <c r="E1778">
        <v>1.87</v>
      </c>
      <c r="F1778">
        <v>37</v>
      </c>
      <c r="G1778" t="s">
        <v>23</v>
      </c>
      <c r="H1778" t="s">
        <v>55</v>
      </c>
      <c r="I1778" s="2">
        <v>13.99</v>
      </c>
      <c r="J1778">
        <v>1</v>
      </c>
      <c r="K1778" s="2">
        <f t="shared" si="54"/>
        <v>13.99</v>
      </c>
      <c r="L1778" t="s">
        <v>29</v>
      </c>
      <c r="M1778">
        <v>2</v>
      </c>
      <c r="N1778">
        <v>0.05</v>
      </c>
      <c r="O1778" t="str">
        <f t="shared" si="55"/>
        <v>0–0.2 hours</v>
      </c>
      <c r="P1778" t="s">
        <v>25</v>
      </c>
    </row>
    <row r="1779" spans="1:16" x14ac:dyDescent="0.4">
      <c r="A1779" t="s">
        <v>1820</v>
      </c>
      <c r="B1779">
        <v>60</v>
      </c>
      <c r="C1779" t="s">
        <v>15</v>
      </c>
      <c r="D1779" t="s">
        <v>22</v>
      </c>
      <c r="E1779">
        <v>2.38</v>
      </c>
      <c r="F1779">
        <v>10</v>
      </c>
      <c r="G1779" t="s">
        <v>28</v>
      </c>
      <c r="H1779" t="s">
        <v>46</v>
      </c>
      <c r="I1779" s="2">
        <v>13.99</v>
      </c>
      <c r="J1779">
        <v>0</v>
      </c>
      <c r="K1779" s="2">
        <f t="shared" si="54"/>
        <v>0</v>
      </c>
      <c r="L1779" t="s">
        <v>37</v>
      </c>
      <c r="M1779">
        <v>5</v>
      </c>
      <c r="N1779">
        <v>0.22</v>
      </c>
      <c r="O1779" t="str">
        <f t="shared" si="55"/>
        <v>0.2–0.4 hours</v>
      </c>
      <c r="P1779" t="s">
        <v>20</v>
      </c>
    </row>
    <row r="1780" spans="1:16" x14ac:dyDescent="0.4">
      <c r="A1780" t="s">
        <v>1821</v>
      </c>
      <c r="B1780">
        <v>69</v>
      </c>
      <c r="C1780" t="s">
        <v>41</v>
      </c>
      <c r="D1780" t="s">
        <v>22</v>
      </c>
      <c r="E1780">
        <v>0.36</v>
      </c>
      <c r="F1780">
        <v>50</v>
      </c>
      <c r="G1780" t="s">
        <v>23</v>
      </c>
      <c r="H1780" t="s">
        <v>55</v>
      </c>
      <c r="I1780" s="2">
        <v>13.99</v>
      </c>
      <c r="J1780">
        <v>1</v>
      </c>
      <c r="K1780" s="2">
        <f t="shared" si="54"/>
        <v>13.99</v>
      </c>
      <c r="L1780" t="s">
        <v>61</v>
      </c>
      <c r="M1780">
        <v>2</v>
      </c>
      <c r="N1780">
        <v>0.01</v>
      </c>
      <c r="O1780" t="str">
        <f t="shared" si="55"/>
        <v>0–0.2 hours</v>
      </c>
      <c r="P1780" t="s">
        <v>52</v>
      </c>
    </row>
    <row r="1781" spans="1:16" x14ac:dyDescent="0.4">
      <c r="A1781" t="s">
        <v>1822</v>
      </c>
      <c r="B1781">
        <v>65</v>
      </c>
      <c r="C1781" t="s">
        <v>27</v>
      </c>
      <c r="D1781" t="s">
        <v>22</v>
      </c>
      <c r="E1781">
        <v>7.4</v>
      </c>
      <c r="F1781">
        <v>34</v>
      </c>
      <c r="G1781" t="s">
        <v>49</v>
      </c>
      <c r="H1781" t="s">
        <v>18</v>
      </c>
      <c r="I1781" s="2">
        <v>13.99</v>
      </c>
      <c r="J1781">
        <v>1</v>
      </c>
      <c r="K1781" s="2">
        <f t="shared" si="54"/>
        <v>13.99</v>
      </c>
      <c r="L1781" t="s">
        <v>29</v>
      </c>
      <c r="M1781">
        <v>3</v>
      </c>
      <c r="N1781">
        <v>0.21</v>
      </c>
      <c r="O1781" t="str">
        <f t="shared" si="55"/>
        <v>0.2–0.4 hours</v>
      </c>
      <c r="P1781" t="s">
        <v>25</v>
      </c>
    </row>
    <row r="1782" spans="1:16" x14ac:dyDescent="0.4">
      <c r="A1782" t="s">
        <v>1823</v>
      </c>
      <c r="B1782">
        <v>20</v>
      </c>
      <c r="C1782" t="s">
        <v>15</v>
      </c>
      <c r="D1782" t="s">
        <v>22</v>
      </c>
      <c r="E1782">
        <v>0.68</v>
      </c>
      <c r="F1782">
        <v>35</v>
      </c>
      <c r="G1782" t="s">
        <v>70</v>
      </c>
      <c r="H1782" t="s">
        <v>55</v>
      </c>
      <c r="I1782" s="2">
        <v>13.99</v>
      </c>
      <c r="J1782">
        <v>1</v>
      </c>
      <c r="K1782" s="2">
        <f t="shared" si="54"/>
        <v>13.99</v>
      </c>
      <c r="L1782" t="s">
        <v>37</v>
      </c>
      <c r="M1782">
        <v>1</v>
      </c>
      <c r="N1782">
        <v>0.02</v>
      </c>
      <c r="O1782" t="str">
        <f t="shared" si="55"/>
        <v>0–0.2 hours</v>
      </c>
      <c r="P1782" t="s">
        <v>47</v>
      </c>
    </row>
    <row r="1783" spans="1:16" x14ac:dyDescent="0.4">
      <c r="A1783" t="s">
        <v>1824</v>
      </c>
      <c r="B1783">
        <v>28</v>
      </c>
      <c r="C1783" t="s">
        <v>15</v>
      </c>
      <c r="D1783" t="s">
        <v>32</v>
      </c>
      <c r="E1783">
        <v>4.3</v>
      </c>
      <c r="F1783">
        <v>21</v>
      </c>
      <c r="G1783" t="s">
        <v>70</v>
      </c>
      <c r="H1783" t="s">
        <v>46</v>
      </c>
      <c r="I1783" s="2">
        <v>17.989999999999998</v>
      </c>
      <c r="J1783">
        <v>1</v>
      </c>
      <c r="K1783" s="2">
        <f t="shared" si="54"/>
        <v>17.989999999999998</v>
      </c>
      <c r="L1783" t="s">
        <v>19</v>
      </c>
      <c r="M1783">
        <v>1</v>
      </c>
      <c r="N1783">
        <v>0.2</v>
      </c>
      <c r="O1783" t="str">
        <f t="shared" si="55"/>
        <v>0–0.2 hours</v>
      </c>
      <c r="P1783" t="s">
        <v>39</v>
      </c>
    </row>
    <row r="1784" spans="1:16" x14ac:dyDescent="0.4">
      <c r="A1784" t="s">
        <v>1825</v>
      </c>
      <c r="B1784">
        <v>34</v>
      </c>
      <c r="C1784" t="s">
        <v>27</v>
      </c>
      <c r="D1784" t="s">
        <v>32</v>
      </c>
      <c r="E1784">
        <v>9.5399999999999991</v>
      </c>
      <c r="F1784">
        <v>16</v>
      </c>
      <c r="G1784" t="s">
        <v>33</v>
      </c>
      <c r="H1784" t="s">
        <v>57</v>
      </c>
      <c r="I1784" s="2">
        <v>17.989999999999998</v>
      </c>
      <c r="J1784">
        <v>0</v>
      </c>
      <c r="K1784" s="2">
        <f t="shared" si="54"/>
        <v>0</v>
      </c>
      <c r="L1784" t="s">
        <v>19</v>
      </c>
      <c r="M1784">
        <v>4</v>
      </c>
      <c r="N1784">
        <v>0.56000000000000005</v>
      </c>
      <c r="O1784" t="str">
        <f t="shared" si="55"/>
        <v>0.4–0.6 hours</v>
      </c>
      <c r="P1784" t="s">
        <v>39</v>
      </c>
    </row>
    <row r="1785" spans="1:16" x14ac:dyDescent="0.4">
      <c r="A1785" t="s">
        <v>1826</v>
      </c>
      <c r="B1785">
        <v>63</v>
      </c>
      <c r="C1785" t="s">
        <v>41</v>
      </c>
      <c r="D1785" t="s">
        <v>16</v>
      </c>
      <c r="E1785">
        <v>4.09</v>
      </c>
      <c r="F1785">
        <v>55</v>
      </c>
      <c r="G1785" t="s">
        <v>49</v>
      </c>
      <c r="H1785" t="s">
        <v>55</v>
      </c>
      <c r="I1785" s="2">
        <v>8.99</v>
      </c>
      <c r="J1785">
        <v>1</v>
      </c>
      <c r="K1785" s="2">
        <f t="shared" si="54"/>
        <v>8.99</v>
      </c>
      <c r="L1785" t="s">
        <v>61</v>
      </c>
      <c r="M1785">
        <v>1</v>
      </c>
      <c r="N1785">
        <v>7.0000000000000007E-2</v>
      </c>
      <c r="O1785" t="str">
        <f t="shared" si="55"/>
        <v>0–0.2 hours</v>
      </c>
      <c r="P1785" t="s">
        <v>39</v>
      </c>
    </row>
    <row r="1786" spans="1:16" x14ac:dyDescent="0.4">
      <c r="A1786" t="s">
        <v>1827</v>
      </c>
      <c r="B1786">
        <v>46</v>
      </c>
      <c r="C1786" t="s">
        <v>41</v>
      </c>
      <c r="D1786" t="s">
        <v>22</v>
      </c>
      <c r="E1786">
        <v>19.739999999999998</v>
      </c>
      <c r="F1786">
        <v>2</v>
      </c>
      <c r="G1786" t="s">
        <v>70</v>
      </c>
      <c r="H1786" t="s">
        <v>55</v>
      </c>
      <c r="I1786" s="2">
        <v>13.99</v>
      </c>
      <c r="J1786">
        <v>0</v>
      </c>
      <c r="K1786" s="2">
        <f t="shared" si="54"/>
        <v>0</v>
      </c>
      <c r="L1786" t="s">
        <v>61</v>
      </c>
      <c r="M1786">
        <v>4</v>
      </c>
      <c r="N1786">
        <v>6.58</v>
      </c>
      <c r="O1786" t="str">
        <f t="shared" si="55"/>
        <v>1+ hours</v>
      </c>
      <c r="P1786" t="s">
        <v>52</v>
      </c>
    </row>
    <row r="1787" spans="1:16" x14ac:dyDescent="0.4">
      <c r="A1787" t="s">
        <v>1828</v>
      </c>
      <c r="B1787">
        <v>20</v>
      </c>
      <c r="C1787" t="s">
        <v>41</v>
      </c>
      <c r="D1787" t="s">
        <v>32</v>
      </c>
      <c r="E1787">
        <v>8.24</v>
      </c>
      <c r="F1787">
        <v>57</v>
      </c>
      <c r="G1787" t="s">
        <v>17</v>
      </c>
      <c r="H1787" t="s">
        <v>18</v>
      </c>
      <c r="I1787" s="2">
        <v>17.989999999999998</v>
      </c>
      <c r="J1787">
        <v>1</v>
      </c>
      <c r="K1787" s="2">
        <f t="shared" si="54"/>
        <v>17.989999999999998</v>
      </c>
      <c r="L1787" t="s">
        <v>19</v>
      </c>
      <c r="M1787">
        <v>5</v>
      </c>
      <c r="N1787">
        <v>0.14000000000000001</v>
      </c>
      <c r="O1787" t="str">
        <f t="shared" si="55"/>
        <v>0–0.2 hours</v>
      </c>
      <c r="P1787" t="s">
        <v>52</v>
      </c>
    </row>
    <row r="1788" spans="1:16" x14ac:dyDescent="0.4">
      <c r="A1788" t="s">
        <v>1829</v>
      </c>
      <c r="B1788">
        <v>55</v>
      </c>
      <c r="C1788" t="s">
        <v>27</v>
      </c>
      <c r="D1788" t="s">
        <v>32</v>
      </c>
      <c r="E1788">
        <v>14.29</v>
      </c>
      <c r="F1788">
        <v>30</v>
      </c>
      <c r="G1788" t="s">
        <v>49</v>
      </c>
      <c r="H1788" t="s">
        <v>46</v>
      </c>
      <c r="I1788" s="2">
        <v>17.989999999999998</v>
      </c>
      <c r="J1788">
        <v>0</v>
      </c>
      <c r="K1788" s="2">
        <f t="shared" si="54"/>
        <v>0</v>
      </c>
      <c r="L1788" t="s">
        <v>29</v>
      </c>
      <c r="M1788">
        <v>5</v>
      </c>
      <c r="N1788">
        <v>0.46</v>
      </c>
      <c r="O1788" t="str">
        <f t="shared" si="55"/>
        <v>0.4–0.6 hours</v>
      </c>
      <c r="P1788" t="s">
        <v>20</v>
      </c>
    </row>
    <row r="1789" spans="1:16" x14ac:dyDescent="0.4">
      <c r="A1789" t="s">
        <v>1830</v>
      </c>
      <c r="B1789">
        <v>43</v>
      </c>
      <c r="C1789" t="s">
        <v>27</v>
      </c>
      <c r="D1789" t="s">
        <v>32</v>
      </c>
      <c r="E1789">
        <v>12.18</v>
      </c>
      <c r="F1789">
        <v>50</v>
      </c>
      <c r="G1789" t="s">
        <v>23</v>
      </c>
      <c r="H1789" t="s">
        <v>46</v>
      </c>
      <c r="I1789" s="2">
        <v>17.989999999999998</v>
      </c>
      <c r="J1789">
        <v>1</v>
      </c>
      <c r="K1789" s="2">
        <f t="shared" si="54"/>
        <v>17.989999999999998</v>
      </c>
      <c r="L1789" t="s">
        <v>19</v>
      </c>
      <c r="M1789">
        <v>3</v>
      </c>
      <c r="N1789">
        <v>0.24</v>
      </c>
      <c r="O1789" t="str">
        <f t="shared" si="55"/>
        <v>0.2–0.4 hours</v>
      </c>
      <c r="P1789" t="s">
        <v>39</v>
      </c>
    </row>
    <row r="1790" spans="1:16" x14ac:dyDescent="0.4">
      <c r="A1790" t="s">
        <v>1831</v>
      </c>
      <c r="B1790">
        <v>51</v>
      </c>
      <c r="C1790" t="s">
        <v>15</v>
      </c>
      <c r="D1790" t="s">
        <v>22</v>
      </c>
      <c r="E1790">
        <v>1.1200000000000001</v>
      </c>
      <c r="F1790">
        <v>34</v>
      </c>
      <c r="G1790" t="s">
        <v>17</v>
      </c>
      <c r="H1790" t="s">
        <v>46</v>
      </c>
      <c r="I1790" s="2">
        <v>13.99</v>
      </c>
      <c r="J1790">
        <v>1</v>
      </c>
      <c r="K1790" s="2">
        <f t="shared" si="54"/>
        <v>13.99</v>
      </c>
      <c r="L1790" t="s">
        <v>19</v>
      </c>
      <c r="M1790">
        <v>1</v>
      </c>
      <c r="N1790">
        <v>0.03</v>
      </c>
      <c r="O1790" t="str">
        <f t="shared" si="55"/>
        <v>0–0.2 hours</v>
      </c>
      <c r="P1790" t="s">
        <v>52</v>
      </c>
    </row>
    <row r="1791" spans="1:16" x14ac:dyDescent="0.4">
      <c r="A1791" t="s">
        <v>1832</v>
      </c>
      <c r="B1791">
        <v>44</v>
      </c>
      <c r="C1791" t="s">
        <v>41</v>
      </c>
      <c r="D1791" t="s">
        <v>32</v>
      </c>
      <c r="E1791">
        <v>2.11</v>
      </c>
      <c r="F1791">
        <v>25</v>
      </c>
      <c r="G1791" t="s">
        <v>23</v>
      </c>
      <c r="H1791" t="s">
        <v>18</v>
      </c>
      <c r="I1791" s="2">
        <v>17.989999999999998</v>
      </c>
      <c r="J1791">
        <v>0</v>
      </c>
      <c r="K1791" s="2">
        <f t="shared" si="54"/>
        <v>0</v>
      </c>
      <c r="L1791" t="s">
        <v>43</v>
      </c>
      <c r="M1791">
        <v>4</v>
      </c>
      <c r="N1791">
        <v>0.08</v>
      </c>
      <c r="O1791" t="str">
        <f t="shared" si="55"/>
        <v>0–0.2 hours</v>
      </c>
      <c r="P1791" t="s">
        <v>30</v>
      </c>
    </row>
    <row r="1792" spans="1:16" x14ac:dyDescent="0.4">
      <c r="A1792" t="s">
        <v>1833</v>
      </c>
      <c r="B1792">
        <v>29</v>
      </c>
      <c r="C1792" t="s">
        <v>15</v>
      </c>
      <c r="D1792" t="s">
        <v>16</v>
      </c>
      <c r="E1792">
        <v>14.55</v>
      </c>
      <c r="F1792">
        <v>18</v>
      </c>
      <c r="G1792" t="s">
        <v>70</v>
      </c>
      <c r="H1792" t="s">
        <v>18</v>
      </c>
      <c r="I1792" s="2">
        <v>8.99</v>
      </c>
      <c r="J1792">
        <v>0</v>
      </c>
      <c r="K1792" s="2">
        <f t="shared" si="54"/>
        <v>0</v>
      </c>
      <c r="L1792" t="s">
        <v>43</v>
      </c>
      <c r="M1792">
        <v>3</v>
      </c>
      <c r="N1792">
        <v>0.77</v>
      </c>
      <c r="O1792" t="str">
        <f t="shared" si="55"/>
        <v>0.6–0.8 hours</v>
      </c>
      <c r="P1792" t="s">
        <v>47</v>
      </c>
    </row>
    <row r="1793" spans="1:16" x14ac:dyDescent="0.4">
      <c r="A1793" t="s">
        <v>1834</v>
      </c>
      <c r="B1793">
        <v>29</v>
      </c>
      <c r="C1793" t="s">
        <v>41</v>
      </c>
      <c r="D1793" t="s">
        <v>16</v>
      </c>
      <c r="E1793">
        <v>5.33</v>
      </c>
      <c r="F1793">
        <v>36</v>
      </c>
      <c r="G1793" t="s">
        <v>28</v>
      </c>
      <c r="H1793" t="s">
        <v>18</v>
      </c>
      <c r="I1793" s="2">
        <v>8.99</v>
      </c>
      <c r="J1793">
        <v>1</v>
      </c>
      <c r="K1793" s="2">
        <f t="shared" si="54"/>
        <v>8.99</v>
      </c>
      <c r="L1793" t="s">
        <v>19</v>
      </c>
      <c r="M1793">
        <v>4</v>
      </c>
      <c r="N1793">
        <v>0.14000000000000001</v>
      </c>
      <c r="O1793" t="str">
        <f t="shared" si="55"/>
        <v>0–0.2 hours</v>
      </c>
      <c r="P1793" t="s">
        <v>34</v>
      </c>
    </row>
    <row r="1794" spans="1:16" x14ac:dyDescent="0.4">
      <c r="A1794" t="s">
        <v>1835</v>
      </c>
      <c r="B1794">
        <v>33</v>
      </c>
      <c r="C1794" t="s">
        <v>15</v>
      </c>
      <c r="D1794" t="s">
        <v>22</v>
      </c>
      <c r="E1794">
        <v>7.06</v>
      </c>
      <c r="F1794">
        <v>16</v>
      </c>
      <c r="G1794" t="s">
        <v>28</v>
      </c>
      <c r="H1794" t="s">
        <v>18</v>
      </c>
      <c r="I1794" s="2">
        <v>13.99</v>
      </c>
      <c r="J1794">
        <v>0</v>
      </c>
      <c r="K1794" s="2">
        <f t="shared" si="54"/>
        <v>0</v>
      </c>
      <c r="L1794" t="s">
        <v>37</v>
      </c>
      <c r="M1794">
        <v>5</v>
      </c>
      <c r="N1794">
        <v>0.42</v>
      </c>
      <c r="O1794" t="str">
        <f t="shared" si="55"/>
        <v>0.4–0.6 hours</v>
      </c>
      <c r="P1794" t="s">
        <v>47</v>
      </c>
    </row>
    <row r="1795" spans="1:16" x14ac:dyDescent="0.4">
      <c r="A1795" t="s">
        <v>1836</v>
      </c>
      <c r="B1795">
        <v>27</v>
      </c>
      <c r="C1795" t="s">
        <v>15</v>
      </c>
      <c r="D1795" t="s">
        <v>22</v>
      </c>
      <c r="E1795">
        <v>20.02</v>
      </c>
      <c r="F1795">
        <v>53</v>
      </c>
      <c r="G1795" t="s">
        <v>17</v>
      </c>
      <c r="H1795" t="s">
        <v>46</v>
      </c>
      <c r="I1795" s="2">
        <v>13.99</v>
      </c>
      <c r="J1795">
        <v>0</v>
      </c>
      <c r="K1795" s="2">
        <f t="shared" ref="K1795:K1858" si="56">SUMIF(J1795,1,I1795)</f>
        <v>0</v>
      </c>
      <c r="L1795" t="s">
        <v>61</v>
      </c>
      <c r="M1795">
        <v>4</v>
      </c>
      <c r="N1795">
        <v>0.37</v>
      </c>
      <c r="O1795" t="str">
        <f t="shared" ref="O1795:O1858" si="57">IF(N1795&gt;1,"1+ hours",IF(N1795&lt;=0.2,"0–0.2 hours",IF(N1795&lt;=0.4,"0.2–0.4 hours",IF(N1795&lt;=0.6,"0.4–0.6 hours",IF(N1795&lt;=0.8,"0.6–0.8 hours","0.8–1 hour")))))</f>
        <v>0.2–0.4 hours</v>
      </c>
      <c r="P1795" t="s">
        <v>20</v>
      </c>
    </row>
    <row r="1796" spans="1:16" x14ac:dyDescent="0.4">
      <c r="A1796" t="s">
        <v>1837</v>
      </c>
      <c r="B1796">
        <v>43</v>
      </c>
      <c r="C1796" t="s">
        <v>27</v>
      </c>
      <c r="D1796" t="s">
        <v>22</v>
      </c>
      <c r="E1796">
        <v>3.24</v>
      </c>
      <c r="F1796">
        <v>23</v>
      </c>
      <c r="G1796" t="s">
        <v>49</v>
      </c>
      <c r="H1796" t="s">
        <v>46</v>
      </c>
      <c r="I1796" s="2">
        <v>13.99</v>
      </c>
      <c r="J1796">
        <v>1</v>
      </c>
      <c r="K1796" s="2">
        <f t="shared" si="56"/>
        <v>13.99</v>
      </c>
      <c r="L1796" t="s">
        <v>19</v>
      </c>
      <c r="M1796">
        <v>5</v>
      </c>
      <c r="N1796">
        <v>0.14000000000000001</v>
      </c>
      <c r="O1796" t="str">
        <f t="shared" si="57"/>
        <v>0–0.2 hours</v>
      </c>
      <c r="P1796" t="s">
        <v>30</v>
      </c>
    </row>
    <row r="1797" spans="1:16" x14ac:dyDescent="0.4">
      <c r="A1797" t="s">
        <v>1838</v>
      </c>
      <c r="B1797">
        <v>65</v>
      </c>
      <c r="C1797" t="s">
        <v>15</v>
      </c>
      <c r="D1797" t="s">
        <v>16</v>
      </c>
      <c r="E1797">
        <v>25.81</v>
      </c>
      <c r="F1797">
        <v>41</v>
      </c>
      <c r="G1797" t="s">
        <v>17</v>
      </c>
      <c r="H1797" t="s">
        <v>18</v>
      </c>
      <c r="I1797" s="2">
        <v>8.99</v>
      </c>
      <c r="J1797">
        <v>0</v>
      </c>
      <c r="K1797" s="2">
        <f t="shared" si="56"/>
        <v>0</v>
      </c>
      <c r="L1797" t="s">
        <v>61</v>
      </c>
      <c r="M1797">
        <v>1</v>
      </c>
      <c r="N1797">
        <v>0.61</v>
      </c>
      <c r="O1797" t="str">
        <f t="shared" si="57"/>
        <v>0.6–0.8 hours</v>
      </c>
      <c r="P1797" t="s">
        <v>25</v>
      </c>
    </row>
    <row r="1798" spans="1:16" x14ac:dyDescent="0.4">
      <c r="A1798" s="1" t="s">
        <v>1839</v>
      </c>
      <c r="B1798">
        <v>20</v>
      </c>
      <c r="C1798" t="s">
        <v>15</v>
      </c>
      <c r="D1798" t="s">
        <v>32</v>
      </c>
      <c r="E1798">
        <v>11.73</v>
      </c>
      <c r="F1798">
        <v>9</v>
      </c>
      <c r="G1798" t="s">
        <v>17</v>
      </c>
      <c r="H1798" t="s">
        <v>24</v>
      </c>
      <c r="I1798" s="2">
        <v>17.989999999999998</v>
      </c>
      <c r="J1798">
        <v>0</v>
      </c>
      <c r="K1798" s="2">
        <f t="shared" si="56"/>
        <v>0</v>
      </c>
      <c r="L1798" t="s">
        <v>61</v>
      </c>
      <c r="M1798">
        <v>2</v>
      </c>
      <c r="N1798">
        <v>1.17</v>
      </c>
      <c r="O1798" t="str">
        <f t="shared" si="57"/>
        <v>1+ hours</v>
      </c>
      <c r="P1798" t="s">
        <v>52</v>
      </c>
    </row>
    <row r="1799" spans="1:16" x14ac:dyDescent="0.4">
      <c r="A1799" t="s">
        <v>1840</v>
      </c>
      <c r="B1799">
        <v>27</v>
      </c>
      <c r="C1799" t="s">
        <v>15</v>
      </c>
      <c r="D1799" t="s">
        <v>16</v>
      </c>
      <c r="E1799">
        <v>0.18</v>
      </c>
      <c r="F1799">
        <v>7</v>
      </c>
      <c r="G1799" t="s">
        <v>23</v>
      </c>
      <c r="H1799" t="s">
        <v>57</v>
      </c>
      <c r="I1799" s="2">
        <v>8.99</v>
      </c>
      <c r="J1799">
        <v>1</v>
      </c>
      <c r="K1799" s="2">
        <f t="shared" si="56"/>
        <v>8.99</v>
      </c>
      <c r="L1799" t="s">
        <v>19</v>
      </c>
      <c r="M1799">
        <v>3</v>
      </c>
      <c r="N1799">
        <v>0.02</v>
      </c>
      <c r="O1799" t="str">
        <f t="shared" si="57"/>
        <v>0–0.2 hours</v>
      </c>
      <c r="P1799" t="s">
        <v>30</v>
      </c>
    </row>
    <row r="1800" spans="1:16" x14ac:dyDescent="0.4">
      <c r="A1800" t="s">
        <v>1841</v>
      </c>
      <c r="B1800">
        <v>24</v>
      </c>
      <c r="C1800" t="s">
        <v>41</v>
      </c>
      <c r="D1800" t="s">
        <v>32</v>
      </c>
      <c r="E1800">
        <v>6.01</v>
      </c>
      <c r="F1800">
        <v>58</v>
      </c>
      <c r="G1800" t="s">
        <v>70</v>
      </c>
      <c r="H1800" t="s">
        <v>57</v>
      </c>
      <c r="I1800" s="2">
        <v>17.989999999999998</v>
      </c>
      <c r="J1800">
        <v>1</v>
      </c>
      <c r="K1800" s="2">
        <f t="shared" si="56"/>
        <v>17.989999999999998</v>
      </c>
      <c r="L1800" t="s">
        <v>37</v>
      </c>
      <c r="M1800">
        <v>1</v>
      </c>
      <c r="N1800">
        <v>0.1</v>
      </c>
      <c r="O1800" t="str">
        <f t="shared" si="57"/>
        <v>0–0.2 hours</v>
      </c>
      <c r="P1800" t="s">
        <v>39</v>
      </c>
    </row>
    <row r="1801" spans="1:16" x14ac:dyDescent="0.4">
      <c r="A1801" t="s">
        <v>1842</v>
      </c>
      <c r="B1801">
        <v>37</v>
      </c>
      <c r="C1801" t="s">
        <v>15</v>
      </c>
      <c r="D1801" t="s">
        <v>22</v>
      </c>
      <c r="E1801">
        <v>1.56</v>
      </c>
      <c r="F1801">
        <v>21</v>
      </c>
      <c r="G1801" t="s">
        <v>49</v>
      </c>
      <c r="H1801" t="s">
        <v>55</v>
      </c>
      <c r="I1801" s="2">
        <v>13.99</v>
      </c>
      <c r="J1801">
        <v>0</v>
      </c>
      <c r="K1801" s="2">
        <f t="shared" si="56"/>
        <v>0</v>
      </c>
      <c r="L1801" t="s">
        <v>61</v>
      </c>
      <c r="M1801">
        <v>5</v>
      </c>
      <c r="N1801">
        <v>7.0000000000000007E-2</v>
      </c>
      <c r="O1801" t="str">
        <f t="shared" si="57"/>
        <v>0–0.2 hours</v>
      </c>
      <c r="P1801" t="s">
        <v>47</v>
      </c>
    </row>
    <row r="1802" spans="1:16" x14ac:dyDescent="0.4">
      <c r="A1802" t="s">
        <v>1843</v>
      </c>
      <c r="B1802">
        <v>19</v>
      </c>
      <c r="C1802" t="s">
        <v>27</v>
      </c>
      <c r="D1802" t="s">
        <v>22</v>
      </c>
      <c r="E1802">
        <v>24.66</v>
      </c>
      <c r="F1802">
        <v>27</v>
      </c>
      <c r="G1802" t="s">
        <v>70</v>
      </c>
      <c r="H1802" t="s">
        <v>55</v>
      </c>
      <c r="I1802" s="2">
        <v>13.99</v>
      </c>
      <c r="J1802">
        <v>0</v>
      </c>
      <c r="K1802" s="2">
        <f t="shared" si="56"/>
        <v>0</v>
      </c>
      <c r="L1802" t="s">
        <v>29</v>
      </c>
      <c r="M1802">
        <v>2</v>
      </c>
      <c r="N1802">
        <v>0.88</v>
      </c>
      <c r="O1802" t="str">
        <f t="shared" si="57"/>
        <v>0.8–1 hour</v>
      </c>
      <c r="P1802" t="s">
        <v>34</v>
      </c>
    </row>
    <row r="1803" spans="1:16" x14ac:dyDescent="0.4">
      <c r="A1803" t="s">
        <v>1844</v>
      </c>
      <c r="B1803">
        <v>46</v>
      </c>
      <c r="C1803" t="s">
        <v>41</v>
      </c>
      <c r="D1803" t="s">
        <v>16</v>
      </c>
      <c r="E1803">
        <v>11.72</v>
      </c>
      <c r="F1803">
        <v>23</v>
      </c>
      <c r="G1803" t="s">
        <v>23</v>
      </c>
      <c r="H1803" t="s">
        <v>18</v>
      </c>
      <c r="I1803" s="2">
        <v>8.99</v>
      </c>
      <c r="J1803">
        <v>0</v>
      </c>
      <c r="K1803" s="2">
        <f t="shared" si="56"/>
        <v>0</v>
      </c>
      <c r="L1803" t="s">
        <v>29</v>
      </c>
      <c r="M1803">
        <v>4</v>
      </c>
      <c r="N1803">
        <v>0.49</v>
      </c>
      <c r="O1803" t="str">
        <f t="shared" si="57"/>
        <v>0.4–0.6 hours</v>
      </c>
      <c r="P1803" t="s">
        <v>30</v>
      </c>
    </row>
    <row r="1804" spans="1:16" x14ac:dyDescent="0.4">
      <c r="A1804" t="s">
        <v>1845</v>
      </c>
      <c r="B1804">
        <v>35</v>
      </c>
      <c r="C1804" t="s">
        <v>27</v>
      </c>
      <c r="D1804" t="s">
        <v>22</v>
      </c>
      <c r="E1804">
        <v>20.45</v>
      </c>
      <c r="F1804">
        <v>10</v>
      </c>
      <c r="G1804" t="s">
        <v>23</v>
      </c>
      <c r="H1804" t="s">
        <v>57</v>
      </c>
      <c r="I1804" s="2">
        <v>13.99</v>
      </c>
      <c r="J1804">
        <v>0</v>
      </c>
      <c r="K1804" s="2">
        <f t="shared" si="56"/>
        <v>0</v>
      </c>
      <c r="L1804" t="s">
        <v>61</v>
      </c>
      <c r="M1804">
        <v>2</v>
      </c>
      <c r="N1804">
        <v>1.86</v>
      </c>
      <c r="O1804" t="str">
        <f t="shared" si="57"/>
        <v>1+ hours</v>
      </c>
      <c r="P1804" t="s">
        <v>25</v>
      </c>
    </row>
    <row r="1805" spans="1:16" x14ac:dyDescent="0.4">
      <c r="A1805" t="s">
        <v>1846</v>
      </c>
      <c r="B1805">
        <v>33</v>
      </c>
      <c r="C1805" t="s">
        <v>15</v>
      </c>
      <c r="D1805" t="s">
        <v>22</v>
      </c>
      <c r="E1805">
        <v>8.94</v>
      </c>
      <c r="F1805">
        <v>50</v>
      </c>
      <c r="G1805" t="s">
        <v>17</v>
      </c>
      <c r="H1805" t="s">
        <v>55</v>
      </c>
      <c r="I1805" s="2">
        <v>13.99</v>
      </c>
      <c r="J1805">
        <v>1</v>
      </c>
      <c r="K1805" s="2">
        <f t="shared" si="56"/>
        <v>13.99</v>
      </c>
      <c r="L1805" t="s">
        <v>29</v>
      </c>
      <c r="M1805">
        <v>3</v>
      </c>
      <c r="N1805">
        <v>0.18</v>
      </c>
      <c r="O1805" t="str">
        <f t="shared" si="57"/>
        <v>0–0.2 hours</v>
      </c>
      <c r="P1805" t="s">
        <v>25</v>
      </c>
    </row>
    <row r="1806" spans="1:16" x14ac:dyDescent="0.4">
      <c r="A1806" t="s">
        <v>1847</v>
      </c>
      <c r="B1806">
        <v>65</v>
      </c>
      <c r="C1806" t="s">
        <v>27</v>
      </c>
      <c r="D1806" t="s">
        <v>16</v>
      </c>
      <c r="E1806">
        <v>10.94</v>
      </c>
      <c r="F1806">
        <v>18</v>
      </c>
      <c r="G1806" t="s">
        <v>28</v>
      </c>
      <c r="H1806" t="s">
        <v>46</v>
      </c>
      <c r="I1806" s="2">
        <v>8.99</v>
      </c>
      <c r="J1806">
        <v>0</v>
      </c>
      <c r="K1806" s="2">
        <f t="shared" si="56"/>
        <v>0</v>
      </c>
      <c r="L1806" t="s">
        <v>29</v>
      </c>
      <c r="M1806">
        <v>3</v>
      </c>
      <c r="N1806">
        <v>0.57999999999999996</v>
      </c>
      <c r="O1806" t="str">
        <f t="shared" si="57"/>
        <v>0.4–0.6 hours</v>
      </c>
      <c r="P1806" t="s">
        <v>25</v>
      </c>
    </row>
    <row r="1807" spans="1:16" x14ac:dyDescent="0.4">
      <c r="A1807" t="s">
        <v>1848</v>
      </c>
      <c r="B1807">
        <v>61</v>
      </c>
      <c r="C1807" t="s">
        <v>15</v>
      </c>
      <c r="D1807" t="s">
        <v>32</v>
      </c>
      <c r="E1807">
        <v>24.63</v>
      </c>
      <c r="F1807">
        <v>19</v>
      </c>
      <c r="G1807" t="s">
        <v>17</v>
      </c>
      <c r="H1807" t="s">
        <v>57</v>
      </c>
      <c r="I1807" s="2">
        <v>17.989999999999998</v>
      </c>
      <c r="J1807">
        <v>0</v>
      </c>
      <c r="K1807" s="2">
        <f t="shared" si="56"/>
        <v>0</v>
      </c>
      <c r="L1807" t="s">
        <v>29</v>
      </c>
      <c r="M1807">
        <v>1</v>
      </c>
      <c r="N1807">
        <v>1.23</v>
      </c>
      <c r="O1807" t="str">
        <f t="shared" si="57"/>
        <v>1+ hours</v>
      </c>
      <c r="P1807" t="s">
        <v>30</v>
      </c>
    </row>
    <row r="1808" spans="1:16" x14ac:dyDescent="0.4">
      <c r="A1808" t="s">
        <v>1849</v>
      </c>
      <c r="B1808">
        <v>57</v>
      </c>
      <c r="C1808" t="s">
        <v>15</v>
      </c>
      <c r="D1808" t="s">
        <v>22</v>
      </c>
      <c r="E1808">
        <v>45.93</v>
      </c>
      <c r="F1808">
        <v>53</v>
      </c>
      <c r="G1808" t="s">
        <v>70</v>
      </c>
      <c r="H1808" t="s">
        <v>55</v>
      </c>
      <c r="I1808" s="2">
        <v>13.99</v>
      </c>
      <c r="J1808">
        <v>0</v>
      </c>
      <c r="K1808" s="2">
        <f t="shared" si="56"/>
        <v>0</v>
      </c>
      <c r="L1808" t="s">
        <v>61</v>
      </c>
      <c r="M1808">
        <v>2</v>
      </c>
      <c r="N1808">
        <v>0.85</v>
      </c>
      <c r="O1808" t="str">
        <f t="shared" si="57"/>
        <v>0.8–1 hour</v>
      </c>
      <c r="P1808" t="s">
        <v>30</v>
      </c>
    </row>
    <row r="1809" spans="1:16" x14ac:dyDescent="0.4">
      <c r="A1809" t="s">
        <v>1850</v>
      </c>
      <c r="B1809">
        <v>38</v>
      </c>
      <c r="C1809" t="s">
        <v>41</v>
      </c>
      <c r="D1809" t="s">
        <v>32</v>
      </c>
      <c r="E1809">
        <v>11.96</v>
      </c>
      <c r="F1809">
        <v>22</v>
      </c>
      <c r="G1809" t="s">
        <v>70</v>
      </c>
      <c r="H1809" t="s">
        <v>18</v>
      </c>
      <c r="I1809" s="2">
        <v>17.989999999999998</v>
      </c>
      <c r="J1809">
        <v>0</v>
      </c>
      <c r="K1809" s="2">
        <f t="shared" si="56"/>
        <v>0</v>
      </c>
      <c r="L1809" t="s">
        <v>37</v>
      </c>
      <c r="M1809">
        <v>4</v>
      </c>
      <c r="N1809">
        <v>0.52</v>
      </c>
      <c r="O1809" t="str">
        <f t="shared" si="57"/>
        <v>0.4–0.6 hours</v>
      </c>
      <c r="P1809" t="s">
        <v>30</v>
      </c>
    </row>
    <row r="1810" spans="1:16" x14ac:dyDescent="0.4">
      <c r="A1810" t="s">
        <v>1851</v>
      </c>
      <c r="B1810">
        <v>24</v>
      </c>
      <c r="C1810" t="s">
        <v>27</v>
      </c>
      <c r="D1810" t="s">
        <v>22</v>
      </c>
      <c r="E1810">
        <v>8.4</v>
      </c>
      <c r="F1810">
        <v>29</v>
      </c>
      <c r="G1810" t="s">
        <v>70</v>
      </c>
      <c r="H1810" t="s">
        <v>57</v>
      </c>
      <c r="I1810" s="2">
        <v>13.99</v>
      </c>
      <c r="J1810">
        <v>0</v>
      </c>
      <c r="K1810" s="2">
        <f t="shared" si="56"/>
        <v>0</v>
      </c>
      <c r="L1810" t="s">
        <v>37</v>
      </c>
      <c r="M1810">
        <v>1</v>
      </c>
      <c r="N1810">
        <v>0.28000000000000003</v>
      </c>
      <c r="O1810" t="str">
        <f t="shared" si="57"/>
        <v>0.2–0.4 hours</v>
      </c>
      <c r="P1810" t="s">
        <v>39</v>
      </c>
    </row>
    <row r="1811" spans="1:16" x14ac:dyDescent="0.4">
      <c r="A1811" t="s">
        <v>1852</v>
      </c>
      <c r="B1811">
        <v>20</v>
      </c>
      <c r="C1811" t="s">
        <v>27</v>
      </c>
      <c r="D1811" t="s">
        <v>16</v>
      </c>
      <c r="E1811">
        <v>25.17</v>
      </c>
      <c r="F1811">
        <v>3</v>
      </c>
      <c r="G1811" t="s">
        <v>33</v>
      </c>
      <c r="H1811" t="s">
        <v>55</v>
      </c>
      <c r="I1811" s="2">
        <v>8.99</v>
      </c>
      <c r="J1811">
        <v>0</v>
      </c>
      <c r="K1811" s="2">
        <f t="shared" si="56"/>
        <v>0</v>
      </c>
      <c r="L1811" t="s">
        <v>29</v>
      </c>
      <c r="M1811">
        <v>2</v>
      </c>
      <c r="N1811">
        <v>6.29</v>
      </c>
      <c r="O1811" t="str">
        <f t="shared" si="57"/>
        <v>1+ hours</v>
      </c>
      <c r="P1811" t="s">
        <v>52</v>
      </c>
    </row>
    <row r="1812" spans="1:16" x14ac:dyDescent="0.4">
      <c r="A1812" t="s">
        <v>1853</v>
      </c>
      <c r="B1812">
        <v>31</v>
      </c>
      <c r="C1812" t="s">
        <v>15</v>
      </c>
      <c r="D1812" t="s">
        <v>16</v>
      </c>
      <c r="E1812">
        <v>2.82</v>
      </c>
      <c r="F1812">
        <v>19</v>
      </c>
      <c r="G1812" t="s">
        <v>17</v>
      </c>
      <c r="H1812" t="s">
        <v>46</v>
      </c>
      <c r="I1812" s="2">
        <v>8.99</v>
      </c>
      <c r="J1812">
        <v>1</v>
      </c>
      <c r="K1812" s="2">
        <f t="shared" si="56"/>
        <v>8.99</v>
      </c>
      <c r="L1812" t="s">
        <v>37</v>
      </c>
      <c r="M1812">
        <v>4</v>
      </c>
      <c r="N1812">
        <v>0.14000000000000001</v>
      </c>
      <c r="O1812" t="str">
        <f t="shared" si="57"/>
        <v>0–0.2 hours</v>
      </c>
      <c r="P1812" t="s">
        <v>25</v>
      </c>
    </row>
    <row r="1813" spans="1:16" x14ac:dyDescent="0.4">
      <c r="A1813" t="s">
        <v>1854</v>
      </c>
      <c r="B1813">
        <v>48</v>
      </c>
      <c r="C1813" t="s">
        <v>15</v>
      </c>
      <c r="D1813" t="s">
        <v>16</v>
      </c>
      <c r="E1813">
        <v>1.61</v>
      </c>
      <c r="F1813">
        <v>41</v>
      </c>
      <c r="G1813" t="s">
        <v>17</v>
      </c>
      <c r="H1813" t="s">
        <v>46</v>
      </c>
      <c r="I1813" s="2">
        <v>8.99</v>
      </c>
      <c r="J1813">
        <v>1</v>
      </c>
      <c r="K1813" s="2">
        <f t="shared" si="56"/>
        <v>8.99</v>
      </c>
      <c r="L1813" t="s">
        <v>61</v>
      </c>
      <c r="M1813">
        <v>2</v>
      </c>
      <c r="N1813">
        <v>0.04</v>
      </c>
      <c r="O1813" t="str">
        <f t="shared" si="57"/>
        <v>0–0.2 hours</v>
      </c>
      <c r="P1813" t="s">
        <v>30</v>
      </c>
    </row>
    <row r="1814" spans="1:16" x14ac:dyDescent="0.4">
      <c r="A1814" t="s">
        <v>1855</v>
      </c>
      <c r="B1814">
        <v>22</v>
      </c>
      <c r="C1814" t="s">
        <v>41</v>
      </c>
      <c r="D1814" t="s">
        <v>32</v>
      </c>
      <c r="E1814">
        <v>14.69</v>
      </c>
      <c r="F1814">
        <v>12</v>
      </c>
      <c r="G1814" t="s">
        <v>28</v>
      </c>
      <c r="H1814" t="s">
        <v>55</v>
      </c>
      <c r="I1814" s="2">
        <v>17.989999999999998</v>
      </c>
      <c r="J1814">
        <v>0</v>
      </c>
      <c r="K1814" s="2">
        <f t="shared" si="56"/>
        <v>0</v>
      </c>
      <c r="L1814" t="s">
        <v>43</v>
      </c>
      <c r="M1814">
        <v>1</v>
      </c>
      <c r="N1814">
        <v>1.1299999999999999</v>
      </c>
      <c r="O1814" t="str">
        <f t="shared" si="57"/>
        <v>1+ hours</v>
      </c>
      <c r="P1814" t="s">
        <v>39</v>
      </c>
    </row>
    <row r="1815" spans="1:16" x14ac:dyDescent="0.4">
      <c r="A1815" s="1" t="s">
        <v>1856</v>
      </c>
      <c r="B1815">
        <v>35</v>
      </c>
      <c r="C1815" t="s">
        <v>27</v>
      </c>
      <c r="D1815" t="s">
        <v>16</v>
      </c>
      <c r="E1815">
        <v>20.74</v>
      </c>
      <c r="F1815">
        <v>51</v>
      </c>
      <c r="G1815" t="s">
        <v>33</v>
      </c>
      <c r="H1815" t="s">
        <v>24</v>
      </c>
      <c r="I1815" s="2">
        <v>8.99</v>
      </c>
      <c r="J1815">
        <v>0</v>
      </c>
      <c r="K1815" s="2">
        <f t="shared" si="56"/>
        <v>0</v>
      </c>
      <c r="L1815" t="s">
        <v>37</v>
      </c>
      <c r="M1815">
        <v>5</v>
      </c>
      <c r="N1815">
        <v>0.4</v>
      </c>
      <c r="O1815" t="str">
        <f t="shared" si="57"/>
        <v>0.2–0.4 hours</v>
      </c>
      <c r="P1815" t="s">
        <v>34</v>
      </c>
    </row>
    <row r="1816" spans="1:16" x14ac:dyDescent="0.4">
      <c r="A1816" t="s">
        <v>1857</v>
      </c>
      <c r="B1816">
        <v>56</v>
      </c>
      <c r="C1816" t="s">
        <v>15</v>
      </c>
      <c r="D1816" t="s">
        <v>16</v>
      </c>
      <c r="E1816">
        <v>1.62</v>
      </c>
      <c r="F1816">
        <v>8</v>
      </c>
      <c r="G1816" t="s">
        <v>33</v>
      </c>
      <c r="H1816" t="s">
        <v>57</v>
      </c>
      <c r="I1816" s="2">
        <v>8.99</v>
      </c>
      <c r="J1816">
        <v>1</v>
      </c>
      <c r="K1816" s="2">
        <f t="shared" si="56"/>
        <v>8.99</v>
      </c>
      <c r="L1816" t="s">
        <v>61</v>
      </c>
      <c r="M1816">
        <v>1</v>
      </c>
      <c r="N1816">
        <v>0.18</v>
      </c>
      <c r="O1816" t="str">
        <f t="shared" si="57"/>
        <v>0–0.2 hours</v>
      </c>
      <c r="P1816" t="s">
        <v>25</v>
      </c>
    </row>
    <row r="1817" spans="1:16" x14ac:dyDescent="0.4">
      <c r="A1817" t="s">
        <v>1858</v>
      </c>
      <c r="B1817">
        <v>27</v>
      </c>
      <c r="C1817" t="s">
        <v>27</v>
      </c>
      <c r="D1817" t="s">
        <v>22</v>
      </c>
      <c r="E1817">
        <v>5.85</v>
      </c>
      <c r="F1817">
        <v>3</v>
      </c>
      <c r="G1817" t="s">
        <v>33</v>
      </c>
      <c r="H1817" t="s">
        <v>46</v>
      </c>
      <c r="I1817" s="2">
        <v>13.99</v>
      </c>
      <c r="J1817">
        <v>0</v>
      </c>
      <c r="K1817" s="2">
        <f t="shared" si="56"/>
        <v>0</v>
      </c>
      <c r="L1817" t="s">
        <v>29</v>
      </c>
      <c r="M1817">
        <v>5</v>
      </c>
      <c r="N1817">
        <v>1.46</v>
      </c>
      <c r="O1817" t="str">
        <f t="shared" si="57"/>
        <v>1+ hours</v>
      </c>
      <c r="P1817" t="s">
        <v>25</v>
      </c>
    </row>
    <row r="1818" spans="1:16" x14ac:dyDescent="0.4">
      <c r="A1818" t="s">
        <v>1859</v>
      </c>
      <c r="B1818">
        <v>37</v>
      </c>
      <c r="C1818" t="s">
        <v>27</v>
      </c>
      <c r="D1818" t="s">
        <v>16</v>
      </c>
      <c r="E1818">
        <v>12.73</v>
      </c>
      <c r="F1818">
        <v>49</v>
      </c>
      <c r="G1818" t="s">
        <v>17</v>
      </c>
      <c r="H1818" t="s">
        <v>24</v>
      </c>
      <c r="I1818" s="2">
        <v>8.99</v>
      </c>
      <c r="J1818">
        <v>1</v>
      </c>
      <c r="K1818" s="2">
        <f t="shared" si="56"/>
        <v>8.99</v>
      </c>
      <c r="L1818" t="s">
        <v>61</v>
      </c>
      <c r="M1818">
        <v>3</v>
      </c>
      <c r="N1818">
        <v>0.25</v>
      </c>
      <c r="O1818" t="str">
        <f t="shared" si="57"/>
        <v>0.2–0.4 hours</v>
      </c>
      <c r="P1818" t="s">
        <v>20</v>
      </c>
    </row>
    <row r="1819" spans="1:16" x14ac:dyDescent="0.4">
      <c r="A1819" t="s">
        <v>1860</v>
      </c>
      <c r="B1819">
        <v>18</v>
      </c>
      <c r="C1819" t="s">
        <v>27</v>
      </c>
      <c r="D1819" t="s">
        <v>32</v>
      </c>
      <c r="E1819">
        <v>22</v>
      </c>
      <c r="F1819">
        <v>15</v>
      </c>
      <c r="G1819" t="s">
        <v>23</v>
      </c>
      <c r="H1819" t="s">
        <v>46</v>
      </c>
      <c r="I1819" s="2">
        <v>17.989999999999998</v>
      </c>
      <c r="J1819">
        <v>0</v>
      </c>
      <c r="K1819" s="2">
        <f t="shared" si="56"/>
        <v>0</v>
      </c>
      <c r="L1819" t="s">
        <v>37</v>
      </c>
      <c r="M1819">
        <v>5</v>
      </c>
      <c r="N1819">
        <v>1.38</v>
      </c>
      <c r="O1819" t="str">
        <f t="shared" si="57"/>
        <v>1+ hours</v>
      </c>
      <c r="P1819" t="s">
        <v>25</v>
      </c>
    </row>
    <row r="1820" spans="1:16" x14ac:dyDescent="0.4">
      <c r="A1820" t="s">
        <v>1861</v>
      </c>
      <c r="B1820">
        <v>68</v>
      </c>
      <c r="C1820" t="s">
        <v>41</v>
      </c>
      <c r="D1820" t="s">
        <v>32</v>
      </c>
      <c r="E1820">
        <v>18.66</v>
      </c>
      <c r="F1820">
        <v>57</v>
      </c>
      <c r="G1820" t="s">
        <v>17</v>
      </c>
      <c r="H1820" t="s">
        <v>55</v>
      </c>
      <c r="I1820" s="2">
        <v>17.989999999999998</v>
      </c>
      <c r="J1820">
        <v>1</v>
      </c>
      <c r="K1820" s="2">
        <f t="shared" si="56"/>
        <v>17.989999999999998</v>
      </c>
      <c r="L1820" t="s">
        <v>61</v>
      </c>
      <c r="M1820">
        <v>1</v>
      </c>
      <c r="N1820">
        <v>0.32</v>
      </c>
      <c r="O1820" t="str">
        <f t="shared" si="57"/>
        <v>0.2–0.4 hours</v>
      </c>
      <c r="P1820" t="s">
        <v>30</v>
      </c>
    </row>
    <row r="1821" spans="1:16" x14ac:dyDescent="0.4">
      <c r="A1821" t="s">
        <v>1862</v>
      </c>
      <c r="B1821">
        <v>28</v>
      </c>
      <c r="C1821" t="s">
        <v>15</v>
      </c>
      <c r="D1821" t="s">
        <v>32</v>
      </c>
      <c r="E1821">
        <v>11.92</v>
      </c>
      <c r="F1821">
        <v>52</v>
      </c>
      <c r="G1821" t="s">
        <v>33</v>
      </c>
      <c r="H1821" t="s">
        <v>18</v>
      </c>
      <c r="I1821" s="2">
        <v>17.989999999999998</v>
      </c>
      <c r="J1821">
        <v>1</v>
      </c>
      <c r="K1821" s="2">
        <f t="shared" si="56"/>
        <v>17.989999999999998</v>
      </c>
      <c r="L1821" t="s">
        <v>29</v>
      </c>
      <c r="M1821">
        <v>3</v>
      </c>
      <c r="N1821">
        <v>0.22</v>
      </c>
      <c r="O1821" t="str">
        <f t="shared" si="57"/>
        <v>0.2–0.4 hours</v>
      </c>
      <c r="P1821" t="s">
        <v>34</v>
      </c>
    </row>
    <row r="1822" spans="1:16" x14ac:dyDescent="0.4">
      <c r="A1822" t="s">
        <v>1863</v>
      </c>
      <c r="B1822">
        <v>52</v>
      </c>
      <c r="C1822" t="s">
        <v>15</v>
      </c>
      <c r="D1822" t="s">
        <v>32</v>
      </c>
      <c r="E1822">
        <v>7.17</v>
      </c>
      <c r="F1822">
        <v>48</v>
      </c>
      <c r="G1822" t="s">
        <v>33</v>
      </c>
      <c r="H1822" t="s">
        <v>55</v>
      </c>
      <c r="I1822" s="2">
        <v>17.989999999999998</v>
      </c>
      <c r="J1822">
        <v>1</v>
      </c>
      <c r="K1822" s="2">
        <f t="shared" si="56"/>
        <v>17.989999999999998</v>
      </c>
      <c r="L1822" t="s">
        <v>61</v>
      </c>
      <c r="M1822">
        <v>3</v>
      </c>
      <c r="N1822">
        <v>0.15</v>
      </c>
      <c r="O1822" t="str">
        <f t="shared" si="57"/>
        <v>0–0.2 hours</v>
      </c>
      <c r="P1822" t="s">
        <v>47</v>
      </c>
    </row>
    <row r="1823" spans="1:16" x14ac:dyDescent="0.4">
      <c r="A1823" t="s">
        <v>1864</v>
      </c>
      <c r="B1823">
        <v>45</v>
      </c>
      <c r="C1823" t="s">
        <v>27</v>
      </c>
      <c r="D1823" t="s">
        <v>16</v>
      </c>
      <c r="E1823">
        <v>5.12</v>
      </c>
      <c r="F1823">
        <v>25</v>
      </c>
      <c r="G1823" t="s">
        <v>33</v>
      </c>
      <c r="H1823" t="s">
        <v>18</v>
      </c>
      <c r="I1823" s="2">
        <v>8.99</v>
      </c>
      <c r="J1823">
        <v>0</v>
      </c>
      <c r="K1823" s="2">
        <f t="shared" si="56"/>
        <v>0</v>
      </c>
      <c r="L1823" t="s">
        <v>29</v>
      </c>
      <c r="M1823">
        <v>5</v>
      </c>
      <c r="N1823">
        <v>0.2</v>
      </c>
      <c r="O1823" t="str">
        <f t="shared" si="57"/>
        <v>0–0.2 hours</v>
      </c>
      <c r="P1823" t="s">
        <v>34</v>
      </c>
    </row>
    <row r="1824" spans="1:16" x14ac:dyDescent="0.4">
      <c r="A1824" t="s">
        <v>1865</v>
      </c>
      <c r="B1824">
        <v>30</v>
      </c>
      <c r="C1824" t="s">
        <v>41</v>
      </c>
      <c r="D1824" t="s">
        <v>22</v>
      </c>
      <c r="E1824">
        <v>31.65</v>
      </c>
      <c r="F1824">
        <v>29</v>
      </c>
      <c r="G1824" t="s">
        <v>23</v>
      </c>
      <c r="H1824" t="s">
        <v>24</v>
      </c>
      <c r="I1824" s="2">
        <v>13.99</v>
      </c>
      <c r="J1824">
        <v>0</v>
      </c>
      <c r="K1824" s="2">
        <f t="shared" si="56"/>
        <v>0</v>
      </c>
      <c r="L1824" t="s">
        <v>37</v>
      </c>
      <c r="M1824">
        <v>4</v>
      </c>
      <c r="N1824">
        <v>1.05</v>
      </c>
      <c r="O1824" t="str">
        <f t="shared" si="57"/>
        <v>1+ hours</v>
      </c>
      <c r="P1824" t="s">
        <v>34</v>
      </c>
    </row>
    <row r="1825" spans="1:16" x14ac:dyDescent="0.4">
      <c r="A1825" t="s">
        <v>1866</v>
      </c>
      <c r="B1825">
        <v>29</v>
      </c>
      <c r="C1825" t="s">
        <v>27</v>
      </c>
      <c r="D1825" t="s">
        <v>16</v>
      </c>
      <c r="E1825">
        <v>5.55</v>
      </c>
      <c r="F1825">
        <v>20</v>
      </c>
      <c r="G1825" t="s">
        <v>49</v>
      </c>
      <c r="H1825" t="s">
        <v>18</v>
      </c>
      <c r="I1825" s="2">
        <v>8.99</v>
      </c>
      <c r="J1825">
        <v>1</v>
      </c>
      <c r="K1825" s="2">
        <f t="shared" si="56"/>
        <v>8.99</v>
      </c>
      <c r="L1825" t="s">
        <v>19</v>
      </c>
      <c r="M1825">
        <v>2</v>
      </c>
      <c r="N1825">
        <v>0.26</v>
      </c>
      <c r="O1825" t="str">
        <f t="shared" si="57"/>
        <v>0.2–0.4 hours</v>
      </c>
      <c r="P1825" t="s">
        <v>47</v>
      </c>
    </row>
    <row r="1826" spans="1:16" x14ac:dyDescent="0.4">
      <c r="A1826" t="s">
        <v>1867</v>
      </c>
      <c r="B1826">
        <v>30</v>
      </c>
      <c r="C1826" t="s">
        <v>27</v>
      </c>
      <c r="D1826" t="s">
        <v>22</v>
      </c>
      <c r="E1826">
        <v>6.42</v>
      </c>
      <c r="F1826">
        <v>26</v>
      </c>
      <c r="G1826" t="s">
        <v>28</v>
      </c>
      <c r="H1826" t="s">
        <v>57</v>
      </c>
      <c r="I1826" s="2">
        <v>13.99</v>
      </c>
      <c r="J1826">
        <v>0</v>
      </c>
      <c r="K1826" s="2">
        <f t="shared" si="56"/>
        <v>0</v>
      </c>
      <c r="L1826" t="s">
        <v>43</v>
      </c>
      <c r="M1826">
        <v>1</v>
      </c>
      <c r="N1826">
        <v>0.24</v>
      </c>
      <c r="O1826" t="str">
        <f t="shared" si="57"/>
        <v>0.2–0.4 hours</v>
      </c>
      <c r="P1826" t="s">
        <v>34</v>
      </c>
    </row>
    <row r="1827" spans="1:16" x14ac:dyDescent="0.4">
      <c r="A1827" t="s">
        <v>1868</v>
      </c>
      <c r="B1827">
        <v>63</v>
      </c>
      <c r="C1827" t="s">
        <v>15</v>
      </c>
      <c r="D1827" t="s">
        <v>32</v>
      </c>
      <c r="E1827">
        <v>16.38</v>
      </c>
      <c r="F1827">
        <v>27</v>
      </c>
      <c r="G1827" t="s">
        <v>49</v>
      </c>
      <c r="H1827" t="s">
        <v>24</v>
      </c>
      <c r="I1827" s="2">
        <v>17.989999999999998</v>
      </c>
      <c r="J1827">
        <v>0</v>
      </c>
      <c r="K1827" s="2">
        <f t="shared" si="56"/>
        <v>0</v>
      </c>
      <c r="L1827" t="s">
        <v>43</v>
      </c>
      <c r="M1827">
        <v>3</v>
      </c>
      <c r="N1827">
        <v>0.57999999999999996</v>
      </c>
      <c r="O1827" t="str">
        <f t="shared" si="57"/>
        <v>0.4–0.6 hours</v>
      </c>
      <c r="P1827" t="s">
        <v>52</v>
      </c>
    </row>
    <row r="1828" spans="1:16" x14ac:dyDescent="0.4">
      <c r="A1828" t="s">
        <v>1869</v>
      </c>
      <c r="B1828">
        <v>34</v>
      </c>
      <c r="C1828" t="s">
        <v>15</v>
      </c>
      <c r="D1828" t="s">
        <v>32</v>
      </c>
      <c r="E1828">
        <v>29.29</v>
      </c>
      <c r="F1828">
        <v>19</v>
      </c>
      <c r="G1828" t="s">
        <v>17</v>
      </c>
      <c r="H1828" t="s">
        <v>18</v>
      </c>
      <c r="I1828" s="2">
        <v>17.989999999999998</v>
      </c>
      <c r="J1828">
        <v>0</v>
      </c>
      <c r="K1828" s="2">
        <f t="shared" si="56"/>
        <v>0</v>
      </c>
      <c r="L1828" t="s">
        <v>19</v>
      </c>
      <c r="M1828">
        <v>4</v>
      </c>
      <c r="N1828">
        <v>1.46</v>
      </c>
      <c r="O1828" t="str">
        <f t="shared" si="57"/>
        <v>1+ hours</v>
      </c>
      <c r="P1828" t="s">
        <v>25</v>
      </c>
    </row>
    <row r="1829" spans="1:16" x14ac:dyDescent="0.4">
      <c r="A1829" t="s">
        <v>1870</v>
      </c>
      <c r="B1829">
        <v>55</v>
      </c>
      <c r="C1829" t="s">
        <v>27</v>
      </c>
      <c r="D1829" t="s">
        <v>22</v>
      </c>
      <c r="E1829">
        <v>13.62</v>
      </c>
      <c r="F1829">
        <v>47</v>
      </c>
      <c r="G1829" t="s">
        <v>28</v>
      </c>
      <c r="H1829" t="s">
        <v>46</v>
      </c>
      <c r="I1829" s="2">
        <v>13.99</v>
      </c>
      <c r="J1829">
        <v>1</v>
      </c>
      <c r="K1829" s="2">
        <f t="shared" si="56"/>
        <v>13.99</v>
      </c>
      <c r="L1829" t="s">
        <v>29</v>
      </c>
      <c r="M1829">
        <v>4</v>
      </c>
      <c r="N1829">
        <v>0.28000000000000003</v>
      </c>
      <c r="O1829" t="str">
        <f t="shared" si="57"/>
        <v>0.2–0.4 hours</v>
      </c>
      <c r="P1829" t="s">
        <v>39</v>
      </c>
    </row>
    <row r="1830" spans="1:16" x14ac:dyDescent="0.4">
      <c r="A1830" t="s">
        <v>1871</v>
      </c>
      <c r="B1830">
        <v>62</v>
      </c>
      <c r="C1830" t="s">
        <v>15</v>
      </c>
      <c r="D1830" t="s">
        <v>16</v>
      </c>
      <c r="E1830">
        <v>4.1399999999999997</v>
      </c>
      <c r="F1830">
        <v>38</v>
      </c>
      <c r="G1830" t="s">
        <v>70</v>
      </c>
      <c r="H1830" t="s">
        <v>24</v>
      </c>
      <c r="I1830" s="2">
        <v>8.99</v>
      </c>
      <c r="J1830">
        <v>1</v>
      </c>
      <c r="K1830" s="2">
        <f t="shared" si="56"/>
        <v>8.99</v>
      </c>
      <c r="L1830" t="s">
        <v>43</v>
      </c>
      <c r="M1830">
        <v>1</v>
      </c>
      <c r="N1830">
        <v>0.11</v>
      </c>
      <c r="O1830" t="str">
        <f t="shared" si="57"/>
        <v>0–0.2 hours</v>
      </c>
      <c r="P1830" t="s">
        <v>47</v>
      </c>
    </row>
    <row r="1831" spans="1:16" x14ac:dyDescent="0.4">
      <c r="A1831" t="s">
        <v>1872</v>
      </c>
      <c r="B1831">
        <v>45</v>
      </c>
      <c r="C1831" t="s">
        <v>27</v>
      </c>
      <c r="D1831" t="s">
        <v>32</v>
      </c>
      <c r="E1831">
        <v>32.96</v>
      </c>
      <c r="F1831">
        <v>50</v>
      </c>
      <c r="G1831" t="s">
        <v>33</v>
      </c>
      <c r="H1831" t="s">
        <v>57</v>
      </c>
      <c r="I1831" s="2">
        <v>17.989999999999998</v>
      </c>
      <c r="J1831">
        <v>0</v>
      </c>
      <c r="K1831" s="2">
        <f t="shared" si="56"/>
        <v>0</v>
      </c>
      <c r="L1831" t="s">
        <v>37</v>
      </c>
      <c r="M1831">
        <v>5</v>
      </c>
      <c r="N1831">
        <v>0.65</v>
      </c>
      <c r="O1831" t="str">
        <f t="shared" si="57"/>
        <v>0.6–0.8 hours</v>
      </c>
      <c r="P1831" t="s">
        <v>39</v>
      </c>
    </row>
    <row r="1832" spans="1:16" x14ac:dyDescent="0.4">
      <c r="A1832" t="s">
        <v>1873</v>
      </c>
      <c r="B1832">
        <v>60</v>
      </c>
      <c r="C1832" t="s">
        <v>41</v>
      </c>
      <c r="D1832" t="s">
        <v>22</v>
      </c>
      <c r="E1832">
        <v>8.17</v>
      </c>
      <c r="F1832">
        <v>12</v>
      </c>
      <c r="G1832" t="s">
        <v>17</v>
      </c>
      <c r="H1832" t="s">
        <v>57</v>
      </c>
      <c r="I1832" s="2">
        <v>13.99</v>
      </c>
      <c r="J1832">
        <v>0</v>
      </c>
      <c r="K1832" s="2">
        <f t="shared" si="56"/>
        <v>0</v>
      </c>
      <c r="L1832" t="s">
        <v>61</v>
      </c>
      <c r="M1832">
        <v>3</v>
      </c>
      <c r="N1832">
        <v>0.63</v>
      </c>
      <c r="O1832" t="str">
        <f t="shared" si="57"/>
        <v>0.6–0.8 hours</v>
      </c>
      <c r="P1832" t="s">
        <v>39</v>
      </c>
    </row>
    <row r="1833" spans="1:16" x14ac:dyDescent="0.4">
      <c r="A1833" t="s">
        <v>1874</v>
      </c>
      <c r="B1833">
        <v>46</v>
      </c>
      <c r="C1833" t="s">
        <v>41</v>
      </c>
      <c r="D1833" t="s">
        <v>32</v>
      </c>
      <c r="E1833">
        <v>14.63</v>
      </c>
      <c r="F1833">
        <v>0</v>
      </c>
      <c r="G1833" t="s">
        <v>33</v>
      </c>
      <c r="H1833" t="s">
        <v>24</v>
      </c>
      <c r="I1833" s="2">
        <v>17.989999999999998</v>
      </c>
      <c r="J1833">
        <v>0</v>
      </c>
      <c r="K1833" s="2">
        <f t="shared" si="56"/>
        <v>0</v>
      </c>
      <c r="L1833" t="s">
        <v>43</v>
      </c>
      <c r="M1833">
        <v>2</v>
      </c>
      <c r="N1833">
        <v>14.63</v>
      </c>
      <c r="O1833" t="str">
        <f t="shared" si="57"/>
        <v>1+ hours</v>
      </c>
      <c r="P1833" t="s">
        <v>52</v>
      </c>
    </row>
    <row r="1834" spans="1:16" x14ac:dyDescent="0.4">
      <c r="A1834" t="s">
        <v>1875</v>
      </c>
      <c r="B1834">
        <v>44</v>
      </c>
      <c r="C1834" t="s">
        <v>27</v>
      </c>
      <c r="D1834" t="s">
        <v>32</v>
      </c>
      <c r="E1834">
        <v>7.59</v>
      </c>
      <c r="F1834">
        <v>46</v>
      </c>
      <c r="G1834" t="s">
        <v>28</v>
      </c>
      <c r="H1834" t="s">
        <v>18</v>
      </c>
      <c r="I1834" s="2">
        <v>17.989999999999998</v>
      </c>
      <c r="J1834">
        <v>1</v>
      </c>
      <c r="K1834" s="2">
        <f t="shared" si="56"/>
        <v>17.989999999999998</v>
      </c>
      <c r="L1834" t="s">
        <v>43</v>
      </c>
      <c r="M1834">
        <v>2</v>
      </c>
      <c r="N1834">
        <v>0.16</v>
      </c>
      <c r="O1834" t="str">
        <f t="shared" si="57"/>
        <v>0–0.2 hours</v>
      </c>
      <c r="P1834" t="s">
        <v>39</v>
      </c>
    </row>
    <row r="1835" spans="1:16" x14ac:dyDescent="0.4">
      <c r="A1835" t="s">
        <v>1876</v>
      </c>
      <c r="B1835">
        <v>39</v>
      </c>
      <c r="C1835" t="s">
        <v>41</v>
      </c>
      <c r="D1835" t="s">
        <v>22</v>
      </c>
      <c r="E1835">
        <v>6.8</v>
      </c>
      <c r="F1835">
        <v>44</v>
      </c>
      <c r="G1835" t="s">
        <v>17</v>
      </c>
      <c r="H1835" t="s">
        <v>55</v>
      </c>
      <c r="I1835" s="2">
        <v>13.99</v>
      </c>
      <c r="J1835">
        <v>1</v>
      </c>
      <c r="K1835" s="2">
        <f t="shared" si="56"/>
        <v>13.99</v>
      </c>
      <c r="L1835" t="s">
        <v>29</v>
      </c>
      <c r="M1835">
        <v>3</v>
      </c>
      <c r="N1835">
        <v>0.15</v>
      </c>
      <c r="O1835" t="str">
        <f t="shared" si="57"/>
        <v>0–0.2 hours</v>
      </c>
      <c r="P1835" t="s">
        <v>39</v>
      </c>
    </row>
    <row r="1836" spans="1:16" x14ac:dyDescent="0.4">
      <c r="A1836" t="s">
        <v>1877</v>
      </c>
      <c r="B1836">
        <v>69</v>
      </c>
      <c r="C1836" t="s">
        <v>15</v>
      </c>
      <c r="D1836" t="s">
        <v>16</v>
      </c>
      <c r="E1836">
        <v>1.9</v>
      </c>
      <c r="F1836">
        <v>7</v>
      </c>
      <c r="G1836" t="s">
        <v>23</v>
      </c>
      <c r="H1836" t="s">
        <v>55</v>
      </c>
      <c r="I1836" s="2">
        <v>8.99</v>
      </c>
      <c r="J1836">
        <v>1</v>
      </c>
      <c r="K1836" s="2">
        <f t="shared" si="56"/>
        <v>8.99</v>
      </c>
      <c r="L1836" t="s">
        <v>61</v>
      </c>
      <c r="M1836">
        <v>5</v>
      </c>
      <c r="N1836">
        <v>0.24</v>
      </c>
      <c r="O1836" t="str">
        <f t="shared" si="57"/>
        <v>0.2–0.4 hours</v>
      </c>
      <c r="P1836" t="s">
        <v>52</v>
      </c>
    </row>
    <row r="1837" spans="1:16" x14ac:dyDescent="0.4">
      <c r="A1837" t="s">
        <v>1878</v>
      </c>
      <c r="B1837">
        <v>44</v>
      </c>
      <c r="C1837" t="s">
        <v>27</v>
      </c>
      <c r="D1837" t="s">
        <v>16</v>
      </c>
      <c r="E1837">
        <v>1.69</v>
      </c>
      <c r="F1837">
        <v>7</v>
      </c>
      <c r="G1837" t="s">
        <v>70</v>
      </c>
      <c r="H1837" t="s">
        <v>24</v>
      </c>
      <c r="I1837" s="2">
        <v>8.99</v>
      </c>
      <c r="J1837">
        <v>1</v>
      </c>
      <c r="K1837" s="2">
        <f t="shared" si="56"/>
        <v>8.99</v>
      </c>
      <c r="L1837" t="s">
        <v>29</v>
      </c>
      <c r="M1837">
        <v>5</v>
      </c>
      <c r="N1837">
        <v>0.21</v>
      </c>
      <c r="O1837" t="str">
        <f t="shared" si="57"/>
        <v>0.2–0.4 hours</v>
      </c>
      <c r="P1837" t="s">
        <v>39</v>
      </c>
    </row>
    <row r="1838" spans="1:16" x14ac:dyDescent="0.4">
      <c r="A1838" t="s">
        <v>1879</v>
      </c>
      <c r="B1838">
        <v>60</v>
      </c>
      <c r="C1838" t="s">
        <v>41</v>
      </c>
      <c r="D1838" t="s">
        <v>16</v>
      </c>
      <c r="E1838">
        <v>3.09</v>
      </c>
      <c r="F1838">
        <v>35</v>
      </c>
      <c r="G1838" t="s">
        <v>49</v>
      </c>
      <c r="H1838" t="s">
        <v>57</v>
      </c>
      <c r="I1838" s="2">
        <v>8.99</v>
      </c>
      <c r="J1838">
        <v>1</v>
      </c>
      <c r="K1838" s="2">
        <f t="shared" si="56"/>
        <v>8.99</v>
      </c>
      <c r="L1838" t="s">
        <v>19</v>
      </c>
      <c r="M1838">
        <v>2</v>
      </c>
      <c r="N1838">
        <v>0.09</v>
      </c>
      <c r="O1838" t="str">
        <f t="shared" si="57"/>
        <v>0–0.2 hours</v>
      </c>
      <c r="P1838" t="s">
        <v>39</v>
      </c>
    </row>
    <row r="1839" spans="1:16" x14ac:dyDescent="0.4">
      <c r="A1839" t="s">
        <v>1880</v>
      </c>
      <c r="B1839">
        <v>18</v>
      </c>
      <c r="C1839" t="s">
        <v>15</v>
      </c>
      <c r="D1839" t="s">
        <v>22</v>
      </c>
      <c r="E1839">
        <v>0.24</v>
      </c>
      <c r="F1839">
        <v>24</v>
      </c>
      <c r="G1839" t="s">
        <v>17</v>
      </c>
      <c r="H1839" t="s">
        <v>24</v>
      </c>
      <c r="I1839" s="2">
        <v>13.99</v>
      </c>
      <c r="J1839">
        <v>1</v>
      </c>
      <c r="K1839" s="2">
        <f t="shared" si="56"/>
        <v>13.99</v>
      </c>
      <c r="L1839" t="s">
        <v>19</v>
      </c>
      <c r="M1839">
        <v>5</v>
      </c>
      <c r="N1839">
        <v>0.01</v>
      </c>
      <c r="O1839" t="str">
        <f t="shared" si="57"/>
        <v>0–0.2 hours</v>
      </c>
      <c r="P1839" t="s">
        <v>30</v>
      </c>
    </row>
    <row r="1840" spans="1:16" x14ac:dyDescent="0.4">
      <c r="A1840" t="s">
        <v>1881</v>
      </c>
      <c r="B1840">
        <v>58</v>
      </c>
      <c r="C1840" t="s">
        <v>27</v>
      </c>
      <c r="D1840" t="s">
        <v>22</v>
      </c>
      <c r="E1840">
        <v>17.899999999999999</v>
      </c>
      <c r="F1840">
        <v>52</v>
      </c>
      <c r="G1840" t="s">
        <v>33</v>
      </c>
      <c r="H1840" t="s">
        <v>55</v>
      </c>
      <c r="I1840" s="2">
        <v>13.99</v>
      </c>
      <c r="J1840">
        <v>1</v>
      </c>
      <c r="K1840" s="2">
        <f t="shared" si="56"/>
        <v>13.99</v>
      </c>
      <c r="L1840" t="s">
        <v>29</v>
      </c>
      <c r="M1840">
        <v>4</v>
      </c>
      <c r="N1840">
        <v>0.34</v>
      </c>
      <c r="O1840" t="str">
        <f t="shared" si="57"/>
        <v>0.2–0.4 hours</v>
      </c>
      <c r="P1840" t="s">
        <v>52</v>
      </c>
    </row>
    <row r="1841" spans="1:16" x14ac:dyDescent="0.4">
      <c r="A1841" t="s">
        <v>1882</v>
      </c>
      <c r="B1841">
        <v>54</v>
      </c>
      <c r="C1841" t="s">
        <v>41</v>
      </c>
      <c r="D1841" t="s">
        <v>32</v>
      </c>
      <c r="E1841">
        <v>4.8099999999999996</v>
      </c>
      <c r="F1841">
        <v>27</v>
      </c>
      <c r="G1841" t="s">
        <v>70</v>
      </c>
      <c r="H1841" t="s">
        <v>18</v>
      </c>
      <c r="I1841" s="2">
        <v>17.989999999999998</v>
      </c>
      <c r="J1841">
        <v>1</v>
      </c>
      <c r="K1841" s="2">
        <f t="shared" si="56"/>
        <v>17.989999999999998</v>
      </c>
      <c r="L1841" t="s">
        <v>37</v>
      </c>
      <c r="M1841">
        <v>3</v>
      </c>
      <c r="N1841">
        <v>0.17</v>
      </c>
      <c r="O1841" t="str">
        <f t="shared" si="57"/>
        <v>0–0.2 hours</v>
      </c>
      <c r="P1841" t="s">
        <v>52</v>
      </c>
    </row>
    <row r="1842" spans="1:16" x14ac:dyDescent="0.4">
      <c r="A1842" t="s">
        <v>1883</v>
      </c>
      <c r="B1842">
        <v>61</v>
      </c>
      <c r="C1842" t="s">
        <v>41</v>
      </c>
      <c r="D1842" t="s">
        <v>22</v>
      </c>
      <c r="E1842">
        <v>7.28</v>
      </c>
      <c r="F1842">
        <v>11</v>
      </c>
      <c r="G1842" t="s">
        <v>70</v>
      </c>
      <c r="H1842" t="s">
        <v>46</v>
      </c>
      <c r="I1842" s="2">
        <v>13.99</v>
      </c>
      <c r="J1842">
        <v>0</v>
      </c>
      <c r="K1842" s="2">
        <f t="shared" si="56"/>
        <v>0</v>
      </c>
      <c r="L1842" t="s">
        <v>43</v>
      </c>
      <c r="M1842">
        <v>2</v>
      </c>
      <c r="N1842">
        <v>0.61</v>
      </c>
      <c r="O1842" t="str">
        <f t="shared" si="57"/>
        <v>0.6–0.8 hours</v>
      </c>
      <c r="P1842" t="s">
        <v>39</v>
      </c>
    </row>
    <row r="1843" spans="1:16" x14ac:dyDescent="0.4">
      <c r="A1843" t="s">
        <v>1884</v>
      </c>
      <c r="B1843">
        <v>68</v>
      </c>
      <c r="C1843" t="s">
        <v>15</v>
      </c>
      <c r="D1843" t="s">
        <v>32</v>
      </c>
      <c r="E1843">
        <v>7.65</v>
      </c>
      <c r="F1843">
        <v>50</v>
      </c>
      <c r="G1843" t="s">
        <v>70</v>
      </c>
      <c r="H1843" t="s">
        <v>24</v>
      </c>
      <c r="I1843" s="2">
        <v>17.989999999999998</v>
      </c>
      <c r="J1843">
        <v>0</v>
      </c>
      <c r="K1843" s="2">
        <f t="shared" si="56"/>
        <v>0</v>
      </c>
      <c r="L1843" t="s">
        <v>61</v>
      </c>
      <c r="M1843">
        <v>4</v>
      </c>
      <c r="N1843">
        <v>0.15</v>
      </c>
      <c r="O1843" t="str">
        <f t="shared" si="57"/>
        <v>0–0.2 hours</v>
      </c>
      <c r="P1843" t="s">
        <v>30</v>
      </c>
    </row>
    <row r="1844" spans="1:16" x14ac:dyDescent="0.4">
      <c r="A1844" t="s">
        <v>1885</v>
      </c>
      <c r="B1844">
        <v>35</v>
      </c>
      <c r="C1844" t="s">
        <v>27</v>
      </c>
      <c r="D1844" t="s">
        <v>16</v>
      </c>
      <c r="E1844">
        <v>8.85</v>
      </c>
      <c r="F1844">
        <v>48</v>
      </c>
      <c r="G1844" t="s">
        <v>33</v>
      </c>
      <c r="H1844" t="s">
        <v>24</v>
      </c>
      <c r="I1844" s="2">
        <v>8.99</v>
      </c>
      <c r="J1844">
        <v>1</v>
      </c>
      <c r="K1844" s="2">
        <f t="shared" si="56"/>
        <v>8.99</v>
      </c>
      <c r="L1844" t="s">
        <v>29</v>
      </c>
      <c r="M1844">
        <v>5</v>
      </c>
      <c r="N1844">
        <v>0.18</v>
      </c>
      <c r="O1844" t="str">
        <f t="shared" si="57"/>
        <v>0–0.2 hours</v>
      </c>
      <c r="P1844" t="s">
        <v>39</v>
      </c>
    </row>
    <row r="1845" spans="1:16" x14ac:dyDescent="0.4">
      <c r="A1845" t="s">
        <v>1886</v>
      </c>
      <c r="B1845">
        <v>45</v>
      </c>
      <c r="C1845" t="s">
        <v>27</v>
      </c>
      <c r="D1845" t="s">
        <v>22</v>
      </c>
      <c r="E1845">
        <v>21.09</v>
      </c>
      <c r="F1845">
        <v>4</v>
      </c>
      <c r="G1845" t="s">
        <v>17</v>
      </c>
      <c r="H1845" t="s">
        <v>57</v>
      </c>
      <c r="I1845" s="2">
        <v>13.99</v>
      </c>
      <c r="J1845">
        <v>0</v>
      </c>
      <c r="K1845" s="2">
        <f t="shared" si="56"/>
        <v>0</v>
      </c>
      <c r="L1845" t="s">
        <v>19</v>
      </c>
      <c r="M1845">
        <v>5</v>
      </c>
      <c r="N1845">
        <v>4.22</v>
      </c>
      <c r="O1845" t="str">
        <f t="shared" si="57"/>
        <v>1+ hours</v>
      </c>
      <c r="P1845" t="s">
        <v>39</v>
      </c>
    </row>
    <row r="1846" spans="1:16" x14ac:dyDescent="0.4">
      <c r="A1846" t="s">
        <v>1887</v>
      </c>
      <c r="B1846">
        <v>32</v>
      </c>
      <c r="C1846" t="s">
        <v>15</v>
      </c>
      <c r="D1846" t="s">
        <v>16</v>
      </c>
      <c r="E1846">
        <v>15.46</v>
      </c>
      <c r="F1846">
        <v>6</v>
      </c>
      <c r="G1846" t="s">
        <v>70</v>
      </c>
      <c r="H1846" t="s">
        <v>46</v>
      </c>
      <c r="I1846" s="2">
        <v>8.99</v>
      </c>
      <c r="J1846">
        <v>0</v>
      </c>
      <c r="K1846" s="2">
        <f t="shared" si="56"/>
        <v>0</v>
      </c>
      <c r="L1846" t="s">
        <v>61</v>
      </c>
      <c r="M1846">
        <v>4</v>
      </c>
      <c r="N1846">
        <v>2.21</v>
      </c>
      <c r="O1846" t="str">
        <f t="shared" si="57"/>
        <v>1+ hours</v>
      </c>
      <c r="P1846" t="s">
        <v>34</v>
      </c>
    </row>
    <row r="1847" spans="1:16" x14ac:dyDescent="0.4">
      <c r="A1847" t="s">
        <v>1888</v>
      </c>
      <c r="B1847">
        <v>63</v>
      </c>
      <c r="C1847" t="s">
        <v>27</v>
      </c>
      <c r="D1847" t="s">
        <v>22</v>
      </c>
      <c r="E1847">
        <v>9.75</v>
      </c>
      <c r="F1847">
        <v>21</v>
      </c>
      <c r="G1847" t="s">
        <v>17</v>
      </c>
      <c r="H1847" t="s">
        <v>57</v>
      </c>
      <c r="I1847" s="2">
        <v>13.99</v>
      </c>
      <c r="J1847">
        <v>0</v>
      </c>
      <c r="K1847" s="2">
        <f t="shared" si="56"/>
        <v>0</v>
      </c>
      <c r="L1847" t="s">
        <v>37</v>
      </c>
      <c r="M1847">
        <v>1</v>
      </c>
      <c r="N1847">
        <v>0.44</v>
      </c>
      <c r="O1847" t="str">
        <f t="shared" si="57"/>
        <v>0.4–0.6 hours</v>
      </c>
      <c r="P1847" t="s">
        <v>34</v>
      </c>
    </row>
    <row r="1848" spans="1:16" x14ac:dyDescent="0.4">
      <c r="A1848" t="s">
        <v>1889</v>
      </c>
      <c r="B1848">
        <v>53</v>
      </c>
      <c r="C1848" t="s">
        <v>27</v>
      </c>
      <c r="D1848" t="s">
        <v>22</v>
      </c>
      <c r="E1848">
        <v>2.23</v>
      </c>
      <c r="F1848">
        <v>22</v>
      </c>
      <c r="G1848" t="s">
        <v>23</v>
      </c>
      <c r="H1848" t="s">
        <v>55</v>
      </c>
      <c r="I1848" s="2">
        <v>13.99</v>
      </c>
      <c r="J1848">
        <v>1</v>
      </c>
      <c r="K1848" s="2">
        <f t="shared" si="56"/>
        <v>13.99</v>
      </c>
      <c r="L1848" t="s">
        <v>61</v>
      </c>
      <c r="M1848">
        <v>2</v>
      </c>
      <c r="N1848">
        <v>0.1</v>
      </c>
      <c r="O1848" t="str">
        <f t="shared" si="57"/>
        <v>0–0.2 hours</v>
      </c>
      <c r="P1848" t="s">
        <v>39</v>
      </c>
    </row>
    <row r="1849" spans="1:16" x14ac:dyDescent="0.4">
      <c r="A1849" t="s">
        <v>1890</v>
      </c>
      <c r="B1849">
        <v>52</v>
      </c>
      <c r="C1849" t="s">
        <v>15</v>
      </c>
      <c r="D1849" t="s">
        <v>16</v>
      </c>
      <c r="E1849">
        <v>4.08</v>
      </c>
      <c r="F1849">
        <v>37</v>
      </c>
      <c r="G1849" t="s">
        <v>17</v>
      </c>
      <c r="H1849" t="s">
        <v>55</v>
      </c>
      <c r="I1849" s="2">
        <v>8.99</v>
      </c>
      <c r="J1849">
        <v>1</v>
      </c>
      <c r="K1849" s="2">
        <f t="shared" si="56"/>
        <v>8.99</v>
      </c>
      <c r="L1849" t="s">
        <v>43</v>
      </c>
      <c r="M1849">
        <v>4</v>
      </c>
      <c r="N1849">
        <v>0.11</v>
      </c>
      <c r="O1849" t="str">
        <f t="shared" si="57"/>
        <v>0–0.2 hours</v>
      </c>
      <c r="P1849" t="s">
        <v>39</v>
      </c>
    </row>
    <row r="1850" spans="1:16" x14ac:dyDescent="0.4">
      <c r="A1850" t="s">
        <v>1891</v>
      </c>
      <c r="B1850">
        <v>70</v>
      </c>
      <c r="C1850" t="s">
        <v>27</v>
      </c>
      <c r="D1850" t="s">
        <v>22</v>
      </c>
      <c r="E1850">
        <v>2.21</v>
      </c>
      <c r="F1850">
        <v>56</v>
      </c>
      <c r="G1850" t="s">
        <v>23</v>
      </c>
      <c r="H1850" t="s">
        <v>57</v>
      </c>
      <c r="I1850" s="2">
        <v>13.99</v>
      </c>
      <c r="J1850">
        <v>1</v>
      </c>
      <c r="K1850" s="2">
        <f t="shared" si="56"/>
        <v>13.99</v>
      </c>
      <c r="L1850" t="s">
        <v>19</v>
      </c>
      <c r="M1850">
        <v>5</v>
      </c>
      <c r="N1850">
        <v>0.04</v>
      </c>
      <c r="O1850" t="str">
        <f t="shared" si="57"/>
        <v>0–0.2 hours</v>
      </c>
      <c r="P1850" t="s">
        <v>52</v>
      </c>
    </row>
    <row r="1851" spans="1:16" x14ac:dyDescent="0.4">
      <c r="A1851" t="s">
        <v>1892</v>
      </c>
      <c r="B1851">
        <v>46</v>
      </c>
      <c r="C1851" t="s">
        <v>15</v>
      </c>
      <c r="D1851" t="s">
        <v>22</v>
      </c>
      <c r="E1851">
        <v>7.14</v>
      </c>
      <c r="F1851">
        <v>23</v>
      </c>
      <c r="G1851" t="s">
        <v>33</v>
      </c>
      <c r="H1851" t="s">
        <v>18</v>
      </c>
      <c r="I1851" s="2">
        <v>13.99</v>
      </c>
      <c r="J1851">
        <v>0</v>
      </c>
      <c r="K1851" s="2">
        <f t="shared" si="56"/>
        <v>0</v>
      </c>
      <c r="L1851" t="s">
        <v>29</v>
      </c>
      <c r="M1851">
        <v>5</v>
      </c>
      <c r="N1851">
        <v>0.3</v>
      </c>
      <c r="O1851" t="str">
        <f t="shared" si="57"/>
        <v>0.2–0.4 hours</v>
      </c>
      <c r="P1851" t="s">
        <v>25</v>
      </c>
    </row>
    <row r="1852" spans="1:16" x14ac:dyDescent="0.4">
      <c r="A1852" t="s">
        <v>1893</v>
      </c>
      <c r="B1852">
        <v>19</v>
      </c>
      <c r="C1852" t="s">
        <v>27</v>
      </c>
      <c r="D1852" t="s">
        <v>16</v>
      </c>
      <c r="E1852">
        <v>6.32</v>
      </c>
      <c r="F1852">
        <v>3</v>
      </c>
      <c r="G1852" t="s">
        <v>28</v>
      </c>
      <c r="H1852" t="s">
        <v>24</v>
      </c>
      <c r="I1852" s="2">
        <v>8.99</v>
      </c>
      <c r="J1852">
        <v>0</v>
      </c>
      <c r="K1852" s="2">
        <f t="shared" si="56"/>
        <v>0</v>
      </c>
      <c r="L1852" t="s">
        <v>61</v>
      </c>
      <c r="M1852">
        <v>2</v>
      </c>
      <c r="N1852">
        <v>1.58</v>
      </c>
      <c r="O1852" t="str">
        <f t="shared" si="57"/>
        <v>1+ hours</v>
      </c>
      <c r="P1852" t="s">
        <v>30</v>
      </c>
    </row>
    <row r="1853" spans="1:16" x14ac:dyDescent="0.4">
      <c r="A1853" t="s">
        <v>1894</v>
      </c>
      <c r="B1853">
        <v>24</v>
      </c>
      <c r="C1853" t="s">
        <v>41</v>
      </c>
      <c r="D1853" t="s">
        <v>22</v>
      </c>
      <c r="E1853">
        <v>22.15</v>
      </c>
      <c r="F1853">
        <v>10</v>
      </c>
      <c r="G1853" t="s">
        <v>23</v>
      </c>
      <c r="H1853" t="s">
        <v>18</v>
      </c>
      <c r="I1853" s="2">
        <v>13.99</v>
      </c>
      <c r="J1853">
        <v>0</v>
      </c>
      <c r="K1853" s="2">
        <f t="shared" si="56"/>
        <v>0</v>
      </c>
      <c r="L1853" t="s">
        <v>19</v>
      </c>
      <c r="M1853">
        <v>5</v>
      </c>
      <c r="N1853">
        <v>2.0099999999999998</v>
      </c>
      <c r="O1853" t="str">
        <f t="shared" si="57"/>
        <v>1+ hours</v>
      </c>
      <c r="P1853" t="s">
        <v>34</v>
      </c>
    </row>
    <row r="1854" spans="1:16" x14ac:dyDescent="0.4">
      <c r="A1854" t="s">
        <v>1895</v>
      </c>
      <c r="B1854">
        <v>59</v>
      </c>
      <c r="C1854" t="s">
        <v>41</v>
      </c>
      <c r="D1854" t="s">
        <v>32</v>
      </c>
      <c r="E1854">
        <v>2.83</v>
      </c>
      <c r="F1854">
        <v>12</v>
      </c>
      <c r="G1854" t="s">
        <v>17</v>
      </c>
      <c r="H1854" t="s">
        <v>46</v>
      </c>
      <c r="I1854" s="2">
        <v>17.989999999999998</v>
      </c>
      <c r="J1854">
        <v>0</v>
      </c>
      <c r="K1854" s="2">
        <f t="shared" si="56"/>
        <v>0</v>
      </c>
      <c r="L1854" t="s">
        <v>61</v>
      </c>
      <c r="M1854">
        <v>5</v>
      </c>
      <c r="N1854">
        <v>0.22</v>
      </c>
      <c r="O1854" t="str">
        <f t="shared" si="57"/>
        <v>0.2–0.4 hours</v>
      </c>
      <c r="P1854" t="s">
        <v>47</v>
      </c>
    </row>
    <row r="1855" spans="1:16" x14ac:dyDescent="0.4">
      <c r="A1855" t="s">
        <v>1896</v>
      </c>
      <c r="B1855">
        <v>49</v>
      </c>
      <c r="C1855" t="s">
        <v>27</v>
      </c>
      <c r="D1855" t="s">
        <v>22</v>
      </c>
      <c r="E1855">
        <v>4.38</v>
      </c>
      <c r="F1855">
        <v>43</v>
      </c>
      <c r="G1855" t="s">
        <v>23</v>
      </c>
      <c r="H1855" t="s">
        <v>18</v>
      </c>
      <c r="I1855" s="2">
        <v>13.99</v>
      </c>
      <c r="J1855">
        <v>1</v>
      </c>
      <c r="K1855" s="2">
        <f t="shared" si="56"/>
        <v>13.99</v>
      </c>
      <c r="L1855" t="s">
        <v>37</v>
      </c>
      <c r="M1855">
        <v>3</v>
      </c>
      <c r="N1855">
        <v>0.1</v>
      </c>
      <c r="O1855" t="str">
        <f t="shared" si="57"/>
        <v>0–0.2 hours</v>
      </c>
      <c r="P1855" t="s">
        <v>39</v>
      </c>
    </row>
    <row r="1856" spans="1:16" x14ac:dyDescent="0.4">
      <c r="A1856" t="s">
        <v>1897</v>
      </c>
      <c r="B1856">
        <v>43</v>
      </c>
      <c r="C1856" t="s">
        <v>41</v>
      </c>
      <c r="D1856" t="s">
        <v>22</v>
      </c>
      <c r="E1856">
        <v>9.1300000000000008</v>
      </c>
      <c r="F1856">
        <v>12</v>
      </c>
      <c r="G1856" t="s">
        <v>17</v>
      </c>
      <c r="H1856" t="s">
        <v>24</v>
      </c>
      <c r="I1856" s="2">
        <v>13.99</v>
      </c>
      <c r="J1856">
        <v>0</v>
      </c>
      <c r="K1856" s="2">
        <f t="shared" si="56"/>
        <v>0</v>
      </c>
      <c r="L1856" t="s">
        <v>37</v>
      </c>
      <c r="M1856">
        <v>3</v>
      </c>
      <c r="N1856">
        <v>0.7</v>
      </c>
      <c r="O1856" t="str">
        <f t="shared" si="57"/>
        <v>0.6–0.8 hours</v>
      </c>
      <c r="P1856" t="s">
        <v>52</v>
      </c>
    </row>
    <row r="1857" spans="1:16" x14ac:dyDescent="0.4">
      <c r="A1857" t="s">
        <v>1898</v>
      </c>
      <c r="B1857">
        <v>31</v>
      </c>
      <c r="C1857" t="s">
        <v>15</v>
      </c>
      <c r="D1857" t="s">
        <v>32</v>
      </c>
      <c r="E1857">
        <v>13.34</v>
      </c>
      <c r="F1857">
        <v>39</v>
      </c>
      <c r="G1857" t="s">
        <v>17</v>
      </c>
      <c r="H1857" t="s">
        <v>57</v>
      </c>
      <c r="I1857" s="2">
        <v>17.989999999999998</v>
      </c>
      <c r="J1857">
        <v>1</v>
      </c>
      <c r="K1857" s="2">
        <f t="shared" si="56"/>
        <v>17.989999999999998</v>
      </c>
      <c r="L1857" t="s">
        <v>29</v>
      </c>
      <c r="M1857">
        <v>4</v>
      </c>
      <c r="N1857">
        <v>0.33</v>
      </c>
      <c r="O1857" t="str">
        <f t="shared" si="57"/>
        <v>0.2–0.4 hours</v>
      </c>
      <c r="P1857" t="s">
        <v>34</v>
      </c>
    </row>
    <row r="1858" spans="1:16" x14ac:dyDescent="0.4">
      <c r="A1858" t="s">
        <v>1899</v>
      </c>
      <c r="B1858">
        <v>70</v>
      </c>
      <c r="C1858" t="s">
        <v>15</v>
      </c>
      <c r="D1858" t="s">
        <v>16</v>
      </c>
      <c r="E1858">
        <v>26.98</v>
      </c>
      <c r="F1858">
        <v>57</v>
      </c>
      <c r="G1858" t="s">
        <v>70</v>
      </c>
      <c r="H1858" t="s">
        <v>18</v>
      </c>
      <c r="I1858" s="2">
        <v>8.99</v>
      </c>
      <c r="J1858">
        <v>1</v>
      </c>
      <c r="K1858" s="2">
        <f t="shared" si="56"/>
        <v>8.99</v>
      </c>
      <c r="L1858" t="s">
        <v>29</v>
      </c>
      <c r="M1858">
        <v>4</v>
      </c>
      <c r="N1858">
        <v>0.47</v>
      </c>
      <c r="O1858" t="str">
        <f t="shared" si="57"/>
        <v>0.4–0.6 hours</v>
      </c>
      <c r="P1858" t="s">
        <v>34</v>
      </c>
    </row>
    <row r="1859" spans="1:16" x14ac:dyDescent="0.4">
      <c r="A1859" t="s">
        <v>1900</v>
      </c>
      <c r="B1859">
        <v>56</v>
      </c>
      <c r="C1859" t="s">
        <v>41</v>
      </c>
      <c r="D1859" t="s">
        <v>22</v>
      </c>
      <c r="E1859">
        <v>0.93</v>
      </c>
      <c r="F1859">
        <v>2</v>
      </c>
      <c r="G1859" t="s">
        <v>33</v>
      </c>
      <c r="H1859" t="s">
        <v>57</v>
      </c>
      <c r="I1859" s="2">
        <v>13.99</v>
      </c>
      <c r="J1859">
        <v>0</v>
      </c>
      <c r="K1859" s="2">
        <f t="shared" ref="K1859:K1922" si="58">SUMIF(J1859,1,I1859)</f>
        <v>0</v>
      </c>
      <c r="L1859" t="s">
        <v>61</v>
      </c>
      <c r="M1859">
        <v>5</v>
      </c>
      <c r="N1859">
        <v>0.31</v>
      </c>
      <c r="O1859" t="str">
        <f t="shared" ref="O1859:O1922" si="59">IF(N1859&gt;1,"1+ hours",IF(N1859&lt;=0.2,"0–0.2 hours",IF(N1859&lt;=0.4,"0.2–0.4 hours",IF(N1859&lt;=0.6,"0.4–0.6 hours",IF(N1859&lt;=0.8,"0.6–0.8 hours","0.8–1 hour")))))</f>
        <v>0.2–0.4 hours</v>
      </c>
      <c r="P1859" t="s">
        <v>34</v>
      </c>
    </row>
    <row r="1860" spans="1:16" x14ac:dyDescent="0.4">
      <c r="A1860" t="s">
        <v>1901</v>
      </c>
      <c r="B1860">
        <v>33</v>
      </c>
      <c r="C1860" t="s">
        <v>15</v>
      </c>
      <c r="D1860" t="s">
        <v>22</v>
      </c>
      <c r="E1860">
        <v>4.18</v>
      </c>
      <c r="F1860">
        <v>10</v>
      </c>
      <c r="G1860" t="s">
        <v>49</v>
      </c>
      <c r="H1860" t="s">
        <v>46</v>
      </c>
      <c r="I1860" s="2">
        <v>13.99</v>
      </c>
      <c r="J1860">
        <v>1</v>
      </c>
      <c r="K1860" s="2">
        <f t="shared" si="58"/>
        <v>13.99</v>
      </c>
      <c r="L1860" t="s">
        <v>29</v>
      </c>
      <c r="M1860">
        <v>5</v>
      </c>
      <c r="N1860">
        <v>0.38</v>
      </c>
      <c r="O1860" t="str">
        <f t="shared" si="59"/>
        <v>0.2–0.4 hours</v>
      </c>
      <c r="P1860" t="s">
        <v>34</v>
      </c>
    </row>
    <row r="1861" spans="1:16" x14ac:dyDescent="0.4">
      <c r="A1861" t="s">
        <v>1902</v>
      </c>
      <c r="B1861">
        <v>58</v>
      </c>
      <c r="C1861" t="s">
        <v>15</v>
      </c>
      <c r="D1861" t="s">
        <v>16</v>
      </c>
      <c r="E1861">
        <v>5.36</v>
      </c>
      <c r="F1861">
        <v>59</v>
      </c>
      <c r="G1861" t="s">
        <v>33</v>
      </c>
      <c r="H1861" t="s">
        <v>18</v>
      </c>
      <c r="I1861" s="2">
        <v>8.99</v>
      </c>
      <c r="J1861">
        <v>1</v>
      </c>
      <c r="K1861" s="2">
        <f t="shared" si="58"/>
        <v>8.99</v>
      </c>
      <c r="L1861" t="s">
        <v>29</v>
      </c>
      <c r="M1861">
        <v>1</v>
      </c>
      <c r="N1861">
        <v>0.09</v>
      </c>
      <c r="O1861" t="str">
        <f t="shared" si="59"/>
        <v>0–0.2 hours</v>
      </c>
      <c r="P1861" t="s">
        <v>47</v>
      </c>
    </row>
    <row r="1862" spans="1:16" x14ac:dyDescent="0.4">
      <c r="A1862" t="s">
        <v>1903</v>
      </c>
      <c r="B1862">
        <v>31</v>
      </c>
      <c r="C1862" t="s">
        <v>27</v>
      </c>
      <c r="D1862" t="s">
        <v>16</v>
      </c>
      <c r="E1862">
        <v>3.77</v>
      </c>
      <c r="F1862">
        <v>12</v>
      </c>
      <c r="G1862" t="s">
        <v>49</v>
      </c>
      <c r="H1862" t="s">
        <v>46</v>
      </c>
      <c r="I1862" s="2">
        <v>8.99</v>
      </c>
      <c r="J1862">
        <v>1</v>
      </c>
      <c r="K1862" s="2">
        <f t="shared" si="58"/>
        <v>8.99</v>
      </c>
      <c r="L1862" t="s">
        <v>61</v>
      </c>
      <c r="M1862">
        <v>2</v>
      </c>
      <c r="N1862">
        <v>0.28999999999999998</v>
      </c>
      <c r="O1862" t="str">
        <f t="shared" si="59"/>
        <v>0.2–0.4 hours</v>
      </c>
      <c r="P1862" t="s">
        <v>52</v>
      </c>
    </row>
    <row r="1863" spans="1:16" x14ac:dyDescent="0.4">
      <c r="A1863" t="s">
        <v>1904</v>
      </c>
      <c r="B1863">
        <v>29</v>
      </c>
      <c r="C1863" t="s">
        <v>15</v>
      </c>
      <c r="D1863" t="s">
        <v>32</v>
      </c>
      <c r="E1863">
        <v>2.06</v>
      </c>
      <c r="F1863">
        <v>24</v>
      </c>
      <c r="G1863" t="s">
        <v>23</v>
      </c>
      <c r="H1863" t="s">
        <v>24</v>
      </c>
      <c r="I1863" s="2">
        <v>17.989999999999998</v>
      </c>
      <c r="J1863">
        <v>1</v>
      </c>
      <c r="K1863" s="2">
        <f t="shared" si="58"/>
        <v>17.989999999999998</v>
      </c>
      <c r="L1863" t="s">
        <v>19</v>
      </c>
      <c r="M1863">
        <v>1</v>
      </c>
      <c r="N1863">
        <v>0.08</v>
      </c>
      <c r="O1863" t="str">
        <f t="shared" si="59"/>
        <v>0–0.2 hours</v>
      </c>
      <c r="P1863" t="s">
        <v>34</v>
      </c>
    </row>
    <row r="1864" spans="1:16" x14ac:dyDescent="0.4">
      <c r="A1864" t="s">
        <v>1905</v>
      </c>
      <c r="B1864">
        <v>46</v>
      </c>
      <c r="C1864" t="s">
        <v>27</v>
      </c>
      <c r="D1864" t="s">
        <v>32</v>
      </c>
      <c r="E1864">
        <v>4.16</v>
      </c>
      <c r="F1864">
        <v>13</v>
      </c>
      <c r="G1864" t="s">
        <v>70</v>
      </c>
      <c r="H1864" t="s">
        <v>57</v>
      </c>
      <c r="I1864" s="2">
        <v>17.989999999999998</v>
      </c>
      <c r="J1864">
        <v>1</v>
      </c>
      <c r="K1864" s="2">
        <f t="shared" si="58"/>
        <v>17.989999999999998</v>
      </c>
      <c r="L1864" t="s">
        <v>37</v>
      </c>
      <c r="M1864">
        <v>2</v>
      </c>
      <c r="N1864">
        <v>0.3</v>
      </c>
      <c r="O1864" t="str">
        <f t="shared" si="59"/>
        <v>0.2–0.4 hours</v>
      </c>
      <c r="P1864" t="s">
        <v>25</v>
      </c>
    </row>
    <row r="1865" spans="1:16" x14ac:dyDescent="0.4">
      <c r="A1865" t="s">
        <v>1906</v>
      </c>
      <c r="B1865">
        <v>50</v>
      </c>
      <c r="C1865" t="s">
        <v>15</v>
      </c>
      <c r="D1865" t="s">
        <v>16</v>
      </c>
      <c r="E1865">
        <v>13.21</v>
      </c>
      <c r="F1865">
        <v>36</v>
      </c>
      <c r="G1865" t="s">
        <v>28</v>
      </c>
      <c r="H1865" t="s">
        <v>57</v>
      </c>
      <c r="I1865" s="2">
        <v>8.99</v>
      </c>
      <c r="J1865">
        <v>1</v>
      </c>
      <c r="K1865" s="2">
        <f t="shared" si="58"/>
        <v>8.99</v>
      </c>
      <c r="L1865" t="s">
        <v>29</v>
      </c>
      <c r="M1865">
        <v>4</v>
      </c>
      <c r="N1865">
        <v>0.36</v>
      </c>
      <c r="O1865" t="str">
        <f t="shared" si="59"/>
        <v>0.2–0.4 hours</v>
      </c>
      <c r="P1865" t="s">
        <v>47</v>
      </c>
    </row>
    <row r="1866" spans="1:16" x14ac:dyDescent="0.4">
      <c r="A1866" t="s">
        <v>1907</v>
      </c>
      <c r="B1866">
        <v>23</v>
      </c>
      <c r="C1866" t="s">
        <v>27</v>
      </c>
      <c r="D1866" t="s">
        <v>16</v>
      </c>
      <c r="E1866">
        <v>6.86</v>
      </c>
      <c r="F1866">
        <v>59</v>
      </c>
      <c r="G1866" t="s">
        <v>17</v>
      </c>
      <c r="H1866" t="s">
        <v>55</v>
      </c>
      <c r="I1866" s="2">
        <v>8.99</v>
      </c>
      <c r="J1866">
        <v>1</v>
      </c>
      <c r="K1866" s="2">
        <f t="shared" si="58"/>
        <v>8.99</v>
      </c>
      <c r="L1866" t="s">
        <v>19</v>
      </c>
      <c r="M1866">
        <v>4</v>
      </c>
      <c r="N1866">
        <v>0.11</v>
      </c>
      <c r="O1866" t="str">
        <f t="shared" si="59"/>
        <v>0–0.2 hours</v>
      </c>
      <c r="P1866" t="s">
        <v>20</v>
      </c>
    </row>
    <row r="1867" spans="1:16" x14ac:dyDescent="0.4">
      <c r="A1867" t="s">
        <v>1908</v>
      </c>
      <c r="B1867">
        <v>43</v>
      </c>
      <c r="C1867" t="s">
        <v>27</v>
      </c>
      <c r="D1867" t="s">
        <v>16</v>
      </c>
      <c r="E1867">
        <v>1.51</v>
      </c>
      <c r="F1867">
        <v>29</v>
      </c>
      <c r="G1867" t="s">
        <v>70</v>
      </c>
      <c r="H1867" t="s">
        <v>55</v>
      </c>
      <c r="I1867" s="2">
        <v>8.99</v>
      </c>
      <c r="J1867">
        <v>1</v>
      </c>
      <c r="K1867" s="2">
        <f t="shared" si="58"/>
        <v>8.99</v>
      </c>
      <c r="L1867" t="s">
        <v>61</v>
      </c>
      <c r="M1867">
        <v>2</v>
      </c>
      <c r="N1867">
        <v>0.05</v>
      </c>
      <c r="O1867" t="str">
        <f t="shared" si="59"/>
        <v>0–0.2 hours</v>
      </c>
      <c r="P1867" t="s">
        <v>52</v>
      </c>
    </row>
    <row r="1868" spans="1:16" x14ac:dyDescent="0.4">
      <c r="A1868" t="s">
        <v>1909</v>
      </c>
      <c r="B1868">
        <v>28</v>
      </c>
      <c r="C1868" t="s">
        <v>27</v>
      </c>
      <c r="D1868" t="s">
        <v>32</v>
      </c>
      <c r="E1868">
        <v>0.01</v>
      </c>
      <c r="F1868">
        <v>7</v>
      </c>
      <c r="G1868" t="s">
        <v>49</v>
      </c>
      <c r="H1868" t="s">
        <v>18</v>
      </c>
      <c r="I1868" s="2">
        <v>17.989999999999998</v>
      </c>
      <c r="J1868">
        <v>1</v>
      </c>
      <c r="K1868" s="2">
        <f t="shared" si="58"/>
        <v>17.989999999999998</v>
      </c>
      <c r="L1868" t="s">
        <v>29</v>
      </c>
      <c r="M1868">
        <v>1</v>
      </c>
      <c r="N1868">
        <v>0</v>
      </c>
      <c r="O1868" t="str">
        <f t="shared" si="59"/>
        <v>0–0.2 hours</v>
      </c>
      <c r="P1868" t="s">
        <v>25</v>
      </c>
    </row>
    <row r="1869" spans="1:16" x14ac:dyDescent="0.4">
      <c r="A1869" t="s">
        <v>1910</v>
      </c>
      <c r="B1869">
        <v>28</v>
      </c>
      <c r="C1869" t="s">
        <v>41</v>
      </c>
      <c r="D1869" t="s">
        <v>22</v>
      </c>
      <c r="E1869">
        <v>14.02</v>
      </c>
      <c r="F1869">
        <v>33</v>
      </c>
      <c r="G1869" t="s">
        <v>33</v>
      </c>
      <c r="H1869" t="s">
        <v>24</v>
      </c>
      <c r="I1869" s="2">
        <v>13.99</v>
      </c>
      <c r="J1869">
        <v>1</v>
      </c>
      <c r="K1869" s="2">
        <f t="shared" si="58"/>
        <v>13.99</v>
      </c>
      <c r="L1869" t="s">
        <v>37</v>
      </c>
      <c r="M1869">
        <v>1</v>
      </c>
      <c r="N1869">
        <v>0.41</v>
      </c>
      <c r="O1869" t="str">
        <f t="shared" si="59"/>
        <v>0.4–0.6 hours</v>
      </c>
      <c r="P1869" t="s">
        <v>30</v>
      </c>
    </row>
    <row r="1870" spans="1:16" x14ac:dyDescent="0.4">
      <c r="A1870" t="s">
        <v>1911</v>
      </c>
      <c r="B1870">
        <v>44</v>
      </c>
      <c r="C1870" t="s">
        <v>27</v>
      </c>
      <c r="D1870" t="s">
        <v>22</v>
      </c>
      <c r="E1870">
        <v>0.55000000000000004</v>
      </c>
      <c r="F1870">
        <v>51</v>
      </c>
      <c r="G1870" t="s">
        <v>28</v>
      </c>
      <c r="H1870" t="s">
        <v>57</v>
      </c>
      <c r="I1870" s="2">
        <v>13.99</v>
      </c>
      <c r="J1870">
        <v>1</v>
      </c>
      <c r="K1870" s="2">
        <f t="shared" si="58"/>
        <v>13.99</v>
      </c>
      <c r="L1870" t="s">
        <v>29</v>
      </c>
      <c r="M1870">
        <v>2</v>
      </c>
      <c r="N1870">
        <v>0.01</v>
      </c>
      <c r="O1870" t="str">
        <f t="shared" si="59"/>
        <v>0–0.2 hours</v>
      </c>
      <c r="P1870" t="s">
        <v>52</v>
      </c>
    </row>
    <row r="1871" spans="1:16" x14ac:dyDescent="0.4">
      <c r="A1871" t="s">
        <v>1912</v>
      </c>
      <c r="B1871">
        <v>62</v>
      </c>
      <c r="C1871" t="s">
        <v>41</v>
      </c>
      <c r="D1871" t="s">
        <v>22</v>
      </c>
      <c r="E1871">
        <v>3.58</v>
      </c>
      <c r="F1871">
        <v>15</v>
      </c>
      <c r="G1871" t="s">
        <v>33</v>
      </c>
      <c r="H1871" t="s">
        <v>57</v>
      </c>
      <c r="I1871" s="2">
        <v>13.99</v>
      </c>
      <c r="J1871">
        <v>0</v>
      </c>
      <c r="K1871" s="2">
        <f t="shared" si="58"/>
        <v>0</v>
      </c>
      <c r="L1871" t="s">
        <v>61</v>
      </c>
      <c r="M1871">
        <v>5</v>
      </c>
      <c r="N1871">
        <v>0.22</v>
      </c>
      <c r="O1871" t="str">
        <f t="shared" si="59"/>
        <v>0.2–0.4 hours</v>
      </c>
      <c r="P1871" t="s">
        <v>34</v>
      </c>
    </row>
    <row r="1872" spans="1:16" x14ac:dyDescent="0.4">
      <c r="A1872" t="s">
        <v>1913</v>
      </c>
      <c r="B1872">
        <v>54</v>
      </c>
      <c r="C1872" t="s">
        <v>41</v>
      </c>
      <c r="D1872" t="s">
        <v>16</v>
      </c>
      <c r="E1872">
        <v>2.2799999999999998</v>
      </c>
      <c r="F1872">
        <v>17</v>
      </c>
      <c r="G1872" t="s">
        <v>28</v>
      </c>
      <c r="H1872" t="s">
        <v>18</v>
      </c>
      <c r="I1872" s="2">
        <v>8.99</v>
      </c>
      <c r="J1872">
        <v>1</v>
      </c>
      <c r="K1872" s="2">
        <f t="shared" si="58"/>
        <v>8.99</v>
      </c>
      <c r="L1872" t="s">
        <v>43</v>
      </c>
      <c r="M1872">
        <v>2</v>
      </c>
      <c r="N1872">
        <v>0.13</v>
      </c>
      <c r="O1872" t="str">
        <f t="shared" si="59"/>
        <v>0–0.2 hours</v>
      </c>
      <c r="P1872" t="s">
        <v>34</v>
      </c>
    </row>
    <row r="1873" spans="1:16" x14ac:dyDescent="0.4">
      <c r="A1873" t="s">
        <v>1914</v>
      </c>
      <c r="B1873">
        <v>24</v>
      </c>
      <c r="C1873" t="s">
        <v>27</v>
      </c>
      <c r="D1873" t="s">
        <v>16</v>
      </c>
      <c r="E1873">
        <v>9.58</v>
      </c>
      <c r="F1873">
        <v>44</v>
      </c>
      <c r="G1873" t="s">
        <v>49</v>
      </c>
      <c r="H1873" t="s">
        <v>57</v>
      </c>
      <c r="I1873" s="2">
        <v>8.99</v>
      </c>
      <c r="J1873">
        <v>1</v>
      </c>
      <c r="K1873" s="2">
        <f t="shared" si="58"/>
        <v>8.99</v>
      </c>
      <c r="L1873" t="s">
        <v>61</v>
      </c>
      <c r="M1873">
        <v>5</v>
      </c>
      <c r="N1873">
        <v>0.21</v>
      </c>
      <c r="O1873" t="str">
        <f t="shared" si="59"/>
        <v>0.2–0.4 hours</v>
      </c>
      <c r="P1873" t="s">
        <v>52</v>
      </c>
    </row>
    <row r="1874" spans="1:16" x14ac:dyDescent="0.4">
      <c r="A1874" t="s">
        <v>1915</v>
      </c>
      <c r="B1874">
        <v>27</v>
      </c>
      <c r="C1874" t="s">
        <v>15</v>
      </c>
      <c r="D1874" t="s">
        <v>16</v>
      </c>
      <c r="E1874">
        <v>6.3</v>
      </c>
      <c r="F1874">
        <v>34</v>
      </c>
      <c r="G1874" t="s">
        <v>17</v>
      </c>
      <c r="H1874" t="s">
        <v>57</v>
      </c>
      <c r="I1874" s="2">
        <v>8.99</v>
      </c>
      <c r="J1874">
        <v>1</v>
      </c>
      <c r="K1874" s="2">
        <f t="shared" si="58"/>
        <v>8.99</v>
      </c>
      <c r="L1874" t="s">
        <v>37</v>
      </c>
      <c r="M1874">
        <v>4</v>
      </c>
      <c r="N1874">
        <v>0.18</v>
      </c>
      <c r="O1874" t="str">
        <f t="shared" si="59"/>
        <v>0–0.2 hours</v>
      </c>
      <c r="P1874" t="s">
        <v>52</v>
      </c>
    </row>
    <row r="1875" spans="1:16" x14ac:dyDescent="0.4">
      <c r="A1875" t="s">
        <v>1916</v>
      </c>
      <c r="B1875">
        <v>52</v>
      </c>
      <c r="C1875" t="s">
        <v>27</v>
      </c>
      <c r="D1875" t="s">
        <v>16</v>
      </c>
      <c r="E1875">
        <v>1.59</v>
      </c>
      <c r="F1875">
        <v>29</v>
      </c>
      <c r="G1875" t="s">
        <v>49</v>
      </c>
      <c r="H1875" t="s">
        <v>18</v>
      </c>
      <c r="I1875" s="2">
        <v>8.99</v>
      </c>
      <c r="J1875">
        <v>1</v>
      </c>
      <c r="K1875" s="2">
        <f t="shared" si="58"/>
        <v>8.99</v>
      </c>
      <c r="L1875" t="s">
        <v>43</v>
      </c>
      <c r="M1875">
        <v>3</v>
      </c>
      <c r="N1875">
        <v>0.05</v>
      </c>
      <c r="O1875" t="str">
        <f t="shared" si="59"/>
        <v>0–0.2 hours</v>
      </c>
      <c r="P1875" t="s">
        <v>20</v>
      </c>
    </row>
    <row r="1876" spans="1:16" x14ac:dyDescent="0.4">
      <c r="A1876" t="s">
        <v>1917</v>
      </c>
      <c r="B1876">
        <v>55</v>
      </c>
      <c r="C1876" t="s">
        <v>15</v>
      </c>
      <c r="D1876" t="s">
        <v>16</v>
      </c>
      <c r="E1876">
        <v>1.38</v>
      </c>
      <c r="F1876">
        <v>52</v>
      </c>
      <c r="G1876" t="s">
        <v>49</v>
      </c>
      <c r="H1876" t="s">
        <v>57</v>
      </c>
      <c r="I1876" s="2">
        <v>8.99</v>
      </c>
      <c r="J1876">
        <v>1</v>
      </c>
      <c r="K1876" s="2">
        <f t="shared" si="58"/>
        <v>8.99</v>
      </c>
      <c r="L1876" t="s">
        <v>19</v>
      </c>
      <c r="M1876">
        <v>5</v>
      </c>
      <c r="N1876">
        <v>0.03</v>
      </c>
      <c r="O1876" t="str">
        <f t="shared" si="59"/>
        <v>0–0.2 hours</v>
      </c>
      <c r="P1876" t="s">
        <v>52</v>
      </c>
    </row>
    <row r="1877" spans="1:16" x14ac:dyDescent="0.4">
      <c r="A1877" t="s">
        <v>1918</v>
      </c>
      <c r="B1877">
        <v>62</v>
      </c>
      <c r="C1877" t="s">
        <v>41</v>
      </c>
      <c r="D1877" t="s">
        <v>22</v>
      </c>
      <c r="E1877">
        <v>18.07</v>
      </c>
      <c r="F1877">
        <v>20</v>
      </c>
      <c r="G1877" t="s">
        <v>17</v>
      </c>
      <c r="H1877" t="s">
        <v>55</v>
      </c>
      <c r="I1877" s="2">
        <v>13.99</v>
      </c>
      <c r="J1877">
        <v>0</v>
      </c>
      <c r="K1877" s="2">
        <f t="shared" si="58"/>
        <v>0</v>
      </c>
      <c r="L1877" t="s">
        <v>43</v>
      </c>
      <c r="M1877">
        <v>2</v>
      </c>
      <c r="N1877">
        <v>0.86</v>
      </c>
      <c r="O1877" t="str">
        <f t="shared" si="59"/>
        <v>0.8–1 hour</v>
      </c>
      <c r="P1877" t="s">
        <v>39</v>
      </c>
    </row>
    <row r="1878" spans="1:16" x14ac:dyDescent="0.4">
      <c r="A1878" t="s">
        <v>1919</v>
      </c>
      <c r="B1878">
        <v>64</v>
      </c>
      <c r="C1878" t="s">
        <v>27</v>
      </c>
      <c r="D1878" t="s">
        <v>32</v>
      </c>
      <c r="E1878">
        <v>6.41</v>
      </c>
      <c r="F1878">
        <v>54</v>
      </c>
      <c r="G1878" t="s">
        <v>23</v>
      </c>
      <c r="H1878" t="s">
        <v>24</v>
      </c>
      <c r="I1878" s="2">
        <v>17.989999999999998</v>
      </c>
      <c r="J1878">
        <v>1</v>
      </c>
      <c r="K1878" s="2">
        <f t="shared" si="58"/>
        <v>17.989999999999998</v>
      </c>
      <c r="L1878" t="s">
        <v>19</v>
      </c>
      <c r="M1878">
        <v>1</v>
      </c>
      <c r="N1878">
        <v>0.12</v>
      </c>
      <c r="O1878" t="str">
        <f t="shared" si="59"/>
        <v>0–0.2 hours</v>
      </c>
      <c r="P1878" t="s">
        <v>39</v>
      </c>
    </row>
    <row r="1879" spans="1:16" x14ac:dyDescent="0.4">
      <c r="A1879" t="s">
        <v>1920</v>
      </c>
      <c r="B1879">
        <v>31</v>
      </c>
      <c r="C1879" t="s">
        <v>15</v>
      </c>
      <c r="D1879" t="s">
        <v>32</v>
      </c>
      <c r="E1879">
        <v>18.73</v>
      </c>
      <c r="F1879">
        <v>1</v>
      </c>
      <c r="G1879" t="s">
        <v>33</v>
      </c>
      <c r="H1879" t="s">
        <v>24</v>
      </c>
      <c r="I1879" s="2">
        <v>17.989999999999998</v>
      </c>
      <c r="J1879">
        <v>0</v>
      </c>
      <c r="K1879" s="2">
        <f t="shared" si="58"/>
        <v>0</v>
      </c>
      <c r="L1879" t="s">
        <v>29</v>
      </c>
      <c r="M1879">
        <v>1</v>
      </c>
      <c r="N1879">
        <v>9.3699999999999992</v>
      </c>
      <c r="O1879" t="str">
        <f t="shared" si="59"/>
        <v>1+ hours</v>
      </c>
      <c r="P1879" t="s">
        <v>20</v>
      </c>
    </row>
    <row r="1880" spans="1:16" x14ac:dyDescent="0.4">
      <c r="A1880" t="s">
        <v>1921</v>
      </c>
      <c r="B1880">
        <v>47</v>
      </c>
      <c r="C1880" t="s">
        <v>15</v>
      </c>
      <c r="D1880" t="s">
        <v>16</v>
      </c>
      <c r="E1880">
        <v>14.08</v>
      </c>
      <c r="F1880">
        <v>20</v>
      </c>
      <c r="G1880" t="s">
        <v>17</v>
      </c>
      <c r="H1880" t="s">
        <v>55</v>
      </c>
      <c r="I1880" s="2">
        <v>8.99</v>
      </c>
      <c r="J1880">
        <v>0</v>
      </c>
      <c r="K1880" s="2">
        <f t="shared" si="58"/>
        <v>0</v>
      </c>
      <c r="L1880" t="s">
        <v>19</v>
      </c>
      <c r="M1880">
        <v>3</v>
      </c>
      <c r="N1880">
        <v>0.67</v>
      </c>
      <c r="O1880" t="str">
        <f t="shared" si="59"/>
        <v>0.6–0.8 hours</v>
      </c>
      <c r="P1880" t="s">
        <v>47</v>
      </c>
    </row>
    <row r="1881" spans="1:16" x14ac:dyDescent="0.4">
      <c r="A1881" t="s">
        <v>1922</v>
      </c>
      <c r="B1881">
        <v>37</v>
      </c>
      <c r="C1881" t="s">
        <v>15</v>
      </c>
      <c r="D1881" t="s">
        <v>22</v>
      </c>
      <c r="E1881">
        <v>18.23</v>
      </c>
      <c r="F1881">
        <v>36</v>
      </c>
      <c r="G1881" t="s">
        <v>33</v>
      </c>
      <c r="H1881" t="s">
        <v>55</v>
      </c>
      <c r="I1881" s="2">
        <v>13.99</v>
      </c>
      <c r="J1881">
        <v>1</v>
      </c>
      <c r="K1881" s="2">
        <f t="shared" si="58"/>
        <v>13.99</v>
      </c>
      <c r="L1881" t="s">
        <v>19</v>
      </c>
      <c r="M1881">
        <v>5</v>
      </c>
      <c r="N1881">
        <v>0.49</v>
      </c>
      <c r="O1881" t="str">
        <f t="shared" si="59"/>
        <v>0.4–0.6 hours</v>
      </c>
      <c r="P1881" t="s">
        <v>20</v>
      </c>
    </row>
    <row r="1882" spans="1:16" x14ac:dyDescent="0.4">
      <c r="A1882" t="s">
        <v>1923</v>
      </c>
      <c r="B1882">
        <v>65</v>
      </c>
      <c r="C1882" t="s">
        <v>15</v>
      </c>
      <c r="D1882" t="s">
        <v>22</v>
      </c>
      <c r="E1882">
        <v>28.86</v>
      </c>
      <c r="F1882">
        <v>13</v>
      </c>
      <c r="G1882" t="s">
        <v>28</v>
      </c>
      <c r="H1882" t="s">
        <v>46</v>
      </c>
      <c r="I1882" s="2">
        <v>13.99</v>
      </c>
      <c r="J1882">
        <v>0</v>
      </c>
      <c r="K1882" s="2">
        <f t="shared" si="58"/>
        <v>0</v>
      </c>
      <c r="L1882" t="s">
        <v>19</v>
      </c>
      <c r="M1882">
        <v>4</v>
      </c>
      <c r="N1882">
        <v>2.06</v>
      </c>
      <c r="O1882" t="str">
        <f t="shared" si="59"/>
        <v>1+ hours</v>
      </c>
      <c r="P1882" t="s">
        <v>34</v>
      </c>
    </row>
    <row r="1883" spans="1:16" x14ac:dyDescent="0.4">
      <c r="A1883" t="s">
        <v>1924</v>
      </c>
      <c r="B1883">
        <v>20</v>
      </c>
      <c r="C1883" t="s">
        <v>27</v>
      </c>
      <c r="D1883" t="s">
        <v>32</v>
      </c>
      <c r="E1883">
        <v>49.3</v>
      </c>
      <c r="F1883">
        <v>25</v>
      </c>
      <c r="G1883" t="s">
        <v>33</v>
      </c>
      <c r="H1883" t="s">
        <v>57</v>
      </c>
      <c r="I1883" s="2">
        <v>17.989999999999998</v>
      </c>
      <c r="J1883">
        <v>0</v>
      </c>
      <c r="K1883" s="2">
        <f t="shared" si="58"/>
        <v>0</v>
      </c>
      <c r="L1883" t="s">
        <v>19</v>
      </c>
      <c r="M1883">
        <v>3</v>
      </c>
      <c r="N1883">
        <v>1.9</v>
      </c>
      <c r="O1883" t="str">
        <f t="shared" si="59"/>
        <v>1+ hours</v>
      </c>
      <c r="P1883" t="s">
        <v>30</v>
      </c>
    </row>
    <row r="1884" spans="1:16" x14ac:dyDescent="0.4">
      <c r="A1884" t="s">
        <v>1925</v>
      </c>
      <c r="B1884">
        <v>45</v>
      </c>
      <c r="C1884" t="s">
        <v>15</v>
      </c>
      <c r="D1884" t="s">
        <v>16</v>
      </c>
      <c r="E1884">
        <v>3.95</v>
      </c>
      <c r="F1884">
        <v>38</v>
      </c>
      <c r="G1884" t="s">
        <v>17</v>
      </c>
      <c r="H1884" t="s">
        <v>57</v>
      </c>
      <c r="I1884" s="2">
        <v>8.99</v>
      </c>
      <c r="J1884">
        <v>1</v>
      </c>
      <c r="K1884" s="2">
        <f t="shared" si="58"/>
        <v>8.99</v>
      </c>
      <c r="L1884" t="s">
        <v>19</v>
      </c>
      <c r="M1884">
        <v>1</v>
      </c>
      <c r="N1884">
        <v>0.1</v>
      </c>
      <c r="O1884" t="str">
        <f t="shared" si="59"/>
        <v>0–0.2 hours</v>
      </c>
      <c r="P1884" t="s">
        <v>52</v>
      </c>
    </row>
    <row r="1885" spans="1:16" x14ac:dyDescent="0.4">
      <c r="A1885" t="s">
        <v>1926</v>
      </c>
      <c r="B1885">
        <v>67</v>
      </c>
      <c r="C1885" t="s">
        <v>27</v>
      </c>
      <c r="D1885" t="s">
        <v>16</v>
      </c>
      <c r="E1885">
        <v>11.06</v>
      </c>
      <c r="F1885">
        <v>16</v>
      </c>
      <c r="G1885" t="s">
        <v>70</v>
      </c>
      <c r="H1885" t="s">
        <v>55</v>
      </c>
      <c r="I1885" s="2">
        <v>8.99</v>
      </c>
      <c r="J1885">
        <v>0</v>
      </c>
      <c r="K1885" s="2">
        <f t="shared" si="58"/>
        <v>0</v>
      </c>
      <c r="L1885" t="s">
        <v>61</v>
      </c>
      <c r="M1885">
        <v>4</v>
      </c>
      <c r="N1885">
        <v>0.65</v>
      </c>
      <c r="O1885" t="str">
        <f t="shared" si="59"/>
        <v>0.6–0.8 hours</v>
      </c>
      <c r="P1885" t="s">
        <v>25</v>
      </c>
    </row>
    <row r="1886" spans="1:16" x14ac:dyDescent="0.4">
      <c r="A1886" t="s">
        <v>1927</v>
      </c>
      <c r="B1886">
        <v>70</v>
      </c>
      <c r="C1886" t="s">
        <v>41</v>
      </c>
      <c r="D1886" t="s">
        <v>16</v>
      </c>
      <c r="E1886">
        <v>6.66</v>
      </c>
      <c r="F1886">
        <v>55</v>
      </c>
      <c r="G1886" t="s">
        <v>33</v>
      </c>
      <c r="H1886" t="s">
        <v>55</v>
      </c>
      <c r="I1886" s="2">
        <v>8.99</v>
      </c>
      <c r="J1886">
        <v>1</v>
      </c>
      <c r="K1886" s="2">
        <f t="shared" si="58"/>
        <v>8.99</v>
      </c>
      <c r="L1886" t="s">
        <v>19</v>
      </c>
      <c r="M1886">
        <v>4</v>
      </c>
      <c r="N1886">
        <v>0.12</v>
      </c>
      <c r="O1886" t="str">
        <f t="shared" si="59"/>
        <v>0–0.2 hours</v>
      </c>
      <c r="P1886" t="s">
        <v>39</v>
      </c>
    </row>
    <row r="1887" spans="1:16" x14ac:dyDescent="0.4">
      <c r="A1887" t="s">
        <v>1928</v>
      </c>
      <c r="B1887">
        <v>67</v>
      </c>
      <c r="C1887" t="s">
        <v>41</v>
      </c>
      <c r="D1887" t="s">
        <v>16</v>
      </c>
      <c r="E1887">
        <v>9.5399999999999991</v>
      </c>
      <c r="F1887">
        <v>40</v>
      </c>
      <c r="G1887" t="s">
        <v>70</v>
      </c>
      <c r="H1887" t="s">
        <v>46</v>
      </c>
      <c r="I1887" s="2">
        <v>8.99</v>
      </c>
      <c r="J1887">
        <v>1</v>
      </c>
      <c r="K1887" s="2">
        <f t="shared" si="58"/>
        <v>8.99</v>
      </c>
      <c r="L1887" t="s">
        <v>29</v>
      </c>
      <c r="M1887">
        <v>2</v>
      </c>
      <c r="N1887">
        <v>0.23</v>
      </c>
      <c r="O1887" t="str">
        <f t="shared" si="59"/>
        <v>0.2–0.4 hours</v>
      </c>
      <c r="P1887" t="s">
        <v>47</v>
      </c>
    </row>
    <row r="1888" spans="1:16" x14ac:dyDescent="0.4">
      <c r="A1888" t="s">
        <v>1929</v>
      </c>
      <c r="B1888">
        <v>28</v>
      </c>
      <c r="C1888" t="s">
        <v>27</v>
      </c>
      <c r="D1888" t="s">
        <v>16</v>
      </c>
      <c r="E1888">
        <v>10.43</v>
      </c>
      <c r="F1888">
        <v>25</v>
      </c>
      <c r="G1888" t="s">
        <v>33</v>
      </c>
      <c r="H1888" t="s">
        <v>57</v>
      </c>
      <c r="I1888" s="2">
        <v>8.99</v>
      </c>
      <c r="J1888">
        <v>0</v>
      </c>
      <c r="K1888" s="2">
        <f t="shared" si="58"/>
        <v>0</v>
      </c>
      <c r="L1888" t="s">
        <v>19</v>
      </c>
      <c r="M1888">
        <v>4</v>
      </c>
      <c r="N1888">
        <v>0.4</v>
      </c>
      <c r="O1888" t="str">
        <f t="shared" si="59"/>
        <v>0.2–0.4 hours</v>
      </c>
      <c r="P1888" t="s">
        <v>34</v>
      </c>
    </row>
    <row r="1889" spans="1:16" x14ac:dyDescent="0.4">
      <c r="A1889" t="s">
        <v>1930</v>
      </c>
      <c r="B1889">
        <v>53</v>
      </c>
      <c r="C1889" t="s">
        <v>15</v>
      </c>
      <c r="D1889" t="s">
        <v>32</v>
      </c>
      <c r="E1889">
        <v>5.79</v>
      </c>
      <c r="F1889">
        <v>34</v>
      </c>
      <c r="G1889" t="s">
        <v>17</v>
      </c>
      <c r="H1889" t="s">
        <v>24</v>
      </c>
      <c r="I1889" s="2">
        <v>17.989999999999998</v>
      </c>
      <c r="J1889">
        <v>1</v>
      </c>
      <c r="K1889" s="2">
        <f t="shared" si="58"/>
        <v>17.989999999999998</v>
      </c>
      <c r="L1889" t="s">
        <v>19</v>
      </c>
      <c r="M1889">
        <v>5</v>
      </c>
      <c r="N1889">
        <v>0.17</v>
      </c>
      <c r="O1889" t="str">
        <f t="shared" si="59"/>
        <v>0–0.2 hours</v>
      </c>
      <c r="P1889" t="s">
        <v>52</v>
      </c>
    </row>
    <row r="1890" spans="1:16" x14ac:dyDescent="0.4">
      <c r="A1890" t="s">
        <v>1931</v>
      </c>
      <c r="B1890">
        <v>36</v>
      </c>
      <c r="C1890" t="s">
        <v>41</v>
      </c>
      <c r="D1890" t="s">
        <v>16</v>
      </c>
      <c r="E1890">
        <v>34.97</v>
      </c>
      <c r="F1890">
        <v>16</v>
      </c>
      <c r="G1890" t="s">
        <v>23</v>
      </c>
      <c r="H1890" t="s">
        <v>18</v>
      </c>
      <c r="I1890" s="2">
        <v>8.99</v>
      </c>
      <c r="J1890">
        <v>0</v>
      </c>
      <c r="K1890" s="2">
        <f t="shared" si="58"/>
        <v>0</v>
      </c>
      <c r="L1890" t="s">
        <v>43</v>
      </c>
      <c r="M1890">
        <v>2</v>
      </c>
      <c r="N1890">
        <v>2.06</v>
      </c>
      <c r="O1890" t="str">
        <f t="shared" si="59"/>
        <v>1+ hours</v>
      </c>
      <c r="P1890" t="s">
        <v>20</v>
      </c>
    </row>
    <row r="1891" spans="1:16" x14ac:dyDescent="0.4">
      <c r="A1891" t="s">
        <v>1932</v>
      </c>
      <c r="B1891">
        <v>48</v>
      </c>
      <c r="C1891" t="s">
        <v>27</v>
      </c>
      <c r="D1891" t="s">
        <v>16</v>
      </c>
      <c r="E1891">
        <v>5.71</v>
      </c>
      <c r="F1891">
        <v>40</v>
      </c>
      <c r="G1891" t="s">
        <v>17</v>
      </c>
      <c r="H1891" t="s">
        <v>57</v>
      </c>
      <c r="I1891" s="2">
        <v>8.99</v>
      </c>
      <c r="J1891">
        <v>1</v>
      </c>
      <c r="K1891" s="2">
        <f t="shared" si="58"/>
        <v>8.99</v>
      </c>
      <c r="L1891" t="s">
        <v>29</v>
      </c>
      <c r="M1891">
        <v>1</v>
      </c>
      <c r="N1891">
        <v>0.14000000000000001</v>
      </c>
      <c r="O1891" t="str">
        <f t="shared" si="59"/>
        <v>0–0.2 hours</v>
      </c>
      <c r="P1891" t="s">
        <v>39</v>
      </c>
    </row>
    <row r="1892" spans="1:16" x14ac:dyDescent="0.4">
      <c r="A1892" t="s">
        <v>1933</v>
      </c>
      <c r="B1892">
        <v>19</v>
      </c>
      <c r="C1892" t="s">
        <v>15</v>
      </c>
      <c r="D1892" t="s">
        <v>22</v>
      </c>
      <c r="E1892">
        <v>6.31</v>
      </c>
      <c r="F1892">
        <v>18</v>
      </c>
      <c r="G1892" t="s">
        <v>70</v>
      </c>
      <c r="H1892" t="s">
        <v>18</v>
      </c>
      <c r="I1892" s="2">
        <v>13.99</v>
      </c>
      <c r="J1892">
        <v>0</v>
      </c>
      <c r="K1892" s="2">
        <f t="shared" si="58"/>
        <v>0</v>
      </c>
      <c r="L1892" t="s">
        <v>29</v>
      </c>
      <c r="M1892">
        <v>1</v>
      </c>
      <c r="N1892">
        <v>0.33</v>
      </c>
      <c r="O1892" t="str">
        <f t="shared" si="59"/>
        <v>0.2–0.4 hours</v>
      </c>
      <c r="P1892" t="s">
        <v>25</v>
      </c>
    </row>
    <row r="1893" spans="1:16" x14ac:dyDescent="0.4">
      <c r="A1893" t="s">
        <v>1934</v>
      </c>
      <c r="B1893">
        <v>25</v>
      </c>
      <c r="C1893" t="s">
        <v>41</v>
      </c>
      <c r="D1893" t="s">
        <v>32</v>
      </c>
      <c r="E1893">
        <v>6.08</v>
      </c>
      <c r="F1893">
        <v>33</v>
      </c>
      <c r="G1893" t="s">
        <v>17</v>
      </c>
      <c r="H1893" t="s">
        <v>46</v>
      </c>
      <c r="I1893" s="2">
        <v>17.989999999999998</v>
      </c>
      <c r="J1893">
        <v>0</v>
      </c>
      <c r="K1893" s="2">
        <f t="shared" si="58"/>
        <v>0</v>
      </c>
      <c r="L1893" t="s">
        <v>37</v>
      </c>
      <c r="M1893">
        <v>5</v>
      </c>
      <c r="N1893">
        <v>0.18</v>
      </c>
      <c r="O1893" t="str">
        <f t="shared" si="59"/>
        <v>0–0.2 hours</v>
      </c>
      <c r="P1893" t="s">
        <v>52</v>
      </c>
    </row>
    <row r="1894" spans="1:16" x14ac:dyDescent="0.4">
      <c r="A1894" t="s">
        <v>1935</v>
      </c>
      <c r="B1894">
        <v>31</v>
      </c>
      <c r="C1894" t="s">
        <v>15</v>
      </c>
      <c r="D1894" t="s">
        <v>22</v>
      </c>
      <c r="E1894">
        <v>6.59</v>
      </c>
      <c r="F1894">
        <v>19</v>
      </c>
      <c r="G1894" t="s">
        <v>17</v>
      </c>
      <c r="H1894" t="s">
        <v>55</v>
      </c>
      <c r="I1894" s="2">
        <v>13.99</v>
      </c>
      <c r="J1894">
        <v>0</v>
      </c>
      <c r="K1894" s="2">
        <f t="shared" si="58"/>
        <v>0</v>
      </c>
      <c r="L1894" t="s">
        <v>29</v>
      </c>
      <c r="M1894">
        <v>3</v>
      </c>
      <c r="N1894">
        <v>0.33</v>
      </c>
      <c r="O1894" t="str">
        <f t="shared" si="59"/>
        <v>0.2–0.4 hours</v>
      </c>
      <c r="P1894" t="s">
        <v>52</v>
      </c>
    </row>
    <row r="1895" spans="1:16" x14ac:dyDescent="0.4">
      <c r="A1895" t="s">
        <v>1936</v>
      </c>
      <c r="B1895">
        <v>56</v>
      </c>
      <c r="C1895" t="s">
        <v>27</v>
      </c>
      <c r="D1895" t="s">
        <v>16</v>
      </c>
      <c r="E1895">
        <v>15.59</v>
      </c>
      <c r="F1895">
        <v>3</v>
      </c>
      <c r="G1895" t="s">
        <v>49</v>
      </c>
      <c r="H1895" t="s">
        <v>55</v>
      </c>
      <c r="I1895" s="2">
        <v>8.99</v>
      </c>
      <c r="J1895">
        <v>0</v>
      </c>
      <c r="K1895" s="2">
        <f t="shared" si="58"/>
        <v>0</v>
      </c>
      <c r="L1895" t="s">
        <v>19</v>
      </c>
      <c r="M1895">
        <v>3</v>
      </c>
      <c r="N1895">
        <v>3.9</v>
      </c>
      <c r="O1895" t="str">
        <f t="shared" si="59"/>
        <v>1+ hours</v>
      </c>
      <c r="P1895" t="s">
        <v>20</v>
      </c>
    </row>
    <row r="1896" spans="1:16" x14ac:dyDescent="0.4">
      <c r="A1896" t="s">
        <v>1937</v>
      </c>
      <c r="B1896">
        <v>51</v>
      </c>
      <c r="C1896" t="s">
        <v>15</v>
      </c>
      <c r="D1896" t="s">
        <v>22</v>
      </c>
      <c r="E1896">
        <v>7.43</v>
      </c>
      <c r="F1896">
        <v>25</v>
      </c>
      <c r="G1896" t="s">
        <v>70</v>
      </c>
      <c r="H1896" t="s">
        <v>24</v>
      </c>
      <c r="I1896" s="2">
        <v>13.99</v>
      </c>
      <c r="J1896">
        <v>0</v>
      </c>
      <c r="K1896" s="2">
        <f t="shared" si="58"/>
        <v>0</v>
      </c>
      <c r="L1896" t="s">
        <v>29</v>
      </c>
      <c r="M1896">
        <v>5</v>
      </c>
      <c r="N1896">
        <v>0.28999999999999998</v>
      </c>
      <c r="O1896" t="str">
        <f t="shared" si="59"/>
        <v>0.2–0.4 hours</v>
      </c>
      <c r="P1896" t="s">
        <v>47</v>
      </c>
    </row>
    <row r="1897" spans="1:16" x14ac:dyDescent="0.4">
      <c r="A1897" t="s">
        <v>1938</v>
      </c>
      <c r="B1897">
        <v>23</v>
      </c>
      <c r="C1897" t="s">
        <v>27</v>
      </c>
      <c r="D1897" t="s">
        <v>16</v>
      </c>
      <c r="E1897">
        <v>21.34</v>
      </c>
      <c r="F1897">
        <v>19</v>
      </c>
      <c r="G1897" t="s">
        <v>49</v>
      </c>
      <c r="H1897" t="s">
        <v>18</v>
      </c>
      <c r="I1897" s="2">
        <v>8.99</v>
      </c>
      <c r="J1897">
        <v>0</v>
      </c>
      <c r="K1897" s="2">
        <f t="shared" si="58"/>
        <v>0</v>
      </c>
      <c r="L1897" t="s">
        <v>19</v>
      </c>
      <c r="M1897">
        <v>2</v>
      </c>
      <c r="N1897">
        <v>1.07</v>
      </c>
      <c r="O1897" t="str">
        <f t="shared" si="59"/>
        <v>1+ hours</v>
      </c>
      <c r="P1897" t="s">
        <v>39</v>
      </c>
    </row>
    <row r="1898" spans="1:16" x14ac:dyDescent="0.4">
      <c r="A1898" t="s">
        <v>1939</v>
      </c>
      <c r="B1898">
        <v>67</v>
      </c>
      <c r="C1898" t="s">
        <v>41</v>
      </c>
      <c r="D1898" t="s">
        <v>22</v>
      </c>
      <c r="E1898">
        <v>17.3</v>
      </c>
      <c r="F1898">
        <v>30</v>
      </c>
      <c r="G1898" t="s">
        <v>70</v>
      </c>
      <c r="H1898" t="s">
        <v>55</v>
      </c>
      <c r="I1898" s="2">
        <v>13.99</v>
      </c>
      <c r="J1898">
        <v>0</v>
      </c>
      <c r="K1898" s="2">
        <f t="shared" si="58"/>
        <v>0</v>
      </c>
      <c r="L1898" t="s">
        <v>19</v>
      </c>
      <c r="M1898">
        <v>4</v>
      </c>
      <c r="N1898">
        <v>0.56000000000000005</v>
      </c>
      <c r="O1898" t="str">
        <f t="shared" si="59"/>
        <v>0.4–0.6 hours</v>
      </c>
      <c r="P1898" t="s">
        <v>20</v>
      </c>
    </row>
    <row r="1899" spans="1:16" x14ac:dyDescent="0.4">
      <c r="A1899" t="s">
        <v>1940</v>
      </c>
      <c r="B1899">
        <v>29</v>
      </c>
      <c r="C1899" t="s">
        <v>15</v>
      </c>
      <c r="D1899" t="s">
        <v>32</v>
      </c>
      <c r="E1899">
        <v>14.26</v>
      </c>
      <c r="F1899">
        <v>23</v>
      </c>
      <c r="G1899" t="s">
        <v>49</v>
      </c>
      <c r="H1899" t="s">
        <v>46</v>
      </c>
      <c r="I1899" s="2">
        <v>17.989999999999998</v>
      </c>
      <c r="J1899">
        <v>0</v>
      </c>
      <c r="K1899" s="2">
        <f t="shared" si="58"/>
        <v>0</v>
      </c>
      <c r="L1899" t="s">
        <v>43</v>
      </c>
      <c r="M1899">
        <v>5</v>
      </c>
      <c r="N1899">
        <v>0.59</v>
      </c>
      <c r="O1899" t="str">
        <f t="shared" si="59"/>
        <v>0.4–0.6 hours</v>
      </c>
      <c r="P1899" t="s">
        <v>34</v>
      </c>
    </row>
    <row r="1900" spans="1:16" x14ac:dyDescent="0.4">
      <c r="A1900" t="s">
        <v>1941</v>
      </c>
      <c r="B1900">
        <v>25</v>
      </c>
      <c r="C1900" t="s">
        <v>41</v>
      </c>
      <c r="D1900" t="s">
        <v>32</v>
      </c>
      <c r="E1900">
        <v>9.9499999999999993</v>
      </c>
      <c r="F1900">
        <v>43</v>
      </c>
      <c r="G1900" t="s">
        <v>49</v>
      </c>
      <c r="H1900" t="s">
        <v>57</v>
      </c>
      <c r="I1900" s="2">
        <v>17.989999999999998</v>
      </c>
      <c r="J1900">
        <v>0</v>
      </c>
      <c r="K1900" s="2">
        <f t="shared" si="58"/>
        <v>0</v>
      </c>
      <c r="L1900" t="s">
        <v>37</v>
      </c>
      <c r="M1900">
        <v>4</v>
      </c>
      <c r="N1900">
        <v>0.23</v>
      </c>
      <c r="O1900" t="str">
        <f t="shared" si="59"/>
        <v>0.2–0.4 hours</v>
      </c>
      <c r="P1900" t="s">
        <v>25</v>
      </c>
    </row>
    <row r="1901" spans="1:16" x14ac:dyDescent="0.4">
      <c r="A1901" t="s">
        <v>1942</v>
      </c>
      <c r="B1901">
        <v>37</v>
      </c>
      <c r="C1901" t="s">
        <v>27</v>
      </c>
      <c r="D1901" t="s">
        <v>16</v>
      </c>
      <c r="E1901">
        <v>5.62</v>
      </c>
      <c r="F1901">
        <v>19</v>
      </c>
      <c r="G1901" t="s">
        <v>28</v>
      </c>
      <c r="H1901" t="s">
        <v>46</v>
      </c>
      <c r="I1901" s="2">
        <v>8.99</v>
      </c>
      <c r="J1901">
        <v>1</v>
      </c>
      <c r="K1901" s="2">
        <f t="shared" si="58"/>
        <v>8.99</v>
      </c>
      <c r="L1901" t="s">
        <v>29</v>
      </c>
      <c r="M1901">
        <v>3</v>
      </c>
      <c r="N1901">
        <v>0.28000000000000003</v>
      </c>
      <c r="O1901" t="str">
        <f t="shared" si="59"/>
        <v>0.2–0.4 hours</v>
      </c>
      <c r="P1901" t="s">
        <v>39</v>
      </c>
    </row>
    <row r="1902" spans="1:16" x14ac:dyDescent="0.4">
      <c r="A1902" t="s">
        <v>1943</v>
      </c>
      <c r="B1902">
        <v>69</v>
      </c>
      <c r="C1902" t="s">
        <v>41</v>
      </c>
      <c r="D1902" t="s">
        <v>32</v>
      </c>
      <c r="E1902">
        <v>9.07</v>
      </c>
      <c r="F1902">
        <v>47</v>
      </c>
      <c r="G1902" t="s">
        <v>17</v>
      </c>
      <c r="H1902" t="s">
        <v>55</v>
      </c>
      <c r="I1902" s="2">
        <v>17.989999999999998</v>
      </c>
      <c r="J1902">
        <v>0</v>
      </c>
      <c r="K1902" s="2">
        <f t="shared" si="58"/>
        <v>0</v>
      </c>
      <c r="L1902" t="s">
        <v>43</v>
      </c>
      <c r="M1902">
        <v>5</v>
      </c>
      <c r="N1902">
        <v>0.19</v>
      </c>
      <c r="O1902" t="str">
        <f t="shared" si="59"/>
        <v>0–0.2 hours</v>
      </c>
      <c r="P1902" t="s">
        <v>47</v>
      </c>
    </row>
    <row r="1903" spans="1:16" x14ac:dyDescent="0.4">
      <c r="A1903" t="s">
        <v>1944</v>
      </c>
      <c r="B1903">
        <v>37</v>
      </c>
      <c r="C1903" t="s">
        <v>15</v>
      </c>
      <c r="D1903" t="s">
        <v>16</v>
      </c>
      <c r="E1903">
        <v>10.37</v>
      </c>
      <c r="F1903">
        <v>58</v>
      </c>
      <c r="G1903" t="s">
        <v>49</v>
      </c>
      <c r="H1903" t="s">
        <v>57</v>
      </c>
      <c r="I1903" s="2">
        <v>8.99</v>
      </c>
      <c r="J1903">
        <v>1</v>
      </c>
      <c r="K1903" s="2">
        <f t="shared" si="58"/>
        <v>8.99</v>
      </c>
      <c r="L1903" t="s">
        <v>61</v>
      </c>
      <c r="M1903">
        <v>1</v>
      </c>
      <c r="N1903">
        <v>0.18</v>
      </c>
      <c r="O1903" t="str">
        <f t="shared" si="59"/>
        <v>0–0.2 hours</v>
      </c>
      <c r="P1903" t="s">
        <v>34</v>
      </c>
    </row>
    <row r="1904" spans="1:16" x14ac:dyDescent="0.4">
      <c r="A1904" t="s">
        <v>1945</v>
      </c>
      <c r="B1904">
        <v>31</v>
      </c>
      <c r="C1904" t="s">
        <v>27</v>
      </c>
      <c r="D1904" t="s">
        <v>32</v>
      </c>
      <c r="E1904">
        <v>19.72</v>
      </c>
      <c r="F1904">
        <v>40</v>
      </c>
      <c r="G1904" t="s">
        <v>49</v>
      </c>
      <c r="H1904" t="s">
        <v>18</v>
      </c>
      <c r="I1904" s="2">
        <v>17.989999999999998</v>
      </c>
      <c r="J1904">
        <v>1</v>
      </c>
      <c r="K1904" s="2">
        <f t="shared" si="58"/>
        <v>17.989999999999998</v>
      </c>
      <c r="L1904" t="s">
        <v>19</v>
      </c>
      <c r="M1904">
        <v>3</v>
      </c>
      <c r="N1904">
        <v>0.48</v>
      </c>
      <c r="O1904" t="str">
        <f t="shared" si="59"/>
        <v>0.4–0.6 hours</v>
      </c>
      <c r="P1904" t="s">
        <v>34</v>
      </c>
    </row>
    <row r="1905" spans="1:16" x14ac:dyDescent="0.4">
      <c r="A1905" t="s">
        <v>1946</v>
      </c>
      <c r="B1905">
        <v>39</v>
      </c>
      <c r="C1905" t="s">
        <v>15</v>
      </c>
      <c r="D1905" t="s">
        <v>32</v>
      </c>
      <c r="E1905">
        <v>22.35</v>
      </c>
      <c r="F1905">
        <v>36</v>
      </c>
      <c r="G1905" t="s">
        <v>28</v>
      </c>
      <c r="H1905" t="s">
        <v>18</v>
      </c>
      <c r="I1905" s="2">
        <v>17.989999999999998</v>
      </c>
      <c r="J1905">
        <v>0</v>
      </c>
      <c r="K1905" s="2">
        <f t="shared" si="58"/>
        <v>0</v>
      </c>
      <c r="L1905" t="s">
        <v>19</v>
      </c>
      <c r="M1905">
        <v>5</v>
      </c>
      <c r="N1905">
        <v>0.6</v>
      </c>
      <c r="O1905" t="str">
        <f t="shared" si="59"/>
        <v>0.4–0.6 hours</v>
      </c>
      <c r="P1905" t="s">
        <v>39</v>
      </c>
    </row>
    <row r="1906" spans="1:16" x14ac:dyDescent="0.4">
      <c r="A1906" t="s">
        <v>1947</v>
      </c>
      <c r="B1906">
        <v>26</v>
      </c>
      <c r="C1906" t="s">
        <v>41</v>
      </c>
      <c r="D1906" t="s">
        <v>22</v>
      </c>
      <c r="E1906">
        <v>11.26</v>
      </c>
      <c r="F1906">
        <v>50</v>
      </c>
      <c r="G1906" t="s">
        <v>33</v>
      </c>
      <c r="H1906" t="s">
        <v>57</v>
      </c>
      <c r="I1906" s="2">
        <v>13.99</v>
      </c>
      <c r="J1906">
        <v>1</v>
      </c>
      <c r="K1906" s="2">
        <f t="shared" si="58"/>
        <v>13.99</v>
      </c>
      <c r="L1906" t="s">
        <v>61</v>
      </c>
      <c r="M1906">
        <v>2</v>
      </c>
      <c r="N1906">
        <v>0.22</v>
      </c>
      <c r="O1906" t="str">
        <f t="shared" si="59"/>
        <v>0.2–0.4 hours</v>
      </c>
      <c r="P1906" t="s">
        <v>52</v>
      </c>
    </row>
    <row r="1907" spans="1:16" x14ac:dyDescent="0.4">
      <c r="A1907" t="s">
        <v>1948</v>
      </c>
      <c r="B1907">
        <v>49</v>
      </c>
      <c r="C1907" t="s">
        <v>41</v>
      </c>
      <c r="D1907" t="s">
        <v>22</v>
      </c>
      <c r="E1907">
        <v>14.28</v>
      </c>
      <c r="F1907">
        <v>7</v>
      </c>
      <c r="G1907" t="s">
        <v>17</v>
      </c>
      <c r="H1907" t="s">
        <v>55</v>
      </c>
      <c r="I1907" s="2">
        <v>13.99</v>
      </c>
      <c r="J1907">
        <v>0</v>
      </c>
      <c r="K1907" s="2">
        <f t="shared" si="58"/>
        <v>0</v>
      </c>
      <c r="L1907" t="s">
        <v>29</v>
      </c>
      <c r="M1907">
        <v>3</v>
      </c>
      <c r="N1907">
        <v>1.78</v>
      </c>
      <c r="O1907" t="str">
        <f t="shared" si="59"/>
        <v>1+ hours</v>
      </c>
      <c r="P1907" t="s">
        <v>25</v>
      </c>
    </row>
    <row r="1908" spans="1:16" x14ac:dyDescent="0.4">
      <c r="A1908" t="s">
        <v>1949</v>
      </c>
      <c r="B1908">
        <v>34</v>
      </c>
      <c r="C1908" t="s">
        <v>15</v>
      </c>
      <c r="D1908" t="s">
        <v>22</v>
      </c>
      <c r="E1908">
        <v>1.55</v>
      </c>
      <c r="F1908">
        <v>15</v>
      </c>
      <c r="G1908" t="s">
        <v>28</v>
      </c>
      <c r="H1908" t="s">
        <v>55</v>
      </c>
      <c r="I1908" s="2">
        <v>13.99</v>
      </c>
      <c r="J1908">
        <v>1</v>
      </c>
      <c r="K1908" s="2">
        <f t="shared" si="58"/>
        <v>13.99</v>
      </c>
      <c r="L1908" t="s">
        <v>37</v>
      </c>
      <c r="M1908">
        <v>3</v>
      </c>
      <c r="N1908">
        <v>0.1</v>
      </c>
      <c r="O1908" t="str">
        <f t="shared" si="59"/>
        <v>0–0.2 hours</v>
      </c>
      <c r="P1908" t="s">
        <v>25</v>
      </c>
    </row>
    <row r="1909" spans="1:16" x14ac:dyDescent="0.4">
      <c r="A1909" t="s">
        <v>1950</v>
      </c>
      <c r="B1909">
        <v>64</v>
      </c>
      <c r="C1909" t="s">
        <v>41</v>
      </c>
      <c r="D1909" t="s">
        <v>16</v>
      </c>
      <c r="E1909">
        <v>26.45</v>
      </c>
      <c r="F1909">
        <v>41</v>
      </c>
      <c r="G1909" t="s">
        <v>17</v>
      </c>
      <c r="H1909" t="s">
        <v>46</v>
      </c>
      <c r="I1909" s="2">
        <v>8.99</v>
      </c>
      <c r="J1909">
        <v>0</v>
      </c>
      <c r="K1909" s="2">
        <f t="shared" si="58"/>
        <v>0</v>
      </c>
      <c r="L1909" t="s">
        <v>37</v>
      </c>
      <c r="M1909">
        <v>1</v>
      </c>
      <c r="N1909">
        <v>0.63</v>
      </c>
      <c r="O1909" t="str">
        <f t="shared" si="59"/>
        <v>0.6–0.8 hours</v>
      </c>
      <c r="P1909" t="s">
        <v>39</v>
      </c>
    </row>
    <row r="1910" spans="1:16" x14ac:dyDescent="0.4">
      <c r="A1910" t="s">
        <v>1951</v>
      </c>
      <c r="B1910">
        <v>60</v>
      </c>
      <c r="C1910" t="s">
        <v>41</v>
      </c>
      <c r="D1910" t="s">
        <v>22</v>
      </c>
      <c r="E1910">
        <v>5.77</v>
      </c>
      <c r="F1910">
        <v>0</v>
      </c>
      <c r="G1910" t="s">
        <v>23</v>
      </c>
      <c r="H1910" t="s">
        <v>57</v>
      </c>
      <c r="I1910" s="2">
        <v>13.99</v>
      </c>
      <c r="J1910">
        <v>0</v>
      </c>
      <c r="K1910" s="2">
        <f t="shared" si="58"/>
        <v>0</v>
      </c>
      <c r="L1910" t="s">
        <v>37</v>
      </c>
      <c r="M1910">
        <v>5</v>
      </c>
      <c r="N1910">
        <v>5.77</v>
      </c>
      <c r="O1910" t="str">
        <f t="shared" si="59"/>
        <v>1+ hours</v>
      </c>
      <c r="P1910" t="s">
        <v>47</v>
      </c>
    </row>
    <row r="1911" spans="1:16" x14ac:dyDescent="0.4">
      <c r="A1911" t="s">
        <v>1952</v>
      </c>
      <c r="B1911">
        <v>29</v>
      </c>
      <c r="C1911" t="s">
        <v>41</v>
      </c>
      <c r="D1911" t="s">
        <v>16</v>
      </c>
      <c r="E1911">
        <v>13</v>
      </c>
      <c r="F1911">
        <v>46</v>
      </c>
      <c r="G1911" t="s">
        <v>33</v>
      </c>
      <c r="H1911" t="s">
        <v>57</v>
      </c>
      <c r="I1911" s="2">
        <v>8.99</v>
      </c>
      <c r="J1911">
        <v>1</v>
      </c>
      <c r="K1911" s="2">
        <f t="shared" si="58"/>
        <v>8.99</v>
      </c>
      <c r="L1911" t="s">
        <v>61</v>
      </c>
      <c r="M1911">
        <v>4</v>
      </c>
      <c r="N1911">
        <v>0.28000000000000003</v>
      </c>
      <c r="O1911" t="str">
        <f t="shared" si="59"/>
        <v>0.2–0.4 hours</v>
      </c>
      <c r="P1911" t="s">
        <v>30</v>
      </c>
    </row>
    <row r="1912" spans="1:16" x14ac:dyDescent="0.4">
      <c r="A1912" t="s">
        <v>1953</v>
      </c>
      <c r="B1912">
        <v>30</v>
      </c>
      <c r="C1912" t="s">
        <v>41</v>
      </c>
      <c r="D1912" t="s">
        <v>22</v>
      </c>
      <c r="E1912">
        <v>0.74</v>
      </c>
      <c r="F1912">
        <v>0</v>
      </c>
      <c r="G1912" t="s">
        <v>49</v>
      </c>
      <c r="H1912" t="s">
        <v>46</v>
      </c>
      <c r="I1912" s="2">
        <v>13.99</v>
      </c>
      <c r="J1912">
        <v>0</v>
      </c>
      <c r="K1912" s="2">
        <f t="shared" si="58"/>
        <v>0</v>
      </c>
      <c r="L1912" t="s">
        <v>61</v>
      </c>
      <c r="M1912">
        <v>4</v>
      </c>
      <c r="N1912">
        <v>0.74</v>
      </c>
      <c r="O1912" t="str">
        <f t="shared" si="59"/>
        <v>0.6–0.8 hours</v>
      </c>
      <c r="P1912" t="s">
        <v>20</v>
      </c>
    </row>
    <row r="1913" spans="1:16" x14ac:dyDescent="0.4">
      <c r="A1913" t="s">
        <v>1954</v>
      </c>
      <c r="B1913">
        <v>67</v>
      </c>
      <c r="C1913" t="s">
        <v>41</v>
      </c>
      <c r="D1913" t="s">
        <v>22</v>
      </c>
      <c r="E1913">
        <v>26.05</v>
      </c>
      <c r="F1913">
        <v>21</v>
      </c>
      <c r="G1913" t="s">
        <v>23</v>
      </c>
      <c r="H1913" t="s">
        <v>18</v>
      </c>
      <c r="I1913" s="2">
        <v>13.99</v>
      </c>
      <c r="J1913">
        <v>0</v>
      </c>
      <c r="K1913" s="2">
        <f t="shared" si="58"/>
        <v>0</v>
      </c>
      <c r="L1913" t="s">
        <v>43</v>
      </c>
      <c r="M1913">
        <v>4</v>
      </c>
      <c r="N1913">
        <v>1.18</v>
      </c>
      <c r="O1913" t="str">
        <f t="shared" si="59"/>
        <v>1+ hours</v>
      </c>
      <c r="P1913" t="s">
        <v>30</v>
      </c>
    </row>
    <row r="1914" spans="1:16" x14ac:dyDescent="0.4">
      <c r="A1914" t="s">
        <v>1955</v>
      </c>
      <c r="B1914">
        <v>23</v>
      </c>
      <c r="C1914" t="s">
        <v>15</v>
      </c>
      <c r="D1914" t="s">
        <v>32</v>
      </c>
      <c r="E1914">
        <v>4.46</v>
      </c>
      <c r="F1914">
        <v>50</v>
      </c>
      <c r="G1914" t="s">
        <v>70</v>
      </c>
      <c r="H1914" t="s">
        <v>55</v>
      </c>
      <c r="I1914" s="2">
        <v>17.989999999999998</v>
      </c>
      <c r="J1914">
        <v>1</v>
      </c>
      <c r="K1914" s="2">
        <f t="shared" si="58"/>
        <v>17.989999999999998</v>
      </c>
      <c r="L1914" t="s">
        <v>29</v>
      </c>
      <c r="M1914">
        <v>3</v>
      </c>
      <c r="N1914">
        <v>0.09</v>
      </c>
      <c r="O1914" t="str">
        <f t="shared" si="59"/>
        <v>0–0.2 hours</v>
      </c>
      <c r="P1914" t="s">
        <v>34</v>
      </c>
    </row>
    <row r="1915" spans="1:16" x14ac:dyDescent="0.4">
      <c r="A1915" t="s">
        <v>1956</v>
      </c>
      <c r="B1915">
        <v>34</v>
      </c>
      <c r="C1915" t="s">
        <v>41</v>
      </c>
      <c r="D1915" t="s">
        <v>22</v>
      </c>
      <c r="E1915">
        <v>4.26</v>
      </c>
      <c r="F1915">
        <v>22</v>
      </c>
      <c r="G1915" t="s">
        <v>49</v>
      </c>
      <c r="H1915" t="s">
        <v>46</v>
      </c>
      <c r="I1915" s="2">
        <v>13.99</v>
      </c>
      <c r="J1915">
        <v>1</v>
      </c>
      <c r="K1915" s="2">
        <f t="shared" si="58"/>
        <v>13.99</v>
      </c>
      <c r="L1915" t="s">
        <v>61</v>
      </c>
      <c r="M1915">
        <v>3</v>
      </c>
      <c r="N1915">
        <v>0.19</v>
      </c>
      <c r="O1915" t="str">
        <f t="shared" si="59"/>
        <v>0–0.2 hours</v>
      </c>
      <c r="P1915" t="s">
        <v>25</v>
      </c>
    </row>
    <row r="1916" spans="1:16" x14ac:dyDescent="0.4">
      <c r="A1916" t="s">
        <v>1957</v>
      </c>
      <c r="B1916">
        <v>57</v>
      </c>
      <c r="C1916" t="s">
        <v>27</v>
      </c>
      <c r="D1916" t="s">
        <v>16</v>
      </c>
      <c r="E1916">
        <v>14.31</v>
      </c>
      <c r="F1916">
        <v>0</v>
      </c>
      <c r="G1916" t="s">
        <v>33</v>
      </c>
      <c r="H1916" t="s">
        <v>24</v>
      </c>
      <c r="I1916" s="2">
        <v>8.99</v>
      </c>
      <c r="J1916">
        <v>0</v>
      </c>
      <c r="K1916" s="2">
        <f t="shared" si="58"/>
        <v>0</v>
      </c>
      <c r="L1916" t="s">
        <v>43</v>
      </c>
      <c r="M1916">
        <v>5</v>
      </c>
      <c r="N1916">
        <v>14.31</v>
      </c>
      <c r="O1916" t="str">
        <f t="shared" si="59"/>
        <v>1+ hours</v>
      </c>
      <c r="P1916" t="s">
        <v>39</v>
      </c>
    </row>
    <row r="1917" spans="1:16" x14ac:dyDescent="0.4">
      <c r="A1917" t="s">
        <v>1958</v>
      </c>
      <c r="B1917">
        <v>52</v>
      </c>
      <c r="C1917" t="s">
        <v>41</v>
      </c>
      <c r="D1917" t="s">
        <v>32</v>
      </c>
      <c r="E1917">
        <v>45.18</v>
      </c>
      <c r="F1917">
        <v>45</v>
      </c>
      <c r="G1917" t="s">
        <v>17</v>
      </c>
      <c r="H1917" t="s">
        <v>18</v>
      </c>
      <c r="I1917" s="2">
        <v>17.989999999999998</v>
      </c>
      <c r="J1917">
        <v>0</v>
      </c>
      <c r="K1917" s="2">
        <f t="shared" si="58"/>
        <v>0</v>
      </c>
      <c r="L1917" t="s">
        <v>19</v>
      </c>
      <c r="M1917">
        <v>5</v>
      </c>
      <c r="N1917">
        <v>0.98</v>
      </c>
      <c r="O1917" t="str">
        <f t="shared" si="59"/>
        <v>0.8–1 hour</v>
      </c>
      <c r="P1917" t="s">
        <v>20</v>
      </c>
    </row>
    <row r="1918" spans="1:16" x14ac:dyDescent="0.4">
      <c r="A1918" t="s">
        <v>1959</v>
      </c>
      <c r="B1918">
        <v>59</v>
      </c>
      <c r="C1918" t="s">
        <v>27</v>
      </c>
      <c r="D1918" t="s">
        <v>22</v>
      </c>
      <c r="E1918">
        <v>23.07</v>
      </c>
      <c r="F1918">
        <v>56</v>
      </c>
      <c r="G1918" t="s">
        <v>70</v>
      </c>
      <c r="H1918" t="s">
        <v>18</v>
      </c>
      <c r="I1918" s="2">
        <v>13.99</v>
      </c>
      <c r="J1918">
        <v>0</v>
      </c>
      <c r="K1918" s="2">
        <f t="shared" si="58"/>
        <v>0</v>
      </c>
      <c r="L1918" t="s">
        <v>61</v>
      </c>
      <c r="M1918">
        <v>2</v>
      </c>
      <c r="N1918">
        <v>0.4</v>
      </c>
      <c r="O1918" t="str">
        <f t="shared" si="59"/>
        <v>0.2–0.4 hours</v>
      </c>
      <c r="P1918" t="s">
        <v>39</v>
      </c>
    </row>
    <row r="1919" spans="1:16" x14ac:dyDescent="0.4">
      <c r="A1919" t="s">
        <v>1960</v>
      </c>
      <c r="B1919">
        <v>26</v>
      </c>
      <c r="C1919" t="s">
        <v>41</v>
      </c>
      <c r="D1919" t="s">
        <v>32</v>
      </c>
      <c r="E1919">
        <v>3.67</v>
      </c>
      <c r="F1919">
        <v>2</v>
      </c>
      <c r="G1919" t="s">
        <v>70</v>
      </c>
      <c r="H1919" t="s">
        <v>55</v>
      </c>
      <c r="I1919" s="2">
        <v>17.989999999999998</v>
      </c>
      <c r="J1919">
        <v>0</v>
      </c>
      <c r="K1919" s="2">
        <f t="shared" si="58"/>
        <v>0</v>
      </c>
      <c r="L1919" t="s">
        <v>19</v>
      </c>
      <c r="M1919">
        <v>1</v>
      </c>
      <c r="N1919">
        <v>1.22</v>
      </c>
      <c r="O1919" t="str">
        <f t="shared" si="59"/>
        <v>1+ hours</v>
      </c>
      <c r="P1919" t="s">
        <v>52</v>
      </c>
    </row>
    <row r="1920" spans="1:16" x14ac:dyDescent="0.4">
      <c r="A1920" t="s">
        <v>1961</v>
      </c>
      <c r="B1920">
        <v>40</v>
      </c>
      <c r="C1920" t="s">
        <v>41</v>
      </c>
      <c r="D1920" t="s">
        <v>16</v>
      </c>
      <c r="E1920">
        <v>14.79</v>
      </c>
      <c r="F1920">
        <v>4</v>
      </c>
      <c r="G1920" t="s">
        <v>70</v>
      </c>
      <c r="H1920" t="s">
        <v>18</v>
      </c>
      <c r="I1920" s="2">
        <v>8.99</v>
      </c>
      <c r="J1920">
        <v>0</v>
      </c>
      <c r="K1920" s="2">
        <f t="shared" si="58"/>
        <v>0</v>
      </c>
      <c r="L1920" t="s">
        <v>43</v>
      </c>
      <c r="M1920">
        <v>3</v>
      </c>
      <c r="N1920">
        <v>2.96</v>
      </c>
      <c r="O1920" t="str">
        <f t="shared" si="59"/>
        <v>1+ hours</v>
      </c>
      <c r="P1920" t="s">
        <v>25</v>
      </c>
    </row>
    <row r="1921" spans="1:16" x14ac:dyDescent="0.4">
      <c r="A1921" t="s">
        <v>1962</v>
      </c>
      <c r="B1921">
        <v>28</v>
      </c>
      <c r="C1921" t="s">
        <v>41</v>
      </c>
      <c r="D1921" t="s">
        <v>22</v>
      </c>
      <c r="E1921">
        <v>1.17</v>
      </c>
      <c r="F1921">
        <v>34</v>
      </c>
      <c r="G1921" t="s">
        <v>28</v>
      </c>
      <c r="H1921" t="s">
        <v>46</v>
      </c>
      <c r="I1921" s="2">
        <v>13.99</v>
      </c>
      <c r="J1921">
        <v>1</v>
      </c>
      <c r="K1921" s="2">
        <f t="shared" si="58"/>
        <v>13.99</v>
      </c>
      <c r="L1921" t="s">
        <v>43</v>
      </c>
      <c r="M1921">
        <v>4</v>
      </c>
      <c r="N1921">
        <v>0.03</v>
      </c>
      <c r="O1921" t="str">
        <f t="shared" si="59"/>
        <v>0–0.2 hours</v>
      </c>
      <c r="P1921" t="s">
        <v>47</v>
      </c>
    </row>
    <row r="1922" spans="1:16" x14ac:dyDescent="0.4">
      <c r="A1922" t="s">
        <v>1963</v>
      </c>
      <c r="B1922">
        <v>50</v>
      </c>
      <c r="C1922" t="s">
        <v>41</v>
      </c>
      <c r="D1922" t="s">
        <v>22</v>
      </c>
      <c r="E1922">
        <v>13.5</v>
      </c>
      <c r="F1922">
        <v>49</v>
      </c>
      <c r="G1922" t="s">
        <v>28</v>
      </c>
      <c r="H1922" t="s">
        <v>57</v>
      </c>
      <c r="I1922" s="2">
        <v>13.99</v>
      </c>
      <c r="J1922">
        <v>1</v>
      </c>
      <c r="K1922" s="2">
        <f t="shared" si="58"/>
        <v>13.99</v>
      </c>
      <c r="L1922" t="s">
        <v>61</v>
      </c>
      <c r="M1922">
        <v>2</v>
      </c>
      <c r="N1922">
        <v>0.27</v>
      </c>
      <c r="O1922" t="str">
        <f t="shared" si="59"/>
        <v>0.2–0.4 hours</v>
      </c>
      <c r="P1922" t="s">
        <v>30</v>
      </c>
    </row>
    <row r="1923" spans="1:16" x14ac:dyDescent="0.4">
      <c r="A1923" t="s">
        <v>1964</v>
      </c>
      <c r="B1923">
        <v>37</v>
      </c>
      <c r="C1923" t="s">
        <v>41</v>
      </c>
      <c r="D1923" t="s">
        <v>22</v>
      </c>
      <c r="E1923">
        <v>4.6500000000000004</v>
      </c>
      <c r="F1923">
        <v>15</v>
      </c>
      <c r="G1923" t="s">
        <v>17</v>
      </c>
      <c r="H1923" t="s">
        <v>46</v>
      </c>
      <c r="I1923" s="2">
        <v>13.99</v>
      </c>
      <c r="J1923">
        <v>1</v>
      </c>
      <c r="K1923" s="2">
        <f t="shared" ref="K1923:K1986" si="60">SUMIF(J1923,1,I1923)</f>
        <v>13.99</v>
      </c>
      <c r="L1923" t="s">
        <v>61</v>
      </c>
      <c r="M1923">
        <v>3</v>
      </c>
      <c r="N1923">
        <v>0.28999999999999998</v>
      </c>
      <c r="O1923" t="str">
        <f t="shared" ref="O1923:O1986" si="61">IF(N1923&gt;1,"1+ hours",IF(N1923&lt;=0.2,"0–0.2 hours",IF(N1923&lt;=0.4,"0.2–0.4 hours",IF(N1923&lt;=0.6,"0.4–0.6 hours",IF(N1923&lt;=0.8,"0.6–0.8 hours","0.8–1 hour")))))</f>
        <v>0.2–0.4 hours</v>
      </c>
      <c r="P1923" t="s">
        <v>34</v>
      </c>
    </row>
    <row r="1924" spans="1:16" x14ac:dyDescent="0.4">
      <c r="A1924" t="s">
        <v>1965</v>
      </c>
      <c r="B1924">
        <v>26</v>
      </c>
      <c r="C1924" t="s">
        <v>41</v>
      </c>
      <c r="D1924" t="s">
        <v>32</v>
      </c>
      <c r="E1924">
        <v>11.88</v>
      </c>
      <c r="F1924">
        <v>25</v>
      </c>
      <c r="G1924" t="s">
        <v>23</v>
      </c>
      <c r="H1924" t="s">
        <v>46</v>
      </c>
      <c r="I1924" s="2">
        <v>17.989999999999998</v>
      </c>
      <c r="J1924">
        <v>0</v>
      </c>
      <c r="K1924" s="2">
        <f t="shared" si="60"/>
        <v>0</v>
      </c>
      <c r="L1924" t="s">
        <v>19</v>
      </c>
      <c r="M1924">
        <v>3</v>
      </c>
      <c r="N1924">
        <v>0.46</v>
      </c>
      <c r="O1924" t="str">
        <f t="shared" si="61"/>
        <v>0.4–0.6 hours</v>
      </c>
      <c r="P1924" t="s">
        <v>30</v>
      </c>
    </row>
    <row r="1925" spans="1:16" x14ac:dyDescent="0.4">
      <c r="A1925" t="s">
        <v>1966</v>
      </c>
      <c r="B1925">
        <v>64</v>
      </c>
      <c r="C1925" t="s">
        <v>27</v>
      </c>
      <c r="D1925" t="s">
        <v>16</v>
      </c>
      <c r="E1925">
        <v>3.25</v>
      </c>
      <c r="F1925">
        <v>44</v>
      </c>
      <c r="G1925" t="s">
        <v>28</v>
      </c>
      <c r="H1925" t="s">
        <v>46</v>
      </c>
      <c r="I1925" s="2">
        <v>8.99</v>
      </c>
      <c r="J1925">
        <v>1</v>
      </c>
      <c r="K1925" s="2">
        <f t="shared" si="60"/>
        <v>8.99</v>
      </c>
      <c r="L1925" t="s">
        <v>61</v>
      </c>
      <c r="M1925">
        <v>1</v>
      </c>
      <c r="N1925">
        <v>7.0000000000000007E-2</v>
      </c>
      <c r="O1925" t="str">
        <f t="shared" si="61"/>
        <v>0–0.2 hours</v>
      </c>
      <c r="P1925" t="s">
        <v>30</v>
      </c>
    </row>
    <row r="1926" spans="1:16" x14ac:dyDescent="0.4">
      <c r="A1926" t="s">
        <v>1967</v>
      </c>
      <c r="B1926">
        <v>69</v>
      </c>
      <c r="C1926" t="s">
        <v>27</v>
      </c>
      <c r="D1926" t="s">
        <v>16</v>
      </c>
      <c r="E1926">
        <v>4.8099999999999996</v>
      </c>
      <c r="F1926">
        <v>46</v>
      </c>
      <c r="G1926" t="s">
        <v>70</v>
      </c>
      <c r="H1926" t="s">
        <v>46</v>
      </c>
      <c r="I1926" s="2">
        <v>8.99</v>
      </c>
      <c r="J1926">
        <v>1</v>
      </c>
      <c r="K1926" s="2">
        <f t="shared" si="60"/>
        <v>8.99</v>
      </c>
      <c r="L1926" t="s">
        <v>37</v>
      </c>
      <c r="M1926">
        <v>3</v>
      </c>
      <c r="N1926">
        <v>0.1</v>
      </c>
      <c r="O1926" t="str">
        <f t="shared" si="61"/>
        <v>0–0.2 hours</v>
      </c>
      <c r="P1926" t="s">
        <v>20</v>
      </c>
    </row>
    <row r="1927" spans="1:16" x14ac:dyDescent="0.4">
      <c r="A1927" t="s">
        <v>1968</v>
      </c>
      <c r="B1927">
        <v>29</v>
      </c>
      <c r="C1927" t="s">
        <v>41</v>
      </c>
      <c r="D1927" t="s">
        <v>32</v>
      </c>
      <c r="E1927">
        <v>7.54</v>
      </c>
      <c r="F1927">
        <v>10</v>
      </c>
      <c r="G1927" t="s">
        <v>23</v>
      </c>
      <c r="H1927" t="s">
        <v>24</v>
      </c>
      <c r="I1927" s="2">
        <v>17.989999999999998</v>
      </c>
      <c r="J1927">
        <v>0</v>
      </c>
      <c r="K1927" s="2">
        <f t="shared" si="60"/>
        <v>0</v>
      </c>
      <c r="L1927" t="s">
        <v>37</v>
      </c>
      <c r="M1927">
        <v>3</v>
      </c>
      <c r="N1927">
        <v>0.69</v>
      </c>
      <c r="O1927" t="str">
        <f t="shared" si="61"/>
        <v>0.6–0.8 hours</v>
      </c>
      <c r="P1927" t="s">
        <v>20</v>
      </c>
    </row>
    <row r="1928" spans="1:16" x14ac:dyDescent="0.4">
      <c r="A1928" t="s">
        <v>1969</v>
      </c>
      <c r="B1928">
        <v>36</v>
      </c>
      <c r="C1928" t="s">
        <v>15</v>
      </c>
      <c r="D1928" t="s">
        <v>16</v>
      </c>
      <c r="E1928">
        <v>13.88</v>
      </c>
      <c r="F1928">
        <v>27</v>
      </c>
      <c r="G1928" t="s">
        <v>49</v>
      </c>
      <c r="H1928" t="s">
        <v>18</v>
      </c>
      <c r="I1928" s="2">
        <v>8.99</v>
      </c>
      <c r="J1928">
        <v>0</v>
      </c>
      <c r="K1928" s="2">
        <f t="shared" si="60"/>
        <v>0</v>
      </c>
      <c r="L1928" t="s">
        <v>43</v>
      </c>
      <c r="M1928">
        <v>3</v>
      </c>
      <c r="N1928">
        <v>0.5</v>
      </c>
      <c r="O1928" t="str">
        <f t="shared" si="61"/>
        <v>0.4–0.6 hours</v>
      </c>
      <c r="P1928" t="s">
        <v>34</v>
      </c>
    </row>
    <row r="1929" spans="1:16" x14ac:dyDescent="0.4">
      <c r="A1929" t="s">
        <v>1970</v>
      </c>
      <c r="B1929">
        <v>55</v>
      </c>
      <c r="C1929" t="s">
        <v>27</v>
      </c>
      <c r="D1929" t="s">
        <v>22</v>
      </c>
      <c r="E1929">
        <v>3.68</v>
      </c>
      <c r="F1929">
        <v>35</v>
      </c>
      <c r="G1929" t="s">
        <v>70</v>
      </c>
      <c r="H1929" t="s">
        <v>46</v>
      </c>
      <c r="I1929" s="2">
        <v>13.99</v>
      </c>
      <c r="J1929">
        <v>1</v>
      </c>
      <c r="K1929" s="2">
        <f t="shared" si="60"/>
        <v>13.99</v>
      </c>
      <c r="L1929" t="s">
        <v>29</v>
      </c>
      <c r="M1929">
        <v>5</v>
      </c>
      <c r="N1929">
        <v>0.1</v>
      </c>
      <c r="O1929" t="str">
        <f t="shared" si="61"/>
        <v>0–0.2 hours</v>
      </c>
      <c r="P1929" t="s">
        <v>34</v>
      </c>
    </row>
    <row r="1930" spans="1:16" x14ac:dyDescent="0.4">
      <c r="A1930" t="s">
        <v>1971</v>
      </c>
      <c r="B1930">
        <v>35</v>
      </c>
      <c r="C1930" t="s">
        <v>41</v>
      </c>
      <c r="D1930" t="s">
        <v>32</v>
      </c>
      <c r="E1930">
        <v>9.2100000000000009</v>
      </c>
      <c r="F1930">
        <v>34</v>
      </c>
      <c r="G1930" t="s">
        <v>70</v>
      </c>
      <c r="H1930" t="s">
        <v>57</v>
      </c>
      <c r="I1930" s="2">
        <v>17.989999999999998</v>
      </c>
      <c r="J1930">
        <v>0</v>
      </c>
      <c r="K1930" s="2">
        <f t="shared" si="60"/>
        <v>0</v>
      </c>
      <c r="L1930" t="s">
        <v>43</v>
      </c>
      <c r="M1930">
        <v>5</v>
      </c>
      <c r="N1930">
        <v>0.26</v>
      </c>
      <c r="O1930" t="str">
        <f t="shared" si="61"/>
        <v>0.2–0.4 hours</v>
      </c>
      <c r="P1930" t="s">
        <v>25</v>
      </c>
    </row>
    <row r="1931" spans="1:16" x14ac:dyDescent="0.4">
      <c r="A1931" t="s">
        <v>1972</v>
      </c>
      <c r="B1931">
        <v>62</v>
      </c>
      <c r="C1931" t="s">
        <v>27</v>
      </c>
      <c r="D1931" t="s">
        <v>32</v>
      </c>
      <c r="E1931">
        <v>25.53</v>
      </c>
      <c r="F1931">
        <v>51</v>
      </c>
      <c r="G1931" t="s">
        <v>33</v>
      </c>
      <c r="H1931" t="s">
        <v>46</v>
      </c>
      <c r="I1931" s="2">
        <v>17.989999999999998</v>
      </c>
      <c r="J1931">
        <v>0</v>
      </c>
      <c r="K1931" s="2">
        <f t="shared" si="60"/>
        <v>0</v>
      </c>
      <c r="L1931" t="s">
        <v>43</v>
      </c>
      <c r="M1931">
        <v>3</v>
      </c>
      <c r="N1931">
        <v>0.49</v>
      </c>
      <c r="O1931" t="str">
        <f t="shared" si="61"/>
        <v>0.4–0.6 hours</v>
      </c>
      <c r="P1931" t="s">
        <v>20</v>
      </c>
    </row>
    <row r="1932" spans="1:16" x14ac:dyDescent="0.4">
      <c r="A1932" t="s">
        <v>1973</v>
      </c>
      <c r="B1932">
        <v>44</v>
      </c>
      <c r="C1932" t="s">
        <v>41</v>
      </c>
      <c r="D1932" t="s">
        <v>16</v>
      </c>
      <c r="E1932">
        <v>0.6</v>
      </c>
      <c r="F1932">
        <v>47</v>
      </c>
      <c r="G1932" t="s">
        <v>17</v>
      </c>
      <c r="H1932" t="s">
        <v>55</v>
      </c>
      <c r="I1932" s="2">
        <v>8.99</v>
      </c>
      <c r="J1932">
        <v>1</v>
      </c>
      <c r="K1932" s="2">
        <f t="shared" si="60"/>
        <v>8.99</v>
      </c>
      <c r="L1932" t="s">
        <v>43</v>
      </c>
      <c r="M1932">
        <v>5</v>
      </c>
      <c r="N1932">
        <v>0.01</v>
      </c>
      <c r="O1932" t="str">
        <f t="shared" si="61"/>
        <v>0–0.2 hours</v>
      </c>
      <c r="P1932" t="s">
        <v>47</v>
      </c>
    </row>
    <row r="1933" spans="1:16" x14ac:dyDescent="0.4">
      <c r="A1933" t="s">
        <v>1974</v>
      </c>
      <c r="B1933">
        <v>35</v>
      </c>
      <c r="C1933" t="s">
        <v>15</v>
      </c>
      <c r="D1933" t="s">
        <v>32</v>
      </c>
      <c r="E1933">
        <v>2.4300000000000002</v>
      </c>
      <c r="F1933">
        <v>58</v>
      </c>
      <c r="G1933" t="s">
        <v>17</v>
      </c>
      <c r="H1933" t="s">
        <v>18</v>
      </c>
      <c r="I1933" s="2">
        <v>17.989999999999998</v>
      </c>
      <c r="J1933">
        <v>1</v>
      </c>
      <c r="K1933" s="2">
        <f t="shared" si="60"/>
        <v>17.989999999999998</v>
      </c>
      <c r="L1933" t="s">
        <v>61</v>
      </c>
      <c r="M1933">
        <v>2</v>
      </c>
      <c r="N1933">
        <v>0.04</v>
      </c>
      <c r="O1933" t="str">
        <f t="shared" si="61"/>
        <v>0–0.2 hours</v>
      </c>
      <c r="P1933" t="s">
        <v>20</v>
      </c>
    </row>
    <row r="1934" spans="1:16" x14ac:dyDescent="0.4">
      <c r="A1934" t="s">
        <v>1975</v>
      </c>
      <c r="B1934">
        <v>64</v>
      </c>
      <c r="C1934" t="s">
        <v>27</v>
      </c>
      <c r="D1934" t="s">
        <v>32</v>
      </c>
      <c r="E1934">
        <v>8.24</v>
      </c>
      <c r="F1934">
        <v>29</v>
      </c>
      <c r="G1934" t="s">
        <v>33</v>
      </c>
      <c r="H1934" t="s">
        <v>24</v>
      </c>
      <c r="I1934" s="2">
        <v>17.989999999999998</v>
      </c>
      <c r="J1934">
        <v>0</v>
      </c>
      <c r="K1934" s="2">
        <f t="shared" si="60"/>
        <v>0</v>
      </c>
      <c r="L1934" t="s">
        <v>19</v>
      </c>
      <c r="M1934">
        <v>5</v>
      </c>
      <c r="N1934">
        <v>0.27</v>
      </c>
      <c r="O1934" t="str">
        <f t="shared" si="61"/>
        <v>0.2–0.4 hours</v>
      </c>
      <c r="P1934" t="s">
        <v>20</v>
      </c>
    </row>
    <row r="1935" spans="1:16" x14ac:dyDescent="0.4">
      <c r="A1935" t="s">
        <v>1976</v>
      </c>
      <c r="B1935">
        <v>45</v>
      </c>
      <c r="C1935" t="s">
        <v>27</v>
      </c>
      <c r="D1935" t="s">
        <v>22</v>
      </c>
      <c r="E1935">
        <v>2.52</v>
      </c>
      <c r="F1935">
        <v>23</v>
      </c>
      <c r="G1935" t="s">
        <v>23</v>
      </c>
      <c r="H1935" t="s">
        <v>55</v>
      </c>
      <c r="I1935" s="2">
        <v>13.99</v>
      </c>
      <c r="J1935">
        <v>1</v>
      </c>
      <c r="K1935" s="2">
        <f t="shared" si="60"/>
        <v>13.99</v>
      </c>
      <c r="L1935" t="s">
        <v>37</v>
      </c>
      <c r="M1935">
        <v>1</v>
      </c>
      <c r="N1935">
        <v>0.1</v>
      </c>
      <c r="O1935" t="str">
        <f t="shared" si="61"/>
        <v>0–0.2 hours</v>
      </c>
      <c r="P1935" t="s">
        <v>52</v>
      </c>
    </row>
    <row r="1936" spans="1:16" x14ac:dyDescent="0.4">
      <c r="A1936" t="s">
        <v>1977</v>
      </c>
      <c r="B1936">
        <v>55</v>
      </c>
      <c r="C1936" t="s">
        <v>15</v>
      </c>
      <c r="D1936" t="s">
        <v>32</v>
      </c>
      <c r="E1936">
        <v>10.130000000000001</v>
      </c>
      <c r="F1936">
        <v>13</v>
      </c>
      <c r="G1936" t="s">
        <v>33</v>
      </c>
      <c r="H1936" t="s">
        <v>46</v>
      </c>
      <c r="I1936" s="2">
        <v>17.989999999999998</v>
      </c>
      <c r="J1936">
        <v>0</v>
      </c>
      <c r="K1936" s="2">
        <f t="shared" si="60"/>
        <v>0</v>
      </c>
      <c r="L1936" t="s">
        <v>43</v>
      </c>
      <c r="M1936">
        <v>3</v>
      </c>
      <c r="N1936">
        <v>0.72</v>
      </c>
      <c r="O1936" t="str">
        <f t="shared" si="61"/>
        <v>0.6–0.8 hours</v>
      </c>
      <c r="P1936" t="s">
        <v>39</v>
      </c>
    </row>
    <row r="1937" spans="1:16" x14ac:dyDescent="0.4">
      <c r="A1937" t="s">
        <v>1978</v>
      </c>
      <c r="B1937">
        <v>45</v>
      </c>
      <c r="C1937" t="s">
        <v>15</v>
      </c>
      <c r="D1937" t="s">
        <v>22</v>
      </c>
      <c r="E1937">
        <v>6.84</v>
      </c>
      <c r="F1937">
        <v>40</v>
      </c>
      <c r="G1937" t="s">
        <v>49</v>
      </c>
      <c r="H1937" t="s">
        <v>57</v>
      </c>
      <c r="I1937" s="2">
        <v>13.99</v>
      </c>
      <c r="J1937">
        <v>1</v>
      </c>
      <c r="K1937" s="2">
        <f t="shared" si="60"/>
        <v>13.99</v>
      </c>
      <c r="L1937" t="s">
        <v>29</v>
      </c>
      <c r="M1937">
        <v>2</v>
      </c>
      <c r="N1937">
        <v>0.17</v>
      </c>
      <c r="O1937" t="str">
        <f t="shared" si="61"/>
        <v>0–0.2 hours</v>
      </c>
      <c r="P1937" t="s">
        <v>52</v>
      </c>
    </row>
    <row r="1938" spans="1:16" x14ac:dyDescent="0.4">
      <c r="A1938" t="s">
        <v>1979</v>
      </c>
      <c r="B1938">
        <v>52</v>
      </c>
      <c r="C1938" t="s">
        <v>41</v>
      </c>
      <c r="D1938" t="s">
        <v>32</v>
      </c>
      <c r="E1938">
        <v>1.81</v>
      </c>
      <c r="F1938">
        <v>23</v>
      </c>
      <c r="G1938" t="s">
        <v>70</v>
      </c>
      <c r="H1938" t="s">
        <v>24</v>
      </c>
      <c r="I1938" s="2">
        <v>17.989999999999998</v>
      </c>
      <c r="J1938">
        <v>1</v>
      </c>
      <c r="K1938" s="2">
        <f t="shared" si="60"/>
        <v>17.989999999999998</v>
      </c>
      <c r="L1938" t="s">
        <v>37</v>
      </c>
      <c r="M1938">
        <v>3</v>
      </c>
      <c r="N1938">
        <v>0.08</v>
      </c>
      <c r="O1938" t="str">
        <f t="shared" si="61"/>
        <v>0–0.2 hours</v>
      </c>
      <c r="P1938" t="s">
        <v>52</v>
      </c>
    </row>
    <row r="1939" spans="1:16" x14ac:dyDescent="0.4">
      <c r="A1939" t="s">
        <v>1980</v>
      </c>
      <c r="B1939">
        <v>63</v>
      </c>
      <c r="C1939" t="s">
        <v>15</v>
      </c>
      <c r="D1939" t="s">
        <v>22</v>
      </c>
      <c r="E1939">
        <v>11.43</v>
      </c>
      <c r="F1939">
        <v>49</v>
      </c>
      <c r="G1939" t="s">
        <v>23</v>
      </c>
      <c r="H1939" t="s">
        <v>18</v>
      </c>
      <c r="I1939" s="2">
        <v>13.99</v>
      </c>
      <c r="J1939">
        <v>1</v>
      </c>
      <c r="K1939" s="2">
        <f t="shared" si="60"/>
        <v>13.99</v>
      </c>
      <c r="L1939" t="s">
        <v>37</v>
      </c>
      <c r="M1939">
        <v>1</v>
      </c>
      <c r="N1939">
        <v>0.23</v>
      </c>
      <c r="O1939" t="str">
        <f t="shared" si="61"/>
        <v>0.2–0.4 hours</v>
      </c>
      <c r="P1939" t="s">
        <v>34</v>
      </c>
    </row>
    <row r="1940" spans="1:16" x14ac:dyDescent="0.4">
      <c r="A1940" t="s">
        <v>1981</v>
      </c>
      <c r="B1940">
        <v>33</v>
      </c>
      <c r="C1940" t="s">
        <v>15</v>
      </c>
      <c r="D1940" t="s">
        <v>16</v>
      </c>
      <c r="E1940">
        <v>33.229999999999997</v>
      </c>
      <c r="F1940">
        <v>58</v>
      </c>
      <c r="G1940" t="s">
        <v>33</v>
      </c>
      <c r="H1940" t="s">
        <v>18</v>
      </c>
      <c r="I1940" s="2">
        <v>8.99</v>
      </c>
      <c r="J1940">
        <v>0</v>
      </c>
      <c r="K1940" s="2">
        <f t="shared" si="60"/>
        <v>0</v>
      </c>
      <c r="L1940" t="s">
        <v>37</v>
      </c>
      <c r="M1940">
        <v>5</v>
      </c>
      <c r="N1940">
        <v>0.56000000000000005</v>
      </c>
      <c r="O1940" t="str">
        <f t="shared" si="61"/>
        <v>0.4–0.6 hours</v>
      </c>
      <c r="P1940" t="s">
        <v>39</v>
      </c>
    </row>
    <row r="1941" spans="1:16" x14ac:dyDescent="0.4">
      <c r="A1941" t="s">
        <v>1982</v>
      </c>
      <c r="B1941">
        <v>34</v>
      </c>
      <c r="C1941" t="s">
        <v>27</v>
      </c>
      <c r="D1941" t="s">
        <v>32</v>
      </c>
      <c r="E1941">
        <v>4.59</v>
      </c>
      <c r="F1941">
        <v>31</v>
      </c>
      <c r="G1941" t="s">
        <v>33</v>
      </c>
      <c r="H1941" t="s">
        <v>55</v>
      </c>
      <c r="I1941" s="2">
        <v>17.989999999999998</v>
      </c>
      <c r="J1941">
        <v>1</v>
      </c>
      <c r="K1941" s="2">
        <f t="shared" si="60"/>
        <v>17.989999999999998</v>
      </c>
      <c r="L1941" t="s">
        <v>19</v>
      </c>
      <c r="M1941">
        <v>2</v>
      </c>
      <c r="N1941">
        <v>0.14000000000000001</v>
      </c>
      <c r="O1941" t="str">
        <f t="shared" si="61"/>
        <v>0–0.2 hours</v>
      </c>
      <c r="P1941" t="s">
        <v>25</v>
      </c>
    </row>
    <row r="1942" spans="1:16" x14ac:dyDescent="0.4">
      <c r="A1942" t="s">
        <v>1983</v>
      </c>
      <c r="B1942">
        <v>37</v>
      </c>
      <c r="C1942" t="s">
        <v>27</v>
      </c>
      <c r="D1942" t="s">
        <v>22</v>
      </c>
      <c r="E1942">
        <v>10.29</v>
      </c>
      <c r="F1942">
        <v>49</v>
      </c>
      <c r="G1942" t="s">
        <v>49</v>
      </c>
      <c r="H1942" t="s">
        <v>55</v>
      </c>
      <c r="I1942" s="2">
        <v>13.99</v>
      </c>
      <c r="J1942">
        <v>1</v>
      </c>
      <c r="K1942" s="2">
        <f t="shared" si="60"/>
        <v>13.99</v>
      </c>
      <c r="L1942" t="s">
        <v>29</v>
      </c>
      <c r="M1942">
        <v>1</v>
      </c>
      <c r="N1942">
        <v>0.21</v>
      </c>
      <c r="O1942" t="str">
        <f t="shared" si="61"/>
        <v>0.2–0.4 hours</v>
      </c>
      <c r="P1942" t="s">
        <v>30</v>
      </c>
    </row>
    <row r="1943" spans="1:16" x14ac:dyDescent="0.4">
      <c r="A1943" t="s">
        <v>1984</v>
      </c>
      <c r="B1943">
        <v>25</v>
      </c>
      <c r="C1943" t="s">
        <v>41</v>
      </c>
      <c r="D1943" t="s">
        <v>22</v>
      </c>
      <c r="E1943">
        <v>2.96</v>
      </c>
      <c r="F1943">
        <v>25</v>
      </c>
      <c r="G1943" t="s">
        <v>17</v>
      </c>
      <c r="H1943" t="s">
        <v>46</v>
      </c>
      <c r="I1943" s="2">
        <v>13.99</v>
      </c>
      <c r="J1943">
        <v>1</v>
      </c>
      <c r="K1943" s="2">
        <f t="shared" si="60"/>
        <v>13.99</v>
      </c>
      <c r="L1943" t="s">
        <v>61</v>
      </c>
      <c r="M1943">
        <v>1</v>
      </c>
      <c r="N1943">
        <v>0.11</v>
      </c>
      <c r="O1943" t="str">
        <f t="shared" si="61"/>
        <v>0–0.2 hours</v>
      </c>
      <c r="P1943" t="s">
        <v>47</v>
      </c>
    </row>
    <row r="1944" spans="1:16" x14ac:dyDescent="0.4">
      <c r="A1944" t="s">
        <v>1985</v>
      </c>
      <c r="B1944">
        <v>46</v>
      </c>
      <c r="C1944" t="s">
        <v>15</v>
      </c>
      <c r="D1944" t="s">
        <v>32</v>
      </c>
      <c r="E1944">
        <v>30.01</v>
      </c>
      <c r="F1944">
        <v>56</v>
      </c>
      <c r="G1944" t="s">
        <v>70</v>
      </c>
      <c r="H1944" t="s">
        <v>24</v>
      </c>
      <c r="I1944" s="2">
        <v>17.989999999999998</v>
      </c>
      <c r="J1944">
        <v>0</v>
      </c>
      <c r="K1944" s="2">
        <f t="shared" si="60"/>
        <v>0</v>
      </c>
      <c r="L1944" t="s">
        <v>19</v>
      </c>
      <c r="M1944">
        <v>5</v>
      </c>
      <c r="N1944">
        <v>0.53</v>
      </c>
      <c r="O1944" t="str">
        <f t="shared" si="61"/>
        <v>0.4–0.6 hours</v>
      </c>
      <c r="P1944" t="s">
        <v>39</v>
      </c>
    </row>
    <row r="1945" spans="1:16" x14ac:dyDescent="0.4">
      <c r="A1945" t="s">
        <v>1986</v>
      </c>
      <c r="B1945">
        <v>63</v>
      </c>
      <c r="C1945" t="s">
        <v>41</v>
      </c>
      <c r="D1945" t="s">
        <v>22</v>
      </c>
      <c r="E1945">
        <v>26.63</v>
      </c>
      <c r="F1945">
        <v>31</v>
      </c>
      <c r="G1945" t="s">
        <v>28</v>
      </c>
      <c r="H1945" t="s">
        <v>18</v>
      </c>
      <c r="I1945" s="2">
        <v>13.99</v>
      </c>
      <c r="J1945">
        <v>0</v>
      </c>
      <c r="K1945" s="2">
        <f t="shared" si="60"/>
        <v>0</v>
      </c>
      <c r="L1945" t="s">
        <v>29</v>
      </c>
      <c r="M1945">
        <v>2</v>
      </c>
      <c r="N1945">
        <v>0.83</v>
      </c>
      <c r="O1945" t="str">
        <f t="shared" si="61"/>
        <v>0.8–1 hour</v>
      </c>
      <c r="P1945" t="s">
        <v>34</v>
      </c>
    </row>
    <row r="1946" spans="1:16" x14ac:dyDescent="0.4">
      <c r="A1946" t="s">
        <v>1987</v>
      </c>
      <c r="B1946">
        <v>55</v>
      </c>
      <c r="C1946" t="s">
        <v>41</v>
      </c>
      <c r="D1946" t="s">
        <v>16</v>
      </c>
      <c r="E1946">
        <v>3.66</v>
      </c>
      <c r="F1946">
        <v>11</v>
      </c>
      <c r="G1946" t="s">
        <v>28</v>
      </c>
      <c r="H1946" t="s">
        <v>18</v>
      </c>
      <c r="I1946" s="2">
        <v>8.99</v>
      </c>
      <c r="J1946">
        <v>1</v>
      </c>
      <c r="K1946" s="2">
        <f t="shared" si="60"/>
        <v>8.99</v>
      </c>
      <c r="L1946" t="s">
        <v>61</v>
      </c>
      <c r="M1946">
        <v>4</v>
      </c>
      <c r="N1946">
        <v>0.3</v>
      </c>
      <c r="O1946" t="str">
        <f t="shared" si="61"/>
        <v>0.2–0.4 hours</v>
      </c>
      <c r="P1946" t="s">
        <v>25</v>
      </c>
    </row>
    <row r="1947" spans="1:16" x14ac:dyDescent="0.4">
      <c r="A1947" t="s">
        <v>1988</v>
      </c>
      <c r="B1947">
        <v>55</v>
      </c>
      <c r="C1947" t="s">
        <v>15</v>
      </c>
      <c r="D1947" t="s">
        <v>16</v>
      </c>
      <c r="E1947">
        <v>0.67</v>
      </c>
      <c r="F1947">
        <v>24</v>
      </c>
      <c r="G1947" t="s">
        <v>23</v>
      </c>
      <c r="H1947" t="s">
        <v>55</v>
      </c>
      <c r="I1947" s="2">
        <v>8.99</v>
      </c>
      <c r="J1947">
        <v>1</v>
      </c>
      <c r="K1947" s="2">
        <f t="shared" si="60"/>
        <v>8.99</v>
      </c>
      <c r="L1947" t="s">
        <v>43</v>
      </c>
      <c r="M1947">
        <v>3</v>
      </c>
      <c r="N1947">
        <v>0.03</v>
      </c>
      <c r="O1947" t="str">
        <f t="shared" si="61"/>
        <v>0–0.2 hours</v>
      </c>
      <c r="P1947" t="s">
        <v>34</v>
      </c>
    </row>
    <row r="1948" spans="1:16" x14ac:dyDescent="0.4">
      <c r="A1948" t="s">
        <v>1989</v>
      </c>
      <c r="B1948">
        <v>61</v>
      </c>
      <c r="C1948" t="s">
        <v>41</v>
      </c>
      <c r="D1948" t="s">
        <v>22</v>
      </c>
      <c r="E1948">
        <v>14.57</v>
      </c>
      <c r="F1948">
        <v>16</v>
      </c>
      <c r="G1948" t="s">
        <v>33</v>
      </c>
      <c r="H1948" t="s">
        <v>24</v>
      </c>
      <c r="I1948" s="2">
        <v>13.99</v>
      </c>
      <c r="J1948">
        <v>0</v>
      </c>
      <c r="K1948" s="2">
        <f t="shared" si="60"/>
        <v>0</v>
      </c>
      <c r="L1948" t="s">
        <v>19</v>
      </c>
      <c r="M1948">
        <v>1</v>
      </c>
      <c r="N1948">
        <v>0.86</v>
      </c>
      <c r="O1948" t="str">
        <f t="shared" si="61"/>
        <v>0.8–1 hour</v>
      </c>
      <c r="P1948" t="s">
        <v>34</v>
      </c>
    </row>
    <row r="1949" spans="1:16" x14ac:dyDescent="0.4">
      <c r="A1949" t="s">
        <v>1990</v>
      </c>
      <c r="B1949">
        <v>28</v>
      </c>
      <c r="C1949" t="s">
        <v>41</v>
      </c>
      <c r="D1949" t="s">
        <v>16</v>
      </c>
      <c r="E1949">
        <v>3.72</v>
      </c>
      <c r="F1949">
        <v>56</v>
      </c>
      <c r="G1949" t="s">
        <v>28</v>
      </c>
      <c r="H1949" t="s">
        <v>46</v>
      </c>
      <c r="I1949" s="2">
        <v>8.99</v>
      </c>
      <c r="J1949">
        <v>1</v>
      </c>
      <c r="K1949" s="2">
        <f t="shared" si="60"/>
        <v>8.99</v>
      </c>
      <c r="L1949" t="s">
        <v>37</v>
      </c>
      <c r="M1949">
        <v>3</v>
      </c>
      <c r="N1949">
        <v>7.0000000000000007E-2</v>
      </c>
      <c r="O1949" t="str">
        <f t="shared" si="61"/>
        <v>0–0.2 hours</v>
      </c>
      <c r="P1949" t="s">
        <v>34</v>
      </c>
    </row>
    <row r="1950" spans="1:16" x14ac:dyDescent="0.4">
      <c r="A1950" t="s">
        <v>1991</v>
      </c>
      <c r="B1950">
        <v>62</v>
      </c>
      <c r="C1950" t="s">
        <v>15</v>
      </c>
      <c r="D1950" t="s">
        <v>16</v>
      </c>
      <c r="E1950">
        <v>21.41</v>
      </c>
      <c r="F1950">
        <v>22</v>
      </c>
      <c r="G1950" t="s">
        <v>23</v>
      </c>
      <c r="H1950" t="s">
        <v>18</v>
      </c>
      <c r="I1950" s="2">
        <v>8.99</v>
      </c>
      <c r="J1950">
        <v>0</v>
      </c>
      <c r="K1950" s="2">
        <f t="shared" si="60"/>
        <v>0</v>
      </c>
      <c r="L1950" t="s">
        <v>43</v>
      </c>
      <c r="M1950">
        <v>3</v>
      </c>
      <c r="N1950">
        <v>0.93</v>
      </c>
      <c r="O1950" t="str">
        <f t="shared" si="61"/>
        <v>0.8–1 hour</v>
      </c>
      <c r="P1950" t="s">
        <v>25</v>
      </c>
    </row>
    <row r="1951" spans="1:16" x14ac:dyDescent="0.4">
      <c r="A1951" t="s">
        <v>1992</v>
      </c>
      <c r="B1951">
        <v>66</v>
      </c>
      <c r="C1951" t="s">
        <v>15</v>
      </c>
      <c r="D1951" t="s">
        <v>16</v>
      </c>
      <c r="E1951">
        <v>1.89</v>
      </c>
      <c r="F1951">
        <v>22</v>
      </c>
      <c r="G1951" t="s">
        <v>17</v>
      </c>
      <c r="H1951" t="s">
        <v>55</v>
      </c>
      <c r="I1951" s="2">
        <v>8.99</v>
      </c>
      <c r="J1951">
        <v>1</v>
      </c>
      <c r="K1951" s="2">
        <f t="shared" si="60"/>
        <v>8.99</v>
      </c>
      <c r="L1951" t="s">
        <v>43</v>
      </c>
      <c r="M1951">
        <v>2</v>
      </c>
      <c r="N1951">
        <v>0.08</v>
      </c>
      <c r="O1951" t="str">
        <f t="shared" si="61"/>
        <v>0–0.2 hours</v>
      </c>
      <c r="P1951" t="s">
        <v>20</v>
      </c>
    </row>
    <row r="1952" spans="1:16" x14ac:dyDescent="0.4">
      <c r="A1952" t="s">
        <v>1993</v>
      </c>
      <c r="B1952">
        <v>63</v>
      </c>
      <c r="C1952" t="s">
        <v>41</v>
      </c>
      <c r="D1952" t="s">
        <v>16</v>
      </c>
      <c r="E1952">
        <v>14.4</v>
      </c>
      <c r="F1952">
        <v>3</v>
      </c>
      <c r="G1952" t="s">
        <v>23</v>
      </c>
      <c r="H1952" t="s">
        <v>55</v>
      </c>
      <c r="I1952" s="2">
        <v>8.99</v>
      </c>
      <c r="J1952">
        <v>0</v>
      </c>
      <c r="K1952" s="2">
        <f t="shared" si="60"/>
        <v>0</v>
      </c>
      <c r="L1952" t="s">
        <v>37</v>
      </c>
      <c r="M1952">
        <v>3</v>
      </c>
      <c r="N1952">
        <v>3.6</v>
      </c>
      <c r="O1952" t="str">
        <f t="shared" si="61"/>
        <v>1+ hours</v>
      </c>
      <c r="P1952" t="s">
        <v>52</v>
      </c>
    </row>
    <row r="1953" spans="1:16" x14ac:dyDescent="0.4">
      <c r="A1953" t="s">
        <v>1994</v>
      </c>
      <c r="B1953">
        <v>46</v>
      </c>
      <c r="C1953" t="s">
        <v>15</v>
      </c>
      <c r="D1953" t="s">
        <v>32</v>
      </c>
      <c r="E1953">
        <v>7.29</v>
      </c>
      <c r="F1953">
        <v>4</v>
      </c>
      <c r="G1953" t="s">
        <v>70</v>
      </c>
      <c r="H1953" t="s">
        <v>46</v>
      </c>
      <c r="I1953" s="2">
        <v>17.989999999999998</v>
      </c>
      <c r="J1953">
        <v>0</v>
      </c>
      <c r="K1953" s="2">
        <f t="shared" si="60"/>
        <v>0</v>
      </c>
      <c r="L1953" t="s">
        <v>61</v>
      </c>
      <c r="M1953">
        <v>2</v>
      </c>
      <c r="N1953">
        <v>1.46</v>
      </c>
      <c r="O1953" t="str">
        <f t="shared" si="61"/>
        <v>1+ hours</v>
      </c>
      <c r="P1953" t="s">
        <v>47</v>
      </c>
    </row>
    <row r="1954" spans="1:16" x14ac:dyDescent="0.4">
      <c r="A1954" t="s">
        <v>1995</v>
      </c>
      <c r="B1954">
        <v>34</v>
      </c>
      <c r="C1954" t="s">
        <v>15</v>
      </c>
      <c r="D1954" t="s">
        <v>16</v>
      </c>
      <c r="E1954">
        <v>5.95</v>
      </c>
      <c r="F1954">
        <v>37</v>
      </c>
      <c r="G1954" t="s">
        <v>49</v>
      </c>
      <c r="H1954" t="s">
        <v>57</v>
      </c>
      <c r="I1954" s="2">
        <v>8.99</v>
      </c>
      <c r="J1954">
        <v>1</v>
      </c>
      <c r="K1954" s="2">
        <f t="shared" si="60"/>
        <v>8.99</v>
      </c>
      <c r="L1954" t="s">
        <v>29</v>
      </c>
      <c r="M1954">
        <v>2</v>
      </c>
      <c r="N1954">
        <v>0.16</v>
      </c>
      <c r="O1954" t="str">
        <f t="shared" si="61"/>
        <v>0–0.2 hours</v>
      </c>
      <c r="P1954" t="s">
        <v>47</v>
      </c>
    </row>
    <row r="1955" spans="1:16" x14ac:dyDescent="0.4">
      <c r="A1955" t="s">
        <v>1996</v>
      </c>
      <c r="B1955">
        <v>56</v>
      </c>
      <c r="C1955" t="s">
        <v>41</v>
      </c>
      <c r="D1955" t="s">
        <v>22</v>
      </c>
      <c r="E1955">
        <v>5.83</v>
      </c>
      <c r="F1955">
        <v>59</v>
      </c>
      <c r="G1955" t="s">
        <v>23</v>
      </c>
      <c r="H1955" t="s">
        <v>24</v>
      </c>
      <c r="I1955" s="2">
        <v>13.99</v>
      </c>
      <c r="J1955">
        <v>0</v>
      </c>
      <c r="K1955" s="2">
        <f t="shared" si="60"/>
        <v>0</v>
      </c>
      <c r="L1955" t="s">
        <v>43</v>
      </c>
      <c r="M1955">
        <v>5</v>
      </c>
      <c r="N1955">
        <v>0.1</v>
      </c>
      <c r="O1955" t="str">
        <f t="shared" si="61"/>
        <v>0–0.2 hours</v>
      </c>
      <c r="P1955" t="s">
        <v>20</v>
      </c>
    </row>
    <row r="1956" spans="1:16" x14ac:dyDescent="0.4">
      <c r="A1956" t="s">
        <v>1997</v>
      </c>
      <c r="B1956">
        <v>35</v>
      </c>
      <c r="C1956" t="s">
        <v>15</v>
      </c>
      <c r="D1956" t="s">
        <v>16</v>
      </c>
      <c r="E1956">
        <v>2.19</v>
      </c>
      <c r="F1956">
        <v>5</v>
      </c>
      <c r="G1956" t="s">
        <v>33</v>
      </c>
      <c r="H1956" t="s">
        <v>46</v>
      </c>
      <c r="I1956" s="2">
        <v>8.99</v>
      </c>
      <c r="J1956">
        <v>1</v>
      </c>
      <c r="K1956" s="2">
        <f t="shared" si="60"/>
        <v>8.99</v>
      </c>
      <c r="L1956" t="s">
        <v>19</v>
      </c>
      <c r="M1956">
        <v>5</v>
      </c>
      <c r="N1956">
        <v>0.36</v>
      </c>
      <c r="O1956" t="str">
        <f t="shared" si="61"/>
        <v>0.2–0.4 hours</v>
      </c>
      <c r="P1956" t="s">
        <v>20</v>
      </c>
    </row>
    <row r="1957" spans="1:16" x14ac:dyDescent="0.4">
      <c r="A1957" t="s">
        <v>1998</v>
      </c>
      <c r="B1957">
        <v>52</v>
      </c>
      <c r="C1957" t="s">
        <v>15</v>
      </c>
      <c r="D1957" t="s">
        <v>16</v>
      </c>
      <c r="E1957">
        <v>8.7200000000000006</v>
      </c>
      <c r="F1957">
        <v>28</v>
      </c>
      <c r="G1957" t="s">
        <v>17</v>
      </c>
      <c r="H1957" t="s">
        <v>46</v>
      </c>
      <c r="I1957" s="2">
        <v>8.99</v>
      </c>
      <c r="J1957">
        <v>1</v>
      </c>
      <c r="K1957" s="2">
        <f t="shared" si="60"/>
        <v>8.99</v>
      </c>
      <c r="L1957" t="s">
        <v>37</v>
      </c>
      <c r="M1957">
        <v>1</v>
      </c>
      <c r="N1957">
        <v>0.3</v>
      </c>
      <c r="O1957" t="str">
        <f t="shared" si="61"/>
        <v>0.2–0.4 hours</v>
      </c>
      <c r="P1957" t="s">
        <v>34</v>
      </c>
    </row>
    <row r="1958" spans="1:16" x14ac:dyDescent="0.4">
      <c r="A1958" t="s">
        <v>1999</v>
      </c>
      <c r="B1958">
        <v>54</v>
      </c>
      <c r="C1958" t="s">
        <v>27</v>
      </c>
      <c r="D1958" t="s">
        <v>16</v>
      </c>
      <c r="E1958">
        <v>12.12</v>
      </c>
      <c r="F1958">
        <v>38</v>
      </c>
      <c r="G1958" t="s">
        <v>70</v>
      </c>
      <c r="H1958" t="s">
        <v>18</v>
      </c>
      <c r="I1958" s="2">
        <v>8.99</v>
      </c>
      <c r="J1958">
        <v>1</v>
      </c>
      <c r="K1958" s="2">
        <f t="shared" si="60"/>
        <v>8.99</v>
      </c>
      <c r="L1958" t="s">
        <v>19</v>
      </c>
      <c r="M1958">
        <v>5</v>
      </c>
      <c r="N1958">
        <v>0.31</v>
      </c>
      <c r="O1958" t="str">
        <f t="shared" si="61"/>
        <v>0.2–0.4 hours</v>
      </c>
      <c r="P1958" t="s">
        <v>39</v>
      </c>
    </row>
    <row r="1959" spans="1:16" x14ac:dyDescent="0.4">
      <c r="A1959" t="s">
        <v>2000</v>
      </c>
      <c r="B1959">
        <v>42</v>
      </c>
      <c r="C1959" t="s">
        <v>27</v>
      </c>
      <c r="D1959" t="s">
        <v>22</v>
      </c>
      <c r="E1959">
        <v>25.68</v>
      </c>
      <c r="F1959">
        <v>33</v>
      </c>
      <c r="G1959" t="s">
        <v>28</v>
      </c>
      <c r="H1959" t="s">
        <v>46</v>
      </c>
      <c r="I1959" s="2">
        <v>13.99</v>
      </c>
      <c r="J1959">
        <v>0</v>
      </c>
      <c r="K1959" s="2">
        <f t="shared" si="60"/>
        <v>0</v>
      </c>
      <c r="L1959" t="s">
        <v>37</v>
      </c>
      <c r="M1959">
        <v>5</v>
      </c>
      <c r="N1959">
        <v>0.76</v>
      </c>
      <c r="O1959" t="str">
        <f t="shared" si="61"/>
        <v>0.6–0.8 hours</v>
      </c>
      <c r="P1959" t="s">
        <v>47</v>
      </c>
    </row>
    <row r="1960" spans="1:16" x14ac:dyDescent="0.4">
      <c r="A1960" t="s">
        <v>2001</v>
      </c>
      <c r="B1960">
        <v>39</v>
      </c>
      <c r="C1960" t="s">
        <v>15</v>
      </c>
      <c r="D1960" t="s">
        <v>16</v>
      </c>
      <c r="E1960">
        <v>10.6</v>
      </c>
      <c r="F1960">
        <v>53</v>
      </c>
      <c r="G1960" t="s">
        <v>70</v>
      </c>
      <c r="H1960" t="s">
        <v>46</v>
      </c>
      <c r="I1960" s="2">
        <v>8.99</v>
      </c>
      <c r="J1960">
        <v>1</v>
      </c>
      <c r="K1960" s="2">
        <f t="shared" si="60"/>
        <v>8.99</v>
      </c>
      <c r="L1960" t="s">
        <v>43</v>
      </c>
      <c r="M1960">
        <v>3</v>
      </c>
      <c r="N1960">
        <v>0.2</v>
      </c>
      <c r="O1960" t="str">
        <f t="shared" si="61"/>
        <v>0–0.2 hours</v>
      </c>
      <c r="P1960" t="s">
        <v>47</v>
      </c>
    </row>
    <row r="1961" spans="1:16" x14ac:dyDescent="0.4">
      <c r="A1961" t="s">
        <v>2002</v>
      </c>
      <c r="B1961">
        <v>65</v>
      </c>
      <c r="C1961" t="s">
        <v>15</v>
      </c>
      <c r="D1961" t="s">
        <v>32</v>
      </c>
      <c r="E1961">
        <v>13.71</v>
      </c>
      <c r="F1961">
        <v>4</v>
      </c>
      <c r="G1961" t="s">
        <v>49</v>
      </c>
      <c r="H1961" t="s">
        <v>55</v>
      </c>
      <c r="I1961" s="2">
        <v>17.989999999999998</v>
      </c>
      <c r="J1961">
        <v>0</v>
      </c>
      <c r="K1961" s="2">
        <f t="shared" si="60"/>
        <v>0</v>
      </c>
      <c r="L1961" t="s">
        <v>29</v>
      </c>
      <c r="M1961">
        <v>3</v>
      </c>
      <c r="N1961">
        <v>2.74</v>
      </c>
      <c r="O1961" t="str">
        <f t="shared" si="61"/>
        <v>1+ hours</v>
      </c>
      <c r="P1961" t="s">
        <v>25</v>
      </c>
    </row>
    <row r="1962" spans="1:16" x14ac:dyDescent="0.4">
      <c r="A1962" t="s">
        <v>2003</v>
      </c>
      <c r="B1962">
        <v>70</v>
      </c>
      <c r="C1962" t="s">
        <v>27</v>
      </c>
      <c r="D1962" t="s">
        <v>16</v>
      </c>
      <c r="E1962">
        <v>4.04</v>
      </c>
      <c r="F1962">
        <v>52</v>
      </c>
      <c r="G1962" t="s">
        <v>28</v>
      </c>
      <c r="H1962" t="s">
        <v>24</v>
      </c>
      <c r="I1962" s="2">
        <v>8.99</v>
      </c>
      <c r="J1962">
        <v>1</v>
      </c>
      <c r="K1962" s="2">
        <f t="shared" si="60"/>
        <v>8.99</v>
      </c>
      <c r="L1962" t="s">
        <v>29</v>
      </c>
      <c r="M1962">
        <v>3</v>
      </c>
      <c r="N1962">
        <v>0.08</v>
      </c>
      <c r="O1962" t="str">
        <f t="shared" si="61"/>
        <v>0–0.2 hours</v>
      </c>
      <c r="P1962" t="s">
        <v>30</v>
      </c>
    </row>
    <row r="1963" spans="1:16" x14ac:dyDescent="0.4">
      <c r="A1963" t="s">
        <v>2004</v>
      </c>
      <c r="B1963">
        <v>23</v>
      </c>
      <c r="C1963" t="s">
        <v>41</v>
      </c>
      <c r="D1963" t="s">
        <v>32</v>
      </c>
      <c r="E1963">
        <v>22.77</v>
      </c>
      <c r="F1963">
        <v>10</v>
      </c>
      <c r="G1963" t="s">
        <v>49</v>
      </c>
      <c r="H1963" t="s">
        <v>18</v>
      </c>
      <c r="I1963" s="2">
        <v>17.989999999999998</v>
      </c>
      <c r="J1963">
        <v>0</v>
      </c>
      <c r="K1963" s="2">
        <f t="shared" si="60"/>
        <v>0</v>
      </c>
      <c r="L1963" t="s">
        <v>61</v>
      </c>
      <c r="M1963">
        <v>1</v>
      </c>
      <c r="N1963">
        <v>2.0699999999999998</v>
      </c>
      <c r="O1963" t="str">
        <f t="shared" si="61"/>
        <v>1+ hours</v>
      </c>
      <c r="P1963" t="s">
        <v>25</v>
      </c>
    </row>
    <row r="1964" spans="1:16" x14ac:dyDescent="0.4">
      <c r="A1964" t="s">
        <v>2005</v>
      </c>
      <c r="B1964">
        <v>54</v>
      </c>
      <c r="C1964" t="s">
        <v>27</v>
      </c>
      <c r="D1964" t="s">
        <v>16</v>
      </c>
      <c r="E1964">
        <v>18.84</v>
      </c>
      <c r="F1964">
        <v>49</v>
      </c>
      <c r="G1964" t="s">
        <v>49</v>
      </c>
      <c r="H1964" t="s">
        <v>24</v>
      </c>
      <c r="I1964" s="2">
        <v>8.99</v>
      </c>
      <c r="J1964">
        <v>1</v>
      </c>
      <c r="K1964" s="2">
        <f t="shared" si="60"/>
        <v>8.99</v>
      </c>
      <c r="L1964" t="s">
        <v>19</v>
      </c>
      <c r="M1964">
        <v>1</v>
      </c>
      <c r="N1964">
        <v>0.38</v>
      </c>
      <c r="O1964" t="str">
        <f t="shared" si="61"/>
        <v>0.2–0.4 hours</v>
      </c>
      <c r="P1964" t="s">
        <v>47</v>
      </c>
    </row>
    <row r="1965" spans="1:16" x14ac:dyDescent="0.4">
      <c r="A1965" t="s">
        <v>2006</v>
      </c>
      <c r="B1965">
        <v>30</v>
      </c>
      <c r="C1965" t="s">
        <v>41</v>
      </c>
      <c r="D1965" t="s">
        <v>16</v>
      </c>
      <c r="E1965">
        <v>1.5</v>
      </c>
      <c r="F1965">
        <v>41</v>
      </c>
      <c r="G1965" t="s">
        <v>23</v>
      </c>
      <c r="H1965" t="s">
        <v>57</v>
      </c>
      <c r="I1965" s="2">
        <v>8.99</v>
      </c>
      <c r="J1965">
        <v>1</v>
      </c>
      <c r="K1965" s="2">
        <f t="shared" si="60"/>
        <v>8.99</v>
      </c>
      <c r="L1965" t="s">
        <v>29</v>
      </c>
      <c r="M1965">
        <v>1</v>
      </c>
      <c r="N1965">
        <v>0.04</v>
      </c>
      <c r="O1965" t="str">
        <f t="shared" si="61"/>
        <v>0–0.2 hours</v>
      </c>
      <c r="P1965" t="s">
        <v>39</v>
      </c>
    </row>
    <row r="1966" spans="1:16" x14ac:dyDescent="0.4">
      <c r="A1966" t="s">
        <v>2007</v>
      </c>
      <c r="B1966">
        <v>44</v>
      </c>
      <c r="C1966" t="s">
        <v>15</v>
      </c>
      <c r="D1966" t="s">
        <v>22</v>
      </c>
      <c r="E1966">
        <v>1.46</v>
      </c>
      <c r="F1966">
        <v>59</v>
      </c>
      <c r="G1966" t="s">
        <v>70</v>
      </c>
      <c r="H1966" t="s">
        <v>57</v>
      </c>
      <c r="I1966" s="2">
        <v>13.99</v>
      </c>
      <c r="J1966">
        <v>1</v>
      </c>
      <c r="K1966" s="2">
        <f t="shared" si="60"/>
        <v>13.99</v>
      </c>
      <c r="L1966" t="s">
        <v>43</v>
      </c>
      <c r="M1966">
        <v>1</v>
      </c>
      <c r="N1966">
        <v>0.02</v>
      </c>
      <c r="O1966" t="str">
        <f t="shared" si="61"/>
        <v>0–0.2 hours</v>
      </c>
      <c r="P1966" t="s">
        <v>52</v>
      </c>
    </row>
    <row r="1967" spans="1:16" x14ac:dyDescent="0.4">
      <c r="A1967" t="s">
        <v>2008</v>
      </c>
      <c r="B1967">
        <v>56</v>
      </c>
      <c r="C1967" t="s">
        <v>41</v>
      </c>
      <c r="D1967" t="s">
        <v>16</v>
      </c>
      <c r="E1967">
        <v>2.02</v>
      </c>
      <c r="F1967">
        <v>23</v>
      </c>
      <c r="G1967" t="s">
        <v>70</v>
      </c>
      <c r="H1967" t="s">
        <v>18</v>
      </c>
      <c r="I1967" s="2">
        <v>8.99</v>
      </c>
      <c r="J1967">
        <v>1</v>
      </c>
      <c r="K1967" s="2">
        <f t="shared" si="60"/>
        <v>8.99</v>
      </c>
      <c r="L1967" t="s">
        <v>61</v>
      </c>
      <c r="M1967">
        <v>5</v>
      </c>
      <c r="N1967">
        <v>0.08</v>
      </c>
      <c r="O1967" t="str">
        <f t="shared" si="61"/>
        <v>0–0.2 hours</v>
      </c>
      <c r="P1967" t="s">
        <v>52</v>
      </c>
    </row>
    <row r="1968" spans="1:16" x14ac:dyDescent="0.4">
      <c r="A1968" t="s">
        <v>2009</v>
      </c>
      <c r="B1968">
        <v>48</v>
      </c>
      <c r="C1968" t="s">
        <v>41</v>
      </c>
      <c r="D1968" t="s">
        <v>32</v>
      </c>
      <c r="E1968">
        <v>0.84</v>
      </c>
      <c r="F1968">
        <v>43</v>
      </c>
      <c r="G1968" t="s">
        <v>17</v>
      </c>
      <c r="H1968" t="s">
        <v>24</v>
      </c>
      <c r="I1968" s="2">
        <v>17.989999999999998</v>
      </c>
      <c r="J1968">
        <v>1</v>
      </c>
      <c r="K1968" s="2">
        <f t="shared" si="60"/>
        <v>17.989999999999998</v>
      </c>
      <c r="L1968" t="s">
        <v>29</v>
      </c>
      <c r="M1968">
        <v>4</v>
      </c>
      <c r="N1968">
        <v>0.02</v>
      </c>
      <c r="O1968" t="str">
        <f t="shared" si="61"/>
        <v>0–0.2 hours</v>
      </c>
      <c r="P1968" t="s">
        <v>34</v>
      </c>
    </row>
    <row r="1969" spans="1:16" x14ac:dyDescent="0.4">
      <c r="A1969" t="s">
        <v>2010</v>
      </c>
      <c r="B1969">
        <v>56</v>
      </c>
      <c r="C1969" t="s">
        <v>27</v>
      </c>
      <c r="D1969" t="s">
        <v>16</v>
      </c>
      <c r="E1969">
        <v>0.8</v>
      </c>
      <c r="F1969">
        <v>18</v>
      </c>
      <c r="G1969" t="s">
        <v>70</v>
      </c>
      <c r="H1969" t="s">
        <v>55</v>
      </c>
      <c r="I1969" s="2">
        <v>8.99</v>
      </c>
      <c r="J1969">
        <v>1</v>
      </c>
      <c r="K1969" s="2">
        <f t="shared" si="60"/>
        <v>8.99</v>
      </c>
      <c r="L1969" t="s">
        <v>43</v>
      </c>
      <c r="M1969">
        <v>3</v>
      </c>
      <c r="N1969">
        <v>0.04</v>
      </c>
      <c r="O1969" t="str">
        <f t="shared" si="61"/>
        <v>0–0.2 hours</v>
      </c>
      <c r="P1969" t="s">
        <v>39</v>
      </c>
    </row>
    <row r="1970" spans="1:16" x14ac:dyDescent="0.4">
      <c r="A1970" t="s">
        <v>2011</v>
      </c>
      <c r="B1970">
        <v>40</v>
      </c>
      <c r="C1970" t="s">
        <v>15</v>
      </c>
      <c r="D1970" t="s">
        <v>32</v>
      </c>
      <c r="E1970">
        <v>0.52</v>
      </c>
      <c r="F1970">
        <v>26</v>
      </c>
      <c r="G1970" t="s">
        <v>70</v>
      </c>
      <c r="H1970" t="s">
        <v>24</v>
      </c>
      <c r="I1970" s="2">
        <v>17.989999999999998</v>
      </c>
      <c r="J1970">
        <v>1</v>
      </c>
      <c r="K1970" s="2">
        <f t="shared" si="60"/>
        <v>17.989999999999998</v>
      </c>
      <c r="L1970" t="s">
        <v>43</v>
      </c>
      <c r="M1970">
        <v>2</v>
      </c>
      <c r="N1970">
        <v>0.02</v>
      </c>
      <c r="O1970" t="str">
        <f t="shared" si="61"/>
        <v>0–0.2 hours</v>
      </c>
      <c r="P1970" t="s">
        <v>52</v>
      </c>
    </row>
    <row r="1971" spans="1:16" x14ac:dyDescent="0.4">
      <c r="A1971" t="s">
        <v>2012</v>
      </c>
      <c r="B1971">
        <v>58</v>
      </c>
      <c r="C1971" t="s">
        <v>41</v>
      </c>
      <c r="D1971" t="s">
        <v>32</v>
      </c>
      <c r="E1971">
        <v>3.2</v>
      </c>
      <c r="F1971">
        <v>53</v>
      </c>
      <c r="G1971" t="s">
        <v>17</v>
      </c>
      <c r="H1971" t="s">
        <v>55</v>
      </c>
      <c r="I1971" s="2">
        <v>17.989999999999998</v>
      </c>
      <c r="J1971">
        <v>1</v>
      </c>
      <c r="K1971" s="2">
        <f t="shared" si="60"/>
        <v>17.989999999999998</v>
      </c>
      <c r="L1971" t="s">
        <v>29</v>
      </c>
      <c r="M1971">
        <v>1</v>
      </c>
      <c r="N1971">
        <v>0.06</v>
      </c>
      <c r="O1971" t="str">
        <f t="shared" si="61"/>
        <v>0–0.2 hours</v>
      </c>
      <c r="P1971" t="s">
        <v>25</v>
      </c>
    </row>
    <row r="1972" spans="1:16" x14ac:dyDescent="0.4">
      <c r="A1972" t="s">
        <v>2013</v>
      </c>
      <c r="B1972">
        <v>20</v>
      </c>
      <c r="C1972" t="s">
        <v>41</v>
      </c>
      <c r="D1972" t="s">
        <v>16</v>
      </c>
      <c r="E1972">
        <v>3.02</v>
      </c>
      <c r="F1972">
        <v>2</v>
      </c>
      <c r="G1972" t="s">
        <v>17</v>
      </c>
      <c r="H1972" t="s">
        <v>57</v>
      </c>
      <c r="I1972" s="2">
        <v>8.99</v>
      </c>
      <c r="J1972">
        <v>0</v>
      </c>
      <c r="K1972" s="2">
        <f t="shared" si="60"/>
        <v>0</v>
      </c>
      <c r="L1972" t="s">
        <v>37</v>
      </c>
      <c r="M1972">
        <v>5</v>
      </c>
      <c r="N1972">
        <v>1.01</v>
      </c>
      <c r="O1972" t="str">
        <f t="shared" si="61"/>
        <v>1+ hours</v>
      </c>
      <c r="P1972" t="s">
        <v>20</v>
      </c>
    </row>
    <row r="1973" spans="1:16" x14ac:dyDescent="0.4">
      <c r="A1973" t="s">
        <v>2014</v>
      </c>
      <c r="B1973">
        <v>44</v>
      </c>
      <c r="C1973" t="s">
        <v>15</v>
      </c>
      <c r="D1973" t="s">
        <v>32</v>
      </c>
      <c r="E1973">
        <v>3.38</v>
      </c>
      <c r="F1973">
        <v>6</v>
      </c>
      <c r="G1973" t="s">
        <v>23</v>
      </c>
      <c r="H1973" t="s">
        <v>24</v>
      </c>
      <c r="I1973" s="2">
        <v>17.989999999999998</v>
      </c>
      <c r="J1973">
        <v>0</v>
      </c>
      <c r="K1973" s="2">
        <f t="shared" si="60"/>
        <v>0</v>
      </c>
      <c r="L1973" t="s">
        <v>61</v>
      </c>
      <c r="M1973">
        <v>5</v>
      </c>
      <c r="N1973">
        <v>0.48</v>
      </c>
      <c r="O1973" t="str">
        <f t="shared" si="61"/>
        <v>0.4–0.6 hours</v>
      </c>
      <c r="P1973" t="s">
        <v>34</v>
      </c>
    </row>
    <row r="1974" spans="1:16" x14ac:dyDescent="0.4">
      <c r="A1974" t="s">
        <v>2015</v>
      </c>
      <c r="B1974">
        <v>58</v>
      </c>
      <c r="C1974" t="s">
        <v>15</v>
      </c>
      <c r="D1974" t="s">
        <v>16</v>
      </c>
      <c r="E1974">
        <v>6.47</v>
      </c>
      <c r="F1974">
        <v>46</v>
      </c>
      <c r="G1974" t="s">
        <v>17</v>
      </c>
      <c r="H1974" t="s">
        <v>57</v>
      </c>
      <c r="I1974" s="2">
        <v>8.99</v>
      </c>
      <c r="J1974">
        <v>1</v>
      </c>
      <c r="K1974" s="2">
        <f t="shared" si="60"/>
        <v>8.99</v>
      </c>
      <c r="L1974" t="s">
        <v>29</v>
      </c>
      <c r="M1974">
        <v>1</v>
      </c>
      <c r="N1974">
        <v>0.14000000000000001</v>
      </c>
      <c r="O1974" t="str">
        <f t="shared" si="61"/>
        <v>0–0.2 hours</v>
      </c>
      <c r="P1974" t="s">
        <v>34</v>
      </c>
    </row>
    <row r="1975" spans="1:16" x14ac:dyDescent="0.4">
      <c r="A1975" t="s">
        <v>2016</v>
      </c>
      <c r="B1975">
        <v>58</v>
      </c>
      <c r="C1975" t="s">
        <v>41</v>
      </c>
      <c r="D1975" t="s">
        <v>22</v>
      </c>
      <c r="E1975">
        <v>19.25</v>
      </c>
      <c r="F1975">
        <v>2</v>
      </c>
      <c r="G1975" t="s">
        <v>23</v>
      </c>
      <c r="H1975" t="s">
        <v>24</v>
      </c>
      <c r="I1975" s="2">
        <v>13.99</v>
      </c>
      <c r="J1975">
        <v>0</v>
      </c>
      <c r="K1975" s="2">
        <f t="shared" si="60"/>
        <v>0</v>
      </c>
      <c r="L1975" t="s">
        <v>61</v>
      </c>
      <c r="M1975">
        <v>2</v>
      </c>
      <c r="N1975">
        <v>6.42</v>
      </c>
      <c r="O1975" t="str">
        <f t="shared" si="61"/>
        <v>1+ hours</v>
      </c>
      <c r="P1975" t="s">
        <v>30</v>
      </c>
    </row>
    <row r="1976" spans="1:16" x14ac:dyDescent="0.4">
      <c r="A1976" t="s">
        <v>2017</v>
      </c>
      <c r="B1976">
        <v>46</v>
      </c>
      <c r="C1976" t="s">
        <v>15</v>
      </c>
      <c r="D1976" t="s">
        <v>32</v>
      </c>
      <c r="E1976">
        <v>26.06</v>
      </c>
      <c r="F1976">
        <v>4</v>
      </c>
      <c r="G1976" t="s">
        <v>33</v>
      </c>
      <c r="H1976" t="s">
        <v>55</v>
      </c>
      <c r="I1976" s="2">
        <v>17.989999999999998</v>
      </c>
      <c r="J1976">
        <v>0</v>
      </c>
      <c r="K1976" s="2">
        <f t="shared" si="60"/>
        <v>0</v>
      </c>
      <c r="L1976" t="s">
        <v>43</v>
      </c>
      <c r="M1976">
        <v>4</v>
      </c>
      <c r="N1976">
        <v>5.21</v>
      </c>
      <c r="O1976" t="str">
        <f t="shared" si="61"/>
        <v>1+ hours</v>
      </c>
      <c r="P1976" t="s">
        <v>20</v>
      </c>
    </row>
    <row r="1977" spans="1:16" x14ac:dyDescent="0.4">
      <c r="A1977" t="s">
        <v>2018</v>
      </c>
      <c r="B1977">
        <v>51</v>
      </c>
      <c r="C1977" t="s">
        <v>15</v>
      </c>
      <c r="D1977" t="s">
        <v>22</v>
      </c>
      <c r="E1977">
        <v>1.1399999999999999</v>
      </c>
      <c r="F1977">
        <v>55</v>
      </c>
      <c r="G1977" t="s">
        <v>28</v>
      </c>
      <c r="H1977" t="s">
        <v>46</v>
      </c>
      <c r="I1977" s="2">
        <v>13.99</v>
      </c>
      <c r="J1977">
        <v>1</v>
      </c>
      <c r="K1977" s="2">
        <f t="shared" si="60"/>
        <v>13.99</v>
      </c>
      <c r="L1977" t="s">
        <v>29</v>
      </c>
      <c r="M1977">
        <v>1</v>
      </c>
      <c r="N1977">
        <v>0.02</v>
      </c>
      <c r="O1977" t="str">
        <f t="shared" si="61"/>
        <v>0–0.2 hours</v>
      </c>
      <c r="P1977" t="s">
        <v>30</v>
      </c>
    </row>
    <row r="1978" spans="1:16" x14ac:dyDescent="0.4">
      <c r="A1978" t="s">
        <v>2019</v>
      </c>
      <c r="B1978">
        <v>19</v>
      </c>
      <c r="C1978" t="s">
        <v>27</v>
      </c>
      <c r="D1978" t="s">
        <v>22</v>
      </c>
      <c r="E1978">
        <v>6.61</v>
      </c>
      <c r="F1978">
        <v>18</v>
      </c>
      <c r="G1978" t="s">
        <v>33</v>
      </c>
      <c r="H1978" t="s">
        <v>55</v>
      </c>
      <c r="I1978" s="2">
        <v>13.99</v>
      </c>
      <c r="J1978">
        <v>0</v>
      </c>
      <c r="K1978" s="2">
        <f t="shared" si="60"/>
        <v>0</v>
      </c>
      <c r="L1978" t="s">
        <v>29</v>
      </c>
      <c r="M1978">
        <v>1</v>
      </c>
      <c r="N1978">
        <v>0.35</v>
      </c>
      <c r="O1978" t="str">
        <f t="shared" si="61"/>
        <v>0.2–0.4 hours</v>
      </c>
      <c r="P1978" t="s">
        <v>52</v>
      </c>
    </row>
    <row r="1979" spans="1:16" x14ac:dyDescent="0.4">
      <c r="A1979" t="s">
        <v>2020</v>
      </c>
      <c r="B1979">
        <v>25</v>
      </c>
      <c r="C1979" t="s">
        <v>41</v>
      </c>
      <c r="D1979" t="s">
        <v>32</v>
      </c>
      <c r="E1979">
        <v>0.98</v>
      </c>
      <c r="F1979">
        <v>30</v>
      </c>
      <c r="G1979" t="s">
        <v>70</v>
      </c>
      <c r="H1979" t="s">
        <v>24</v>
      </c>
      <c r="I1979" s="2">
        <v>17.989999999999998</v>
      </c>
      <c r="J1979">
        <v>1</v>
      </c>
      <c r="K1979" s="2">
        <f t="shared" si="60"/>
        <v>17.989999999999998</v>
      </c>
      <c r="L1979" t="s">
        <v>29</v>
      </c>
      <c r="M1979">
        <v>1</v>
      </c>
      <c r="N1979">
        <v>0.03</v>
      </c>
      <c r="O1979" t="str">
        <f t="shared" si="61"/>
        <v>0–0.2 hours</v>
      </c>
      <c r="P1979" t="s">
        <v>34</v>
      </c>
    </row>
    <row r="1980" spans="1:16" x14ac:dyDescent="0.4">
      <c r="A1980" t="s">
        <v>2021</v>
      </c>
      <c r="B1980">
        <v>25</v>
      </c>
      <c r="C1980" t="s">
        <v>41</v>
      </c>
      <c r="D1980" t="s">
        <v>22</v>
      </c>
      <c r="E1980">
        <v>0.45</v>
      </c>
      <c r="F1980">
        <v>2</v>
      </c>
      <c r="G1980" t="s">
        <v>33</v>
      </c>
      <c r="H1980" t="s">
        <v>18</v>
      </c>
      <c r="I1980" s="2">
        <v>13.99</v>
      </c>
      <c r="J1980">
        <v>1</v>
      </c>
      <c r="K1980" s="2">
        <f t="shared" si="60"/>
        <v>13.99</v>
      </c>
      <c r="L1980" t="s">
        <v>37</v>
      </c>
      <c r="M1980">
        <v>1</v>
      </c>
      <c r="N1980">
        <v>0.15</v>
      </c>
      <c r="O1980" t="str">
        <f t="shared" si="61"/>
        <v>0–0.2 hours</v>
      </c>
      <c r="P1980" t="s">
        <v>47</v>
      </c>
    </row>
    <row r="1981" spans="1:16" x14ac:dyDescent="0.4">
      <c r="A1981" t="s">
        <v>2022</v>
      </c>
      <c r="B1981">
        <v>50</v>
      </c>
      <c r="C1981" t="s">
        <v>27</v>
      </c>
      <c r="D1981" t="s">
        <v>16</v>
      </c>
      <c r="E1981">
        <v>8.09</v>
      </c>
      <c r="F1981">
        <v>4</v>
      </c>
      <c r="G1981" t="s">
        <v>70</v>
      </c>
      <c r="H1981" t="s">
        <v>24</v>
      </c>
      <c r="I1981" s="2">
        <v>8.99</v>
      </c>
      <c r="J1981">
        <v>0</v>
      </c>
      <c r="K1981" s="2">
        <f t="shared" si="60"/>
        <v>0</v>
      </c>
      <c r="L1981" t="s">
        <v>37</v>
      </c>
      <c r="M1981">
        <v>1</v>
      </c>
      <c r="N1981">
        <v>1.62</v>
      </c>
      <c r="O1981" t="str">
        <f t="shared" si="61"/>
        <v>1+ hours</v>
      </c>
      <c r="P1981" t="s">
        <v>20</v>
      </c>
    </row>
    <row r="1982" spans="1:16" x14ac:dyDescent="0.4">
      <c r="A1982" t="s">
        <v>2023</v>
      </c>
      <c r="B1982">
        <v>30</v>
      </c>
      <c r="C1982" t="s">
        <v>41</v>
      </c>
      <c r="D1982" t="s">
        <v>22</v>
      </c>
      <c r="E1982">
        <v>1.65</v>
      </c>
      <c r="F1982">
        <v>58</v>
      </c>
      <c r="G1982" t="s">
        <v>23</v>
      </c>
      <c r="H1982" t="s">
        <v>24</v>
      </c>
      <c r="I1982" s="2">
        <v>13.99</v>
      </c>
      <c r="J1982">
        <v>1</v>
      </c>
      <c r="K1982" s="2">
        <f t="shared" si="60"/>
        <v>13.99</v>
      </c>
      <c r="L1982" t="s">
        <v>29</v>
      </c>
      <c r="M1982">
        <v>5</v>
      </c>
      <c r="N1982">
        <v>0.03</v>
      </c>
      <c r="O1982" t="str">
        <f t="shared" si="61"/>
        <v>0–0.2 hours</v>
      </c>
      <c r="P1982" t="s">
        <v>34</v>
      </c>
    </row>
    <row r="1983" spans="1:16" x14ac:dyDescent="0.4">
      <c r="A1983" t="s">
        <v>2024</v>
      </c>
      <c r="B1983">
        <v>41</v>
      </c>
      <c r="C1983" t="s">
        <v>27</v>
      </c>
      <c r="D1983" t="s">
        <v>32</v>
      </c>
      <c r="E1983">
        <v>8.27</v>
      </c>
      <c r="F1983">
        <v>50</v>
      </c>
      <c r="G1983" t="s">
        <v>49</v>
      </c>
      <c r="H1983" t="s">
        <v>18</v>
      </c>
      <c r="I1983" s="2">
        <v>17.989999999999998</v>
      </c>
      <c r="J1983">
        <v>0</v>
      </c>
      <c r="K1983" s="2">
        <f t="shared" si="60"/>
        <v>0</v>
      </c>
      <c r="L1983" t="s">
        <v>61</v>
      </c>
      <c r="M1983">
        <v>5</v>
      </c>
      <c r="N1983">
        <v>0.16</v>
      </c>
      <c r="O1983" t="str">
        <f t="shared" si="61"/>
        <v>0–0.2 hours</v>
      </c>
      <c r="P1983" t="s">
        <v>39</v>
      </c>
    </row>
    <row r="1984" spans="1:16" x14ac:dyDescent="0.4">
      <c r="A1984" t="s">
        <v>2025</v>
      </c>
      <c r="B1984">
        <v>40</v>
      </c>
      <c r="C1984" t="s">
        <v>27</v>
      </c>
      <c r="D1984" t="s">
        <v>22</v>
      </c>
      <c r="E1984">
        <v>8.89</v>
      </c>
      <c r="F1984">
        <v>21</v>
      </c>
      <c r="G1984" t="s">
        <v>33</v>
      </c>
      <c r="H1984" t="s">
        <v>57</v>
      </c>
      <c r="I1984" s="2">
        <v>13.99</v>
      </c>
      <c r="J1984">
        <v>0</v>
      </c>
      <c r="K1984" s="2">
        <f t="shared" si="60"/>
        <v>0</v>
      </c>
      <c r="L1984" t="s">
        <v>19</v>
      </c>
      <c r="M1984">
        <v>1</v>
      </c>
      <c r="N1984">
        <v>0.4</v>
      </c>
      <c r="O1984" t="str">
        <f t="shared" si="61"/>
        <v>0.2–0.4 hours</v>
      </c>
      <c r="P1984" t="s">
        <v>52</v>
      </c>
    </row>
    <row r="1985" spans="1:16" x14ac:dyDescent="0.4">
      <c r="A1985" t="s">
        <v>2026</v>
      </c>
      <c r="B1985">
        <v>23</v>
      </c>
      <c r="C1985" t="s">
        <v>27</v>
      </c>
      <c r="D1985" t="s">
        <v>22</v>
      </c>
      <c r="E1985">
        <v>6.25</v>
      </c>
      <c r="F1985">
        <v>54</v>
      </c>
      <c r="G1985" t="s">
        <v>70</v>
      </c>
      <c r="H1985" t="s">
        <v>18</v>
      </c>
      <c r="I1985" s="2">
        <v>13.99</v>
      </c>
      <c r="J1985">
        <v>0</v>
      </c>
      <c r="K1985" s="2">
        <f t="shared" si="60"/>
        <v>0</v>
      </c>
      <c r="L1985" t="s">
        <v>43</v>
      </c>
      <c r="M1985">
        <v>4</v>
      </c>
      <c r="N1985">
        <v>0.11</v>
      </c>
      <c r="O1985" t="str">
        <f t="shared" si="61"/>
        <v>0–0.2 hours</v>
      </c>
      <c r="P1985" t="s">
        <v>52</v>
      </c>
    </row>
    <row r="1986" spans="1:16" x14ac:dyDescent="0.4">
      <c r="A1986" t="s">
        <v>2027</v>
      </c>
      <c r="B1986">
        <v>28</v>
      </c>
      <c r="C1986" t="s">
        <v>41</v>
      </c>
      <c r="D1986" t="s">
        <v>16</v>
      </c>
      <c r="E1986">
        <v>15.79</v>
      </c>
      <c r="F1986">
        <v>12</v>
      </c>
      <c r="G1986" t="s">
        <v>49</v>
      </c>
      <c r="H1986" t="s">
        <v>55</v>
      </c>
      <c r="I1986" s="2">
        <v>8.99</v>
      </c>
      <c r="J1986">
        <v>0</v>
      </c>
      <c r="K1986" s="2">
        <f t="shared" si="60"/>
        <v>0</v>
      </c>
      <c r="L1986" t="s">
        <v>19</v>
      </c>
      <c r="M1986">
        <v>2</v>
      </c>
      <c r="N1986">
        <v>1.21</v>
      </c>
      <c r="O1986" t="str">
        <f t="shared" si="61"/>
        <v>1+ hours</v>
      </c>
      <c r="P1986" t="s">
        <v>20</v>
      </c>
    </row>
    <row r="1987" spans="1:16" x14ac:dyDescent="0.4">
      <c r="A1987" t="s">
        <v>2028</v>
      </c>
      <c r="B1987">
        <v>56</v>
      </c>
      <c r="C1987" t="s">
        <v>41</v>
      </c>
      <c r="D1987" t="s">
        <v>16</v>
      </c>
      <c r="E1987">
        <v>5.08</v>
      </c>
      <c r="F1987">
        <v>60</v>
      </c>
      <c r="G1987" t="s">
        <v>49</v>
      </c>
      <c r="H1987" t="s">
        <v>57</v>
      </c>
      <c r="I1987" s="2">
        <v>8.99</v>
      </c>
      <c r="J1987">
        <v>1</v>
      </c>
      <c r="K1987" s="2">
        <f t="shared" ref="K1987:K2050" si="62">SUMIF(J1987,1,I1987)</f>
        <v>8.99</v>
      </c>
      <c r="L1987" t="s">
        <v>61</v>
      </c>
      <c r="M1987">
        <v>4</v>
      </c>
      <c r="N1987">
        <v>0.08</v>
      </c>
      <c r="O1987" t="str">
        <f t="shared" ref="O1987:O2050" si="63">IF(N1987&gt;1,"1+ hours",IF(N1987&lt;=0.2,"0–0.2 hours",IF(N1987&lt;=0.4,"0.2–0.4 hours",IF(N1987&lt;=0.6,"0.4–0.6 hours",IF(N1987&lt;=0.8,"0.6–0.8 hours","0.8–1 hour")))))</f>
        <v>0–0.2 hours</v>
      </c>
      <c r="P1987" t="s">
        <v>39</v>
      </c>
    </row>
    <row r="1988" spans="1:16" x14ac:dyDescent="0.4">
      <c r="A1988" t="s">
        <v>2029</v>
      </c>
      <c r="B1988">
        <v>52</v>
      </c>
      <c r="C1988" t="s">
        <v>15</v>
      </c>
      <c r="D1988" t="s">
        <v>32</v>
      </c>
      <c r="E1988">
        <v>21.99</v>
      </c>
      <c r="F1988">
        <v>19</v>
      </c>
      <c r="G1988" t="s">
        <v>28</v>
      </c>
      <c r="H1988" t="s">
        <v>46</v>
      </c>
      <c r="I1988" s="2">
        <v>17.989999999999998</v>
      </c>
      <c r="J1988">
        <v>0</v>
      </c>
      <c r="K1988" s="2">
        <f t="shared" si="62"/>
        <v>0</v>
      </c>
      <c r="L1988" t="s">
        <v>19</v>
      </c>
      <c r="M1988">
        <v>2</v>
      </c>
      <c r="N1988">
        <v>1.1000000000000001</v>
      </c>
      <c r="O1988" t="str">
        <f t="shared" si="63"/>
        <v>1+ hours</v>
      </c>
      <c r="P1988" t="s">
        <v>30</v>
      </c>
    </row>
    <row r="1989" spans="1:16" x14ac:dyDescent="0.4">
      <c r="A1989" t="s">
        <v>2030</v>
      </c>
      <c r="B1989">
        <v>40</v>
      </c>
      <c r="C1989" t="s">
        <v>27</v>
      </c>
      <c r="D1989" t="s">
        <v>22</v>
      </c>
      <c r="E1989">
        <v>11.91</v>
      </c>
      <c r="F1989">
        <v>4</v>
      </c>
      <c r="G1989" t="s">
        <v>23</v>
      </c>
      <c r="H1989" t="s">
        <v>24</v>
      </c>
      <c r="I1989" s="2">
        <v>13.99</v>
      </c>
      <c r="J1989">
        <v>0</v>
      </c>
      <c r="K1989" s="2">
        <f t="shared" si="62"/>
        <v>0</v>
      </c>
      <c r="L1989" t="s">
        <v>37</v>
      </c>
      <c r="M1989">
        <v>5</v>
      </c>
      <c r="N1989">
        <v>2.38</v>
      </c>
      <c r="O1989" t="str">
        <f t="shared" si="63"/>
        <v>1+ hours</v>
      </c>
      <c r="P1989" t="s">
        <v>47</v>
      </c>
    </row>
    <row r="1990" spans="1:16" x14ac:dyDescent="0.4">
      <c r="A1990" t="s">
        <v>2031</v>
      </c>
      <c r="B1990">
        <v>69</v>
      </c>
      <c r="C1990" t="s">
        <v>15</v>
      </c>
      <c r="D1990" t="s">
        <v>32</v>
      </c>
      <c r="E1990">
        <v>8.09</v>
      </c>
      <c r="F1990">
        <v>54</v>
      </c>
      <c r="G1990" t="s">
        <v>28</v>
      </c>
      <c r="H1990" t="s">
        <v>55</v>
      </c>
      <c r="I1990" s="2">
        <v>17.989999999999998</v>
      </c>
      <c r="J1990">
        <v>1</v>
      </c>
      <c r="K1990" s="2">
        <f t="shared" si="62"/>
        <v>17.989999999999998</v>
      </c>
      <c r="L1990" t="s">
        <v>43</v>
      </c>
      <c r="M1990">
        <v>2</v>
      </c>
      <c r="N1990">
        <v>0.15</v>
      </c>
      <c r="O1990" t="str">
        <f t="shared" si="63"/>
        <v>0–0.2 hours</v>
      </c>
      <c r="P1990" t="s">
        <v>39</v>
      </c>
    </row>
    <row r="1991" spans="1:16" x14ac:dyDescent="0.4">
      <c r="A1991" t="s">
        <v>2032</v>
      </c>
      <c r="B1991">
        <v>67</v>
      </c>
      <c r="C1991" t="s">
        <v>27</v>
      </c>
      <c r="D1991" t="s">
        <v>22</v>
      </c>
      <c r="E1991">
        <v>0.28000000000000003</v>
      </c>
      <c r="F1991">
        <v>51</v>
      </c>
      <c r="G1991" t="s">
        <v>28</v>
      </c>
      <c r="H1991" t="s">
        <v>46</v>
      </c>
      <c r="I1991" s="2">
        <v>13.99</v>
      </c>
      <c r="J1991">
        <v>1</v>
      </c>
      <c r="K1991" s="2">
        <f t="shared" si="62"/>
        <v>13.99</v>
      </c>
      <c r="L1991" t="s">
        <v>19</v>
      </c>
      <c r="M1991">
        <v>1</v>
      </c>
      <c r="N1991">
        <v>0.01</v>
      </c>
      <c r="O1991" t="str">
        <f t="shared" si="63"/>
        <v>0–0.2 hours</v>
      </c>
      <c r="P1991" t="s">
        <v>30</v>
      </c>
    </row>
    <row r="1992" spans="1:16" x14ac:dyDescent="0.4">
      <c r="A1992" t="s">
        <v>2033</v>
      </c>
      <c r="B1992">
        <v>63</v>
      </c>
      <c r="C1992" t="s">
        <v>15</v>
      </c>
      <c r="D1992" t="s">
        <v>16</v>
      </c>
      <c r="E1992">
        <v>19.68</v>
      </c>
      <c r="F1992">
        <v>7</v>
      </c>
      <c r="G1992" t="s">
        <v>33</v>
      </c>
      <c r="H1992" t="s">
        <v>18</v>
      </c>
      <c r="I1992" s="2">
        <v>8.99</v>
      </c>
      <c r="J1992">
        <v>0</v>
      </c>
      <c r="K1992" s="2">
        <f t="shared" si="62"/>
        <v>0</v>
      </c>
      <c r="L1992" t="s">
        <v>61</v>
      </c>
      <c r="M1992">
        <v>3</v>
      </c>
      <c r="N1992">
        <v>2.46</v>
      </c>
      <c r="O1992" t="str">
        <f t="shared" si="63"/>
        <v>1+ hours</v>
      </c>
      <c r="P1992" t="s">
        <v>52</v>
      </c>
    </row>
    <row r="1993" spans="1:16" x14ac:dyDescent="0.4">
      <c r="A1993" t="s">
        <v>2034</v>
      </c>
      <c r="B1993">
        <v>48</v>
      </c>
      <c r="C1993" t="s">
        <v>15</v>
      </c>
      <c r="D1993" t="s">
        <v>22</v>
      </c>
      <c r="E1993">
        <v>3.97</v>
      </c>
      <c r="F1993">
        <v>1</v>
      </c>
      <c r="G1993" t="s">
        <v>49</v>
      </c>
      <c r="H1993" t="s">
        <v>18</v>
      </c>
      <c r="I1993" s="2">
        <v>13.99</v>
      </c>
      <c r="J1993">
        <v>0</v>
      </c>
      <c r="K1993" s="2">
        <f t="shared" si="62"/>
        <v>0</v>
      </c>
      <c r="L1993" t="s">
        <v>37</v>
      </c>
      <c r="M1993">
        <v>5</v>
      </c>
      <c r="N1993">
        <v>1.99</v>
      </c>
      <c r="O1993" t="str">
        <f t="shared" si="63"/>
        <v>1+ hours</v>
      </c>
      <c r="P1993" t="s">
        <v>34</v>
      </c>
    </row>
    <row r="1994" spans="1:16" x14ac:dyDescent="0.4">
      <c r="A1994" t="s">
        <v>2035</v>
      </c>
      <c r="B1994">
        <v>27</v>
      </c>
      <c r="C1994" t="s">
        <v>27</v>
      </c>
      <c r="D1994" t="s">
        <v>16</v>
      </c>
      <c r="E1994">
        <v>0.67</v>
      </c>
      <c r="F1994">
        <v>22</v>
      </c>
      <c r="G1994" t="s">
        <v>17</v>
      </c>
      <c r="H1994" t="s">
        <v>24</v>
      </c>
      <c r="I1994" s="2">
        <v>8.99</v>
      </c>
      <c r="J1994">
        <v>1</v>
      </c>
      <c r="K1994" s="2">
        <f t="shared" si="62"/>
        <v>8.99</v>
      </c>
      <c r="L1994" t="s">
        <v>29</v>
      </c>
      <c r="M1994">
        <v>2</v>
      </c>
      <c r="N1994">
        <v>0.03</v>
      </c>
      <c r="O1994" t="str">
        <f t="shared" si="63"/>
        <v>0–0.2 hours</v>
      </c>
      <c r="P1994" t="s">
        <v>30</v>
      </c>
    </row>
    <row r="1995" spans="1:16" x14ac:dyDescent="0.4">
      <c r="A1995" t="s">
        <v>2036</v>
      </c>
      <c r="B1995">
        <v>18</v>
      </c>
      <c r="C1995" t="s">
        <v>27</v>
      </c>
      <c r="D1995" t="s">
        <v>32</v>
      </c>
      <c r="E1995">
        <v>4.9400000000000004</v>
      </c>
      <c r="F1995">
        <v>39</v>
      </c>
      <c r="G1995" t="s">
        <v>49</v>
      </c>
      <c r="H1995" t="s">
        <v>24</v>
      </c>
      <c r="I1995" s="2">
        <v>17.989999999999998</v>
      </c>
      <c r="J1995">
        <v>1</v>
      </c>
      <c r="K1995" s="2">
        <f t="shared" si="62"/>
        <v>17.989999999999998</v>
      </c>
      <c r="L1995" t="s">
        <v>29</v>
      </c>
      <c r="M1995">
        <v>5</v>
      </c>
      <c r="N1995">
        <v>0.12</v>
      </c>
      <c r="O1995" t="str">
        <f t="shared" si="63"/>
        <v>0–0.2 hours</v>
      </c>
      <c r="P1995" t="s">
        <v>34</v>
      </c>
    </row>
    <row r="1996" spans="1:16" x14ac:dyDescent="0.4">
      <c r="A1996" t="s">
        <v>2037</v>
      </c>
      <c r="B1996">
        <v>61</v>
      </c>
      <c r="C1996" t="s">
        <v>27</v>
      </c>
      <c r="D1996" t="s">
        <v>32</v>
      </c>
      <c r="E1996">
        <v>41.68</v>
      </c>
      <c r="F1996">
        <v>54</v>
      </c>
      <c r="G1996" t="s">
        <v>17</v>
      </c>
      <c r="H1996" t="s">
        <v>46</v>
      </c>
      <c r="I1996" s="2">
        <v>17.989999999999998</v>
      </c>
      <c r="J1996">
        <v>0</v>
      </c>
      <c r="K1996" s="2">
        <f t="shared" si="62"/>
        <v>0</v>
      </c>
      <c r="L1996" t="s">
        <v>29</v>
      </c>
      <c r="M1996">
        <v>3</v>
      </c>
      <c r="N1996">
        <v>0.76</v>
      </c>
      <c r="O1996" t="str">
        <f t="shared" si="63"/>
        <v>0.6–0.8 hours</v>
      </c>
      <c r="P1996" t="s">
        <v>20</v>
      </c>
    </row>
    <row r="1997" spans="1:16" x14ac:dyDescent="0.4">
      <c r="A1997" t="s">
        <v>2038</v>
      </c>
      <c r="B1997">
        <v>24</v>
      </c>
      <c r="C1997" t="s">
        <v>41</v>
      </c>
      <c r="D1997" t="s">
        <v>22</v>
      </c>
      <c r="E1997">
        <v>16.21</v>
      </c>
      <c r="F1997">
        <v>6</v>
      </c>
      <c r="G1997" t="s">
        <v>28</v>
      </c>
      <c r="H1997" t="s">
        <v>24</v>
      </c>
      <c r="I1997" s="2">
        <v>13.99</v>
      </c>
      <c r="J1997">
        <v>0</v>
      </c>
      <c r="K1997" s="2">
        <f t="shared" si="62"/>
        <v>0</v>
      </c>
      <c r="L1997" t="s">
        <v>19</v>
      </c>
      <c r="M1997">
        <v>1</v>
      </c>
      <c r="N1997">
        <v>2.3199999999999998</v>
      </c>
      <c r="O1997" t="str">
        <f t="shared" si="63"/>
        <v>1+ hours</v>
      </c>
      <c r="P1997" t="s">
        <v>52</v>
      </c>
    </row>
    <row r="1998" spans="1:16" x14ac:dyDescent="0.4">
      <c r="A1998" t="s">
        <v>2039</v>
      </c>
      <c r="B1998">
        <v>60</v>
      </c>
      <c r="C1998" t="s">
        <v>41</v>
      </c>
      <c r="D1998" t="s">
        <v>32</v>
      </c>
      <c r="E1998">
        <v>6.21</v>
      </c>
      <c r="F1998">
        <v>15</v>
      </c>
      <c r="G1998" t="s">
        <v>28</v>
      </c>
      <c r="H1998" t="s">
        <v>24</v>
      </c>
      <c r="I1998" s="2">
        <v>17.989999999999998</v>
      </c>
      <c r="J1998">
        <v>0</v>
      </c>
      <c r="K1998" s="2">
        <f t="shared" si="62"/>
        <v>0</v>
      </c>
      <c r="L1998" t="s">
        <v>37</v>
      </c>
      <c r="M1998">
        <v>3</v>
      </c>
      <c r="N1998">
        <v>0.39</v>
      </c>
      <c r="O1998" t="str">
        <f t="shared" si="63"/>
        <v>0.2–0.4 hours</v>
      </c>
      <c r="P1998" t="s">
        <v>34</v>
      </c>
    </row>
    <row r="1999" spans="1:16" x14ac:dyDescent="0.4">
      <c r="A1999" t="s">
        <v>2040</v>
      </c>
      <c r="B1999">
        <v>19</v>
      </c>
      <c r="C1999" t="s">
        <v>27</v>
      </c>
      <c r="D1999" t="s">
        <v>32</v>
      </c>
      <c r="E1999">
        <v>3.9</v>
      </c>
      <c r="F1999">
        <v>9</v>
      </c>
      <c r="G1999" t="s">
        <v>70</v>
      </c>
      <c r="H1999" t="s">
        <v>46</v>
      </c>
      <c r="I1999" s="2">
        <v>17.989999999999998</v>
      </c>
      <c r="J1999">
        <v>0</v>
      </c>
      <c r="K1999" s="2">
        <f t="shared" si="62"/>
        <v>0</v>
      </c>
      <c r="L1999" t="s">
        <v>61</v>
      </c>
      <c r="M1999">
        <v>5</v>
      </c>
      <c r="N1999">
        <v>0.39</v>
      </c>
      <c r="O1999" t="str">
        <f t="shared" si="63"/>
        <v>0.2–0.4 hours</v>
      </c>
      <c r="P1999" t="s">
        <v>39</v>
      </c>
    </row>
    <row r="2000" spans="1:16" x14ac:dyDescent="0.4">
      <c r="A2000" t="s">
        <v>2041</v>
      </c>
      <c r="B2000">
        <v>50</v>
      </c>
      <c r="C2000" t="s">
        <v>41</v>
      </c>
      <c r="D2000" t="s">
        <v>32</v>
      </c>
      <c r="E2000">
        <v>10.83</v>
      </c>
      <c r="F2000">
        <v>3</v>
      </c>
      <c r="G2000" t="s">
        <v>17</v>
      </c>
      <c r="H2000" t="s">
        <v>46</v>
      </c>
      <c r="I2000" s="2">
        <v>17.989999999999998</v>
      </c>
      <c r="J2000">
        <v>0</v>
      </c>
      <c r="K2000" s="2">
        <f t="shared" si="62"/>
        <v>0</v>
      </c>
      <c r="L2000" t="s">
        <v>61</v>
      </c>
      <c r="M2000">
        <v>3</v>
      </c>
      <c r="N2000">
        <v>2.71</v>
      </c>
      <c r="O2000" t="str">
        <f t="shared" si="63"/>
        <v>1+ hours</v>
      </c>
      <c r="P2000" t="s">
        <v>30</v>
      </c>
    </row>
    <row r="2001" spans="1:16" x14ac:dyDescent="0.4">
      <c r="A2001" t="s">
        <v>2042</v>
      </c>
      <c r="B2001">
        <v>62</v>
      </c>
      <c r="C2001" t="s">
        <v>15</v>
      </c>
      <c r="D2001" t="s">
        <v>32</v>
      </c>
      <c r="E2001">
        <v>5.98</v>
      </c>
      <c r="F2001">
        <v>48</v>
      </c>
      <c r="G2001" t="s">
        <v>70</v>
      </c>
      <c r="H2001" t="s">
        <v>57</v>
      </c>
      <c r="I2001" s="2">
        <v>17.989999999999998</v>
      </c>
      <c r="J2001">
        <v>1</v>
      </c>
      <c r="K2001" s="2">
        <f t="shared" si="62"/>
        <v>17.989999999999998</v>
      </c>
      <c r="L2001" t="s">
        <v>29</v>
      </c>
      <c r="M2001">
        <v>5</v>
      </c>
      <c r="N2001">
        <v>0.12</v>
      </c>
      <c r="O2001" t="str">
        <f t="shared" si="63"/>
        <v>0–0.2 hours</v>
      </c>
      <c r="P2001" t="s">
        <v>52</v>
      </c>
    </row>
    <row r="2002" spans="1:16" x14ac:dyDescent="0.4">
      <c r="A2002" t="s">
        <v>2043</v>
      </c>
      <c r="B2002">
        <v>53</v>
      </c>
      <c r="C2002" t="s">
        <v>27</v>
      </c>
      <c r="D2002" t="s">
        <v>22</v>
      </c>
      <c r="E2002">
        <v>6.68</v>
      </c>
      <c r="F2002">
        <v>11</v>
      </c>
      <c r="G2002" t="s">
        <v>70</v>
      </c>
      <c r="H2002" t="s">
        <v>24</v>
      </c>
      <c r="I2002" s="2">
        <v>13.99</v>
      </c>
      <c r="J2002">
        <v>0</v>
      </c>
      <c r="K2002" s="2">
        <f t="shared" si="62"/>
        <v>0</v>
      </c>
      <c r="L2002" t="s">
        <v>43</v>
      </c>
      <c r="M2002">
        <v>4</v>
      </c>
      <c r="N2002">
        <v>0.56000000000000005</v>
      </c>
      <c r="O2002" t="str">
        <f t="shared" si="63"/>
        <v>0.4–0.6 hours</v>
      </c>
      <c r="P2002" t="s">
        <v>20</v>
      </c>
    </row>
    <row r="2003" spans="1:16" x14ac:dyDescent="0.4">
      <c r="A2003" t="s">
        <v>2044</v>
      </c>
      <c r="B2003">
        <v>18</v>
      </c>
      <c r="C2003" t="s">
        <v>41</v>
      </c>
      <c r="D2003" t="s">
        <v>32</v>
      </c>
      <c r="E2003">
        <v>36.340000000000003</v>
      </c>
      <c r="F2003">
        <v>15</v>
      </c>
      <c r="G2003" t="s">
        <v>49</v>
      </c>
      <c r="H2003" t="s">
        <v>55</v>
      </c>
      <c r="I2003" s="2">
        <v>17.989999999999998</v>
      </c>
      <c r="J2003">
        <v>0</v>
      </c>
      <c r="K2003" s="2">
        <f t="shared" si="62"/>
        <v>0</v>
      </c>
      <c r="L2003" t="s">
        <v>37</v>
      </c>
      <c r="M2003">
        <v>3</v>
      </c>
      <c r="N2003">
        <v>2.27</v>
      </c>
      <c r="O2003" t="str">
        <f t="shared" si="63"/>
        <v>1+ hours</v>
      </c>
      <c r="P2003" t="s">
        <v>20</v>
      </c>
    </row>
    <row r="2004" spans="1:16" x14ac:dyDescent="0.4">
      <c r="A2004" t="s">
        <v>2045</v>
      </c>
      <c r="B2004">
        <v>52</v>
      </c>
      <c r="C2004" t="s">
        <v>15</v>
      </c>
      <c r="D2004" t="s">
        <v>22</v>
      </c>
      <c r="E2004">
        <v>6.41</v>
      </c>
      <c r="F2004">
        <v>15</v>
      </c>
      <c r="G2004" t="s">
        <v>33</v>
      </c>
      <c r="H2004" t="s">
        <v>18</v>
      </c>
      <c r="I2004" s="2">
        <v>13.99</v>
      </c>
      <c r="J2004">
        <v>0</v>
      </c>
      <c r="K2004" s="2">
        <f t="shared" si="62"/>
        <v>0</v>
      </c>
      <c r="L2004" t="s">
        <v>43</v>
      </c>
      <c r="M2004">
        <v>1</v>
      </c>
      <c r="N2004">
        <v>0.4</v>
      </c>
      <c r="O2004" t="str">
        <f t="shared" si="63"/>
        <v>0.2–0.4 hours</v>
      </c>
      <c r="P2004" t="s">
        <v>25</v>
      </c>
    </row>
    <row r="2005" spans="1:16" x14ac:dyDescent="0.4">
      <c r="A2005" t="s">
        <v>2046</v>
      </c>
      <c r="B2005">
        <v>40</v>
      </c>
      <c r="C2005" t="s">
        <v>15</v>
      </c>
      <c r="D2005" t="s">
        <v>16</v>
      </c>
      <c r="E2005">
        <v>6.48</v>
      </c>
      <c r="F2005">
        <v>51</v>
      </c>
      <c r="G2005" t="s">
        <v>28</v>
      </c>
      <c r="H2005" t="s">
        <v>55</v>
      </c>
      <c r="I2005" s="2">
        <v>8.99</v>
      </c>
      <c r="J2005">
        <v>1</v>
      </c>
      <c r="K2005" s="2">
        <f t="shared" si="62"/>
        <v>8.99</v>
      </c>
      <c r="L2005" t="s">
        <v>61</v>
      </c>
      <c r="M2005">
        <v>4</v>
      </c>
      <c r="N2005">
        <v>0.12</v>
      </c>
      <c r="O2005" t="str">
        <f t="shared" si="63"/>
        <v>0–0.2 hours</v>
      </c>
      <c r="P2005" t="s">
        <v>30</v>
      </c>
    </row>
    <row r="2006" spans="1:16" x14ac:dyDescent="0.4">
      <c r="A2006" t="s">
        <v>2047</v>
      </c>
      <c r="B2006">
        <v>51</v>
      </c>
      <c r="C2006" t="s">
        <v>27</v>
      </c>
      <c r="D2006" t="s">
        <v>32</v>
      </c>
      <c r="E2006">
        <v>1.46</v>
      </c>
      <c r="F2006">
        <v>35</v>
      </c>
      <c r="G2006" t="s">
        <v>33</v>
      </c>
      <c r="H2006" t="s">
        <v>57</v>
      </c>
      <c r="I2006" s="2">
        <v>17.989999999999998</v>
      </c>
      <c r="J2006">
        <v>1</v>
      </c>
      <c r="K2006" s="2">
        <f t="shared" si="62"/>
        <v>17.989999999999998</v>
      </c>
      <c r="L2006" t="s">
        <v>43</v>
      </c>
      <c r="M2006">
        <v>3</v>
      </c>
      <c r="N2006">
        <v>0.04</v>
      </c>
      <c r="O2006" t="str">
        <f t="shared" si="63"/>
        <v>0–0.2 hours</v>
      </c>
      <c r="P2006" t="s">
        <v>20</v>
      </c>
    </row>
    <row r="2007" spans="1:16" x14ac:dyDescent="0.4">
      <c r="A2007" t="s">
        <v>2048</v>
      </c>
      <c r="B2007">
        <v>36</v>
      </c>
      <c r="C2007" t="s">
        <v>27</v>
      </c>
      <c r="D2007" t="s">
        <v>22</v>
      </c>
      <c r="E2007">
        <v>2.59</v>
      </c>
      <c r="F2007">
        <v>36</v>
      </c>
      <c r="G2007" t="s">
        <v>70</v>
      </c>
      <c r="H2007" t="s">
        <v>55</v>
      </c>
      <c r="I2007" s="2">
        <v>13.99</v>
      </c>
      <c r="J2007">
        <v>1</v>
      </c>
      <c r="K2007" s="2">
        <f t="shared" si="62"/>
        <v>13.99</v>
      </c>
      <c r="L2007" t="s">
        <v>37</v>
      </c>
      <c r="M2007">
        <v>2</v>
      </c>
      <c r="N2007">
        <v>7.0000000000000007E-2</v>
      </c>
      <c r="O2007" t="str">
        <f t="shared" si="63"/>
        <v>0–0.2 hours</v>
      </c>
      <c r="P2007" t="s">
        <v>47</v>
      </c>
    </row>
    <row r="2008" spans="1:16" x14ac:dyDescent="0.4">
      <c r="A2008" t="s">
        <v>2049</v>
      </c>
      <c r="B2008">
        <v>30</v>
      </c>
      <c r="C2008" t="s">
        <v>41</v>
      </c>
      <c r="D2008" t="s">
        <v>22</v>
      </c>
      <c r="E2008">
        <v>13.25</v>
      </c>
      <c r="F2008">
        <v>47</v>
      </c>
      <c r="G2008" t="s">
        <v>28</v>
      </c>
      <c r="H2008" t="s">
        <v>46</v>
      </c>
      <c r="I2008" s="2">
        <v>13.99</v>
      </c>
      <c r="J2008">
        <v>0</v>
      </c>
      <c r="K2008" s="2">
        <f t="shared" si="62"/>
        <v>0</v>
      </c>
      <c r="L2008" t="s">
        <v>61</v>
      </c>
      <c r="M2008">
        <v>4</v>
      </c>
      <c r="N2008">
        <v>0.28000000000000003</v>
      </c>
      <c r="O2008" t="str">
        <f t="shared" si="63"/>
        <v>0.2–0.4 hours</v>
      </c>
      <c r="P2008" t="s">
        <v>30</v>
      </c>
    </row>
    <row r="2009" spans="1:16" x14ac:dyDescent="0.4">
      <c r="A2009" t="s">
        <v>2050</v>
      </c>
      <c r="B2009">
        <v>54</v>
      </c>
      <c r="C2009" t="s">
        <v>41</v>
      </c>
      <c r="D2009" t="s">
        <v>22</v>
      </c>
      <c r="E2009">
        <v>23.35</v>
      </c>
      <c r="F2009">
        <v>40</v>
      </c>
      <c r="G2009" t="s">
        <v>70</v>
      </c>
      <c r="H2009" t="s">
        <v>24</v>
      </c>
      <c r="I2009" s="2">
        <v>13.99</v>
      </c>
      <c r="J2009">
        <v>0</v>
      </c>
      <c r="K2009" s="2">
        <f t="shared" si="62"/>
        <v>0</v>
      </c>
      <c r="L2009" t="s">
        <v>61</v>
      </c>
      <c r="M2009">
        <v>5</v>
      </c>
      <c r="N2009">
        <v>0.56999999999999995</v>
      </c>
      <c r="O2009" t="str">
        <f t="shared" si="63"/>
        <v>0.4–0.6 hours</v>
      </c>
      <c r="P2009" t="s">
        <v>34</v>
      </c>
    </row>
    <row r="2010" spans="1:16" x14ac:dyDescent="0.4">
      <c r="A2010" t="s">
        <v>2051</v>
      </c>
      <c r="B2010">
        <v>31</v>
      </c>
      <c r="C2010" t="s">
        <v>27</v>
      </c>
      <c r="D2010" t="s">
        <v>16</v>
      </c>
      <c r="E2010">
        <v>35.35</v>
      </c>
      <c r="F2010">
        <v>14</v>
      </c>
      <c r="G2010" t="s">
        <v>23</v>
      </c>
      <c r="H2010" t="s">
        <v>24</v>
      </c>
      <c r="I2010" s="2">
        <v>8.99</v>
      </c>
      <c r="J2010">
        <v>0</v>
      </c>
      <c r="K2010" s="2">
        <f t="shared" si="62"/>
        <v>0</v>
      </c>
      <c r="L2010" t="s">
        <v>29</v>
      </c>
      <c r="M2010">
        <v>5</v>
      </c>
      <c r="N2010">
        <v>2.36</v>
      </c>
      <c r="O2010" t="str">
        <f t="shared" si="63"/>
        <v>1+ hours</v>
      </c>
      <c r="P2010" t="s">
        <v>39</v>
      </c>
    </row>
    <row r="2011" spans="1:16" x14ac:dyDescent="0.4">
      <c r="A2011" t="s">
        <v>2052</v>
      </c>
      <c r="B2011">
        <v>26</v>
      </c>
      <c r="C2011" t="s">
        <v>15</v>
      </c>
      <c r="D2011" t="s">
        <v>22</v>
      </c>
      <c r="E2011">
        <v>24.89</v>
      </c>
      <c r="F2011">
        <v>16</v>
      </c>
      <c r="G2011" t="s">
        <v>28</v>
      </c>
      <c r="H2011" t="s">
        <v>55</v>
      </c>
      <c r="I2011" s="2">
        <v>13.99</v>
      </c>
      <c r="J2011">
        <v>0</v>
      </c>
      <c r="K2011" s="2">
        <f t="shared" si="62"/>
        <v>0</v>
      </c>
      <c r="L2011" t="s">
        <v>43</v>
      </c>
      <c r="M2011">
        <v>4</v>
      </c>
      <c r="N2011">
        <v>1.46</v>
      </c>
      <c r="O2011" t="str">
        <f t="shared" si="63"/>
        <v>1+ hours</v>
      </c>
      <c r="P2011" t="s">
        <v>39</v>
      </c>
    </row>
    <row r="2012" spans="1:16" x14ac:dyDescent="0.4">
      <c r="A2012" t="s">
        <v>2053</v>
      </c>
      <c r="B2012">
        <v>30</v>
      </c>
      <c r="C2012" t="s">
        <v>41</v>
      </c>
      <c r="D2012" t="s">
        <v>22</v>
      </c>
      <c r="E2012">
        <v>45.29</v>
      </c>
      <c r="F2012">
        <v>29</v>
      </c>
      <c r="G2012" t="s">
        <v>49</v>
      </c>
      <c r="H2012" t="s">
        <v>57</v>
      </c>
      <c r="I2012" s="2">
        <v>13.99</v>
      </c>
      <c r="J2012">
        <v>0</v>
      </c>
      <c r="K2012" s="2">
        <f t="shared" si="62"/>
        <v>0</v>
      </c>
      <c r="L2012" t="s">
        <v>61</v>
      </c>
      <c r="M2012">
        <v>5</v>
      </c>
      <c r="N2012">
        <v>1.51</v>
      </c>
      <c r="O2012" t="str">
        <f t="shared" si="63"/>
        <v>1+ hours</v>
      </c>
      <c r="P2012" t="s">
        <v>52</v>
      </c>
    </row>
    <row r="2013" spans="1:16" x14ac:dyDescent="0.4">
      <c r="A2013" t="s">
        <v>2054</v>
      </c>
      <c r="B2013">
        <v>67</v>
      </c>
      <c r="C2013" t="s">
        <v>41</v>
      </c>
      <c r="D2013" t="s">
        <v>16</v>
      </c>
      <c r="E2013">
        <v>15.98</v>
      </c>
      <c r="F2013">
        <v>9</v>
      </c>
      <c r="G2013" t="s">
        <v>49</v>
      </c>
      <c r="H2013" t="s">
        <v>18</v>
      </c>
      <c r="I2013" s="2">
        <v>8.99</v>
      </c>
      <c r="J2013">
        <v>0</v>
      </c>
      <c r="K2013" s="2">
        <f t="shared" si="62"/>
        <v>0</v>
      </c>
      <c r="L2013" t="s">
        <v>61</v>
      </c>
      <c r="M2013">
        <v>4</v>
      </c>
      <c r="N2013">
        <v>1.6</v>
      </c>
      <c r="O2013" t="str">
        <f t="shared" si="63"/>
        <v>1+ hours</v>
      </c>
      <c r="P2013" t="s">
        <v>25</v>
      </c>
    </row>
    <row r="2014" spans="1:16" x14ac:dyDescent="0.4">
      <c r="A2014" t="s">
        <v>2055</v>
      </c>
      <c r="B2014">
        <v>60</v>
      </c>
      <c r="C2014" t="s">
        <v>41</v>
      </c>
      <c r="D2014" t="s">
        <v>22</v>
      </c>
      <c r="E2014">
        <v>1.24</v>
      </c>
      <c r="F2014">
        <v>4</v>
      </c>
      <c r="G2014" t="s">
        <v>70</v>
      </c>
      <c r="H2014" t="s">
        <v>55</v>
      </c>
      <c r="I2014" s="2">
        <v>13.99</v>
      </c>
      <c r="J2014">
        <v>0</v>
      </c>
      <c r="K2014" s="2">
        <f t="shared" si="62"/>
        <v>0</v>
      </c>
      <c r="L2014" t="s">
        <v>43</v>
      </c>
      <c r="M2014">
        <v>2</v>
      </c>
      <c r="N2014">
        <v>0.25</v>
      </c>
      <c r="O2014" t="str">
        <f t="shared" si="63"/>
        <v>0.2–0.4 hours</v>
      </c>
      <c r="P2014" t="s">
        <v>30</v>
      </c>
    </row>
    <row r="2015" spans="1:16" x14ac:dyDescent="0.4">
      <c r="A2015" t="s">
        <v>2056</v>
      </c>
      <c r="B2015">
        <v>67</v>
      </c>
      <c r="C2015" t="s">
        <v>27</v>
      </c>
      <c r="D2015" t="s">
        <v>16</v>
      </c>
      <c r="E2015">
        <v>9.91</v>
      </c>
      <c r="F2015">
        <v>18</v>
      </c>
      <c r="G2015" t="s">
        <v>70</v>
      </c>
      <c r="H2015" t="s">
        <v>55</v>
      </c>
      <c r="I2015" s="2">
        <v>8.99</v>
      </c>
      <c r="J2015">
        <v>0</v>
      </c>
      <c r="K2015" s="2">
        <f t="shared" si="62"/>
        <v>0</v>
      </c>
      <c r="L2015" t="s">
        <v>19</v>
      </c>
      <c r="M2015">
        <v>5</v>
      </c>
      <c r="N2015">
        <v>0.52</v>
      </c>
      <c r="O2015" t="str">
        <f t="shared" si="63"/>
        <v>0.4–0.6 hours</v>
      </c>
      <c r="P2015" t="s">
        <v>47</v>
      </c>
    </row>
    <row r="2016" spans="1:16" x14ac:dyDescent="0.4">
      <c r="A2016" t="s">
        <v>2057</v>
      </c>
      <c r="B2016">
        <v>51</v>
      </c>
      <c r="C2016" t="s">
        <v>41</v>
      </c>
      <c r="D2016" t="s">
        <v>16</v>
      </c>
      <c r="E2016">
        <v>5.69</v>
      </c>
      <c r="F2016">
        <v>36</v>
      </c>
      <c r="G2016" t="s">
        <v>23</v>
      </c>
      <c r="H2016" t="s">
        <v>18</v>
      </c>
      <c r="I2016" s="2">
        <v>8.99</v>
      </c>
      <c r="J2016">
        <v>1</v>
      </c>
      <c r="K2016" s="2">
        <f t="shared" si="62"/>
        <v>8.99</v>
      </c>
      <c r="L2016" t="s">
        <v>43</v>
      </c>
      <c r="M2016">
        <v>3</v>
      </c>
      <c r="N2016">
        <v>0.15</v>
      </c>
      <c r="O2016" t="str">
        <f t="shared" si="63"/>
        <v>0–0.2 hours</v>
      </c>
      <c r="P2016" t="s">
        <v>34</v>
      </c>
    </row>
    <row r="2017" spans="1:16" x14ac:dyDescent="0.4">
      <c r="A2017" t="s">
        <v>2058</v>
      </c>
      <c r="B2017">
        <v>31</v>
      </c>
      <c r="C2017" t="s">
        <v>27</v>
      </c>
      <c r="D2017" t="s">
        <v>22</v>
      </c>
      <c r="E2017">
        <v>7.48</v>
      </c>
      <c r="F2017">
        <v>3</v>
      </c>
      <c r="G2017" t="s">
        <v>17</v>
      </c>
      <c r="H2017" t="s">
        <v>57</v>
      </c>
      <c r="I2017" s="2">
        <v>13.99</v>
      </c>
      <c r="J2017">
        <v>0</v>
      </c>
      <c r="K2017" s="2">
        <f t="shared" si="62"/>
        <v>0</v>
      </c>
      <c r="L2017" t="s">
        <v>19</v>
      </c>
      <c r="M2017">
        <v>2</v>
      </c>
      <c r="N2017">
        <v>1.87</v>
      </c>
      <c r="O2017" t="str">
        <f t="shared" si="63"/>
        <v>1+ hours</v>
      </c>
      <c r="P2017" t="s">
        <v>25</v>
      </c>
    </row>
    <row r="2018" spans="1:16" x14ac:dyDescent="0.4">
      <c r="A2018" t="s">
        <v>2059</v>
      </c>
      <c r="B2018">
        <v>70</v>
      </c>
      <c r="C2018" t="s">
        <v>41</v>
      </c>
      <c r="D2018" t="s">
        <v>22</v>
      </c>
      <c r="E2018">
        <v>9.5399999999999991</v>
      </c>
      <c r="F2018">
        <v>60</v>
      </c>
      <c r="G2018" t="s">
        <v>23</v>
      </c>
      <c r="H2018" t="s">
        <v>18</v>
      </c>
      <c r="I2018" s="2">
        <v>13.99</v>
      </c>
      <c r="J2018">
        <v>0</v>
      </c>
      <c r="K2018" s="2">
        <f t="shared" si="62"/>
        <v>0</v>
      </c>
      <c r="L2018" t="s">
        <v>43</v>
      </c>
      <c r="M2018">
        <v>5</v>
      </c>
      <c r="N2018">
        <v>0.16</v>
      </c>
      <c r="O2018" t="str">
        <f t="shared" si="63"/>
        <v>0–0.2 hours</v>
      </c>
      <c r="P2018" t="s">
        <v>25</v>
      </c>
    </row>
    <row r="2019" spans="1:16" x14ac:dyDescent="0.4">
      <c r="A2019" t="s">
        <v>2060</v>
      </c>
      <c r="B2019">
        <v>42</v>
      </c>
      <c r="C2019" t="s">
        <v>41</v>
      </c>
      <c r="D2019" t="s">
        <v>16</v>
      </c>
      <c r="E2019">
        <v>98.42</v>
      </c>
      <c r="F2019">
        <v>0</v>
      </c>
      <c r="G2019" t="s">
        <v>28</v>
      </c>
      <c r="H2019" t="s">
        <v>55</v>
      </c>
      <c r="I2019" s="2">
        <v>8.99</v>
      </c>
      <c r="J2019">
        <v>0</v>
      </c>
      <c r="K2019" s="2">
        <f t="shared" si="62"/>
        <v>0</v>
      </c>
      <c r="L2019" t="s">
        <v>19</v>
      </c>
      <c r="M2019">
        <v>5</v>
      </c>
      <c r="N2019">
        <v>98.42</v>
      </c>
      <c r="O2019" t="str">
        <f t="shared" si="63"/>
        <v>1+ hours</v>
      </c>
      <c r="P2019" t="s">
        <v>52</v>
      </c>
    </row>
    <row r="2020" spans="1:16" x14ac:dyDescent="0.4">
      <c r="A2020" t="s">
        <v>2061</v>
      </c>
      <c r="B2020">
        <v>63</v>
      </c>
      <c r="C2020" t="s">
        <v>41</v>
      </c>
      <c r="D2020" t="s">
        <v>32</v>
      </c>
      <c r="E2020">
        <v>7.82</v>
      </c>
      <c r="F2020">
        <v>57</v>
      </c>
      <c r="G2020" t="s">
        <v>49</v>
      </c>
      <c r="H2020" t="s">
        <v>18</v>
      </c>
      <c r="I2020" s="2">
        <v>17.989999999999998</v>
      </c>
      <c r="J2020">
        <v>0</v>
      </c>
      <c r="K2020" s="2">
        <f t="shared" si="62"/>
        <v>0</v>
      </c>
      <c r="L2020" t="s">
        <v>37</v>
      </c>
      <c r="M2020">
        <v>5</v>
      </c>
      <c r="N2020">
        <v>0.13</v>
      </c>
      <c r="O2020" t="str">
        <f t="shared" si="63"/>
        <v>0–0.2 hours</v>
      </c>
      <c r="P2020" t="s">
        <v>39</v>
      </c>
    </row>
    <row r="2021" spans="1:16" x14ac:dyDescent="0.4">
      <c r="A2021" t="s">
        <v>2062</v>
      </c>
      <c r="B2021">
        <v>58</v>
      </c>
      <c r="C2021" t="s">
        <v>27</v>
      </c>
      <c r="D2021" t="s">
        <v>16</v>
      </c>
      <c r="E2021">
        <v>7.31</v>
      </c>
      <c r="F2021">
        <v>49</v>
      </c>
      <c r="G2021" t="s">
        <v>70</v>
      </c>
      <c r="H2021" t="s">
        <v>46</v>
      </c>
      <c r="I2021" s="2">
        <v>8.99</v>
      </c>
      <c r="J2021">
        <v>1</v>
      </c>
      <c r="K2021" s="2">
        <f t="shared" si="62"/>
        <v>8.99</v>
      </c>
      <c r="L2021" t="s">
        <v>19</v>
      </c>
      <c r="M2021">
        <v>2</v>
      </c>
      <c r="N2021">
        <v>0.15</v>
      </c>
      <c r="O2021" t="str">
        <f t="shared" si="63"/>
        <v>0–0.2 hours</v>
      </c>
      <c r="P2021" t="s">
        <v>39</v>
      </c>
    </row>
    <row r="2022" spans="1:16" x14ac:dyDescent="0.4">
      <c r="A2022" t="s">
        <v>2063</v>
      </c>
      <c r="B2022">
        <v>28</v>
      </c>
      <c r="C2022" t="s">
        <v>27</v>
      </c>
      <c r="D2022" t="s">
        <v>22</v>
      </c>
      <c r="E2022">
        <v>14.34</v>
      </c>
      <c r="F2022">
        <v>11</v>
      </c>
      <c r="G2022" t="s">
        <v>28</v>
      </c>
      <c r="H2022" t="s">
        <v>55</v>
      </c>
      <c r="I2022" s="2">
        <v>13.99</v>
      </c>
      <c r="J2022">
        <v>0</v>
      </c>
      <c r="K2022" s="2">
        <f t="shared" si="62"/>
        <v>0</v>
      </c>
      <c r="L2022" t="s">
        <v>61</v>
      </c>
      <c r="M2022">
        <v>5</v>
      </c>
      <c r="N2022">
        <v>1.2</v>
      </c>
      <c r="O2022" t="str">
        <f t="shared" si="63"/>
        <v>1+ hours</v>
      </c>
      <c r="P2022" t="s">
        <v>47</v>
      </c>
    </row>
    <row r="2023" spans="1:16" x14ac:dyDescent="0.4">
      <c r="A2023" t="s">
        <v>2064</v>
      </c>
      <c r="B2023">
        <v>67</v>
      </c>
      <c r="C2023" t="s">
        <v>15</v>
      </c>
      <c r="D2023" t="s">
        <v>32</v>
      </c>
      <c r="E2023">
        <v>22.63</v>
      </c>
      <c r="F2023">
        <v>33</v>
      </c>
      <c r="G2023" t="s">
        <v>17</v>
      </c>
      <c r="H2023" t="s">
        <v>46</v>
      </c>
      <c r="I2023" s="2">
        <v>17.989999999999998</v>
      </c>
      <c r="J2023">
        <v>0</v>
      </c>
      <c r="K2023" s="2">
        <f t="shared" si="62"/>
        <v>0</v>
      </c>
      <c r="L2023" t="s">
        <v>19</v>
      </c>
      <c r="M2023">
        <v>2</v>
      </c>
      <c r="N2023">
        <v>0.67</v>
      </c>
      <c r="O2023" t="str">
        <f t="shared" si="63"/>
        <v>0.6–0.8 hours</v>
      </c>
      <c r="P2023" t="s">
        <v>52</v>
      </c>
    </row>
    <row r="2024" spans="1:16" x14ac:dyDescent="0.4">
      <c r="A2024" t="s">
        <v>2065</v>
      </c>
      <c r="B2024">
        <v>21</v>
      </c>
      <c r="C2024" t="s">
        <v>15</v>
      </c>
      <c r="D2024" t="s">
        <v>22</v>
      </c>
      <c r="E2024">
        <v>17.63</v>
      </c>
      <c r="F2024">
        <v>28</v>
      </c>
      <c r="G2024" t="s">
        <v>49</v>
      </c>
      <c r="H2024" t="s">
        <v>46</v>
      </c>
      <c r="I2024" s="2">
        <v>13.99</v>
      </c>
      <c r="J2024">
        <v>0</v>
      </c>
      <c r="K2024" s="2">
        <f t="shared" si="62"/>
        <v>0</v>
      </c>
      <c r="L2024" t="s">
        <v>61</v>
      </c>
      <c r="M2024">
        <v>1</v>
      </c>
      <c r="N2024">
        <v>0.61</v>
      </c>
      <c r="O2024" t="str">
        <f t="shared" si="63"/>
        <v>0.6–0.8 hours</v>
      </c>
      <c r="P2024" t="s">
        <v>52</v>
      </c>
    </row>
    <row r="2025" spans="1:16" x14ac:dyDescent="0.4">
      <c r="A2025" t="s">
        <v>2066</v>
      </c>
      <c r="B2025">
        <v>67</v>
      </c>
      <c r="C2025" t="s">
        <v>15</v>
      </c>
      <c r="D2025" t="s">
        <v>32</v>
      </c>
      <c r="E2025">
        <v>2.5099999999999998</v>
      </c>
      <c r="F2025">
        <v>25</v>
      </c>
      <c r="G2025" t="s">
        <v>17</v>
      </c>
      <c r="H2025" t="s">
        <v>57</v>
      </c>
      <c r="I2025" s="2">
        <v>17.989999999999998</v>
      </c>
      <c r="J2025">
        <v>1</v>
      </c>
      <c r="K2025" s="2">
        <f t="shared" si="62"/>
        <v>17.989999999999998</v>
      </c>
      <c r="L2025" t="s">
        <v>61</v>
      </c>
      <c r="M2025">
        <v>3</v>
      </c>
      <c r="N2025">
        <v>0.1</v>
      </c>
      <c r="O2025" t="str">
        <f t="shared" si="63"/>
        <v>0–0.2 hours</v>
      </c>
      <c r="P2025" t="s">
        <v>39</v>
      </c>
    </row>
    <row r="2026" spans="1:16" x14ac:dyDescent="0.4">
      <c r="A2026" t="s">
        <v>2067</v>
      </c>
      <c r="B2026">
        <v>64</v>
      </c>
      <c r="C2026" t="s">
        <v>15</v>
      </c>
      <c r="D2026" t="s">
        <v>22</v>
      </c>
      <c r="E2026">
        <v>8.08</v>
      </c>
      <c r="F2026">
        <v>12</v>
      </c>
      <c r="G2026" t="s">
        <v>23</v>
      </c>
      <c r="H2026" t="s">
        <v>24</v>
      </c>
      <c r="I2026" s="2">
        <v>13.99</v>
      </c>
      <c r="J2026">
        <v>0</v>
      </c>
      <c r="K2026" s="2">
        <f t="shared" si="62"/>
        <v>0</v>
      </c>
      <c r="L2026" t="s">
        <v>43</v>
      </c>
      <c r="M2026">
        <v>4</v>
      </c>
      <c r="N2026">
        <v>0.62</v>
      </c>
      <c r="O2026" t="str">
        <f t="shared" si="63"/>
        <v>0.6–0.8 hours</v>
      </c>
      <c r="P2026" t="s">
        <v>39</v>
      </c>
    </row>
    <row r="2027" spans="1:16" x14ac:dyDescent="0.4">
      <c r="A2027" t="s">
        <v>2068</v>
      </c>
      <c r="B2027">
        <v>40</v>
      </c>
      <c r="C2027" t="s">
        <v>27</v>
      </c>
      <c r="D2027" t="s">
        <v>16</v>
      </c>
      <c r="E2027">
        <v>31.43</v>
      </c>
      <c r="F2027">
        <v>26</v>
      </c>
      <c r="G2027" t="s">
        <v>70</v>
      </c>
      <c r="H2027" t="s">
        <v>57</v>
      </c>
      <c r="I2027" s="2">
        <v>8.99</v>
      </c>
      <c r="J2027">
        <v>0</v>
      </c>
      <c r="K2027" s="2">
        <f t="shared" si="62"/>
        <v>0</v>
      </c>
      <c r="L2027" t="s">
        <v>29</v>
      </c>
      <c r="M2027">
        <v>1</v>
      </c>
      <c r="N2027">
        <v>1.1599999999999999</v>
      </c>
      <c r="O2027" t="str">
        <f t="shared" si="63"/>
        <v>1+ hours</v>
      </c>
      <c r="P2027" t="s">
        <v>20</v>
      </c>
    </row>
    <row r="2028" spans="1:16" x14ac:dyDescent="0.4">
      <c r="A2028" t="s">
        <v>2069</v>
      </c>
      <c r="B2028">
        <v>20</v>
      </c>
      <c r="C2028" t="s">
        <v>41</v>
      </c>
      <c r="D2028" t="s">
        <v>16</v>
      </c>
      <c r="E2028">
        <v>8.91</v>
      </c>
      <c r="F2028">
        <v>28</v>
      </c>
      <c r="G2028" t="s">
        <v>17</v>
      </c>
      <c r="H2028" t="s">
        <v>18</v>
      </c>
      <c r="I2028" s="2">
        <v>8.99</v>
      </c>
      <c r="J2028">
        <v>1</v>
      </c>
      <c r="K2028" s="2">
        <f t="shared" si="62"/>
        <v>8.99</v>
      </c>
      <c r="L2028" t="s">
        <v>29</v>
      </c>
      <c r="M2028">
        <v>2</v>
      </c>
      <c r="N2028">
        <v>0.31</v>
      </c>
      <c r="O2028" t="str">
        <f t="shared" si="63"/>
        <v>0.2–0.4 hours</v>
      </c>
      <c r="P2028" t="s">
        <v>47</v>
      </c>
    </row>
    <row r="2029" spans="1:16" x14ac:dyDescent="0.4">
      <c r="A2029" t="s">
        <v>2070</v>
      </c>
      <c r="B2029">
        <v>37</v>
      </c>
      <c r="C2029" t="s">
        <v>27</v>
      </c>
      <c r="D2029" t="s">
        <v>22</v>
      </c>
      <c r="E2029">
        <v>47.74</v>
      </c>
      <c r="F2029">
        <v>52</v>
      </c>
      <c r="G2029" t="s">
        <v>33</v>
      </c>
      <c r="H2029" t="s">
        <v>46</v>
      </c>
      <c r="I2029" s="2">
        <v>13.99</v>
      </c>
      <c r="J2029">
        <v>0</v>
      </c>
      <c r="K2029" s="2">
        <f t="shared" si="62"/>
        <v>0</v>
      </c>
      <c r="L2029" t="s">
        <v>19</v>
      </c>
      <c r="M2029">
        <v>4</v>
      </c>
      <c r="N2029">
        <v>0.9</v>
      </c>
      <c r="O2029" t="str">
        <f t="shared" si="63"/>
        <v>0.8–1 hour</v>
      </c>
      <c r="P2029" t="s">
        <v>20</v>
      </c>
    </row>
    <row r="2030" spans="1:16" x14ac:dyDescent="0.4">
      <c r="A2030" t="s">
        <v>2071</v>
      </c>
      <c r="B2030">
        <v>30</v>
      </c>
      <c r="C2030" t="s">
        <v>15</v>
      </c>
      <c r="D2030" t="s">
        <v>32</v>
      </c>
      <c r="E2030">
        <v>12.88</v>
      </c>
      <c r="F2030">
        <v>54</v>
      </c>
      <c r="G2030" t="s">
        <v>33</v>
      </c>
      <c r="H2030" t="s">
        <v>55</v>
      </c>
      <c r="I2030" s="2">
        <v>17.989999999999998</v>
      </c>
      <c r="J2030">
        <v>1</v>
      </c>
      <c r="K2030" s="2">
        <f t="shared" si="62"/>
        <v>17.989999999999998</v>
      </c>
      <c r="L2030" t="s">
        <v>19</v>
      </c>
      <c r="M2030">
        <v>4</v>
      </c>
      <c r="N2030">
        <v>0.23</v>
      </c>
      <c r="O2030" t="str">
        <f t="shared" si="63"/>
        <v>0.2–0.4 hours</v>
      </c>
      <c r="P2030" t="s">
        <v>52</v>
      </c>
    </row>
    <row r="2031" spans="1:16" x14ac:dyDescent="0.4">
      <c r="A2031" t="s">
        <v>2072</v>
      </c>
      <c r="B2031">
        <v>33</v>
      </c>
      <c r="C2031" t="s">
        <v>15</v>
      </c>
      <c r="D2031" t="s">
        <v>16</v>
      </c>
      <c r="E2031">
        <v>24.5</v>
      </c>
      <c r="F2031">
        <v>46</v>
      </c>
      <c r="G2031" t="s">
        <v>17</v>
      </c>
      <c r="H2031" t="s">
        <v>18</v>
      </c>
      <c r="I2031" s="2">
        <v>8.99</v>
      </c>
      <c r="J2031">
        <v>0</v>
      </c>
      <c r="K2031" s="2">
        <f t="shared" si="62"/>
        <v>0</v>
      </c>
      <c r="L2031" t="s">
        <v>61</v>
      </c>
      <c r="M2031">
        <v>3</v>
      </c>
      <c r="N2031">
        <v>0.52</v>
      </c>
      <c r="O2031" t="str">
        <f t="shared" si="63"/>
        <v>0.4–0.6 hours</v>
      </c>
      <c r="P2031" t="s">
        <v>25</v>
      </c>
    </row>
    <row r="2032" spans="1:16" x14ac:dyDescent="0.4">
      <c r="A2032" t="s">
        <v>2073</v>
      </c>
      <c r="B2032">
        <v>54</v>
      </c>
      <c r="C2032" t="s">
        <v>15</v>
      </c>
      <c r="D2032" t="s">
        <v>32</v>
      </c>
      <c r="E2032">
        <v>3.66</v>
      </c>
      <c r="F2032">
        <v>40</v>
      </c>
      <c r="G2032" t="s">
        <v>33</v>
      </c>
      <c r="H2032" t="s">
        <v>18</v>
      </c>
      <c r="I2032" s="2">
        <v>17.989999999999998</v>
      </c>
      <c r="J2032">
        <v>1</v>
      </c>
      <c r="K2032" s="2">
        <f t="shared" si="62"/>
        <v>17.989999999999998</v>
      </c>
      <c r="L2032" t="s">
        <v>19</v>
      </c>
      <c r="M2032">
        <v>1</v>
      </c>
      <c r="N2032">
        <v>0.09</v>
      </c>
      <c r="O2032" t="str">
        <f t="shared" si="63"/>
        <v>0–0.2 hours</v>
      </c>
      <c r="P2032" t="s">
        <v>52</v>
      </c>
    </row>
    <row r="2033" spans="1:16" x14ac:dyDescent="0.4">
      <c r="A2033" t="s">
        <v>2074</v>
      </c>
      <c r="B2033">
        <v>48</v>
      </c>
      <c r="C2033" t="s">
        <v>41</v>
      </c>
      <c r="D2033" t="s">
        <v>32</v>
      </c>
      <c r="E2033">
        <v>7.86</v>
      </c>
      <c r="F2033">
        <v>40</v>
      </c>
      <c r="G2033" t="s">
        <v>33</v>
      </c>
      <c r="H2033" t="s">
        <v>55</v>
      </c>
      <c r="I2033" s="2">
        <v>17.989999999999998</v>
      </c>
      <c r="J2033">
        <v>1</v>
      </c>
      <c r="K2033" s="2">
        <f t="shared" si="62"/>
        <v>17.989999999999998</v>
      </c>
      <c r="L2033" t="s">
        <v>29</v>
      </c>
      <c r="M2033">
        <v>3</v>
      </c>
      <c r="N2033">
        <v>0.19</v>
      </c>
      <c r="O2033" t="str">
        <f t="shared" si="63"/>
        <v>0–0.2 hours</v>
      </c>
      <c r="P2033" t="s">
        <v>34</v>
      </c>
    </row>
    <row r="2034" spans="1:16" x14ac:dyDescent="0.4">
      <c r="A2034" t="s">
        <v>2075</v>
      </c>
      <c r="B2034">
        <v>41</v>
      </c>
      <c r="C2034" t="s">
        <v>27</v>
      </c>
      <c r="D2034" t="s">
        <v>16</v>
      </c>
      <c r="E2034">
        <v>8.14</v>
      </c>
      <c r="F2034">
        <v>54</v>
      </c>
      <c r="G2034" t="s">
        <v>23</v>
      </c>
      <c r="H2034" t="s">
        <v>24</v>
      </c>
      <c r="I2034" s="2">
        <v>8.99</v>
      </c>
      <c r="J2034">
        <v>1</v>
      </c>
      <c r="K2034" s="2">
        <f t="shared" si="62"/>
        <v>8.99</v>
      </c>
      <c r="L2034" t="s">
        <v>19</v>
      </c>
      <c r="M2034">
        <v>5</v>
      </c>
      <c r="N2034">
        <v>0.15</v>
      </c>
      <c r="O2034" t="str">
        <f t="shared" si="63"/>
        <v>0–0.2 hours</v>
      </c>
      <c r="P2034" t="s">
        <v>39</v>
      </c>
    </row>
    <row r="2035" spans="1:16" x14ac:dyDescent="0.4">
      <c r="A2035" t="s">
        <v>2076</v>
      </c>
      <c r="B2035">
        <v>48</v>
      </c>
      <c r="C2035" t="s">
        <v>15</v>
      </c>
      <c r="D2035" t="s">
        <v>22</v>
      </c>
      <c r="E2035">
        <v>6.66</v>
      </c>
      <c r="F2035">
        <v>34</v>
      </c>
      <c r="G2035" t="s">
        <v>49</v>
      </c>
      <c r="H2035" t="s">
        <v>55</v>
      </c>
      <c r="I2035" s="2">
        <v>13.99</v>
      </c>
      <c r="J2035">
        <v>0</v>
      </c>
      <c r="K2035" s="2">
        <f t="shared" si="62"/>
        <v>0</v>
      </c>
      <c r="L2035" t="s">
        <v>37</v>
      </c>
      <c r="M2035">
        <v>5</v>
      </c>
      <c r="N2035">
        <v>0.19</v>
      </c>
      <c r="O2035" t="str">
        <f t="shared" si="63"/>
        <v>0–0.2 hours</v>
      </c>
      <c r="P2035" t="s">
        <v>34</v>
      </c>
    </row>
    <row r="2036" spans="1:16" x14ac:dyDescent="0.4">
      <c r="A2036" t="s">
        <v>2077</v>
      </c>
      <c r="B2036">
        <v>57</v>
      </c>
      <c r="C2036" t="s">
        <v>15</v>
      </c>
      <c r="D2036" t="s">
        <v>22</v>
      </c>
      <c r="E2036">
        <v>7.92</v>
      </c>
      <c r="F2036">
        <v>19</v>
      </c>
      <c r="G2036" t="s">
        <v>33</v>
      </c>
      <c r="H2036" t="s">
        <v>24</v>
      </c>
      <c r="I2036" s="2">
        <v>13.99</v>
      </c>
      <c r="J2036">
        <v>0</v>
      </c>
      <c r="K2036" s="2">
        <f t="shared" si="62"/>
        <v>0</v>
      </c>
      <c r="L2036" t="s">
        <v>19</v>
      </c>
      <c r="M2036">
        <v>2</v>
      </c>
      <c r="N2036">
        <v>0.4</v>
      </c>
      <c r="O2036" t="str">
        <f t="shared" si="63"/>
        <v>0.2–0.4 hours</v>
      </c>
      <c r="P2036" t="s">
        <v>34</v>
      </c>
    </row>
    <row r="2037" spans="1:16" x14ac:dyDescent="0.4">
      <c r="A2037" t="s">
        <v>2078</v>
      </c>
      <c r="B2037">
        <v>36</v>
      </c>
      <c r="C2037" t="s">
        <v>27</v>
      </c>
      <c r="D2037" t="s">
        <v>32</v>
      </c>
      <c r="E2037">
        <v>19.63</v>
      </c>
      <c r="F2037">
        <v>1</v>
      </c>
      <c r="G2037" t="s">
        <v>70</v>
      </c>
      <c r="H2037" t="s">
        <v>55</v>
      </c>
      <c r="I2037" s="2">
        <v>17.989999999999998</v>
      </c>
      <c r="J2037">
        <v>0</v>
      </c>
      <c r="K2037" s="2">
        <f t="shared" si="62"/>
        <v>0</v>
      </c>
      <c r="L2037" t="s">
        <v>19</v>
      </c>
      <c r="M2037">
        <v>2</v>
      </c>
      <c r="N2037">
        <v>9.81</v>
      </c>
      <c r="O2037" t="str">
        <f t="shared" si="63"/>
        <v>1+ hours</v>
      </c>
      <c r="P2037" t="s">
        <v>20</v>
      </c>
    </row>
    <row r="2038" spans="1:16" x14ac:dyDescent="0.4">
      <c r="A2038" t="s">
        <v>2079</v>
      </c>
      <c r="B2038">
        <v>47</v>
      </c>
      <c r="C2038" t="s">
        <v>41</v>
      </c>
      <c r="D2038" t="s">
        <v>32</v>
      </c>
      <c r="E2038">
        <v>7.22</v>
      </c>
      <c r="F2038">
        <v>38</v>
      </c>
      <c r="G2038" t="s">
        <v>23</v>
      </c>
      <c r="H2038" t="s">
        <v>55</v>
      </c>
      <c r="I2038" s="2">
        <v>17.989999999999998</v>
      </c>
      <c r="J2038">
        <v>1</v>
      </c>
      <c r="K2038" s="2">
        <f t="shared" si="62"/>
        <v>17.989999999999998</v>
      </c>
      <c r="L2038" t="s">
        <v>61</v>
      </c>
      <c r="M2038">
        <v>2</v>
      </c>
      <c r="N2038">
        <v>0.19</v>
      </c>
      <c r="O2038" t="str">
        <f t="shared" si="63"/>
        <v>0–0.2 hours</v>
      </c>
      <c r="P2038" t="s">
        <v>30</v>
      </c>
    </row>
    <row r="2039" spans="1:16" x14ac:dyDescent="0.4">
      <c r="A2039" t="s">
        <v>2080</v>
      </c>
      <c r="B2039">
        <v>57</v>
      </c>
      <c r="C2039" t="s">
        <v>15</v>
      </c>
      <c r="D2039" t="s">
        <v>22</v>
      </c>
      <c r="E2039">
        <v>1.1000000000000001</v>
      </c>
      <c r="F2039">
        <v>26</v>
      </c>
      <c r="G2039" t="s">
        <v>23</v>
      </c>
      <c r="H2039" t="s">
        <v>55</v>
      </c>
      <c r="I2039" s="2">
        <v>13.99</v>
      </c>
      <c r="J2039">
        <v>0</v>
      </c>
      <c r="K2039" s="2">
        <f t="shared" si="62"/>
        <v>0</v>
      </c>
      <c r="L2039" t="s">
        <v>61</v>
      </c>
      <c r="M2039">
        <v>5</v>
      </c>
      <c r="N2039">
        <v>0.04</v>
      </c>
      <c r="O2039" t="str">
        <f t="shared" si="63"/>
        <v>0–0.2 hours</v>
      </c>
      <c r="P2039" t="s">
        <v>25</v>
      </c>
    </row>
    <row r="2040" spans="1:16" x14ac:dyDescent="0.4">
      <c r="A2040" t="s">
        <v>2081</v>
      </c>
      <c r="B2040">
        <v>39</v>
      </c>
      <c r="C2040" t="s">
        <v>27</v>
      </c>
      <c r="D2040" t="s">
        <v>16</v>
      </c>
      <c r="E2040">
        <v>2.09</v>
      </c>
      <c r="F2040">
        <v>3</v>
      </c>
      <c r="G2040" t="s">
        <v>33</v>
      </c>
      <c r="H2040" t="s">
        <v>46</v>
      </c>
      <c r="I2040" s="2">
        <v>8.99</v>
      </c>
      <c r="J2040">
        <v>1</v>
      </c>
      <c r="K2040" s="2">
        <f t="shared" si="62"/>
        <v>8.99</v>
      </c>
      <c r="L2040" t="s">
        <v>29</v>
      </c>
      <c r="M2040">
        <v>3</v>
      </c>
      <c r="N2040">
        <v>0.52</v>
      </c>
      <c r="O2040" t="str">
        <f t="shared" si="63"/>
        <v>0.4–0.6 hours</v>
      </c>
      <c r="P2040" t="s">
        <v>52</v>
      </c>
    </row>
    <row r="2041" spans="1:16" x14ac:dyDescent="0.4">
      <c r="A2041" t="s">
        <v>2082</v>
      </c>
      <c r="B2041">
        <v>48</v>
      </c>
      <c r="C2041" t="s">
        <v>27</v>
      </c>
      <c r="D2041" t="s">
        <v>16</v>
      </c>
      <c r="E2041">
        <v>22.06</v>
      </c>
      <c r="F2041">
        <v>47</v>
      </c>
      <c r="G2041" t="s">
        <v>17</v>
      </c>
      <c r="H2041" t="s">
        <v>55</v>
      </c>
      <c r="I2041" s="2">
        <v>8.99</v>
      </c>
      <c r="J2041">
        <v>1</v>
      </c>
      <c r="K2041" s="2">
        <f t="shared" si="62"/>
        <v>8.99</v>
      </c>
      <c r="L2041" t="s">
        <v>29</v>
      </c>
      <c r="M2041">
        <v>1</v>
      </c>
      <c r="N2041">
        <v>0.46</v>
      </c>
      <c r="O2041" t="str">
        <f t="shared" si="63"/>
        <v>0.4–0.6 hours</v>
      </c>
      <c r="P2041" t="s">
        <v>25</v>
      </c>
    </row>
    <row r="2042" spans="1:16" x14ac:dyDescent="0.4">
      <c r="A2042" t="s">
        <v>2083</v>
      </c>
      <c r="B2042">
        <v>41</v>
      </c>
      <c r="C2042" t="s">
        <v>27</v>
      </c>
      <c r="D2042" t="s">
        <v>16</v>
      </c>
      <c r="E2042">
        <v>17.37</v>
      </c>
      <c r="F2042">
        <v>16</v>
      </c>
      <c r="G2042" t="s">
        <v>33</v>
      </c>
      <c r="H2042" t="s">
        <v>24</v>
      </c>
      <c r="I2042" s="2">
        <v>8.99</v>
      </c>
      <c r="J2042">
        <v>0</v>
      </c>
      <c r="K2042" s="2">
        <f t="shared" si="62"/>
        <v>0</v>
      </c>
      <c r="L2042" t="s">
        <v>43</v>
      </c>
      <c r="M2042">
        <v>2</v>
      </c>
      <c r="N2042">
        <v>1.02</v>
      </c>
      <c r="O2042" t="str">
        <f t="shared" si="63"/>
        <v>1+ hours</v>
      </c>
      <c r="P2042" t="s">
        <v>47</v>
      </c>
    </row>
    <row r="2043" spans="1:16" x14ac:dyDescent="0.4">
      <c r="A2043" t="s">
        <v>2084</v>
      </c>
      <c r="B2043">
        <v>68</v>
      </c>
      <c r="C2043" t="s">
        <v>27</v>
      </c>
      <c r="D2043" t="s">
        <v>22</v>
      </c>
      <c r="E2043">
        <v>3.06</v>
      </c>
      <c r="F2043">
        <v>59</v>
      </c>
      <c r="G2043" t="s">
        <v>23</v>
      </c>
      <c r="H2043" t="s">
        <v>55</v>
      </c>
      <c r="I2043" s="2">
        <v>13.99</v>
      </c>
      <c r="J2043">
        <v>1</v>
      </c>
      <c r="K2043" s="2">
        <f t="shared" si="62"/>
        <v>13.99</v>
      </c>
      <c r="L2043" t="s">
        <v>19</v>
      </c>
      <c r="M2043">
        <v>5</v>
      </c>
      <c r="N2043">
        <v>0.05</v>
      </c>
      <c r="O2043" t="str">
        <f t="shared" si="63"/>
        <v>0–0.2 hours</v>
      </c>
      <c r="P2043" t="s">
        <v>52</v>
      </c>
    </row>
    <row r="2044" spans="1:16" x14ac:dyDescent="0.4">
      <c r="A2044" t="s">
        <v>2085</v>
      </c>
      <c r="B2044">
        <v>48</v>
      </c>
      <c r="C2044" t="s">
        <v>41</v>
      </c>
      <c r="D2044" t="s">
        <v>22</v>
      </c>
      <c r="E2044">
        <v>1.93</v>
      </c>
      <c r="F2044">
        <v>50</v>
      </c>
      <c r="G2044" t="s">
        <v>28</v>
      </c>
      <c r="H2044" t="s">
        <v>18</v>
      </c>
      <c r="I2044" s="2">
        <v>13.99</v>
      </c>
      <c r="J2044">
        <v>1</v>
      </c>
      <c r="K2044" s="2">
        <f t="shared" si="62"/>
        <v>13.99</v>
      </c>
      <c r="L2044" t="s">
        <v>19</v>
      </c>
      <c r="M2044">
        <v>4</v>
      </c>
      <c r="N2044">
        <v>0.04</v>
      </c>
      <c r="O2044" t="str">
        <f t="shared" si="63"/>
        <v>0–0.2 hours</v>
      </c>
      <c r="P2044" t="s">
        <v>30</v>
      </c>
    </row>
    <row r="2045" spans="1:16" x14ac:dyDescent="0.4">
      <c r="A2045" t="s">
        <v>2086</v>
      </c>
      <c r="B2045">
        <v>46</v>
      </c>
      <c r="C2045" t="s">
        <v>15</v>
      </c>
      <c r="D2045" t="s">
        <v>16</v>
      </c>
      <c r="E2045">
        <v>9.61</v>
      </c>
      <c r="F2045">
        <v>15</v>
      </c>
      <c r="G2045" t="s">
        <v>33</v>
      </c>
      <c r="H2045" t="s">
        <v>57</v>
      </c>
      <c r="I2045" s="2">
        <v>8.99</v>
      </c>
      <c r="J2045">
        <v>0</v>
      </c>
      <c r="K2045" s="2">
        <f t="shared" si="62"/>
        <v>0</v>
      </c>
      <c r="L2045" t="s">
        <v>43</v>
      </c>
      <c r="M2045">
        <v>1</v>
      </c>
      <c r="N2045">
        <v>0.6</v>
      </c>
      <c r="O2045" t="str">
        <f t="shared" si="63"/>
        <v>0.4–0.6 hours</v>
      </c>
      <c r="P2045" t="s">
        <v>47</v>
      </c>
    </row>
    <row r="2046" spans="1:16" x14ac:dyDescent="0.4">
      <c r="A2046" t="s">
        <v>2087</v>
      </c>
      <c r="B2046">
        <v>31</v>
      </c>
      <c r="C2046" t="s">
        <v>41</v>
      </c>
      <c r="D2046" t="s">
        <v>22</v>
      </c>
      <c r="E2046">
        <v>18.75</v>
      </c>
      <c r="F2046">
        <v>43</v>
      </c>
      <c r="G2046" t="s">
        <v>33</v>
      </c>
      <c r="H2046" t="s">
        <v>24</v>
      </c>
      <c r="I2046" s="2">
        <v>13.99</v>
      </c>
      <c r="J2046">
        <v>1</v>
      </c>
      <c r="K2046" s="2">
        <f t="shared" si="62"/>
        <v>13.99</v>
      </c>
      <c r="L2046" t="s">
        <v>19</v>
      </c>
      <c r="M2046">
        <v>3</v>
      </c>
      <c r="N2046">
        <v>0.43</v>
      </c>
      <c r="O2046" t="str">
        <f t="shared" si="63"/>
        <v>0.4–0.6 hours</v>
      </c>
      <c r="P2046" t="s">
        <v>20</v>
      </c>
    </row>
    <row r="2047" spans="1:16" x14ac:dyDescent="0.4">
      <c r="A2047" t="s">
        <v>2088</v>
      </c>
      <c r="B2047">
        <v>61</v>
      </c>
      <c r="C2047" t="s">
        <v>41</v>
      </c>
      <c r="D2047" t="s">
        <v>32</v>
      </c>
      <c r="E2047">
        <v>9.7100000000000009</v>
      </c>
      <c r="F2047">
        <v>36</v>
      </c>
      <c r="G2047" t="s">
        <v>28</v>
      </c>
      <c r="H2047" t="s">
        <v>46</v>
      </c>
      <c r="I2047" s="2">
        <v>17.989999999999998</v>
      </c>
      <c r="J2047">
        <v>1</v>
      </c>
      <c r="K2047" s="2">
        <f t="shared" si="62"/>
        <v>17.989999999999998</v>
      </c>
      <c r="L2047" t="s">
        <v>37</v>
      </c>
      <c r="M2047">
        <v>1</v>
      </c>
      <c r="N2047">
        <v>0.26</v>
      </c>
      <c r="O2047" t="str">
        <f t="shared" si="63"/>
        <v>0.2–0.4 hours</v>
      </c>
      <c r="P2047" t="s">
        <v>30</v>
      </c>
    </row>
    <row r="2048" spans="1:16" x14ac:dyDescent="0.4">
      <c r="A2048" t="s">
        <v>2089</v>
      </c>
      <c r="B2048">
        <v>38</v>
      </c>
      <c r="C2048" t="s">
        <v>41</v>
      </c>
      <c r="D2048" t="s">
        <v>16</v>
      </c>
      <c r="E2048">
        <v>6.75</v>
      </c>
      <c r="F2048">
        <v>43</v>
      </c>
      <c r="G2048" t="s">
        <v>28</v>
      </c>
      <c r="H2048" t="s">
        <v>24</v>
      </c>
      <c r="I2048" s="2">
        <v>8.99</v>
      </c>
      <c r="J2048">
        <v>1</v>
      </c>
      <c r="K2048" s="2">
        <f t="shared" si="62"/>
        <v>8.99</v>
      </c>
      <c r="L2048" t="s">
        <v>43</v>
      </c>
      <c r="M2048">
        <v>2</v>
      </c>
      <c r="N2048">
        <v>0.15</v>
      </c>
      <c r="O2048" t="str">
        <f t="shared" si="63"/>
        <v>0–0.2 hours</v>
      </c>
      <c r="P2048" t="s">
        <v>34</v>
      </c>
    </row>
    <row r="2049" spans="1:16" x14ac:dyDescent="0.4">
      <c r="A2049" t="s">
        <v>2090</v>
      </c>
      <c r="B2049">
        <v>40</v>
      </c>
      <c r="C2049" t="s">
        <v>27</v>
      </c>
      <c r="D2049" t="s">
        <v>16</v>
      </c>
      <c r="E2049">
        <v>3.8</v>
      </c>
      <c r="F2049">
        <v>10</v>
      </c>
      <c r="G2049" t="s">
        <v>17</v>
      </c>
      <c r="H2049" t="s">
        <v>55</v>
      </c>
      <c r="I2049" s="2">
        <v>8.99</v>
      </c>
      <c r="J2049">
        <v>1</v>
      </c>
      <c r="K2049" s="2">
        <f t="shared" si="62"/>
        <v>8.99</v>
      </c>
      <c r="L2049" t="s">
        <v>61</v>
      </c>
      <c r="M2049">
        <v>3</v>
      </c>
      <c r="N2049">
        <v>0.35</v>
      </c>
      <c r="O2049" t="str">
        <f t="shared" si="63"/>
        <v>0.2–0.4 hours</v>
      </c>
      <c r="P2049" t="s">
        <v>47</v>
      </c>
    </row>
    <row r="2050" spans="1:16" x14ac:dyDescent="0.4">
      <c r="A2050" t="s">
        <v>2091</v>
      </c>
      <c r="B2050">
        <v>31</v>
      </c>
      <c r="C2050" t="s">
        <v>41</v>
      </c>
      <c r="D2050" t="s">
        <v>32</v>
      </c>
      <c r="E2050">
        <v>5.69</v>
      </c>
      <c r="F2050">
        <v>22</v>
      </c>
      <c r="G2050" t="s">
        <v>70</v>
      </c>
      <c r="H2050" t="s">
        <v>24</v>
      </c>
      <c r="I2050" s="2">
        <v>17.989999999999998</v>
      </c>
      <c r="J2050">
        <v>0</v>
      </c>
      <c r="K2050" s="2">
        <f t="shared" si="62"/>
        <v>0</v>
      </c>
      <c r="L2050" t="s">
        <v>37</v>
      </c>
      <c r="M2050">
        <v>4</v>
      </c>
      <c r="N2050">
        <v>0.25</v>
      </c>
      <c r="O2050" t="str">
        <f t="shared" si="63"/>
        <v>0.2–0.4 hours</v>
      </c>
      <c r="P2050" t="s">
        <v>34</v>
      </c>
    </row>
    <row r="2051" spans="1:16" x14ac:dyDescent="0.4">
      <c r="A2051" t="s">
        <v>2092</v>
      </c>
      <c r="B2051">
        <v>62</v>
      </c>
      <c r="C2051" t="s">
        <v>41</v>
      </c>
      <c r="D2051" t="s">
        <v>22</v>
      </c>
      <c r="E2051">
        <v>8.25</v>
      </c>
      <c r="F2051">
        <v>37</v>
      </c>
      <c r="G2051" t="s">
        <v>49</v>
      </c>
      <c r="H2051" t="s">
        <v>55</v>
      </c>
      <c r="I2051" s="2">
        <v>13.99</v>
      </c>
      <c r="J2051">
        <v>0</v>
      </c>
      <c r="K2051" s="2">
        <f t="shared" ref="K2051:K2114" si="64">SUMIF(J2051,1,I2051)</f>
        <v>0</v>
      </c>
      <c r="L2051" t="s">
        <v>43</v>
      </c>
      <c r="M2051">
        <v>5</v>
      </c>
      <c r="N2051">
        <v>0.22</v>
      </c>
      <c r="O2051" t="str">
        <f t="shared" ref="O2051:O2114" si="65">IF(N2051&gt;1,"1+ hours",IF(N2051&lt;=0.2,"0–0.2 hours",IF(N2051&lt;=0.4,"0.2–0.4 hours",IF(N2051&lt;=0.6,"0.4–0.6 hours",IF(N2051&lt;=0.8,"0.6–0.8 hours","0.8–1 hour")))))</f>
        <v>0.2–0.4 hours</v>
      </c>
      <c r="P2051" t="s">
        <v>47</v>
      </c>
    </row>
    <row r="2052" spans="1:16" x14ac:dyDescent="0.4">
      <c r="A2052" t="s">
        <v>2093</v>
      </c>
      <c r="B2052">
        <v>66</v>
      </c>
      <c r="C2052" t="s">
        <v>27</v>
      </c>
      <c r="D2052" t="s">
        <v>32</v>
      </c>
      <c r="E2052">
        <v>12.91</v>
      </c>
      <c r="F2052">
        <v>34</v>
      </c>
      <c r="G2052" t="s">
        <v>28</v>
      </c>
      <c r="H2052" t="s">
        <v>18</v>
      </c>
      <c r="I2052" s="2">
        <v>17.989999999999998</v>
      </c>
      <c r="J2052">
        <v>1</v>
      </c>
      <c r="K2052" s="2">
        <f t="shared" si="64"/>
        <v>17.989999999999998</v>
      </c>
      <c r="L2052" t="s">
        <v>29</v>
      </c>
      <c r="M2052">
        <v>5</v>
      </c>
      <c r="N2052">
        <v>0.37</v>
      </c>
      <c r="O2052" t="str">
        <f t="shared" si="65"/>
        <v>0.2–0.4 hours</v>
      </c>
      <c r="P2052" t="s">
        <v>25</v>
      </c>
    </row>
    <row r="2053" spans="1:16" x14ac:dyDescent="0.4">
      <c r="A2053" t="s">
        <v>2094</v>
      </c>
      <c r="B2053">
        <v>20</v>
      </c>
      <c r="C2053" t="s">
        <v>27</v>
      </c>
      <c r="D2053" t="s">
        <v>32</v>
      </c>
      <c r="E2053">
        <v>11.48</v>
      </c>
      <c r="F2053">
        <v>30</v>
      </c>
      <c r="G2053" t="s">
        <v>49</v>
      </c>
      <c r="H2053" t="s">
        <v>57</v>
      </c>
      <c r="I2053" s="2">
        <v>17.989999999999998</v>
      </c>
      <c r="J2053">
        <v>0</v>
      </c>
      <c r="K2053" s="2">
        <f t="shared" si="64"/>
        <v>0</v>
      </c>
      <c r="L2053" t="s">
        <v>37</v>
      </c>
      <c r="M2053">
        <v>1</v>
      </c>
      <c r="N2053">
        <v>0.37</v>
      </c>
      <c r="O2053" t="str">
        <f t="shared" si="65"/>
        <v>0.2–0.4 hours</v>
      </c>
      <c r="P2053" t="s">
        <v>39</v>
      </c>
    </row>
    <row r="2054" spans="1:16" x14ac:dyDescent="0.4">
      <c r="A2054" t="s">
        <v>2095</v>
      </c>
      <c r="B2054">
        <v>68</v>
      </c>
      <c r="C2054" t="s">
        <v>15</v>
      </c>
      <c r="D2054" t="s">
        <v>32</v>
      </c>
      <c r="E2054">
        <v>21.72</v>
      </c>
      <c r="F2054">
        <v>28</v>
      </c>
      <c r="G2054" t="s">
        <v>23</v>
      </c>
      <c r="H2054" t="s">
        <v>55</v>
      </c>
      <c r="I2054" s="2">
        <v>17.989999999999998</v>
      </c>
      <c r="J2054">
        <v>0</v>
      </c>
      <c r="K2054" s="2">
        <f t="shared" si="64"/>
        <v>0</v>
      </c>
      <c r="L2054" t="s">
        <v>29</v>
      </c>
      <c r="M2054">
        <v>3</v>
      </c>
      <c r="N2054">
        <v>0.75</v>
      </c>
      <c r="O2054" t="str">
        <f t="shared" si="65"/>
        <v>0.6–0.8 hours</v>
      </c>
      <c r="P2054" t="s">
        <v>25</v>
      </c>
    </row>
    <row r="2055" spans="1:16" x14ac:dyDescent="0.4">
      <c r="A2055" t="s">
        <v>2096</v>
      </c>
      <c r="B2055">
        <v>39</v>
      </c>
      <c r="C2055" t="s">
        <v>15</v>
      </c>
      <c r="D2055" t="s">
        <v>16</v>
      </c>
      <c r="E2055">
        <v>8.16</v>
      </c>
      <c r="F2055">
        <v>14</v>
      </c>
      <c r="G2055" t="s">
        <v>49</v>
      </c>
      <c r="H2055" t="s">
        <v>46</v>
      </c>
      <c r="I2055" s="2">
        <v>8.99</v>
      </c>
      <c r="J2055">
        <v>0</v>
      </c>
      <c r="K2055" s="2">
        <f t="shared" si="64"/>
        <v>0</v>
      </c>
      <c r="L2055" t="s">
        <v>43</v>
      </c>
      <c r="M2055">
        <v>1</v>
      </c>
      <c r="N2055">
        <v>0.54</v>
      </c>
      <c r="O2055" t="str">
        <f t="shared" si="65"/>
        <v>0.4–0.6 hours</v>
      </c>
      <c r="P2055" t="s">
        <v>47</v>
      </c>
    </row>
    <row r="2056" spans="1:16" x14ac:dyDescent="0.4">
      <c r="A2056" t="s">
        <v>2097</v>
      </c>
      <c r="B2056">
        <v>32</v>
      </c>
      <c r="C2056" t="s">
        <v>41</v>
      </c>
      <c r="D2056" t="s">
        <v>16</v>
      </c>
      <c r="E2056">
        <v>11.91</v>
      </c>
      <c r="F2056">
        <v>36</v>
      </c>
      <c r="G2056" t="s">
        <v>28</v>
      </c>
      <c r="H2056" t="s">
        <v>18</v>
      </c>
      <c r="I2056" s="2">
        <v>8.99</v>
      </c>
      <c r="J2056">
        <v>1</v>
      </c>
      <c r="K2056" s="2">
        <f t="shared" si="64"/>
        <v>8.99</v>
      </c>
      <c r="L2056" t="s">
        <v>61</v>
      </c>
      <c r="M2056">
        <v>5</v>
      </c>
      <c r="N2056">
        <v>0.32</v>
      </c>
      <c r="O2056" t="str">
        <f t="shared" si="65"/>
        <v>0.2–0.4 hours</v>
      </c>
      <c r="P2056" t="s">
        <v>30</v>
      </c>
    </row>
    <row r="2057" spans="1:16" x14ac:dyDescent="0.4">
      <c r="A2057" t="s">
        <v>2098</v>
      </c>
      <c r="B2057">
        <v>51</v>
      </c>
      <c r="C2057" t="s">
        <v>41</v>
      </c>
      <c r="D2057" t="s">
        <v>32</v>
      </c>
      <c r="E2057">
        <v>26.92</v>
      </c>
      <c r="F2057">
        <v>24</v>
      </c>
      <c r="G2057" t="s">
        <v>70</v>
      </c>
      <c r="H2057" t="s">
        <v>57</v>
      </c>
      <c r="I2057" s="2">
        <v>17.989999999999998</v>
      </c>
      <c r="J2057">
        <v>0</v>
      </c>
      <c r="K2057" s="2">
        <f t="shared" si="64"/>
        <v>0</v>
      </c>
      <c r="L2057" t="s">
        <v>43</v>
      </c>
      <c r="M2057">
        <v>1</v>
      </c>
      <c r="N2057">
        <v>1.08</v>
      </c>
      <c r="O2057" t="str">
        <f t="shared" si="65"/>
        <v>1+ hours</v>
      </c>
      <c r="P2057" t="s">
        <v>30</v>
      </c>
    </row>
    <row r="2058" spans="1:16" x14ac:dyDescent="0.4">
      <c r="A2058" t="s">
        <v>2099</v>
      </c>
      <c r="B2058">
        <v>38</v>
      </c>
      <c r="C2058" t="s">
        <v>27</v>
      </c>
      <c r="D2058" t="s">
        <v>16</v>
      </c>
      <c r="E2058">
        <v>24.57</v>
      </c>
      <c r="F2058">
        <v>2</v>
      </c>
      <c r="G2058" t="s">
        <v>17</v>
      </c>
      <c r="H2058" t="s">
        <v>57</v>
      </c>
      <c r="I2058" s="2">
        <v>8.99</v>
      </c>
      <c r="J2058">
        <v>0</v>
      </c>
      <c r="K2058" s="2">
        <f t="shared" si="64"/>
        <v>0</v>
      </c>
      <c r="L2058" t="s">
        <v>19</v>
      </c>
      <c r="M2058">
        <v>4</v>
      </c>
      <c r="N2058">
        <v>8.19</v>
      </c>
      <c r="O2058" t="str">
        <f t="shared" si="65"/>
        <v>1+ hours</v>
      </c>
      <c r="P2058" t="s">
        <v>47</v>
      </c>
    </row>
    <row r="2059" spans="1:16" x14ac:dyDescent="0.4">
      <c r="A2059" t="s">
        <v>2100</v>
      </c>
      <c r="B2059">
        <v>57</v>
      </c>
      <c r="C2059" t="s">
        <v>41</v>
      </c>
      <c r="D2059" t="s">
        <v>16</v>
      </c>
      <c r="E2059">
        <v>5.09</v>
      </c>
      <c r="F2059">
        <v>53</v>
      </c>
      <c r="G2059" t="s">
        <v>23</v>
      </c>
      <c r="H2059" t="s">
        <v>55</v>
      </c>
      <c r="I2059" s="2">
        <v>8.99</v>
      </c>
      <c r="J2059">
        <v>1</v>
      </c>
      <c r="K2059" s="2">
        <f t="shared" si="64"/>
        <v>8.99</v>
      </c>
      <c r="L2059" t="s">
        <v>29</v>
      </c>
      <c r="M2059">
        <v>2</v>
      </c>
      <c r="N2059">
        <v>0.09</v>
      </c>
      <c r="O2059" t="str">
        <f t="shared" si="65"/>
        <v>0–0.2 hours</v>
      </c>
      <c r="P2059" t="s">
        <v>25</v>
      </c>
    </row>
    <row r="2060" spans="1:16" x14ac:dyDescent="0.4">
      <c r="A2060" t="s">
        <v>2101</v>
      </c>
      <c r="B2060">
        <v>54</v>
      </c>
      <c r="C2060" t="s">
        <v>41</v>
      </c>
      <c r="D2060" t="s">
        <v>16</v>
      </c>
      <c r="E2060">
        <v>2.54</v>
      </c>
      <c r="F2060">
        <v>52</v>
      </c>
      <c r="G2060" t="s">
        <v>23</v>
      </c>
      <c r="H2060" t="s">
        <v>46</v>
      </c>
      <c r="I2060" s="2">
        <v>8.99</v>
      </c>
      <c r="J2060">
        <v>1</v>
      </c>
      <c r="K2060" s="2">
        <f t="shared" si="64"/>
        <v>8.99</v>
      </c>
      <c r="L2060" t="s">
        <v>43</v>
      </c>
      <c r="M2060">
        <v>4</v>
      </c>
      <c r="N2060">
        <v>0.05</v>
      </c>
      <c r="O2060" t="str">
        <f t="shared" si="65"/>
        <v>0–0.2 hours</v>
      </c>
      <c r="P2060" t="s">
        <v>39</v>
      </c>
    </row>
    <row r="2061" spans="1:16" x14ac:dyDescent="0.4">
      <c r="A2061" t="s">
        <v>2102</v>
      </c>
      <c r="B2061">
        <v>55</v>
      </c>
      <c r="C2061" t="s">
        <v>27</v>
      </c>
      <c r="D2061" t="s">
        <v>22</v>
      </c>
      <c r="E2061">
        <v>25.31</v>
      </c>
      <c r="F2061">
        <v>51</v>
      </c>
      <c r="G2061" t="s">
        <v>23</v>
      </c>
      <c r="H2061" t="s">
        <v>18</v>
      </c>
      <c r="I2061" s="2">
        <v>13.99</v>
      </c>
      <c r="J2061">
        <v>0</v>
      </c>
      <c r="K2061" s="2">
        <f t="shared" si="64"/>
        <v>0</v>
      </c>
      <c r="L2061" t="s">
        <v>19</v>
      </c>
      <c r="M2061">
        <v>4</v>
      </c>
      <c r="N2061">
        <v>0.49</v>
      </c>
      <c r="O2061" t="str">
        <f t="shared" si="65"/>
        <v>0.4–0.6 hours</v>
      </c>
      <c r="P2061" t="s">
        <v>34</v>
      </c>
    </row>
    <row r="2062" spans="1:16" x14ac:dyDescent="0.4">
      <c r="A2062" t="s">
        <v>2103</v>
      </c>
      <c r="B2062">
        <v>63</v>
      </c>
      <c r="C2062" t="s">
        <v>41</v>
      </c>
      <c r="D2062" t="s">
        <v>32</v>
      </c>
      <c r="E2062">
        <v>13.77</v>
      </c>
      <c r="F2062">
        <v>51</v>
      </c>
      <c r="G2062" t="s">
        <v>17</v>
      </c>
      <c r="H2062" t="s">
        <v>24</v>
      </c>
      <c r="I2062" s="2">
        <v>17.989999999999998</v>
      </c>
      <c r="J2062">
        <v>1</v>
      </c>
      <c r="K2062" s="2">
        <f t="shared" si="64"/>
        <v>17.989999999999998</v>
      </c>
      <c r="L2062" t="s">
        <v>19</v>
      </c>
      <c r="M2062">
        <v>5</v>
      </c>
      <c r="N2062">
        <v>0.26</v>
      </c>
      <c r="O2062" t="str">
        <f t="shared" si="65"/>
        <v>0.2–0.4 hours</v>
      </c>
      <c r="P2062" t="s">
        <v>39</v>
      </c>
    </row>
    <row r="2063" spans="1:16" x14ac:dyDescent="0.4">
      <c r="A2063" t="s">
        <v>2104</v>
      </c>
      <c r="B2063">
        <v>18</v>
      </c>
      <c r="C2063" t="s">
        <v>15</v>
      </c>
      <c r="D2063" t="s">
        <v>32</v>
      </c>
      <c r="E2063">
        <v>1.63</v>
      </c>
      <c r="F2063">
        <v>10</v>
      </c>
      <c r="G2063" t="s">
        <v>17</v>
      </c>
      <c r="H2063" t="s">
        <v>55</v>
      </c>
      <c r="I2063" s="2">
        <v>17.989999999999998</v>
      </c>
      <c r="J2063">
        <v>0</v>
      </c>
      <c r="K2063" s="2">
        <f t="shared" si="64"/>
        <v>0</v>
      </c>
      <c r="L2063" t="s">
        <v>61</v>
      </c>
      <c r="M2063">
        <v>4</v>
      </c>
      <c r="N2063">
        <v>0.15</v>
      </c>
      <c r="O2063" t="str">
        <f t="shared" si="65"/>
        <v>0–0.2 hours</v>
      </c>
      <c r="P2063" t="s">
        <v>47</v>
      </c>
    </row>
    <row r="2064" spans="1:16" x14ac:dyDescent="0.4">
      <c r="A2064" t="s">
        <v>2105</v>
      </c>
      <c r="B2064">
        <v>40</v>
      </c>
      <c r="C2064" t="s">
        <v>27</v>
      </c>
      <c r="D2064" t="s">
        <v>22</v>
      </c>
      <c r="E2064">
        <v>6.2</v>
      </c>
      <c r="F2064">
        <v>10</v>
      </c>
      <c r="G2064" t="s">
        <v>70</v>
      </c>
      <c r="H2064" t="s">
        <v>57</v>
      </c>
      <c r="I2064" s="2">
        <v>13.99</v>
      </c>
      <c r="J2064">
        <v>0</v>
      </c>
      <c r="K2064" s="2">
        <f t="shared" si="64"/>
        <v>0</v>
      </c>
      <c r="L2064" t="s">
        <v>61</v>
      </c>
      <c r="M2064">
        <v>3</v>
      </c>
      <c r="N2064">
        <v>0.56000000000000005</v>
      </c>
      <c r="O2064" t="str">
        <f t="shared" si="65"/>
        <v>0.4–0.6 hours</v>
      </c>
      <c r="P2064" t="s">
        <v>30</v>
      </c>
    </row>
    <row r="2065" spans="1:16" x14ac:dyDescent="0.4">
      <c r="A2065" t="s">
        <v>2106</v>
      </c>
      <c r="B2065">
        <v>35</v>
      </c>
      <c r="C2065" t="s">
        <v>15</v>
      </c>
      <c r="D2065" t="s">
        <v>16</v>
      </c>
      <c r="E2065">
        <v>25.11</v>
      </c>
      <c r="F2065">
        <v>3</v>
      </c>
      <c r="G2065" t="s">
        <v>17</v>
      </c>
      <c r="H2065" t="s">
        <v>24</v>
      </c>
      <c r="I2065" s="2">
        <v>8.99</v>
      </c>
      <c r="J2065">
        <v>0</v>
      </c>
      <c r="K2065" s="2">
        <f t="shared" si="64"/>
        <v>0</v>
      </c>
      <c r="L2065" t="s">
        <v>29</v>
      </c>
      <c r="M2065">
        <v>2</v>
      </c>
      <c r="N2065">
        <v>6.28</v>
      </c>
      <c r="O2065" t="str">
        <f t="shared" si="65"/>
        <v>1+ hours</v>
      </c>
      <c r="P2065" t="s">
        <v>30</v>
      </c>
    </row>
    <row r="2066" spans="1:16" x14ac:dyDescent="0.4">
      <c r="A2066" t="s">
        <v>2107</v>
      </c>
      <c r="B2066">
        <v>47</v>
      </c>
      <c r="C2066" t="s">
        <v>41</v>
      </c>
      <c r="D2066" t="s">
        <v>32</v>
      </c>
      <c r="E2066">
        <v>2.11</v>
      </c>
      <c r="F2066">
        <v>58</v>
      </c>
      <c r="G2066" t="s">
        <v>33</v>
      </c>
      <c r="H2066" t="s">
        <v>57</v>
      </c>
      <c r="I2066" s="2">
        <v>17.989999999999998</v>
      </c>
      <c r="J2066">
        <v>1</v>
      </c>
      <c r="K2066" s="2">
        <f t="shared" si="64"/>
        <v>17.989999999999998</v>
      </c>
      <c r="L2066" t="s">
        <v>19</v>
      </c>
      <c r="M2066">
        <v>2</v>
      </c>
      <c r="N2066">
        <v>0.04</v>
      </c>
      <c r="O2066" t="str">
        <f t="shared" si="65"/>
        <v>0–0.2 hours</v>
      </c>
      <c r="P2066" t="s">
        <v>34</v>
      </c>
    </row>
    <row r="2067" spans="1:16" x14ac:dyDescent="0.4">
      <c r="A2067" t="s">
        <v>2108</v>
      </c>
      <c r="B2067">
        <v>39</v>
      </c>
      <c r="C2067" t="s">
        <v>27</v>
      </c>
      <c r="D2067" t="s">
        <v>22</v>
      </c>
      <c r="E2067">
        <v>57.19</v>
      </c>
      <c r="F2067">
        <v>19</v>
      </c>
      <c r="G2067" t="s">
        <v>17</v>
      </c>
      <c r="H2067" t="s">
        <v>24</v>
      </c>
      <c r="I2067" s="2">
        <v>13.99</v>
      </c>
      <c r="J2067">
        <v>0</v>
      </c>
      <c r="K2067" s="2">
        <f t="shared" si="64"/>
        <v>0</v>
      </c>
      <c r="L2067" t="s">
        <v>19</v>
      </c>
      <c r="M2067">
        <v>5</v>
      </c>
      <c r="N2067">
        <v>2.86</v>
      </c>
      <c r="O2067" t="str">
        <f t="shared" si="65"/>
        <v>1+ hours</v>
      </c>
      <c r="P2067" t="s">
        <v>52</v>
      </c>
    </row>
    <row r="2068" spans="1:16" x14ac:dyDescent="0.4">
      <c r="A2068" t="s">
        <v>2109</v>
      </c>
      <c r="B2068">
        <v>52</v>
      </c>
      <c r="C2068" t="s">
        <v>41</v>
      </c>
      <c r="D2068" t="s">
        <v>16</v>
      </c>
      <c r="E2068">
        <v>27.37</v>
      </c>
      <c r="F2068">
        <v>12</v>
      </c>
      <c r="G2068" t="s">
        <v>49</v>
      </c>
      <c r="H2068" t="s">
        <v>18</v>
      </c>
      <c r="I2068" s="2">
        <v>8.99</v>
      </c>
      <c r="J2068">
        <v>0</v>
      </c>
      <c r="K2068" s="2">
        <f t="shared" si="64"/>
        <v>0</v>
      </c>
      <c r="L2068" t="s">
        <v>61</v>
      </c>
      <c r="M2068">
        <v>2</v>
      </c>
      <c r="N2068">
        <v>2.11</v>
      </c>
      <c r="O2068" t="str">
        <f t="shared" si="65"/>
        <v>1+ hours</v>
      </c>
      <c r="P2068" t="s">
        <v>39</v>
      </c>
    </row>
    <row r="2069" spans="1:16" x14ac:dyDescent="0.4">
      <c r="A2069" t="s">
        <v>2110</v>
      </c>
      <c r="B2069">
        <v>68</v>
      </c>
      <c r="C2069" t="s">
        <v>15</v>
      </c>
      <c r="D2069" t="s">
        <v>16</v>
      </c>
      <c r="E2069">
        <v>20.54</v>
      </c>
      <c r="F2069">
        <v>14</v>
      </c>
      <c r="G2069" t="s">
        <v>17</v>
      </c>
      <c r="H2069" t="s">
        <v>18</v>
      </c>
      <c r="I2069" s="2">
        <v>8.99</v>
      </c>
      <c r="J2069">
        <v>0</v>
      </c>
      <c r="K2069" s="2">
        <f t="shared" si="64"/>
        <v>0</v>
      </c>
      <c r="L2069" t="s">
        <v>43</v>
      </c>
      <c r="M2069">
        <v>5</v>
      </c>
      <c r="N2069">
        <v>1.37</v>
      </c>
      <c r="O2069" t="str">
        <f t="shared" si="65"/>
        <v>1+ hours</v>
      </c>
      <c r="P2069" t="s">
        <v>25</v>
      </c>
    </row>
    <row r="2070" spans="1:16" x14ac:dyDescent="0.4">
      <c r="A2070" t="s">
        <v>2111</v>
      </c>
      <c r="B2070">
        <v>47</v>
      </c>
      <c r="C2070" t="s">
        <v>15</v>
      </c>
      <c r="D2070" t="s">
        <v>16</v>
      </c>
      <c r="E2070">
        <v>14.8</v>
      </c>
      <c r="F2070">
        <v>19</v>
      </c>
      <c r="G2070" t="s">
        <v>23</v>
      </c>
      <c r="H2070" t="s">
        <v>24</v>
      </c>
      <c r="I2070" s="2">
        <v>8.99</v>
      </c>
      <c r="J2070">
        <v>0</v>
      </c>
      <c r="K2070" s="2">
        <f t="shared" si="64"/>
        <v>0</v>
      </c>
      <c r="L2070" t="s">
        <v>61</v>
      </c>
      <c r="M2070">
        <v>2</v>
      </c>
      <c r="N2070">
        <v>0.74</v>
      </c>
      <c r="O2070" t="str">
        <f t="shared" si="65"/>
        <v>0.6–0.8 hours</v>
      </c>
      <c r="P2070" t="s">
        <v>39</v>
      </c>
    </row>
    <row r="2071" spans="1:16" x14ac:dyDescent="0.4">
      <c r="A2071" t="s">
        <v>2112</v>
      </c>
      <c r="B2071">
        <v>45</v>
      </c>
      <c r="C2071" t="s">
        <v>27</v>
      </c>
      <c r="D2071" t="s">
        <v>32</v>
      </c>
      <c r="E2071">
        <v>3.91</v>
      </c>
      <c r="F2071">
        <v>44</v>
      </c>
      <c r="G2071" t="s">
        <v>17</v>
      </c>
      <c r="H2071" t="s">
        <v>55</v>
      </c>
      <c r="I2071" s="2">
        <v>17.989999999999998</v>
      </c>
      <c r="J2071">
        <v>1</v>
      </c>
      <c r="K2071" s="2">
        <f t="shared" si="64"/>
        <v>17.989999999999998</v>
      </c>
      <c r="L2071" t="s">
        <v>61</v>
      </c>
      <c r="M2071">
        <v>3</v>
      </c>
      <c r="N2071">
        <v>0.09</v>
      </c>
      <c r="O2071" t="str">
        <f t="shared" si="65"/>
        <v>0–0.2 hours</v>
      </c>
      <c r="P2071" t="s">
        <v>47</v>
      </c>
    </row>
    <row r="2072" spans="1:16" x14ac:dyDescent="0.4">
      <c r="A2072" t="s">
        <v>2113</v>
      </c>
      <c r="B2072">
        <v>18</v>
      </c>
      <c r="C2072" t="s">
        <v>15</v>
      </c>
      <c r="D2072" t="s">
        <v>32</v>
      </c>
      <c r="E2072">
        <v>5.09</v>
      </c>
      <c r="F2072">
        <v>13</v>
      </c>
      <c r="G2072" t="s">
        <v>28</v>
      </c>
      <c r="H2072" t="s">
        <v>55</v>
      </c>
      <c r="I2072" s="2">
        <v>17.989999999999998</v>
      </c>
      <c r="J2072">
        <v>0</v>
      </c>
      <c r="K2072" s="2">
        <f t="shared" si="64"/>
        <v>0</v>
      </c>
      <c r="L2072" t="s">
        <v>19</v>
      </c>
      <c r="M2072">
        <v>2</v>
      </c>
      <c r="N2072">
        <v>0.36</v>
      </c>
      <c r="O2072" t="str">
        <f t="shared" si="65"/>
        <v>0.2–0.4 hours</v>
      </c>
      <c r="P2072" t="s">
        <v>30</v>
      </c>
    </row>
    <row r="2073" spans="1:16" x14ac:dyDescent="0.4">
      <c r="A2073" t="s">
        <v>2114</v>
      </c>
      <c r="B2073">
        <v>46</v>
      </c>
      <c r="C2073" t="s">
        <v>15</v>
      </c>
      <c r="D2073" t="s">
        <v>22</v>
      </c>
      <c r="E2073">
        <v>16.079999999999998</v>
      </c>
      <c r="F2073">
        <v>40</v>
      </c>
      <c r="G2073" t="s">
        <v>33</v>
      </c>
      <c r="H2073" t="s">
        <v>55</v>
      </c>
      <c r="I2073" s="2">
        <v>13.99</v>
      </c>
      <c r="J2073">
        <v>1</v>
      </c>
      <c r="K2073" s="2">
        <f t="shared" si="64"/>
        <v>13.99</v>
      </c>
      <c r="L2073" t="s">
        <v>29</v>
      </c>
      <c r="M2073">
        <v>3</v>
      </c>
      <c r="N2073">
        <v>0.39</v>
      </c>
      <c r="O2073" t="str">
        <f t="shared" si="65"/>
        <v>0.2–0.4 hours</v>
      </c>
      <c r="P2073" t="s">
        <v>20</v>
      </c>
    </row>
    <row r="2074" spans="1:16" x14ac:dyDescent="0.4">
      <c r="A2074" t="s">
        <v>2115</v>
      </c>
      <c r="B2074">
        <v>44</v>
      </c>
      <c r="C2074" t="s">
        <v>15</v>
      </c>
      <c r="D2074" t="s">
        <v>22</v>
      </c>
      <c r="E2074">
        <v>8.65</v>
      </c>
      <c r="F2074">
        <v>60</v>
      </c>
      <c r="G2074" t="s">
        <v>33</v>
      </c>
      <c r="H2074" t="s">
        <v>57</v>
      </c>
      <c r="I2074" s="2">
        <v>13.99</v>
      </c>
      <c r="J2074">
        <v>1</v>
      </c>
      <c r="K2074" s="2">
        <f t="shared" si="64"/>
        <v>13.99</v>
      </c>
      <c r="L2074" t="s">
        <v>61</v>
      </c>
      <c r="M2074">
        <v>1</v>
      </c>
      <c r="N2074">
        <v>0.14000000000000001</v>
      </c>
      <c r="O2074" t="str">
        <f t="shared" si="65"/>
        <v>0–0.2 hours</v>
      </c>
      <c r="P2074" t="s">
        <v>47</v>
      </c>
    </row>
    <row r="2075" spans="1:16" x14ac:dyDescent="0.4">
      <c r="A2075" t="s">
        <v>2116</v>
      </c>
      <c r="B2075">
        <v>36</v>
      </c>
      <c r="C2075" t="s">
        <v>15</v>
      </c>
      <c r="D2075" t="s">
        <v>16</v>
      </c>
      <c r="E2075">
        <v>1.82</v>
      </c>
      <c r="F2075">
        <v>55</v>
      </c>
      <c r="G2075" t="s">
        <v>23</v>
      </c>
      <c r="H2075" t="s">
        <v>46</v>
      </c>
      <c r="I2075" s="2">
        <v>8.99</v>
      </c>
      <c r="J2075">
        <v>1</v>
      </c>
      <c r="K2075" s="2">
        <f t="shared" si="64"/>
        <v>8.99</v>
      </c>
      <c r="L2075" t="s">
        <v>43</v>
      </c>
      <c r="M2075">
        <v>2</v>
      </c>
      <c r="N2075">
        <v>0.03</v>
      </c>
      <c r="O2075" t="str">
        <f t="shared" si="65"/>
        <v>0–0.2 hours</v>
      </c>
      <c r="P2075" t="s">
        <v>25</v>
      </c>
    </row>
    <row r="2076" spans="1:16" x14ac:dyDescent="0.4">
      <c r="A2076" t="s">
        <v>2117</v>
      </c>
      <c r="B2076">
        <v>35</v>
      </c>
      <c r="C2076" t="s">
        <v>15</v>
      </c>
      <c r="D2076" t="s">
        <v>22</v>
      </c>
      <c r="E2076">
        <v>9.43</v>
      </c>
      <c r="F2076">
        <v>10</v>
      </c>
      <c r="G2076" t="s">
        <v>49</v>
      </c>
      <c r="H2076" t="s">
        <v>46</v>
      </c>
      <c r="I2076" s="2">
        <v>13.99</v>
      </c>
      <c r="J2076">
        <v>0</v>
      </c>
      <c r="K2076" s="2">
        <f t="shared" si="64"/>
        <v>0</v>
      </c>
      <c r="L2076" t="s">
        <v>43</v>
      </c>
      <c r="M2076">
        <v>2</v>
      </c>
      <c r="N2076">
        <v>0.86</v>
      </c>
      <c r="O2076" t="str">
        <f t="shared" si="65"/>
        <v>0.8–1 hour</v>
      </c>
      <c r="P2076" t="s">
        <v>34</v>
      </c>
    </row>
    <row r="2077" spans="1:16" x14ac:dyDescent="0.4">
      <c r="A2077" t="s">
        <v>2118</v>
      </c>
      <c r="B2077">
        <v>43</v>
      </c>
      <c r="C2077" t="s">
        <v>41</v>
      </c>
      <c r="D2077" t="s">
        <v>32</v>
      </c>
      <c r="E2077">
        <v>8.9700000000000006</v>
      </c>
      <c r="F2077">
        <v>0</v>
      </c>
      <c r="G2077" t="s">
        <v>70</v>
      </c>
      <c r="H2077" t="s">
        <v>18</v>
      </c>
      <c r="I2077" s="2">
        <v>17.989999999999998</v>
      </c>
      <c r="J2077">
        <v>0</v>
      </c>
      <c r="K2077" s="2">
        <f t="shared" si="64"/>
        <v>0</v>
      </c>
      <c r="L2077" t="s">
        <v>19</v>
      </c>
      <c r="M2077">
        <v>5</v>
      </c>
      <c r="N2077">
        <v>8.9700000000000006</v>
      </c>
      <c r="O2077" t="str">
        <f t="shared" si="65"/>
        <v>1+ hours</v>
      </c>
      <c r="P2077" t="s">
        <v>52</v>
      </c>
    </row>
    <row r="2078" spans="1:16" x14ac:dyDescent="0.4">
      <c r="A2078" t="s">
        <v>2119</v>
      </c>
      <c r="B2078">
        <v>57</v>
      </c>
      <c r="C2078" t="s">
        <v>27</v>
      </c>
      <c r="D2078" t="s">
        <v>22</v>
      </c>
      <c r="E2078">
        <v>4.91</v>
      </c>
      <c r="F2078">
        <v>6</v>
      </c>
      <c r="G2078" t="s">
        <v>70</v>
      </c>
      <c r="H2078" t="s">
        <v>55</v>
      </c>
      <c r="I2078" s="2">
        <v>13.99</v>
      </c>
      <c r="J2078">
        <v>0</v>
      </c>
      <c r="K2078" s="2">
        <f t="shared" si="64"/>
        <v>0</v>
      </c>
      <c r="L2078" t="s">
        <v>43</v>
      </c>
      <c r="M2078">
        <v>1</v>
      </c>
      <c r="N2078">
        <v>0.7</v>
      </c>
      <c r="O2078" t="str">
        <f t="shared" si="65"/>
        <v>0.6–0.8 hours</v>
      </c>
      <c r="P2078" t="s">
        <v>25</v>
      </c>
    </row>
    <row r="2079" spans="1:16" x14ac:dyDescent="0.4">
      <c r="A2079" t="s">
        <v>2120</v>
      </c>
      <c r="B2079">
        <v>58</v>
      </c>
      <c r="C2079" t="s">
        <v>41</v>
      </c>
      <c r="D2079" t="s">
        <v>22</v>
      </c>
      <c r="E2079">
        <v>4.83</v>
      </c>
      <c r="F2079">
        <v>49</v>
      </c>
      <c r="G2079" t="s">
        <v>28</v>
      </c>
      <c r="H2079" t="s">
        <v>18</v>
      </c>
      <c r="I2079" s="2">
        <v>13.99</v>
      </c>
      <c r="J2079">
        <v>1</v>
      </c>
      <c r="K2079" s="2">
        <f t="shared" si="64"/>
        <v>13.99</v>
      </c>
      <c r="L2079" t="s">
        <v>43</v>
      </c>
      <c r="M2079">
        <v>4</v>
      </c>
      <c r="N2079">
        <v>0.1</v>
      </c>
      <c r="O2079" t="str">
        <f t="shared" si="65"/>
        <v>0–0.2 hours</v>
      </c>
      <c r="P2079" t="s">
        <v>52</v>
      </c>
    </row>
    <row r="2080" spans="1:16" x14ac:dyDescent="0.4">
      <c r="A2080" t="s">
        <v>2121</v>
      </c>
      <c r="B2080">
        <v>65</v>
      </c>
      <c r="C2080" t="s">
        <v>27</v>
      </c>
      <c r="D2080" t="s">
        <v>16</v>
      </c>
      <c r="E2080">
        <v>4.09</v>
      </c>
      <c r="F2080">
        <v>18</v>
      </c>
      <c r="G2080" t="s">
        <v>23</v>
      </c>
      <c r="H2080" t="s">
        <v>24</v>
      </c>
      <c r="I2080" s="2">
        <v>8.99</v>
      </c>
      <c r="J2080">
        <v>1</v>
      </c>
      <c r="K2080" s="2">
        <f t="shared" si="64"/>
        <v>8.99</v>
      </c>
      <c r="L2080" t="s">
        <v>61</v>
      </c>
      <c r="M2080">
        <v>2</v>
      </c>
      <c r="N2080">
        <v>0.22</v>
      </c>
      <c r="O2080" t="str">
        <f t="shared" si="65"/>
        <v>0.2–0.4 hours</v>
      </c>
      <c r="P2080" t="s">
        <v>30</v>
      </c>
    </row>
    <row r="2081" spans="1:16" x14ac:dyDescent="0.4">
      <c r="A2081" t="s">
        <v>2122</v>
      </c>
      <c r="B2081">
        <v>22</v>
      </c>
      <c r="C2081" t="s">
        <v>27</v>
      </c>
      <c r="D2081" t="s">
        <v>32</v>
      </c>
      <c r="E2081">
        <v>26.81</v>
      </c>
      <c r="F2081">
        <v>4</v>
      </c>
      <c r="G2081" t="s">
        <v>28</v>
      </c>
      <c r="H2081" t="s">
        <v>18</v>
      </c>
      <c r="I2081" s="2">
        <v>17.989999999999998</v>
      </c>
      <c r="J2081">
        <v>0</v>
      </c>
      <c r="K2081" s="2">
        <f t="shared" si="64"/>
        <v>0</v>
      </c>
      <c r="L2081" t="s">
        <v>37</v>
      </c>
      <c r="M2081">
        <v>5</v>
      </c>
      <c r="N2081">
        <v>5.36</v>
      </c>
      <c r="O2081" t="str">
        <f t="shared" si="65"/>
        <v>1+ hours</v>
      </c>
      <c r="P2081" t="s">
        <v>39</v>
      </c>
    </row>
    <row r="2082" spans="1:16" x14ac:dyDescent="0.4">
      <c r="A2082" t="s">
        <v>2123</v>
      </c>
      <c r="B2082">
        <v>68</v>
      </c>
      <c r="C2082" t="s">
        <v>27</v>
      </c>
      <c r="D2082" t="s">
        <v>16</v>
      </c>
      <c r="E2082">
        <v>15.85</v>
      </c>
      <c r="F2082">
        <v>38</v>
      </c>
      <c r="G2082" t="s">
        <v>49</v>
      </c>
      <c r="H2082" t="s">
        <v>18</v>
      </c>
      <c r="I2082" s="2">
        <v>8.99</v>
      </c>
      <c r="J2082">
        <v>1</v>
      </c>
      <c r="K2082" s="2">
        <f t="shared" si="64"/>
        <v>8.99</v>
      </c>
      <c r="L2082" t="s">
        <v>29</v>
      </c>
      <c r="M2082">
        <v>2</v>
      </c>
      <c r="N2082">
        <v>0.41</v>
      </c>
      <c r="O2082" t="str">
        <f t="shared" si="65"/>
        <v>0.4–0.6 hours</v>
      </c>
      <c r="P2082" t="s">
        <v>34</v>
      </c>
    </row>
    <row r="2083" spans="1:16" x14ac:dyDescent="0.4">
      <c r="A2083" t="s">
        <v>2124</v>
      </c>
      <c r="B2083">
        <v>68</v>
      </c>
      <c r="C2083" t="s">
        <v>41</v>
      </c>
      <c r="D2083" t="s">
        <v>16</v>
      </c>
      <c r="E2083">
        <v>3.01</v>
      </c>
      <c r="F2083">
        <v>27</v>
      </c>
      <c r="G2083" t="s">
        <v>17</v>
      </c>
      <c r="H2083" t="s">
        <v>57</v>
      </c>
      <c r="I2083" s="2">
        <v>8.99</v>
      </c>
      <c r="J2083">
        <v>1</v>
      </c>
      <c r="K2083" s="2">
        <f t="shared" si="64"/>
        <v>8.99</v>
      </c>
      <c r="L2083" t="s">
        <v>29</v>
      </c>
      <c r="M2083">
        <v>3</v>
      </c>
      <c r="N2083">
        <v>0.11</v>
      </c>
      <c r="O2083" t="str">
        <f t="shared" si="65"/>
        <v>0–0.2 hours</v>
      </c>
      <c r="P2083" t="s">
        <v>30</v>
      </c>
    </row>
    <row r="2084" spans="1:16" x14ac:dyDescent="0.4">
      <c r="A2084" t="s">
        <v>2125</v>
      </c>
      <c r="B2084">
        <v>28</v>
      </c>
      <c r="C2084" t="s">
        <v>41</v>
      </c>
      <c r="D2084" t="s">
        <v>32</v>
      </c>
      <c r="E2084">
        <v>4.49</v>
      </c>
      <c r="F2084">
        <v>50</v>
      </c>
      <c r="G2084" t="s">
        <v>33</v>
      </c>
      <c r="H2084" t="s">
        <v>55</v>
      </c>
      <c r="I2084" s="2">
        <v>17.989999999999998</v>
      </c>
      <c r="J2084">
        <v>1</v>
      </c>
      <c r="K2084" s="2">
        <f t="shared" si="64"/>
        <v>17.989999999999998</v>
      </c>
      <c r="L2084" t="s">
        <v>29</v>
      </c>
      <c r="M2084">
        <v>4</v>
      </c>
      <c r="N2084">
        <v>0.09</v>
      </c>
      <c r="O2084" t="str">
        <f t="shared" si="65"/>
        <v>0–0.2 hours</v>
      </c>
      <c r="P2084" t="s">
        <v>30</v>
      </c>
    </row>
    <row r="2085" spans="1:16" x14ac:dyDescent="0.4">
      <c r="A2085" t="s">
        <v>2126</v>
      </c>
      <c r="B2085">
        <v>23</v>
      </c>
      <c r="C2085" t="s">
        <v>27</v>
      </c>
      <c r="D2085" t="s">
        <v>22</v>
      </c>
      <c r="E2085">
        <v>2.63</v>
      </c>
      <c r="F2085">
        <v>4</v>
      </c>
      <c r="G2085" t="s">
        <v>33</v>
      </c>
      <c r="H2085" t="s">
        <v>24</v>
      </c>
      <c r="I2085" s="2">
        <v>13.99</v>
      </c>
      <c r="J2085">
        <v>0</v>
      </c>
      <c r="K2085" s="2">
        <f t="shared" si="64"/>
        <v>0</v>
      </c>
      <c r="L2085" t="s">
        <v>43</v>
      </c>
      <c r="M2085">
        <v>3</v>
      </c>
      <c r="N2085">
        <v>0.53</v>
      </c>
      <c r="O2085" t="str">
        <f t="shared" si="65"/>
        <v>0.4–0.6 hours</v>
      </c>
      <c r="P2085" t="s">
        <v>47</v>
      </c>
    </row>
    <row r="2086" spans="1:16" x14ac:dyDescent="0.4">
      <c r="A2086" t="s">
        <v>2127</v>
      </c>
      <c r="B2086">
        <v>51</v>
      </c>
      <c r="C2086" t="s">
        <v>41</v>
      </c>
      <c r="D2086" t="s">
        <v>22</v>
      </c>
      <c r="E2086">
        <v>8.6300000000000008</v>
      </c>
      <c r="F2086">
        <v>23</v>
      </c>
      <c r="G2086" t="s">
        <v>33</v>
      </c>
      <c r="H2086" t="s">
        <v>57</v>
      </c>
      <c r="I2086" s="2">
        <v>13.99</v>
      </c>
      <c r="J2086">
        <v>0</v>
      </c>
      <c r="K2086" s="2">
        <f t="shared" si="64"/>
        <v>0</v>
      </c>
      <c r="L2086" t="s">
        <v>37</v>
      </c>
      <c r="M2086">
        <v>1</v>
      </c>
      <c r="N2086">
        <v>0.36</v>
      </c>
      <c r="O2086" t="str">
        <f t="shared" si="65"/>
        <v>0.2–0.4 hours</v>
      </c>
      <c r="P2086" t="s">
        <v>30</v>
      </c>
    </row>
    <row r="2087" spans="1:16" x14ac:dyDescent="0.4">
      <c r="A2087" t="s">
        <v>2128</v>
      </c>
      <c r="B2087">
        <v>36</v>
      </c>
      <c r="C2087" t="s">
        <v>41</v>
      </c>
      <c r="D2087" t="s">
        <v>22</v>
      </c>
      <c r="E2087">
        <v>8.8699999999999992</v>
      </c>
      <c r="F2087">
        <v>36</v>
      </c>
      <c r="G2087" t="s">
        <v>70</v>
      </c>
      <c r="H2087" t="s">
        <v>55</v>
      </c>
      <c r="I2087" s="2">
        <v>13.99</v>
      </c>
      <c r="J2087">
        <v>1</v>
      </c>
      <c r="K2087" s="2">
        <f t="shared" si="64"/>
        <v>13.99</v>
      </c>
      <c r="L2087" t="s">
        <v>19</v>
      </c>
      <c r="M2087">
        <v>2</v>
      </c>
      <c r="N2087">
        <v>0.24</v>
      </c>
      <c r="O2087" t="str">
        <f t="shared" si="65"/>
        <v>0.2–0.4 hours</v>
      </c>
      <c r="P2087" t="s">
        <v>39</v>
      </c>
    </row>
    <row r="2088" spans="1:16" x14ac:dyDescent="0.4">
      <c r="A2088" t="s">
        <v>2129</v>
      </c>
      <c r="B2088">
        <v>68</v>
      </c>
      <c r="C2088" t="s">
        <v>27</v>
      </c>
      <c r="D2088" t="s">
        <v>32</v>
      </c>
      <c r="E2088">
        <v>5.99</v>
      </c>
      <c r="F2088">
        <v>19</v>
      </c>
      <c r="G2088" t="s">
        <v>70</v>
      </c>
      <c r="H2088" t="s">
        <v>57</v>
      </c>
      <c r="I2088" s="2">
        <v>17.989999999999998</v>
      </c>
      <c r="J2088">
        <v>0</v>
      </c>
      <c r="K2088" s="2">
        <f t="shared" si="64"/>
        <v>0</v>
      </c>
      <c r="L2088" t="s">
        <v>19</v>
      </c>
      <c r="M2088">
        <v>4</v>
      </c>
      <c r="N2088">
        <v>0.3</v>
      </c>
      <c r="O2088" t="str">
        <f t="shared" si="65"/>
        <v>0.2–0.4 hours</v>
      </c>
      <c r="P2088" t="s">
        <v>39</v>
      </c>
    </row>
    <row r="2089" spans="1:16" x14ac:dyDescent="0.4">
      <c r="A2089" t="s">
        <v>2130</v>
      </c>
      <c r="B2089">
        <v>25</v>
      </c>
      <c r="C2089" t="s">
        <v>27</v>
      </c>
      <c r="D2089" t="s">
        <v>32</v>
      </c>
      <c r="E2089">
        <v>4.05</v>
      </c>
      <c r="F2089">
        <v>34</v>
      </c>
      <c r="G2089" t="s">
        <v>28</v>
      </c>
      <c r="H2089" t="s">
        <v>55</v>
      </c>
      <c r="I2089" s="2">
        <v>17.989999999999998</v>
      </c>
      <c r="J2089">
        <v>1</v>
      </c>
      <c r="K2089" s="2">
        <f t="shared" si="64"/>
        <v>17.989999999999998</v>
      </c>
      <c r="L2089" t="s">
        <v>19</v>
      </c>
      <c r="M2089">
        <v>2</v>
      </c>
      <c r="N2089">
        <v>0.12</v>
      </c>
      <c r="O2089" t="str">
        <f t="shared" si="65"/>
        <v>0–0.2 hours</v>
      </c>
      <c r="P2089" t="s">
        <v>52</v>
      </c>
    </row>
    <row r="2090" spans="1:16" x14ac:dyDescent="0.4">
      <c r="A2090" t="s">
        <v>2131</v>
      </c>
      <c r="B2090">
        <v>25</v>
      </c>
      <c r="C2090" t="s">
        <v>41</v>
      </c>
      <c r="D2090" t="s">
        <v>16</v>
      </c>
      <c r="E2090">
        <v>14.39</v>
      </c>
      <c r="F2090">
        <v>53</v>
      </c>
      <c r="G2090" t="s">
        <v>70</v>
      </c>
      <c r="H2090" t="s">
        <v>57</v>
      </c>
      <c r="I2090" s="2">
        <v>8.99</v>
      </c>
      <c r="J2090">
        <v>1</v>
      </c>
      <c r="K2090" s="2">
        <f t="shared" si="64"/>
        <v>8.99</v>
      </c>
      <c r="L2090" t="s">
        <v>19</v>
      </c>
      <c r="M2090">
        <v>4</v>
      </c>
      <c r="N2090">
        <v>0.27</v>
      </c>
      <c r="O2090" t="str">
        <f t="shared" si="65"/>
        <v>0.2–0.4 hours</v>
      </c>
      <c r="P2090" t="s">
        <v>52</v>
      </c>
    </row>
    <row r="2091" spans="1:16" x14ac:dyDescent="0.4">
      <c r="A2091" t="s">
        <v>2132</v>
      </c>
      <c r="B2091">
        <v>56</v>
      </c>
      <c r="C2091" t="s">
        <v>27</v>
      </c>
      <c r="D2091" t="s">
        <v>32</v>
      </c>
      <c r="E2091">
        <v>19.03</v>
      </c>
      <c r="F2091">
        <v>37</v>
      </c>
      <c r="G2091" t="s">
        <v>49</v>
      </c>
      <c r="H2091" t="s">
        <v>57</v>
      </c>
      <c r="I2091" s="2">
        <v>17.989999999999998</v>
      </c>
      <c r="J2091">
        <v>0</v>
      </c>
      <c r="K2091" s="2">
        <f t="shared" si="64"/>
        <v>0</v>
      </c>
      <c r="L2091" t="s">
        <v>61</v>
      </c>
      <c r="M2091">
        <v>1</v>
      </c>
      <c r="N2091">
        <v>0.5</v>
      </c>
      <c r="O2091" t="str">
        <f t="shared" si="65"/>
        <v>0.4–0.6 hours</v>
      </c>
      <c r="P2091" t="s">
        <v>39</v>
      </c>
    </row>
    <row r="2092" spans="1:16" x14ac:dyDescent="0.4">
      <c r="A2092" t="s">
        <v>2133</v>
      </c>
      <c r="B2092">
        <v>51</v>
      </c>
      <c r="C2092" t="s">
        <v>15</v>
      </c>
      <c r="D2092" t="s">
        <v>22</v>
      </c>
      <c r="E2092">
        <v>4.9800000000000004</v>
      </c>
      <c r="F2092">
        <v>28</v>
      </c>
      <c r="G2092" t="s">
        <v>49</v>
      </c>
      <c r="H2092" t="s">
        <v>57</v>
      </c>
      <c r="I2092" s="2">
        <v>13.99</v>
      </c>
      <c r="J2092">
        <v>1</v>
      </c>
      <c r="K2092" s="2">
        <f t="shared" si="64"/>
        <v>13.99</v>
      </c>
      <c r="L2092" t="s">
        <v>19</v>
      </c>
      <c r="M2092">
        <v>5</v>
      </c>
      <c r="N2092">
        <v>0.17</v>
      </c>
      <c r="O2092" t="str">
        <f t="shared" si="65"/>
        <v>0–0.2 hours</v>
      </c>
      <c r="P2092" t="s">
        <v>25</v>
      </c>
    </row>
    <row r="2093" spans="1:16" x14ac:dyDescent="0.4">
      <c r="A2093" t="s">
        <v>2134</v>
      </c>
      <c r="B2093">
        <v>57</v>
      </c>
      <c r="C2093" t="s">
        <v>15</v>
      </c>
      <c r="D2093" t="s">
        <v>16</v>
      </c>
      <c r="E2093">
        <v>27.17</v>
      </c>
      <c r="F2093">
        <v>38</v>
      </c>
      <c r="G2093" t="s">
        <v>49</v>
      </c>
      <c r="H2093" t="s">
        <v>18</v>
      </c>
      <c r="I2093" s="2">
        <v>8.99</v>
      </c>
      <c r="J2093">
        <v>0</v>
      </c>
      <c r="K2093" s="2">
        <f t="shared" si="64"/>
        <v>0</v>
      </c>
      <c r="L2093" t="s">
        <v>43</v>
      </c>
      <c r="M2093">
        <v>5</v>
      </c>
      <c r="N2093">
        <v>0.7</v>
      </c>
      <c r="O2093" t="str">
        <f t="shared" si="65"/>
        <v>0.6–0.8 hours</v>
      </c>
      <c r="P2093" t="s">
        <v>47</v>
      </c>
    </row>
    <row r="2094" spans="1:16" x14ac:dyDescent="0.4">
      <c r="A2094" t="s">
        <v>2135</v>
      </c>
      <c r="B2094">
        <v>24</v>
      </c>
      <c r="C2094" t="s">
        <v>15</v>
      </c>
      <c r="D2094" t="s">
        <v>22</v>
      </c>
      <c r="E2094">
        <v>5.81</v>
      </c>
      <c r="F2094">
        <v>32</v>
      </c>
      <c r="G2094" t="s">
        <v>70</v>
      </c>
      <c r="H2094" t="s">
        <v>18</v>
      </c>
      <c r="I2094" s="2">
        <v>13.99</v>
      </c>
      <c r="J2094">
        <v>0</v>
      </c>
      <c r="K2094" s="2">
        <f t="shared" si="64"/>
        <v>0</v>
      </c>
      <c r="L2094" t="s">
        <v>43</v>
      </c>
      <c r="M2094">
        <v>4</v>
      </c>
      <c r="N2094">
        <v>0.18</v>
      </c>
      <c r="O2094" t="str">
        <f t="shared" si="65"/>
        <v>0–0.2 hours</v>
      </c>
      <c r="P2094" t="s">
        <v>39</v>
      </c>
    </row>
    <row r="2095" spans="1:16" x14ac:dyDescent="0.4">
      <c r="A2095" t="s">
        <v>2136</v>
      </c>
      <c r="B2095">
        <v>23</v>
      </c>
      <c r="C2095" t="s">
        <v>41</v>
      </c>
      <c r="D2095" t="s">
        <v>22</v>
      </c>
      <c r="E2095">
        <v>0.28999999999999998</v>
      </c>
      <c r="F2095">
        <v>58</v>
      </c>
      <c r="G2095" t="s">
        <v>23</v>
      </c>
      <c r="H2095" t="s">
        <v>55</v>
      </c>
      <c r="I2095" s="2">
        <v>13.99</v>
      </c>
      <c r="J2095">
        <v>1</v>
      </c>
      <c r="K2095" s="2">
        <f t="shared" si="64"/>
        <v>13.99</v>
      </c>
      <c r="L2095" t="s">
        <v>19</v>
      </c>
      <c r="M2095">
        <v>2</v>
      </c>
      <c r="N2095">
        <v>0</v>
      </c>
      <c r="O2095" t="str">
        <f t="shared" si="65"/>
        <v>0–0.2 hours</v>
      </c>
      <c r="P2095" t="s">
        <v>52</v>
      </c>
    </row>
    <row r="2096" spans="1:16" x14ac:dyDescent="0.4">
      <c r="A2096" t="s">
        <v>2137</v>
      </c>
      <c r="B2096">
        <v>66</v>
      </c>
      <c r="C2096" t="s">
        <v>15</v>
      </c>
      <c r="D2096" t="s">
        <v>32</v>
      </c>
      <c r="E2096">
        <v>10.48</v>
      </c>
      <c r="F2096">
        <v>29</v>
      </c>
      <c r="G2096" t="s">
        <v>23</v>
      </c>
      <c r="H2096" t="s">
        <v>24</v>
      </c>
      <c r="I2096" s="2">
        <v>17.989999999999998</v>
      </c>
      <c r="J2096">
        <v>0</v>
      </c>
      <c r="K2096" s="2">
        <f t="shared" si="64"/>
        <v>0</v>
      </c>
      <c r="L2096" t="s">
        <v>43</v>
      </c>
      <c r="M2096">
        <v>3</v>
      </c>
      <c r="N2096">
        <v>0.35</v>
      </c>
      <c r="O2096" t="str">
        <f t="shared" si="65"/>
        <v>0.2–0.4 hours</v>
      </c>
      <c r="P2096" t="s">
        <v>34</v>
      </c>
    </row>
    <row r="2097" spans="1:16" x14ac:dyDescent="0.4">
      <c r="A2097" t="s">
        <v>2138</v>
      </c>
      <c r="B2097">
        <v>36</v>
      </c>
      <c r="C2097" t="s">
        <v>27</v>
      </c>
      <c r="D2097" t="s">
        <v>32</v>
      </c>
      <c r="E2097">
        <v>4.26</v>
      </c>
      <c r="F2097">
        <v>21</v>
      </c>
      <c r="G2097" t="s">
        <v>23</v>
      </c>
      <c r="H2097" t="s">
        <v>18</v>
      </c>
      <c r="I2097" s="2">
        <v>17.989999999999998</v>
      </c>
      <c r="J2097">
        <v>0</v>
      </c>
      <c r="K2097" s="2">
        <f t="shared" si="64"/>
        <v>0</v>
      </c>
      <c r="L2097" t="s">
        <v>43</v>
      </c>
      <c r="M2097">
        <v>4</v>
      </c>
      <c r="N2097">
        <v>0.19</v>
      </c>
      <c r="O2097" t="str">
        <f t="shared" si="65"/>
        <v>0–0.2 hours</v>
      </c>
      <c r="P2097" t="s">
        <v>34</v>
      </c>
    </row>
    <row r="2098" spans="1:16" x14ac:dyDescent="0.4">
      <c r="A2098" t="s">
        <v>2139</v>
      </c>
      <c r="B2098">
        <v>23</v>
      </c>
      <c r="C2098" t="s">
        <v>15</v>
      </c>
      <c r="D2098" t="s">
        <v>16</v>
      </c>
      <c r="E2098">
        <v>0.03</v>
      </c>
      <c r="F2098">
        <v>60</v>
      </c>
      <c r="G2098" t="s">
        <v>70</v>
      </c>
      <c r="H2098" t="s">
        <v>18</v>
      </c>
      <c r="I2098" s="2">
        <v>8.99</v>
      </c>
      <c r="J2098">
        <v>1</v>
      </c>
      <c r="K2098" s="2">
        <f t="shared" si="64"/>
        <v>8.99</v>
      </c>
      <c r="L2098" t="s">
        <v>43</v>
      </c>
      <c r="M2098">
        <v>1</v>
      </c>
      <c r="N2098">
        <v>0</v>
      </c>
      <c r="O2098" t="str">
        <f t="shared" si="65"/>
        <v>0–0.2 hours</v>
      </c>
      <c r="P2098" t="s">
        <v>47</v>
      </c>
    </row>
    <row r="2099" spans="1:16" x14ac:dyDescent="0.4">
      <c r="A2099" t="s">
        <v>2140</v>
      </c>
      <c r="B2099">
        <v>69</v>
      </c>
      <c r="C2099" t="s">
        <v>41</v>
      </c>
      <c r="D2099" t="s">
        <v>32</v>
      </c>
      <c r="E2099">
        <v>9.8000000000000007</v>
      </c>
      <c r="F2099">
        <v>56</v>
      </c>
      <c r="G2099" t="s">
        <v>33</v>
      </c>
      <c r="H2099" t="s">
        <v>18</v>
      </c>
      <c r="I2099" s="2">
        <v>17.989999999999998</v>
      </c>
      <c r="J2099">
        <v>1</v>
      </c>
      <c r="K2099" s="2">
        <f t="shared" si="64"/>
        <v>17.989999999999998</v>
      </c>
      <c r="L2099" t="s">
        <v>19</v>
      </c>
      <c r="M2099">
        <v>2</v>
      </c>
      <c r="N2099">
        <v>0.17</v>
      </c>
      <c r="O2099" t="str">
        <f t="shared" si="65"/>
        <v>0–0.2 hours</v>
      </c>
      <c r="P2099" t="s">
        <v>52</v>
      </c>
    </row>
    <row r="2100" spans="1:16" x14ac:dyDescent="0.4">
      <c r="A2100" t="s">
        <v>2141</v>
      </c>
      <c r="B2100">
        <v>21</v>
      </c>
      <c r="C2100" t="s">
        <v>41</v>
      </c>
      <c r="D2100" t="s">
        <v>22</v>
      </c>
      <c r="E2100">
        <v>13.79</v>
      </c>
      <c r="F2100">
        <v>39</v>
      </c>
      <c r="G2100" t="s">
        <v>28</v>
      </c>
      <c r="H2100" t="s">
        <v>24</v>
      </c>
      <c r="I2100" s="2">
        <v>13.99</v>
      </c>
      <c r="J2100">
        <v>0</v>
      </c>
      <c r="K2100" s="2">
        <f t="shared" si="64"/>
        <v>0</v>
      </c>
      <c r="L2100" t="s">
        <v>43</v>
      </c>
      <c r="M2100">
        <v>5</v>
      </c>
      <c r="N2100">
        <v>0.34</v>
      </c>
      <c r="O2100" t="str">
        <f t="shared" si="65"/>
        <v>0.2–0.4 hours</v>
      </c>
      <c r="P2100" t="s">
        <v>34</v>
      </c>
    </row>
    <row r="2101" spans="1:16" x14ac:dyDescent="0.4">
      <c r="A2101" t="s">
        <v>2142</v>
      </c>
      <c r="B2101">
        <v>27</v>
      </c>
      <c r="C2101" t="s">
        <v>41</v>
      </c>
      <c r="D2101" t="s">
        <v>32</v>
      </c>
      <c r="E2101">
        <v>18.170000000000002</v>
      </c>
      <c r="F2101">
        <v>60</v>
      </c>
      <c r="G2101" t="s">
        <v>70</v>
      </c>
      <c r="H2101" t="s">
        <v>24</v>
      </c>
      <c r="I2101" s="2">
        <v>17.989999999999998</v>
      </c>
      <c r="J2101">
        <v>1</v>
      </c>
      <c r="K2101" s="2">
        <f t="shared" si="64"/>
        <v>17.989999999999998</v>
      </c>
      <c r="L2101" t="s">
        <v>43</v>
      </c>
      <c r="M2101">
        <v>2</v>
      </c>
      <c r="N2101">
        <v>0.3</v>
      </c>
      <c r="O2101" t="str">
        <f t="shared" si="65"/>
        <v>0.2–0.4 hours</v>
      </c>
      <c r="P2101" t="s">
        <v>52</v>
      </c>
    </row>
    <row r="2102" spans="1:16" x14ac:dyDescent="0.4">
      <c r="A2102" t="s">
        <v>2143</v>
      </c>
      <c r="B2102">
        <v>58</v>
      </c>
      <c r="C2102" t="s">
        <v>41</v>
      </c>
      <c r="D2102" t="s">
        <v>32</v>
      </c>
      <c r="E2102">
        <v>27.98</v>
      </c>
      <c r="F2102">
        <v>8</v>
      </c>
      <c r="G2102" t="s">
        <v>70</v>
      </c>
      <c r="H2102" t="s">
        <v>24</v>
      </c>
      <c r="I2102" s="2">
        <v>17.989999999999998</v>
      </c>
      <c r="J2102">
        <v>0</v>
      </c>
      <c r="K2102" s="2">
        <f t="shared" si="64"/>
        <v>0</v>
      </c>
      <c r="L2102" t="s">
        <v>29</v>
      </c>
      <c r="M2102">
        <v>1</v>
      </c>
      <c r="N2102">
        <v>3.11</v>
      </c>
      <c r="O2102" t="str">
        <f t="shared" si="65"/>
        <v>1+ hours</v>
      </c>
      <c r="P2102" t="s">
        <v>39</v>
      </c>
    </row>
    <row r="2103" spans="1:16" x14ac:dyDescent="0.4">
      <c r="A2103" t="s">
        <v>2144</v>
      </c>
      <c r="B2103">
        <v>37</v>
      </c>
      <c r="C2103" t="s">
        <v>15</v>
      </c>
      <c r="D2103" t="s">
        <v>22</v>
      </c>
      <c r="E2103">
        <v>10.84</v>
      </c>
      <c r="F2103">
        <v>29</v>
      </c>
      <c r="G2103" t="s">
        <v>70</v>
      </c>
      <c r="H2103" t="s">
        <v>24</v>
      </c>
      <c r="I2103" s="2">
        <v>13.99</v>
      </c>
      <c r="J2103">
        <v>0</v>
      </c>
      <c r="K2103" s="2">
        <f t="shared" si="64"/>
        <v>0</v>
      </c>
      <c r="L2103" t="s">
        <v>29</v>
      </c>
      <c r="M2103">
        <v>4</v>
      </c>
      <c r="N2103">
        <v>0.36</v>
      </c>
      <c r="O2103" t="str">
        <f t="shared" si="65"/>
        <v>0.2–0.4 hours</v>
      </c>
      <c r="P2103" t="s">
        <v>25</v>
      </c>
    </row>
    <row r="2104" spans="1:16" x14ac:dyDescent="0.4">
      <c r="A2104" t="s">
        <v>2145</v>
      </c>
      <c r="B2104">
        <v>45</v>
      </c>
      <c r="C2104" t="s">
        <v>41</v>
      </c>
      <c r="D2104" t="s">
        <v>32</v>
      </c>
      <c r="E2104">
        <v>2.7</v>
      </c>
      <c r="F2104">
        <v>2</v>
      </c>
      <c r="G2104" t="s">
        <v>23</v>
      </c>
      <c r="H2104" t="s">
        <v>18</v>
      </c>
      <c r="I2104" s="2">
        <v>17.989999999999998</v>
      </c>
      <c r="J2104">
        <v>0</v>
      </c>
      <c r="K2104" s="2">
        <f t="shared" si="64"/>
        <v>0</v>
      </c>
      <c r="L2104" t="s">
        <v>61</v>
      </c>
      <c r="M2104">
        <v>4</v>
      </c>
      <c r="N2104">
        <v>0.9</v>
      </c>
      <c r="O2104" t="str">
        <f t="shared" si="65"/>
        <v>0.8–1 hour</v>
      </c>
      <c r="P2104" t="s">
        <v>25</v>
      </c>
    </row>
    <row r="2105" spans="1:16" x14ac:dyDescent="0.4">
      <c r="A2105" t="s">
        <v>2146</v>
      </c>
      <c r="B2105">
        <v>25</v>
      </c>
      <c r="C2105" t="s">
        <v>27</v>
      </c>
      <c r="D2105" t="s">
        <v>32</v>
      </c>
      <c r="E2105">
        <v>28.54</v>
      </c>
      <c r="F2105">
        <v>50</v>
      </c>
      <c r="G2105" t="s">
        <v>23</v>
      </c>
      <c r="H2105" t="s">
        <v>57</v>
      </c>
      <c r="I2105" s="2">
        <v>17.989999999999998</v>
      </c>
      <c r="J2105">
        <v>0</v>
      </c>
      <c r="K2105" s="2">
        <f t="shared" si="64"/>
        <v>0</v>
      </c>
      <c r="L2105" t="s">
        <v>43</v>
      </c>
      <c r="M2105">
        <v>2</v>
      </c>
      <c r="N2105">
        <v>0.56000000000000005</v>
      </c>
      <c r="O2105" t="str">
        <f t="shared" si="65"/>
        <v>0.4–0.6 hours</v>
      </c>
      <c r="P2105" t="s">
        <v>52</v>
      </c>
    </row>
    <row r="2106" spans="1:16" x14ac:dyDescent="0.4">
      <c r="A2106" t="s">
        <v>2147</v>
      </c>
      <c r="B2106">
        <v>58</v>
      </c>
      <c r="C2106" t="s">
        <v>27</v>
      </c>
      <c r="D2106" t="s">
        <v>32</v>
      </c>
      <c r="E2106">
        <v>3.44</v>
      </c>
      <c r="F2106">
        <v>17</v>
      </c>
      <c r="G2106" t="s">
        <v>23</v>
      </c>
      <c r="H2106" t="s">
        <v>46</v>
      </c>
      <c r="I2106" s="2">
        <v>17.989999999999998</v>
      </c>
      <c r="J2106">
        <v>1</v>
      </c>
      <c r="K2106" s="2">
        <f t="shared" si="64"/>
        <v>17.989999999999998</v>
      </c>
      <c r="L2106" t="s">
        <v>29</v>
      </c>
      <c r="M2106">
        <v>3</v>
      </c>
      <c r="N2106">
        <v>0.19</v>
      </c>
      <c r="O2106" t="str">
        <f t="shared" si="65"/>
        <v>0–0.2 hours</v>
      </c>
      <c r="P2106" t="s">
        <v>47</v>
      </c>
    </row>
    <row r="2107" spans="1:16" x14ac:dyDescent="0.4">
      <c r="A2107" t="s">
        <v>2148</v>
      </c>
      <c r="B2107">
        <v>64</v>
      </c>
      <c r="C2107" t="s">
        <v>27</v>
      </c>
      <c r="D2107" t="s">
        <v>16</v>
      </c>
      <c r="E2107">
        <v>12.14</v>
      </c>
      <c r="F2107">
        <v>50</v>
      </c>
      <c r="G2107" t="s">
        <v>23</v>
      </c>
      <c r="H2107" t="s">
        <v>55</v>
      </c>
      <c r="I2107" s="2">
        <v>8.99</v>
      </c>
      <c r="J2107">
        <v>1</v>
      </c>
      <c r="K2107" s="2">
        <f t="shared" si="64"/>
        <v>8.99</v>
      </c>
      <c r="L2107" t="s">
        <v>43</v>
      </c>
      <c r="M2107">
        <v>3</v>
      </c>
      <c r="N2107">
        <v>0.24</v>
      </c>
      <c r="O2107" t="str">
        <f t="shared" si="65"/>
        <v>0.2–0.4 hours</v>
      </c>
      <c r="P2107" t="s">
        <v>34</v>
      </c>
    </row>
    <row r="2108" spans="1:16" x14ac:dyDescent="0.4">
      <c r="A2108" t="s">
        <v>2149</v>
      </c>
      <c r="B2108">
        <v>19</v>
      </c>
      <c r="C2108" t="s">
        <v>27</v>
      </c>
      <c r="D2108" t="s">
        <v>22</v>
      </c>
      <c r="E2108">
        <v>10.38</v>
      </c>
      <c r="F2108">
        <v>58</v>
      </c>
      <c r="G2108" t="s">
        <v>23</v>
      </c>
      <c r="H2108" t="s">
        <v>46</v>
      </c>
      <c r="I2108" s="2">
        <v>13.99</v>
      </c>
      <c r="J2108">
        <v>0</v>
      </c>
      <c r="K2108" s="2">
        <f t="shared" si="64"/>
        <v>0</v>
      </c>
      <c r="L2108" t="s">
        <v>43</v>
      </c>
      <c r="M2108">
        <v>5</v>
      </c>
      <c r="N2108">
        <v>0.18</v>
      </c>
      <c r="O2108" t="str">
        <f t="shared" si="65"/>
        <v>0–0.2 hours</v>
      </c>
      <c r="P2108" t="s">
        <v>52</v>
      </c>
    </row>
    <row r="2109" spans="1:16" x14ac:dyDescent="0.4">
      <c r="A2109" t="s">
        <v>2150</v>
      </c>
      <c r="B2109">
        <v>44</v>
      </c>
      <c r="C2109" t="s">
        <v>15</v>
      </c>
      <c r="D2109" t="s">
        <v>16</v>
      </c>
      <c r="E2109">
        <v>26.37</v>
      </c>
      <c r="F2109">
        <v>21</v>
      </c>
      <c r="G2109" t="s">
        <v>33</v>
      </c>
      <c r="H2109" t="s">
        <v>24</v>
      </c>
      <c r="I2109" s="2">
        <v>8.99</v>
      </c>
      <c r="J2109">
        <v>0</v>
      </c>
      <c r="K2109" s="2">
        <f t="shared" si="64"/>
        <v>0</v>
      </c>
      <c r="L2109" t="s">
        <v>43</v>
      </c>
      <c r="M2109">
        <v>5</v>
      </c>
      <c r="N2109">
        <v>1.2</v>
      </c>
      <c r="O2109" t="str">
        <f t="shared" si="65"/>
        <v>1+ hours</v>
      </c>
      <c r="P2109" t="s">
        <v>39</v>
      </c>
    </row>
    <row r="2110" spans="1:16" x14ac:dyDescent="0.4">
      <c r="A2110" t="s">
        <v>2151</v>
      </c>
      <c r="B2110">
        <v>57</v>
      </c>
      <c r="C2110" t="s">
        <v>41</v>
      </c>
      <c r="D2110" t="s">
        <v>16</v>
      </c>
      <c r="E2110">
        <v>0.06</v>
      </c>
      <c r="F2110">
        <v>39</v>
      </c>
      <c r="G2110" t="s">
        <v>70</v>
      </c>
      <c r="H2110" t="s">
        <v>18</v>
      </c>
      <c r="I2110" s="2">
        <v>8.99</v>
      </c>
      <c r="J2110">
        <v>1</v>
      </c>
      <c r="K2110" s="2">
        <f t="shared" si="64"/>
        <v>8.99</v>
      </c>
      <c r="L2110" t="s">
        <v>29</v>
      </c>
      <c r="M2110">
        <v>4</v>
      </c>
      <c r="N2110">
        <v>0</v>
      </c>
      <c r="O2110" t="str">
        <f t="shared" si="65"/>
        <v>0–0.2 hours</v>
      </c>
      <c r="P2110" t="s">
        <v>25</v>
      </c>
    </row>
    <row r="2111" spans="1:16" x14ac:dyDescent="0.4">
      <c r="A2111" t="s">
        <v>2152</v>
      </c>
      <c r="B2111">
        <v>26</v>
      </c>
      <c r="C2111" t="s">
        <v>27</v>
      </c>
      <c r="D2111" t="s">
        <v>32</v>
      </c>
      <c r="E2111">
        <v>0.97</v>
      </c>
      <c r="F2111">
        <v>49</v>
      </c>
      <c r="G2111" t="s">
        <v>49</v>
      </c>
      <c r="H2111" t="s">
        <v>24</v>
      </c>
      <c r="I2111" s="2">
        <v>17.989999999999998</v>
      </c>
      <c r="J2111">
        <v>1</v>
      </c>
      <c r="K2111" s="2">
        <f t="shared" si="64"/>
        <v>17.989999999999998</v>
      </c>
      <c r="L2111" t="s">
        <v>43</v>
      </c>
      <c r="M2111">
        <v>1</v>
      </c>
      <c r="N2111">
        <v>0.02</v>
      </c>
      <c r="O2111" t="str">
        <f t="shared" si="65"/>
        <v>0–0.2 hours</v>
      </c>
      <c r="P2111" t="s">
        <v>20</v>
      </c>
    </row>
    <row r="2112" spans="1:16" x14ac:dyDescent="0.4">
      <c r="A2112" t="s">
        <v>2153</v>
      </c>
      <c r="B2112">
        <v>37</v>
      </c>
      <c r="C2112" t="s">
        <v>41</v>
      </c>
      <c r="D2112" t="s">
        <v>16</v>
      </c>
      <c r="E2112">
        <v>3.05</v>
      </c>
      <c r="F2112">
        <v>15</v>
      </c>
      <c r="G2112" t="s">
        <v>49</v>
      </c>
      <c r="H2112" t="s">
        <v>57</v>
      </c>
      <c r="I2112" s="2">
        <v>8.99</v>
      </c>
      <c r="J2112">
        <v>1</v>
      </c>
      <c r="K2112" s="2">
        <f t="shared" si="64"/>
        <v>8.99</v>
      </c>
      <c r="L2112" t="s">
        <v>19</v>
      </c>
      <c r="M2112">
        <v>3</v>
      </c>
      <c r="N2112">
        <v>0.19</v>
      </c>
      <c r="O2112" t="str">
        <f t="shared" si="65"/>
        <v>0–0.2 hours</v>
      </c>
      <c r="P2112" t="s">
        <v>25</v>
      </c>
    </row>
    <row r="2113" spans="1:16" x14ac:dyDescent="0.4">
      <c r="A2113" t="s">
        <v>2154</v>
      </c>
      <c r="B2113">
        <v>63</v>
      </c>
      <c r="C2113" t="s">
        <v>15</v>
      </c>
      <c r="D2113" t="s">
        <v>22</v>
      </c>
      <c r="E2113">
        <v>0.83</v>
      </c>
      <c r="F2113">
        <v>41</v>
      </c>
      <c r="G2113" t="s">
        <v>28</v>
      </c>
      <c r="H2113" t="s">
        <v>24</v>
      </c>
      <c r="I2113" s="2">
        <v>13.99</v>
      </c>
      <c r="J2113">
        <v>1</v>
      </c>
      <c r="K2113" s="2">
        <f t="shared" si="64"/>
        <v>13.99</v>
      </c>
      <c r="L2113" t="s">
        <v>19</v>
      </c>
      <c r="M2113">
        <v>2</v>
      </c>
      <c r="N2113">
        <v>0.02</v>
      </c>
      <c r="O2113" t="str">
        <f t="shared" si="65"/>
        <v>0–0.2 hours</v>
      </c>
      <c r="P2113" t="s">
        <v>47</v>
      </c>
    </row>
    <row r="2114" spans="1:16" x14ac:dyDescent="0.4">
      <c r="A2114" t="s">
        <v>2155</v>
      </c>
      <c r="B2114">
        <v>59</v>
      </c>
      <c r="C2114" t="s">
        <v>27</v>
      </c>
      <c r="D2114" t="s">
        <v>16</v>
      </c>
      <c r="E2114">
        <v>12.13</v>
      </c>
      <c r="F2114">
        <v>23</v>
      </c>
      <c r="G2114" t="s">
        <v>28</v>
      </c>
      <c r="H2114" t="s">
        <v>18</v>
      </c>
      <c r="I2114" s="2">
        <v>8.99</v>
      </c>
      <c r="J2114">
        <v>0</v>
      </c>
      <c r="K2114" s="2">
        <f t="shared" si="64"/>
        <v>0</v>
      </c>
      <c r="L2114" t="s">
        <v>37</v>
      </c>
      <c r="M2114">
        <v>5</v>
      </c>
      <c r="N2114">
        <v>0.51</v>
      </c>
      <c r="O2114" t="str">
        <f t="shared" si="65"/>
        <v>0.4–0.6 hours</v>
      </c>
      <c r="P2114" t="s">
        <v>30</v>
      </c>
    </row>
    <row r="2115" spans="1:16" x14ac:dyDescent="0.4">
      <c r="A2115" t="s">
        <v>2156</v>
      </c>
      <c r="B2115">
        <v>65</v>
      </c>
      <c r="C2115" t="s">
        <v>27</v>
      </c>
      <c r="D2115" t="s">
        <v>16</v>
      </c>
      <c r="E2115">
        <v>11.25</v>
      </c>
      <c r="F2115">
        <v>22</v>
      </c>
      <c r="G2115" t="s">
        <v>33</v>
      </c>
      <c r="H2115" t="s">
        <v>55</v>
      </c>
      <c r="I2115" s="2">
        <v>8.99</v>
      </c>
      <c r="J2115">
        <v>1</v>
      </c>
      <c r="K2115" s="2">
        <f t="shared" ref="K2115:K2178" si="66">SUMIF(J2115,1,I2115)</f>
        <v>8.99</v>
      </c>
      <c r="L2115" t="s">
        <v>29</v>
      </c>
      <c r="M2115">
        <v>3</v>
      </c>
      <c r="N2115">
        <v>0.49</v>
      </c>
      <c r="O2115" t="str">
        <f t="shared" ref="O2115:O2178" si="67">IF(N2115&gt;1,"1+ hours",IF(N2115&lt;=0.2,"0–0.2 hours",IF(N2115&lt;=0.4,"0.2–0.4 hours",IF(N2115&lt;=0.6,"0.4–0.6 hours",IF(N2115&lt;=0.8,"0.6–0.8 hours","0.8–1 hour")))))</f>
        <v>0.4–0.6 hours</v>
      </c>
      <c r="P2115" t="s">
        <v>30</v>
      </c>
    </row>
    <row r="2116" spans="1:16" x14ac:dyDescent="0.4">
      <c r="A2116" t="s">
        <v>2157</v>
      </c>
      <c r="B2116">
        <v>18</v>
      </c>
      <c r="C2116" t="s">
        <v>15</v>
      </c>
      <c r="D2116" t="s">
        <v>32</v>
      </c>
      <c r="E2116">
        <v>2.19</v>
      </c>
      <c r="F2116">
        <v>24</v>
      </c>
      <c r="G2116" t="s">
        <v>17</v>
      </c>
      <c r="H2116" t="s">
        <v>24</v>
      </c>
      <c r="I2116" s="2">
        <v>17.989999999999998</v>
      </c>
      <c r="J2116">
        <v>1</v>
      </c>
      <c r="K2116" s="2">
        <f t="shared" si="66"/>
        <v>17.989999999999998</v>
      </c>
      <c r="L2116" t="s">
        <v>29</v>
      </c>
      <c r="M2116">
        <v>1</v>
      </c>
      <c r="N2116">
        <v>0.09</v>
      </c>
      <c r="O2116" t="str">
        <f t="shared" si="67"/>
        <v>0–0.2 hours</v>
      </c>
      <c r="P2116" t="s">
        <v>52</v>
      </c>
    </row>
    <row r="2117" spans="1:16" x14ac:dyDescent="0.4">
      <c r="A2117" t="s">
        <v>2158</v>
      </c>
      <c r="B2117">
        <v>49</v>
      </c>
      <c r="C2117" t="s">
        <v>27</v>
      </c>
      <c r="D2117" t="s">
        <v>16</v>
      </c>
      <c r="E2117">
        <v>17.05</v>
      </c>
      <c r="F2117">
        <v>16</v>
      </c>
      <c r="G2117" t="s">
        <v>23</v>
      </c>
      <c r="H2117" t="s">
        <v>46</v>
      </c>
      <c r="I2117" s="2">
        <v>8.99</v>
      </c>
      <c r="J2117">
        <v>0</v>
      </c>
      <c r="K2117" s="2">
        <f t="shared" si="66"/>
        <v>0</v>
      </c>
      <c r="L2117" t="s">
        <v>43</v>
      </c>
      <c r="M2117">
        <v>4</v>
      </c>
      <c r="N2117">
        <v>1</v>
      </c>
      <c r="O2117" t="str">
        <f t="shared" si="67"/>
        <v>0.8–1 hour</v>
      </c>
      <c r="P2117" t="s">
        <v>34</v>
      </c>
    </row>
    <row r="2118" spans="1:16" x14ac:dyDescent="0.4">
      <c r="A2118" t="s">
        <v>2159</v>
      </c>
      <c r="B2118">
        <v>59</v>
      </c>
      <c r="C2118" t="s">
        <v>27</v>
      </c>
      <c r="D2118" t="s">
        <v>16</v>
      </c>
      <c r="E2118">
        <v>17.34</v>
      </c>
      <c r="F2118">
        <v>40</v>
      </c>
      <c r="G2118" t="s">
        <v>23</v>
      </c>
      <c r="H2118" t="s">
        <v>24</v>
      </c>
      <c r="I2118" s="2">
        <v>8.99</v>
      </c>
      <c r="J2118">
        <v>1</v>
      </c>
      <c r="K2118" s="2">
        <f t="shared" si="66"/>
        <v>8.99</v>
      </c>
      <c r="L2118" t="s">
        <v>37</v>
      </c>
      <c r="M2118">
        <v>3</v>
      </c>
      <c r="N2118">
        <v>0.42</v>
      </c>
      <c r="O2118" t="str">
        <f t="shared" si="67"/>
        <v>0.4–0.6 hours</v>
      </c>
      <c r="P2118" t="s">
        <v>47</v>
      </c>
    </row>
    <row r="2119" spans="1:16" x14ac:dyDescent="0.4">
      <c r="A2119" t="s">
        <v>2160</v>
      </c>
      <c r="B2119">
        <v>25</v>
      </c>
      <c r="C2119" t="s">
        <v>27</v>
      </c>
      <c r="D2119" t="s">
        <v>32</v>
      </c>
      <c r="E2119">
        <v>0.27</v>
      </c>
      <c r="F2119">
        <v>60</v>
      </c>
      <c r="G2119" t="s">
        <v>70</v>
      </c>
      <c r="H2119" t="s">
        <v>57</v>
      </c>
      <c r="I2119" s="2">
        <v>17.989999999999998</v>
      </c>
      <c r="J2119">
        <v>1</v>
      </c>
      <c r="K2119" s="2">
        <f t="shared" si="66"/>
        <v>17.989999999999998</v>
      </c>
      <c r="L2119" t="s">
        <v>19</v>
      </c>
      <c r="M2119">
        <v>1</v>
      </c>
      <c r="N2119">
        <v>0</v>
      </c>
      <c r="O2119" t="str">
        <f t="shared" si="67"/>
        <v>0–0.2 hours</v>
      </c>
      <c r="P2119" t="s">
        <v>30</v>
      </c>
    </row>
    <row r="2120" spans="1:16" x14ac:dyDescent="0.4">
      <c r="A2120" t="s">
        <v>2161</v>
      </c>
      <c r="B2120">
        <v>25</v>
      </c>
      <c r="C2120" t="s">
        <v>15</v>
      </c>
      <c r="D2120" t="s">
        <v>16</v>
      </c>
      <c r="E2120">
        <v>17.899999999999999</v>
      </c>
      <c r="F2120">
        <v>3</v>
      </c>
      <c r="G2120" t="s">
        <v>33</v>
      </c>
      <c r="H2120" t="s">
        <v>57</v>
      </c>
      <c r="I2120" s="2">
        <v>8.99</v>
      </c>
      <c r="J2120">
        <v>0</v>
      </c>
      <c r="K2120" s="2">
        <f t="shared" si="66"/>
        <v>0</v>
      </c>
      <c r="L2120" t="s">
        <v>29</v>
      </c>
      <c r="M2120">
        <v>3</v>
      </c>
      <c r="N2120">
        <v>4.47</v>
      </c>
      <c r="O2120" t="str">
        <f t="shared" si="67"/>
        <v>1+ hours</v>
      </c>
      <c r="P2120" t="s">
        <v>39</v>
      </c>
    </row>
    <row r="2121" spans="1:16" x14ac:dyDescent="0.4">
      <c r="A2121" t="s">
        <v>2162</v>
      </c>
      <c r="B2121">
        <v>48</v>
      </c>
      <c r="C2121" t="s">
        <v>41</v>
      </c>
      <c r="D2121" t="s">
        <v>22</v>
      </c>
      <c r="E2121">
        <v>5.33</v>
      </c>
      <c r="F2121">
        <v>31</v>
      </c>
      <c r="G2121" t="s">
        <v>70</v>
      </c>
      <c r="H2121" t="s">
        <v>57</v>
      </c>
      <c r="I2121" s="2">
        <v>13.99</v>
      </c>
      <c r="J2121">
        <v>1</v>
      </c>
      <c r="K2121" s="2">
        <f t="shared" si="66"/>
        <v>13.99</v>
      </c>
      <c r="L2121" t="s">
        <v>29</v>
      </c>
      <c r="M2121">
        <v>3</v>
      </c>
      <c r="N2121">
        <v>0.17</v>
      </c>
      <c r="O2121" t="str">
        <f t="shared" si="67"/>
        <v>0–0.2 hours</v>
      </c>
      <c r="P2121" t="s">
        <v>52</v>
      </c>
    </row>
    <row r="2122" spans="1:16" x14ac:dyDescent="0.4">
      <c r="A2122" t="s">
        <v>2163</v>
      </c>
      <c r="B2122">
        <v>26</v>
      </c>
      <c r="C2122" t="s">
        <v>15</v>
      </c>
      <c r="D2122" t="s">
        <v>16</v>
      </c>
      <c r="E2122">
        <v>0.75</v>
      </c>
      <c r="F2122">
        <v>59</v>
      </c>
      <c r="G2122" t="s">
        <v>70</v>
      </c>
      <c r="H2122" t="s">
        <v>57</v>
      </c>
      <c r="I2122" s="2">
        <v>8.99</v>
      </c>
      <c r="J2122">
        <v>1</v>
      </c>
      <c r="K2122" s="2">
        <f t="shared" si="66"/>
        <v>8.99</v>
      </c>
      <c r="L2122" t="s">
        <v>29</v>
      </c>
      <c r="M2122">
        <v>2</v>
      </c>
      <c r="N2122">
        <v>0.01</v>
      </c>
      <c r="O2122" t="str">
        <f t="shared" si="67"/>
        <v>0–0.2 hours</v>
      </c>
      <c r="P2122" t="s">
        <v>34</v>
      </c>
    </row>
    <row r="2123" spans="1:16" x14ac:dyDescent="0.4">
      <c r="A2123" t="s">
        <v>2164</v>
      </c>
      <c r="B2123">
        <v>25</v>
      </c>
      <c r="C2123" t="s">
        <v>41</v>
      </c>
      <c r="D2123" t="s">
        <v>22</v>
      </c>
      <c r="E2123">
        <v>4.45</v>
      </c>
      <c r="F2123">
        <v>41</v>
      </c>
      <c r="G2123" t="s">
        <v>70</v>
      </c>
      <c r="H2123" t="s">
        <v>18</v>
      </c>
      <c r="I2123" s="2">
        <v>13.99</v>
      </c>
      <c r="J2123">
        <v>1</v>
      </c>
      <c r="K2123" s="2">
        <f t="shared" si="66"/>
        <v>13.99</v>
      </c>
      <c r="L2123" t="s">
        <v>19</v>
      </c>
      <c r="M2123">
        <v>2</v>
      </c>
      <c r="N2123">
        <v>0.11</v>
      </c>
      <c r="O2123" t="str">
        <f t="shared" si="67"/>
        <v>0–0.2 hours</v>
      </c>
      <c r="P2123" t="s">
        <v>52</v>
      </c>
    </row>
    <row r="2124" spans="1:16" x14ac:dyDescent="0.4">
      <c r="A2124" t="s">
        <v>2165</v>
      </c>
      <c r="B2124">
        <v>42</v>
      </c>
      <c r="C2124" t="s">
        <v>27</v>
      </c>
      <c r="D2124" t="s">
        <v>22</v>
      </c>
      <c r="E2124">
        <v>2.96</v>
      </c>
      <c r="F2124">
        <v>30</v>
      </c>
      <c r="G2124" t="s">
        <v>23</v>
      </c>
      <c r="H2124" t="s">
        <v>18</v>
      </c>
      <c r="I2124" s="2">
        <v>13.99</v>
      </c>
      <c r="J2124">
        <v>0</v>
      </c>
      <c r="K2124" s="2">
        <f t="shared" si="66"/>
        <v>0</v>
      </c>
      <c r="L2124" t="s">
        <v>43</v>
      </c>
      <c r="M2124">
        <v>5</v>
      </c>
      <c r="N2124">
        <v>0.1</v>
      </c>
      <c r="O2124" t="str">
        <f t="shared" si="67"/>
        <v>0–0.2 hours</v>
      </c>
      <c r="P2124" t="s">
        <v>25</v>
      </c>
    </row>
    <row r="2125" spans="1:16" x14ac:dyDescent="0.4">
      <c r="A2125" t="s">
        <v>2166</v>
      </c>
      <c r="B2125">
        <v>33</v>
      </c>
      <c r="C2125" t="s">
        <v>27</v>
      </c>
      <c r="D2125" t="s">
        <v>16</v>
      </c>
      <c r="E2125">
        <v>0.6</v>
      </c>
      <c r="F2125">
        <v>41</v>
      </c>
      <c r="G2125" t="s">
        <v>49</v>
      </c>
      <c r="H2125" t="s">
        <v>57</v>
      </c>
      <c r="I2125" s="2">
        <v>8.99</v>
      </c>
      <c r="J2125">
        <v>1</v>
      </c>
      <c r="K2125" s="2">
        <f t="shared" si="66"/>
        <v>8.99</v>
      </c>
      <c r="L2125" t="s">
        <v>37</v>
      </c>
      <c r="M2125">
        <v>3</v>
      </c>
      <c r="N2125">
        <v>0.01</v>
      </c>
      <c r="O2125" t="str">
        <f t="shared" si="67"/>
        <v>0–0.2 hours</v>
      </c>
      <c r="P2125" t="s">
        <v>52</v>
      </c>
    </row>
    <row r="2126" spans="1:16" x14ac:dyDescent="0.4">
      <c r="A2126" t="s">
        <v>2167</v>
      </c>
      <c r="B2126">
        <v>58</v>
      </c>
      <c r="C2126" t="s">
        <v>41</v>
      </c>
      <c r="D2126" t="s">
        <v>22</v>
      </c>
      <c r="E2126">
        <v>10.77</v>
      </c>
      <c r="F2126">
        <v>44</v>
      </c>
      <c r="G2126" t="s">
        <v>33</v>
      </c>
      <c r="H2126" t="s">
        <v>18</v>
      </c>
      <c r="I2126" s="2">
        <v>13.99</v>
      </c>
      <c r="J2126">
        <v>1</v>
      </c>
      <c r="K2126" s="2">
        <f t="shared" si="66"/>
        <v>13.99</v>
      </c>
      <c r="L2126" t="s">
        <v>43</v>
      </c>
      <c r="M2126">
        <v>1</v>
      </c>
      <c r="N2126">
        <v>0.24</v>
      </c>
      <c r="O2126" t="str">
        <f t="shared" si="67"/>
        <v>0.2–0.4 hours</v>
      </c>
      <c r="P2126" t="s">
        <v>39</v>
      </c>
    </row>
    <row r="2127" spans="1:16" x14ac:dyDescent="0.4">
      <c r="A2127" t="s">
        <v>2168</v>
      </c>
      <c r="B2127">
        <v>66</v>
      </c>
      <c r="C2127" t="s">
        <v>27</v>
      </c>
      <c r="D2127" t="s">
        <v>32</v>
      </c>
      <c r="E2127">
        <v>13.36</v>
      </c>
      <c r="F2127">
        <v>15</v>
      </c>
      <c r="G2127" t="s">
        <v>17</v>
      </c>
      <c r="H2127" t="s">
        <v>55</v>
      </c>
      <c r="I2127" s="2">
        <v>17.989999999999998</v>
      </c>
      <c r="J2127">
        <v>0</v>
      </c>
      <c r="K2127" s="2">
        <f t="shared" si="66"/>
        <v>0</v>
      </c>
      <c r="L2127" t="s">
        <v>19</v>
      </c>
      <c r="M2127">
        <v>5</v>
      </c>
      <c r="N2127">
        <v>0.83</v>
      </c>
      <c r="O2127" t="str">
        <f t="shared" si="67"/>
        <v>0.8–1 hour</v>
      </c>
      <c r="P2127" t="s">
        <v>25</v>
      </c>
    </row>
    <row r="2128" spans="1:16" x14ac:dyDescent="0.4">
      <c r="A2128" t="s">
        <v>2169</v>
      </c>
      <c r="B2128">
        <v>42</v>
      </c>
      <c r="C2128" t="s">
        <v>41</v>
      </c>
      <c r="D2128" t="s">
        <v>16</v>
      </c>
      <c r="E2128">
        <v>20.9</v>
      </c>
      <c r="F2128">
        <v>42</v>
      </c>
      <c r="G2128" t="s">
        <v>23</v>
      </c>
      <c r="H2128" t="s">
        <v>57</v>
      </c>
      <c r="I2128" s="2">
        <v>8.99</v>
      </c>
      <c r="J2128">
        <v>1</v>
      </c>
      <c r="K2128" s="2">
        <f t="shared" si="66"/>
        <v>8.99</v>
      </c>
      <c r="L2128" t="s">
        <v>61</v>
      </c>
      <c r="M2128">
        <v>3</v>
      </c>
      <c r="N2128">
        <v>0.49</v>
      </c>
      <c r="O2128" t="str">
        <f t="shared" si="67"/>
        <v>0.4–0.6 hours</v>
      </c>
      <c r="P2128" t="s">
        <v>30</v>
      </c>
    </row>
    <row r="2129" spans="1:16" x14ac:dyDescent="0.4">
      <c r="A2129" t="s">
        <v>2170</v>
      </c>
      <c r="B2129">
        <v>50</v>
      </c>
      <c r="C2129" t="s">
        <v>41</v>
      </c>
      <c r="D2129" t="s">
        <v>32</v>
      </c>
      <c r="E2129">
        <v>7.18</v>
      </c>
      <c r="F2129">
        <v>23</v>
      </c>
      <c r="G2129" t="s">
        <v>70</v>
      </c>
      <c r="H2129" t="s">
        <v>18</v>
      </c>
      <c r="I2129" s="2">
        <v>17.989999999999998</v>
      </c>
      <c r="J2129">
        <v>0</v>
      </c>
      <c r="K2129" s="2">
        <f t="shared" si="66"/>
        <v>0</v>
      </c>
      <c r="L2129" t="s">
        <v>61</v>
      </c>
      <c r="M2129">
        <v>3</v>
      </c>
      <c r="N2129">
        <v>0.3</v>
      </c>
      <c r="O2129" t="str">
        <f t="shared" si="67"/>
        <v>0.2–0.4 hours</v>
      </c>
      <c r="P2129" t="s">
        <v>20</v>
      </c>
    </row>
    <row r="2130" spans="1:16" x14ac:dyDescent="0.4">
      <c r="A2130" t="s">
        <v>2171</v>
      </c>
      <c r="B2130">
        <v>40</v>
      </c>
      <c r="C2130" t="s">
        <v>15</v>
      </c>
      <c r="D2130" t="s">
        <v>16</v>
      </c>
      <c r="E2130">
        <v>14.01</v>
      </c>
      <c r="F2130">
        <v>14</v>
      </c>
      <c r="G2130" t="s">
        <v>23</v>
      </c>
      <c r="H2130" t="s">
        <v>46</v>
      </c>
      <c r="I2130" s="2">
        <v>8.99</v>
      </c>
      <c r="J2130">
        <v>0</v>
      </c>
      <c r="K2130" s="2">
        <f t="shared" si="66"/>
        <v>0</v>
      </c>
      <c r="L2130" t="s">
        <v>37</v>
      </c>
      <c r="M2130">
        <v>3</v>
      </c>
      <c r="N2130">
        <v>0.93</v>
      </c>
      <c r="O2130" t="str">
        <f t="shared" si="67"/>
        <v>0.8–1 hour</v>
      </c>
      <c r="P2130" t="s">
        <v>39</v>
      </c>
    </row>
    <row r="2131" spans="1:16" x14ac:dyDescent="0.4">
      <c r="A2131" t="s">
        <v>2172</v>
      </c>
      <c r="B2131">
        <v>36</v>
      </c>
      <c r="C2131" t="s">
        <v>27</v>
      </c>
      <c r="D2131" t="s">
        <v>32</v>
      </c>
      <c r="E2131">
        <v>16.68</v>
      </c>
      <c r="F2131">
        <v>60</v>
      </c>
      <c r="G2131" t="s">
        <v>17</v>
      </c>
      <c r="H2131" t="s">
        <v>18</v>
      </c>
      <c r="I2131" s="2">
        <v>17.989999999999998</v>
      </c>
      <c r="J2131">
        <v>0</v>
      </c>
      <c r="K2131" s="2">
        <f t="shared" si="66"/>
        <v>0</v>
      </c>
      <c r="L2131" t="s">
        <v>61</v>
      </c>
      <c r="M2131">
        <v>5</v>
      </c>
      <c r="N2131">
        <v>0.27</v>
      </c>
      <c r="O2131" t="str">
        <f t="shared" si="67"/>
        <v>0.2–0.4 hours</v>
      </c>
      <c r="P2131" t="s">
        <v>34</v>
      </c>
    </row>
    <row r="2132" spans="1:16" x14ac:dyDescent="0.4">
      <c r="A2132" t="s">
        <v>2173</v>
      </c>
      <c r="B2132">
        <v>48</v>
      </c>
      <c r="C2132" t="s">
        <v>15</v>
      </c>
      <c r="D2132" t="s">
        <v>32</v>
      </c>
      <c r="E2132">
        <v>1.67</v>
      </c>
      <c r="F2132">
        <v>14</v>
      </c>
      <c r="G2132" t="s">
        <v>28</v>
      </c>
      <c r="H2132" t="s">
        <v>46</v>
      </c>
      <c r="I2132" s="2">
        <v>17.989999999999998</v>
      </c>
      <c r="J2132">
        <v>1</v>
      </c>
      <c r="K2132" s="2">
        <f t="shared" si="66"/>
        <v>17.989999999999998</v>
      </c>
      <c r="L2132" t="s">
        <v>19</v>
      </c>
      <c r="M2132">
        <v>3</v>
      </c>
      <c r="N2132">
        <v>0.11</v>
      </c>
      <c r="O2132" t="str">
        <f t="shared" si="67"/>
        <v>0–0.2 hours</v>
      </c>
      <c r="P2132" t="s">
        <v>25</v>
      </c>
    </row>
    <row r="2133" spans="1:16" x14ac:dyDescent="0.4">
      <c r="A2133" t="s">
        <v>2174</v>
      </c>
      <c r="B2133">
        <v>60</v>
      </c>
      <c r="C2133" t="s">
        <v>15</v>
      </c>
      <c r="D2133" t="s">
        <v>16</v>
      </c>
      <c r="E2133">
        <v>14.45</v>
      </c>
      <c r="F2133">
        <v>52</v>
      </c>
      <c r="G2133" t="s">
        <v>33</v>
      </c>
      <c r="H2133" t="s">
        <v>18</v>
      </c>
      <c r="I2133" s="2">
        <v>8.99</v>
      </c>
      <c r="J2133">
        <v>1</v>
      </c>
      <c r="K2133" s="2">
        <f t="shared" si="66"/>
        <v>8.99</v>
      </c>
      <c r="L2133" t="s">
        <v>43</v>
      </c>
      <c r="M2133">
        <v>5</v>
      </c>
      <c r="N2133">
        <v>0.27</v>
      </c>
      <c r="O2133" t="str">
        <f t="shared" si="67"/>
        <v>0.2–0.4 hours</v>
      </c>
      <c r="P2133" t="s">
        <v>30</v>
      </c>
    </row>
    <row r="2134" spans="1:16" x14ac:dyDescent="0.4">
      <c r="A2134" t="s">
        <v>2175</v>
      </c>
      <c r="B2134">
        <v>42</v>
      </c>
      <c r="C2134" t="s">
        <v>41</v>
      </c>
      <c r="D2134" t="s">
        <v>22</v>
      </c>
      <c r="E2134">
        <v>7.63</v>
      </c>
      <c r="F2134">
        <v>32</v>
      </c>
      <c r="G2134" t="s">
        <v>33</v>
      </c>
      <c r="H2134" t="s">
        <v>57</v>
      </c>
      <c r="I2134" s="2">
        <v>13.99</v>
      </c>
      <c r="J2134">
        <v>1</v>
      </c>
      <c r="K2134" s="2">
        <f t="shared" si="66"/>
        <v>13.99</v>
      </c>
      <c r="L2134" t="s">
        <v>61</v>
      </c>
      <c r="M2134">
        <v>2</v>
      </c>
      <c r="N2134">
        <v>0.23</v>
      </c>
      <c r="O2134" t="str">
        <f t="shared" si="67"/>
        <v>0.2–0.4 hours</v>
      </c>
      <c r="P2134" t="s">
        <v>20</v>
      </c>
    </row>
    <row r="2135" spans="1:16" x14ac:dyDescent="0.4">
      <c r="A2135" t="s">
        <v>2176</v>
      </c>
      <c r="B2135">
        <v>31</v>
      </c>
      <c r="C2135" t="s">
        <v>41</v>
      </c>
      <c r="D2135" t="s">
        <v>22</v>
      </c>
      <c r="E2135">
        <v>6.29</v>
      </c>
      <c r="F2135">
        <v>24</v>
      </c>
      <c r="G2135" t="s">
        <v>28</v>
      </c>
      <c r="H2135" t="s">
        <v>46</v>
      </c>
      <c r="I2135" s="2">
        <v>13.99</v>
      </c>
      <c r="J2135">
        <v>0</v>
      </c>
      <c r="K2135" s="2">
        <f t="shared" si="66"/>
        <v>0</v>
      </c>
      <c r="L2135" t="s">
        <v>19</v>
      </c>
      <c r="M2135">
        <v>3</v>
      </c>
      <c r="N2135">
        <v>0.25</v>
      </c>
      <c r="O2135" t="str">
        <f t="shared" si="67"/>
        <v>0.2–0.4 hours</v>
      </c>
      <c r="P2135" t="s">
        <v>25</v>
      </c>
    </row>
    <row r="2136" spans="1:16" x14ac:dyDescent="0.4">
      <c r="A2136" t="s">
        <v>2177</v>
      </c>
      <c r="B2136">
        <v>34</v>
      </c>
      <c r="C2136" t="s">
        <v>41</v>
      </c>
      <c r="D2136" t="s">
        <v>22</v>
      </c>
      <c r="E2136">
        <v>45.52</v>
      </c>
      <c r="F2136">
        <v>52</v>
      </c>
      <c r="G2136" t="s">
        <v>49</v>
      </c>
      <c r="H2136" t="s">
        <v>46</v>
      </c>
      <c r="I2136" s="2">
        <v>13.99</v>
      </c>
      <c r="J2136">
        <v>0</v>
      </c>
      <c r="K2136" s="2">
        <f t="shared" si="66"/>
        <v>0</v>
      </c>
      <c r="L2136" t="s">
        <v>61</v>
      </c>
      <c r="M2136">
        <v>3</v>
      </c>
      <c r="N2136">
        <v>0.86</v>
      </c>
      <c r="O2136" t="str">
        <f t="shared" si="67"/>
        <v>0.8–1 hour</v>
      </c>
      <c r="P2136" t="s">
        <v>20</v>
      </c>
    </row>
    <row r="2137" spans="1:16" x14ac:dyDescent="0.4">
      <c r="A2137" t="s">
        <v>2178</v>
      </c>
      <c r="B2137">
        <v>21</v>
      </c>
      <c r="C2137" t="s">
        <v>15</v>
      </c>
      <c r="D2137" t="s">
        <v>16</v>
      </c>
      <c r="E2137">
        <v>0.15</v>
      </c>
      <c r="F2137">
        <v>48</v>
      </c>
      <c r="G2137" t="s">
        <v>28</v>
      </c>
      <c r="H2137" t="s">
        <v>24</v>
      </c>
      <c r="I2137" s="2">
        <v>8.99</v>
      </c>
      <c r="J2137">
        <v>1</v>
      </c>
      <c r="K2137" s="2">
        <f t="shared" si="66"/>
        <v>8.99</v>
      </c>
      <c r="L2137" t="s">
        <v>61</v>
      </c>
      <c r="M2137">
        <v>4</v>
      </c>
      <c r="N2137">
        <v>0</v>
      </c>
      <c r="O2137" t="str">
        <f t="shared" si="67"/>
        <v>0–0.2 hours</v>
      </c>
      <c r="P2137" t="s">
        <v>20</v>
      </c>
    </row>
    <row r="2138" spans="1:16" x14ac:dyDescent="0.4">
      <c r="A2138" t="s">
        <v>2179</v>
      </c>
      <c r="B2138">
        <v>67</v>
      </c>
      <c r="C2138" t="s">
        <v>27</v>
      </c>
      <c r="D2138" t="s">
        <v>16</v>
      </c>
      <c r="E2138">
        <v>19.579999999999998</v>
      </c>
      <c r="F2138">
        <v>44</v>
      </c>
      <c r="G2138" t="s">
        <v>23</v>
      </c>
      <c r="H2138" t="s">
        <v>57</v>
      </c>
      <c r="I2138" s="2">
        <v>8.99</v>
      </c>
      <c r="J2138">
        <v>1</v>
      </c>
      <c r="K2138" s="2">
        <f t="shared" si="66"/>
        <v>8.99</v>
      </c>
      <c r="L2138" t="s">
        <v>37</v>
      </c>
      <c r="M2138">
        <v>3</v>
      </c>
      <c r="N2138">
        <v>0.44</v>
      </c>
      <c r="O2138" t="str">
        <f t="shared" si="67"/>
        <v>0.4–0.6 hours</v>
      </c>
      <c r="P2138" t="s">
        <v>39</v>
      </c>
    </row>
    <row r="2139" spans="1:16" x14ac:dyDescent="0.4">
      <c r="A2139" t="s">
        <v>2180</v>
      </c>
      <c r="B2139">
        <v>30</v>
      </c>
      <c r="C2139" t="s">
        <v>41</v>
      </c>
      <c r="D2139" t="s">
        <v>22</v>
      </c>
      <c r="E2139">
        <v>2.27</v>
      </c>
      <c r="F2139">
        <v>0</v>
      </c>
      <c r="G2139" t="s">
        <v>70</v>
      </c>
      <c r="H2139" t="s">
        <v>57</v>
      </c>
      <c r="I2139" s="2">
        <v>13.99</v>
      </c>
      <c r="J2139">
        <v>0</v>
      </c>
      <c r="K2139" s="2">
        <f t="shared" si="66"/>
        <v>0</v>
      </c>
      <c r="L2139" t="s">
        <v>29</v>
      </c>
      <c r="M2139">
        <v>2</v>
      </c>
      <c r="N2139">
        <v>2.27</v>
      </c>
      <c r="O2139" t="str">
        <f t="shared" si="67"/>
        <v>1+ hours</v>
      </c>
      <c r="P2139" t="s">
        <v>20</v>
      </c>
    </row>
    <row r="2140" spans="1:16" x14ac:dyDescent="0.4">
      <c r="A2140" t="s">
        <v>2181</v>
      </c>
      <c r="B2140">
        <v>55</v>
      </c>
      <c r="C2140" t="s">
        <v>15</v>
      </c>
      <c r="D2140" t="s">
        <v>32</v>
      </c>
      <c r="E2140">
        <v>18.02</v>
      </c>
      <c r="F2140">
        <v>36</v>
      </c>
      <c r="G2140" t="s">
        <v>70</v>
      </c>
      <c r="H2140" t="s">
        <v>24</v>
      </c>
      <c r="I2140" s="2">
        <v>17.989999999999998</v>
      </c>
      <c r="J2140">
        <v>0</v>
      </c>
      <c r="K2140" s="2">
        <f t="shared" si="66"/>
        <v>0</v>
      </c>
      <c r="L2140" t="s">
        <v>61</v>
      </c>
      <c r="M2140">
        <v>4</v>
      </c>
      <c r="N2140">
        <v>0.49</v>
      </c>
      <c r="O2140" t="str">
        <f t="shared" si="67"/>
        <v>0.4–0.6 hours</v>
      </c>
      <c r="P2140" t="s">
        <v>39</v>
      </c>
    </row>
    <row r="2141" spans="1:16" x14ac:dyDescent="0.4">
      <c r="A2141" t="s">
        <v>2182</v>
      </c>
      <c r="B2141">
        <v>20</v>
      </c>
      <c r="C2141" t="s">
        <v>41</v>
      </c>
      <c r="D2141" t="s">
        <v>22</v>
      </c>
      <c r="E2141">
        <v>2.89</v>
      </c>
      <c r="F2141">
        <v>13</v>
      </c>
      <c r="G2141" t="s">
        <v>49</v>
      </c>
      <c r="H2141" t="s">
        <v>55</v>
      </c>
      <c r="I2141" s="2">
        <v>13.99</v>
      </c>
      <c r="J2141">
        <v>1</v>
      </c>
      <c r="K2141" s="2">
        <f t="shared" si="66"/>
        <v>13.99</v>
      </c>
      <c r="L2141" t="s">
        <v>37</v>
      </c>
      <c r="M2141">
        <v>2</v>
      </c>
      <c r="N2141">
        <v>0.21</v>
      </c>
      <c r="O2141" t="str">
        <f t="shared" si="67"/>
        <v>0.2–0.4 hours</v>
      </c>
      <c r="P2141" t="s">
        <v>25</v>
      </c>
    </row>
    <row r="2142" spans="1:16" x14ac:dyDescent="0.4">
      <c r="A2142" t="s">
        <v>2183</v>
      </c>
      <c r="B2142">
        <v>52</v>
      </c>
      <c r="C2142" t="s">
        <v>41</v>
      </c>
      <c r="D2142" t="s">
        <v>32</v>
      </c>
      <c r="E2142">
        <v>10.6</v>
      </c>
      <c r="F2142">
        <v>38</v>
      </c>
      <c r="G2142" t="s">
        <v>17</v>
      </c>
      <c r="H2142" t="s">
        <v>55</v>
      </c>
      <c r="I2142" s="2">
        <v>17.989999999999998</v>
      </c>
      <c r="J2142">
        <v>0</v>
      </c>
      <c r="K2142" s="2">
        <f t="shared" si="66"/>
        <v>0</v>
      </c>
      <c r="L2142" t="s">
        <v>61</v>
      </c>
      <c r="M2142">
        <v>4</v>
      </c>
      <c r="N2142">
        <v>0.27</v>
      </c>
      <c r="O2142" t="str">
        <f t="shared" si="67"/>
        <v>0.2–0.4 hours</v>
      </c>
      <c r="P2142" t="s">
        <v>39</v>
      </c>
    </row>
    <row r="2143" spans="1:16" x14ac:dyDescent="0.4">
      <c r="A2143" t="s">
        <v>2184</v>
      </c>
      <c r="B2143">
        <v>45</v>
      </c>
      <c r="C2143" t="s">
        <v>41</v>
      </c>
      <c r="D2143" t="s">
        <v>32</v>
      </c>
      <c r="E2143">
        <v>14</v>
      </c>
      <c r="F2143">
        <v>33</v>
      </c>
      <c r="G2143" t="s">
        <v>70</v>
      </c>
      <c r="H2143" t="s">
        <v>18</v>
      </c>
      <c r="I2143" s="2">
        <v>17.989999999999998</v>
      </c>
      <c r="J2143">
        <v>1</v>
      </c>
      <c r="K2143" s="2">
        <f t="shared" si="66"/>
        <v>17.989999999999998</v>
      </c>
      <c r="L2143" t="s">
        <v>61</v>
      </c>
      <c r="M2143">
        <v>2</v>
      </c>
      <c r="N2143">
        <v>0.41</v>
      </c>
      <c r="O2143" t="str">
        <f t="shared" si="67"/>
        <v>0.4–0.6 hours</v>
      </c>
      <c r="P2143" t="s">
        <v>34</v>
      </c>
    </row>
    <row r="2144" spans="1:16" x14ac:dyDescent="0.4">
      <c r="A2144" t="s">
        <v>2185</v>
      </c>
      <c r="B2144">
        <v>31</v>
      </c>
      <c r="C2144" t="s">
        <v>41</v>
      </c>
      <c r="D2144" t="s">
        <v>16</v>
      </c>
      <c r="E2144">
        <v>7.69</v>
      </c>
      <c r="F2144">
        <v>57</v>
      </c>
      <c r="G2144" t="s">
        <v>23</v>
      </c>
      <c r="H2144" t="s">
        <v>55</v>
      </c>
      <c r="I2144" s="2">
        <v>8.99</v>
      </c>
      <c r="J2144">
        <v>1</v>
      </c>
      <c r="K2144" s="2">
        <f t="shared" si="66"/>
        <v>8.99</v>
      </c>
      <c r="L2144" t="s">
        <v>19</v>
      </c>
      <c r="M2144">
        <v>5</v>
      </c>
      <c r="N2144">
        <v>0.13</v>
      </c>
      <c r="O2144" t="str">
        <f t="shared" si="67"/>
        <v>0–0.2 hours</v>
      </c>
      <c r="P2144" t="s">
        <v>52</v>
      </c>
    </row>
    <row r="2145" spans="1:16" x14ac:dyDescent="0.4">
      <c r="A2145" t="s">
        <v>2186</v>
      </c>
      <c r="B2145">
        <v>68</v>
      </c>
      <c r="C2145" t="s">
        <v>27</v>
      </c>
      <c r="D2145" t="s">
        <v>22</v>
      </c>
      <c r="E2145">
        <v>20.239999999999998</v>
      </c>
      <c r="F2145">
        <v>16</v>
      </c>
      <c r="G2145" t="s">
        <v>28</v>
      </c>
      <c r="H2145" t="s">
        <v>55</v>
      </c>
      <c r="I2145" s="2">
        <v>13.99</v>
      </c>
      <c r="J2145">
        <v>0</v>
      </c>
      <c r="K2145" s="2">
        <f t="shared" si="66"/>
        <v>0</v>
      </c>
      <c r="L2145" t="s">
        <v>43</v>
      </c>
      <c r="M2145">
        <v>3</v>
      </c>
      <c r="N2145">
        <v>1.19</v>
      </c>
      <c r="O2145" t="str">
        <f t="shared" si="67"/>
        <v>1+ hours</v>
      </c>
      <c r="P2145" t="s">
        <v>47</v>
      </c>
    </row>
    <row r="2146" spans="1:16" x14ac:dyDescent="0.4">
      <c r="A2146" t="s">
        <v>2187</v>
      </c>
      <c r="B2146">
        <v>44</v>
      </c>
      <c r="C2146" t="s">
        <v>27</v>
      </c>
      <c r="D2146" t="s">
        <v>16</v>
      </c>
      <c r="E2146">
        <v>0.65</v>
      </c>
      <c r="F2146">
        <v>59</v>
      </c>
      <c r="G2146" t="s">
        <v>17</v>
      </c>
      <c r="H2146" t="s">
        <v>18</v>
      </c>
      <c r="I2146" s="2">
        <v>8.99</v>
      </c>
      <c r="J2146">
        <v>1</v>
      </c>
      <c r="K2146" s="2">
        <f t="shared" si="66"/>
        <v>8.99</v>
      </c>
      <c r="L2146" t="s">
        <v>43</v>
      </c>
      <c r="M2146">
        <v>4</v>
      </c>
      <c r="N2146">
        <v>0.01</v>
      </c>
      <c r="O2146" t="str">
        <f t="shared" si="67"/>
        <v>0–0.2 hours</v>
      </c>
      <c r="P2146" t="s">
        <v>34</v>
      </c>
    </row>
    <row r="2147" spans="1:16" x14ac:dyDescent="0.4">
      <c r="A2147" t="s">
        <v>2188</v>
      </c>
      <c r="B2147">
        <v>29</v>
      </c>
      <c r="C2147" t="s">
        <v>15</v>
      </c>
      <c r="D2147" t="s">
        <v>32</v>
      </c>
      <c r="E2147">
        <v>4.1900000000000004</v>
      </c>
      <c r="F2147">
        <v>54</v>
      </c>
      <c r="G2147" t="s">
        <v>49</v>
      </c>
      <c r="H2147" t="s">
        <v>55</v>
      </c>
      <c r="I2147" s="2">
        <v>17.989999999999998</v>
      </c>
      <c r="J2147">
        <v>1</v>
      </c>
      <c r="K2147" s="2">
        <f t="shared" si="66"/>
        <v>17.989999999999998</v>
      </c>
      <c r="L2147" t="s">
        <v>61</v>
      </c>
      <c r="M2147">
        <v>1</v>
      </c>
      <c r="N2147">
        <v>0.08</v>
      </c>
      <c r="O2147" t="str">
        <f t="shared" si="67"/>
        <v>0–0.2 hours</v>
      </c>
      <c r="P2147" t="s">
        <v>25</v>
      </c>
    </row>
    <row r="2148" spans="1:16" x14ac:dyDescent="0.4">
      <c r="A2148" t="s">
        <v>2189</v>
      </c>
      <c r="B2148">
        <v>34</v>
      </c>
      <c r="C2148" t="s">
        <v>41</v>
      </c>
      <c r="D2148" t="s">
        <v>22</v>
      </c>
      <c r="E2148">
        <v>16.36</v>
      </c>
      <c r="F2148">
        <v>22</v>
      </c>
      <c r="G2148" t="s">
        <v>33</v>
      </c>
      <c r="H2148" t="s">
        <v>55</v>
      </c>
      <c r="I2148" s="2">
        <v>13.99</v>
      </c>
      <c r="J2148">
        <v>0</v>
      </c>
      <c r="K2148" s="2">
        <f t="shared" si="66"/>
        <v>0</v>
      </c>
      <c r="L2148" t="s">
        <v>19</v>
      </c>
      <c r="M2148">
        <v>2</v>
      </c>
      <c r="N2148">
        <v>0.71</v>
      </c>
      <c r="O2148" t="str">
        <f t="shared" si="67"/>
        <v>0.6–0.8 hours</v>
      </c>
      <c r="P2148" t="s">
        <v>39</v>
      </c>
    </row>
    <row r="2149" spans="1:16" x14ac:dyDescent="0.4">
      <c r="A2149" t="s">
        <v>2190</v>
      </c>
      <c r="B2149">
        <v>35</v>
      </c>
      <c r="C2149" t="s">
        <v>41</v>
      </c>
      <c r="D2149" t="s">
        <v>32</v>
      </c>
      <c r="E2149">
        <v>7.93</v>
      </c>
      <c r="F2149">
        <v>19</v>
      </c>
      <c r="G2149" t="s">
        <v>70</v>
      </c>
      <c r="H2149" t="s">
        <v>18</v>
      </c>
      <c r="I2149" s="2">
        <v>17.989999999999998</v>
      </c>
      <c r="J2149">
        <v>0</v>
      </c>
      <c r="K2149" s="2">
        <f t="shared" si="66"/>
        <v>0</v>
      </c>
      <c r="L2149" t="s">
        <v>43</v>
      </c>
      <c r="M2149">
        <v>5</v>
      </c>
      <c r="N2149">
        <v>0.4</v>
      </c>
      <c r="O2149" t="str">
        <f t="shared" si="67"/>
        <v>0.2–0.4 hours</v>
      </c>
      <c r="P2149" t="s">
        <v>34</v>
      </c>
    </row>
    <row r="2150" spans="1:16" x14ac:dyDescent="0.4">
      <c r="A2150" t="s">
        <v>2191</v>
      </c>
      <c r="B2150">
        <v>49</v>
      </c>
      <c r="C2150" t="s">
        <v>41</v>
      </c>
      <c r="D2150" t="s">
        <v>32</v>
      </c>
      <c r="E2150">
        <v>6.06</v>
      </c>
      <c r="F2150">
        <v>12</v>
      </c>
      <c r="G2150" t="s">
        <v>28</v>
      </c>
      <c r="H2150" t="s">
        <v>18</v>
      </c>
      <c r="I2150" s="2">
        <v>17.989999999999998</v>
      </c>
      <c r="J2150">
        <v>0</v>
      </c>
      <c r="K2150" s="2">
        <f t="shared" si="66"/>
        <v>0</v>
      </c>
      <c r="L2150" t="s">
        <v>43</v>
      </c>
      <c r="M2150">
        <v>5</v>
      </c>
      <c r="N2150">
        <v>0.47</v>
      </c>
      <c r="O2150" t="str">
        <f t="shared" si="67"/>
        <v>0.4–0.6 hours</v>
      </c>
      <c r="P2150" t="s">
        <v>47</v>
      </c>
    </row>
    <row r="2151" spans="1:16" x14ac:dyDescent="0.4">
      <c r="A2151" t="s">
        <v>2192</v>
      </c>
      <c r="B2151">
        <v>54</v>
      </c>
      <c r="C2151" t="s">
        <v>15</v>
      </c>
      <c r="D2151" t="s">
        <v>16</v>
      </c>
      <c r="E2151">
        <v>9.44</v>
      </c>
      <c r="F2151">
        <v>36</v>
      </c>
      <c r="G2151" t="s">
        <v>49</v>
      </c>
      <c r="H2151" t="s">
        <v>57</v>
      </c>
      <c r="I2151" s="2">
        <v>8.99</v>
      </c>
      <c r="J2151">
        <v>1</v>
      </c>
      <c r="K2151" s="2">
        <f t="shared" si="66"/>
        <v>8.99</v>
      </c>
      <c r="L2151" t="s">
        <v>29</v>
      </c>
      <c r="M2151">
        <v>4</v>
      </c>
      <c r="N2151">
        <v>0.26</v>
      </c>
      <c r="O2151" t="str">
        <f t="shared" si="67"/>
        <v>0.2–0.4 hours</v>
      </c>
      <c r="P2151" t="s">
        <v>47</v>
      </c>
    </row>
    <row r="2152" spans="1:16" x14ac:dyDescent="0.4">
      <c r="A2152" t="s">
        <v>2193</v>
      </c>
      <c r="B2152">
        <v>27</v>
      </c>
      <c r="C2152" t="s">
        <v>41</v>
      </c>
      <c r="D2152" t="s">
        <v>32</v>
      </c>
      <c r="E2152">
        <v>6.31</v>
      </c>
      <c r="F2152">
        <v>55</v>
      </c>
      <c r="G2152" t="s">
        <v>17</v>
      </c>
      <c r="H2152" t="s">
        <v>57</v>
      </c>
      <c r="I2152" s="2">
        <v>17.989999999999998</v>
      </c>
      <c r="J2152">
        <v>0</v>
      </c>
      <c r="K2152" s="2">
        <f t="shared" si="66"/>
        <v>0</v>
      </c>
      <c r="L2152" t="s">
        <v>43</v>
      </c>
      <c r="M2152">
        <v>4</v>
      </c>
      <c r="N2152">
        <v>0.11</v>
      </c>
      <c r="O2152" t="str">
        <f t="shared" si="67"/>
        <v>0–0.2 hours</v>
      </c>
      <c r="P2152" t="s">
        <v>47</v>
      </c>
    </row>
    <row r="2153" spans="1:16" x14ac:dyDescent="0.4">
      <c r="A2153" t="s">
        <v>2194</v>
      </c>
      <c r="B2153">
        <v>44</v>
      </c>
      <c r="C2153" t="s">
        <v>41</v>
      </c>
      <c r="D2153" t="s">
        <v>22</v>
      </c>
      <c r="E2153">
        <v>15.75</v>
      </c>
      <c r="F2153">
        <v>47</v>
      </c>
      <c r="G2153" t="s">
        <v>28</v>
      </c>
      <c r="H2153" t="s">
        <v>55</v>
      </c>
      <c r="I2153" s="2">
        <v>13.99</v>
      </c>
      <c r="J2153">
        <v>1</v>
      </c>
      <c r="K2153" s="2">
        <f t="shared" si="66"/>
        <v>13.99</v>
      </c>
      <c r="L2153" t="s">
        <v>19</v>
      </c>
      <c r="M2153">
        <v>4</v>
      </c>
      <c r="N2153">
        <v>0.33</v>
      </c>
      <c r="O2153" t="str">
        <f t="shared" si="67"/>
        <v>0.2–0.4 hours</v>
      </c>
      <c r="P2153" t="s">
        <v>47</v>
      </c>
    </row>
    <row r="2154" spans="1:16" x14ac:dyDescent="0.4">
      <c r="A2154" t="s">
        <v>2195</v>
      </c>
      <c r="B2154">
        <v>50</v>
      </c>
      <c r="C2154" t="s">
        <v>15</v>
      </c>
      <c r="D2154" t="s">
        <v>32</v>
      </c>
      <c r="E2154">
        <v>2.77</v>
      </c>
      <c r="F2154">
        <v>49</v>
      </c>
      <c r="G2154" t="s">
        <v>49</v>
      </c>
      <c r="H2154" t="s">
        <v>24</v>
      </c>
      <c r="I2154" s="2">
        <v>17.989999999999998</v>
      </c>
      <c r="J2154">
        <v>1</v>
      </c>
      <c r="K2154" s="2">
        <f t="shared" si="66"/>
        <v>17.989999999999998</v>
      </c>
      <c r="L2154" t="s">
        <v>37</v>
      </c>
      <c r="M2154">
        <v>4</v>
      </c>
      <c r="N2154">
        <v>0.06</v>
      </c>
      <c r="O2154" t="str">
        <f t="shared" si="67"/>
        <v>0–0.2 hours</v>
      </c>
      <c r="P2154" t="s">
        <v>30</v>
      </c>
    </row>
    <row r="2155" spans="1:16" x14ac:dyDescent="0.4">
      <c r="A2155" t="s">
        <v>2196</v>
      </c>
      <c r="B2155">
        <v>49</v>
      </c>
      <c r="C2155" t="s">
        <v>15</v>
      </c>
      <c r="D2155" t="s">
        <v>16</v>
      </c>
      <c r="E2155">
        <v>3.07</v>
      </c>
      <c r="F2155">
        <v>44</v>
      </c>
      <c r="G2155" t="s">
        <v>49</v>
      </c>
      <c r="H2155" t="s">
        <v>57</v>
      </c>
      <c r="I2155" s="2">
        <v>8.99</v>
      </c>
      <c r="J2155">
        <v>1</v>
      </c>
      <c r="K2155" s="2">
        <f t="shared" si="66"/>
        <v>8.99</v>
      </c>
      <c r="L2155" t="s">
        <v>29</v>
      </c>
      <c r="M2155">
        <v>1</v>
      </c>
      <c r="N2155">
        <v>7.0000000000000007E-2</v>
      </c>
      <c r="O2155" t="str">
        <f t="shared" si="67"/>
        <v>0–0.2 hours</v>
      </c>
      <c r="P2155" t="s">
        <v>39</v>
      </c>
    </row>
    <row r="2156" spans="1:16" x14ac:dyDescent="0.4">
      <c r="A2156" t="s">
        <v>2197</v>
      </c>
      <c r="B2156">
        <v>32</v>
      </c>
      <c r="C2156" t="s">
        <v>41</v>
      </c>
      <c r="D2156" t="s">
        <v>32</v>
      </c>
      <c r="E2156">
        <v>28.92</v>
      </c>
      <c r="F2156">
        <v>15</v>
      </c>
      <c r="G2156" t="s">
        <v>23</v>
      </c>
      <c r="H2156" t="s">
        <v>57</v>
      </c>
      <c r="I2156" s="2">
        <v>17.989999999999998</v>
      </c>
      <c r="J2156">
        <v>0</v>
      </c>
      <c r="K2156" s="2">
        <f t="shared" si="66"/>
        <v>0</v>
      </c>
      <c r="L2156" t="s">
        <v>29</v>
      </c>
      <c r="M2156">
        <v>4</v>
      </c>
      <c r="N2156">
        <v>1.81</v>
      </c>
      <c r="O2156" t="str">
        <f t="shared" si="67"/>
        <v>1+ hours</v>
      </c>
      <c r="P2156" t="s">
        <v>39</v>
      </c>
    </row>
    <row r="2157" spans="1:16" x14ac:dyDescent="0.4">
      <c r="A2157" t="s">
        <v>2198</v>
      </c>
      <c r="B2157">
        <v>45</v>
      </c>
      <c r="C2157" t="s">
        <v>27</v>
      </c>
      <c r="D2157" t="s">
        <v>16</v>
      </c>
      <c r="E2157">
        <v>4.0199999999999996</v>
      </c>
      <c r="F2157">
        <v>5</v>
      </c>
      <c r="G2157" t="s">
        <v>70</v>
      </c>
      <c r="H2157" t="s">
        <v>57</v>
      </c>
      <c r="I2157" s="2">
        <v>8.99</v>
      </c>
      <c r="J2157">
        <v>1</v>
      </c>
      <c r="K2157" s="2">
        <f t="shared" si="66"/>
        <v>8.99</v>
      </c>
      <c r="L2157" t="s">
        <v>43</v>
      </c>
      <c r="M2157">
        <v>1</v>
      </c>
      <c r="N2157">
        <v>0.67</v>
      </c>
      <c r="O2157" t="str">
        <f t="shared" si="67"/>
        <v>0.6–0.8 hours</v>
      </c>
      <c r="P2157" t="s">
        <v>52</v>
      </c>
    </row>
    <row r="2158" spans="1:16" x14ac:dyDescent="0.4">
      <c r="A2158" t="s">
        <v>2199</v>
      </c>
      <c r="B2158">
        <v>27</v>
      </c>
      <c r="C2158" t="s">
        <v>27</v>
      </c>
      <c r="D2158" t="s">
        <v>16</v>
      </c>
      <c r="E2158">
        <v>35.36</v>
      </c>
      <c r="F2158">
        <v>58</v>
      </c>
      <c r="G2158" t="s">
        <v>28</v>
      </c>
      <c r="H2158" t="s">
        <v>55</v>
      </c>
      <c r="I2158" s="2">
        <v>8.99</v>
      </c>
      <c r="J2158">
        <v>0</v>
      </c>
      <c r="K2158" s="2">
        <f t="shared" si="66"/>
        <v>0</v>
      </c>
      <c r="L2158" t="s">
        <v>43</v>
      </c>
      <c r="M2158">
        <v>4</v>
      </c>
      <c r="N2158">
        <v>0.6</v>
      </c>
      <c r="O2158" t="str">
        <f t="shared" si="67"/>
        <v>0.4–0.6 hours</v>
      </c>
      <c r="P2158" t="s">
        <v>30</v>
      </c>
    </row>
    <row r="2159" spans="1:16" x14ac:dyDescent="0.4">
      <c r="A2159" t="s">
        <v>2200</v>
      </c>
      <c r="B2159">
        <v>43</v>
      </c>
      <c r="C2159" t="s">
        <v>15</v>
      </c>
      <c r="D2159" t="s">
        <v>16</v>
      </c>
      <c r="E2159">
        <v>13.19</v>
      </c>
      <c r="F2159">
        <v>10</v>
      </c>
      <c r="G2159" t="s">
        <v>28</v>
      </c>
      <c r="H2159" t="s">
        <v>18</v>
      </c>
      <c r="I2159" s="2">
        <v>8.99</v>
      </c>
      <c r="J2159">
        <v>0</v>
      </c>
      <c r="K2159" s="2">
        <f t="shared" si="66"/>
        <v>0</v>
      </c>
      <c r="L2159" t="s">
        <v>29</v>
      </c>
      <c r="M2159">
        <v>5</v>
      </c>
      <c r="N2159">
        <v>1.2</v>
      </c>
      <c r="O2159" t="str">
        <f t="shared" si="67"/>
        <v>1+ hours</v>
      </c>
      <c r="P2159" t="s">
        <v>47</v>
      </c>
    </row>
    <row r="2160" spans="1:16" x14ac:dyDescent="0.4">
      <c r="A2160" t="s">
        <v>2201</v>
      </c>
      <c r="B2160">
        <v>64</v>
      </c>
      <c r="C2160" t="s">
        <v>15</v>
      </c>
      <c r="D2160" t="s">
        <v>32</v>
      </c>
      <c r="E2160">
        <v>23.36</v>
      </c>
      <c r="F2160">
        <v>52</v>
      </c>
      <c r="G2160" t="s">
        <v>70</v>
      </c>
      <c r="H2160" t="s">
        <v>24</v>
      </c>
      <c r="I2160" s="2">
        <v>17.989999999999998</v>
      </c>
      <c r="J2160">
        <v>0</v>
      </c>
      <c r="K2160" s="2">
        <f t="shared" si="66"/>
        <v>0</v>
      </c>
      <c r="L2160" t="s">
        <v>37</v>
      </c>
      <c r="M2160">
        <v>4</v>
      </c>
      <c r="N2160">
        <v>0.44</v>
      </c>
      <c r="O2160" t="str">
        <f t="shared" si="67"/>
        <v>0.4–0.6 hours</v>
      </c>
      <c r="P2160" t="s">
        <v>30</v>
      </c>
    </row>
    <row r="2161" spans="1:16" x14ac:dyDescent="0.4">
      <c r="A2161" t="s">
        <v>2202</v>
      </c>
      <c r="B2161">
        <v>58</v>
      </c>
      <c r="C2161" t="s">
        <v>15</v>
      </c>
      <c r="D2161" t="s">
        <v>32</v>
      </c>
      <c r="E2161">
        <v>15.12</v>
      </c>
      <c r="F2161">
        <v>59</v>
      </c>
      <c r="G2161" t="s">
        <v>17</v>
      </c>
      <c r="H2161" t="s">
        <v>57</v>
      </c>
      <c r="I2161" s="2">
        <v>17.989999999999998</v>
      </c>
      <c r="J2161">
        <v>0</v>
      </c>
      <c r="K2161" s="2">
        <f t="shared" si="66"/>
        <v>0</v>
      </c>
      <c r="L2161" t="s">
        <v>37</v>
      </c>
      <c r="M2161">
        <v>5</v>
      </c>
      <c r="N2161">
        <v>0.25</v>
      </c>
      <c r="O2161" t="str">
        <f t="shared" si="67"/>
        <v>0.2–0.4 hours</v>
      </c>
      <c r="P2161" t="s">
        <v>20</v>
      </c>
    </row>
    <row r="2162" spans="1:16" x14ac:dyDescent="0.4">
      <c r="A2162" t="s">
        <v>2203</v>
      </c>
      <c r="B2162">
        <v>23</v>
      </c>
      <c r="C2162" t="s">
        <v>15</v>
      </c>
      <c r="D2162" t="s">
        <v>32</v>
      </c>
      <c r="E2162">
        <v>1.43</v>
      </c>
      <c r="F2162">
        <v>30</v>
      </c>
      <c r="G2162" t="s">
        <v>23</v>
      </c>
      <c r="H2162" t="s">
        <v>18</v>
      </c>
      <c r="I2162" s="2">
        <v>17.989999999999998</v>
      </c>
      <c r="J2162">
        <v>1</v>
      </c>
      <c r="K2162" s="2">
        <f t="shared" si="66"/>
        <v>17.989999999999998</v>
      </c>
      <c r="L2162" t="s">
        <v>19</v>
      </c>
      <c r="M2162">
        <v>5</v>
      </c>
      <c r="N2162">
        <v>0.05</v>
      </c>
      <c r="O2162" t="str">
        <f t="shared" si="67"/>
        <v>0–0.2 hours</v>
      </c>
      <c r="P2162" t="s">
        <v>25</v>
      </c>
    </row>
    <row r="2163" spans="1:16" x14ac:dyDescent="0.4">
      <c r="A2163" t="s">
        <v>2204</v>
      </c>
      <c r="B2163">
        <v>21</v>
      </c>
      <c r="C2163" t="s">
        <v>41</v>
      </c>
      <c r="D2163" t="s">
        <v>16</v>
      </c>
      <c r="E2163">
        <v>0.92</v>
      </c>
      <c r="F2163">
        <v>57</v>
      </c>
      <c r="G2163" t="s">
        <v>17</v>
      </c>
      <c r="H2163" t="s">
        <v>46</v>
      </c>
      <c r="I2163" s="2">
        <v>8.99</v>
      </c>
      <c r="J2163">
        <v>1</v>
      </c>
      <c r="K2163" s="2">
        <f t="shared" si="66"/>
        <v>8.99</v>
      </c>
      <c r="L2163" t="s">
        <v>29</v>
      </c>
      <c r="M2163">
        <v>2</v>
      </c>
      <c r="N2163">
        <v>0.02</v>
      </c>
      <c r="O2163" t="str">
        <f t="shared" si="67"/>
        <v>0–0.2 hours</v>
      </c>
      <c r="P2163" t="s">
        <v>20</v>
      </c>
    </row>
    <row r="2164" spans="1:16" x14ac:dyDescent="0.4">
      <c r="A2164" s="1" t="s">
        <v>2205</v>
      </c>
      <c r="B2164">
        <v>44</v>
      </c>
      <c r="C2164" t="s">
        <v>41</v>
      </c>
      <c r="D2164" t="s">
        <v>22</v>
      </c>
      <c r="E2164">
        <v>2</v>
      </c>
      <c r="F2164">
        <v>40</v>
      </c>
      <c r="G2164" t="s">
        <v>33</v>
      </c>
      <c r="H2164" t="s">
        <v>46</v>
      </c>
      <c r="I2164" s="2">
        <v>13.99</v>
      </c>
      <c r="J2164">
        <v>1</v>
      </c>
      <c r="K2164" s="2">
        <f t="shared" si="66"/>
        <v>13.99</v>
      </c>
      <c r="L2164" t="s">
        <v>19</v>
      </c>
      <c r="M2164">
        <v>1</v>
      </c>
      <c r="N2164">
        <v>0.05</v>
      </c>
      <c r="O2164" t="str">
        <f t="shared" si="67"/>
        <v>0–0.2 hours</v>
      </c>
      <c r="P2164" t="s">
        <v>20</v>
      </c>
    </row>
    <row r="2165" spans="1:16" x14ac:dyDescent="0.4">
      <c r="A2165" t="s">
        <v>2206</v>
      </c>
      <c r="B2165">
        <v>57</v>
      </c>
      <c r="C2165" t="s">
        <v>27</v>
      </c>
      <c r="D2165" t="s">
        <v>16</v>
      </c>
      <c r="E2165">
        <v>0.95</v>
      </c>
      <c r="F2165">
        <v>58</v>
      </c>
      <c r="G2165" t="s">
        <v>28</v>
      </c>
      <c r="H2165" t="s">
        <v>18</v>
      </c>
      <c r="I2165" s="2">
        <v>8.99</v>
      </c>
      <c r="J2165">
        <v>1</v>
      </c>
      <c r="K2165" s="2">
        <f t="shared" si="66"/>
        <v>8.99</v>
      </c>
      <c r="L2165" t="s">
        <v>61</v>
      </c>
      <c r="M2165">
        <v>5</v>
      </c>
      <c r="N2165">
        <v>0.02</v>
      </c>
      <c r="O2165" t="str">
        <f t="shared" si="67"/>
        <v>0–0.2 hours</v>
      </c>
      <c r="P2165" t="s">
        <v>47</v>
      </c>
    </row>
    <row r="2166" spans="1:16" x14ac:dyDescent="0.4">
      <c r="A2166" t="s">
        <v>2207</v>
      </c>
      <c r="B2166">
        <v>34</v>
      </c>
      <c r="C2166" t="s">
        <v>41</v>
      </c>
      <c r="D2166" t="s">
        <v>32</v>
      </c>
      <c r="E2166">
        <v>18.98</v>
      </c>
      <c r="F2166">
        <v>40</v>
      </c>
      <c r="G2166" t="s">
        <v>17</v>
      </c>
      <c r="H2166" t="s">
        <v>57</v>
      </c>
      <c r="I2166" s="2">
        <v>17.989999999999998</v>
      </c>
      <c r="J2166">
        <v>0</v>
      </c>
      <c r="K2166" s="2">
        <f t="shared" si="66"/>
        <v>0</v>
      </c>
      <c r="L2166" t="s">
        <v>61</v>
      </c>
      <c r="M2166">
        <v>5</v>
      </c>
      <c r="N2166">
        <v>0.46</v>
      </c>
      <c r="O2166" t="str">
        <f t="shared" si="67"/>
        <v>0.4–0.6 hours</v>
      </c>
      <c r="P2166" t="s">
        <v>52</v>
      </c>
    </row>
    <row r="2167" spans="1:16" x14ac:dyDescent="0.4">
      <c r="A2167" t="s">
        <v>2208</v>
      </c>
      <c r="B2167">
        <v>63</v>
      </c>
      <c r="C2167" t="s">
        <v>41</v>
      </c>
      <c r="D2167" t="s">
        <v>32</v>
      </c>
      <c r="E2167">
        <v>0.3</v>
      </c>
      <c r="F2167">
        <v>56</v>
      </c>
      <c r="G2167" t="s">
        <v>33</v>
      </c>
      <c r="H2167" t="s">
        <v>24</v>
      </c>
      <c r="I2167" s="2">
        <v>17.989999999999998</v>
      </c>
      <c r="J2167">
        <v>1</v>
      </c>
      <c r="K2167" s="2">
        <f t="shared" si="66"/>
        <v>17.989999999999998</v>
      </c>
      <c r="L2167" t="s">
        <v>29</v>
      </c>
      <c r="M2167">
        <v>3</v>
      </c>
      <c r="N2167">
        <v>0.01</v>
      </c>
      <c r="O2167" t="str">
        <f t="shared" si="67"/>
        <v>0–0.2 hours</v>
      </c>
      <c r="P2167" t="s">
        <v>34</v>
      </c>
    </row>
    <row r="2168" spans="1:16" x14ac:dyDescent="0.4">
      <c r="A2168" t="s">
        <v>2209</v>
      </c>
      <c r="B2168">
        <v>57</v>
      </c>
      <c r="C2168" t="s">
        <v>27</v>
      </c>
      <c r="D2168" t="s">
        <v>32</v>
      </c>
      <c r="E2168">
        <v>0.66</v>
      </c>
      <c r="F2168">
        <v>59</v>
      </c>
      <c r="G2168" t="s">
        <v>33</v>
      </c>
      <c r="H2168" t="s">
        <v>57</v>
      </c>
      <c r="I2168" s="2">
        <v>17.989999999999998</v>
      </c>
      <c r="J2168">
        <v>1</v>
      </c>
      <c r="K2168" s="2">
        <f t="shared" si="66"/>
        <v>17.989999999999998</v>
      </c>
      <c r="L2168" t="s">
        <v>43</v>
      </c>
      <c r="M2168">
        <v>5</v>
      </c>
      <c r="N2168">
        <v>0.01</v>
      </c>
      <c r="O2168" t="str">
        <f t="shared" si="67"/>
        <v>0–0.2 hours</v>
      </c>
      <c r="P2168" t="s">
        <v>47</v>
      </c>
    </row>
    <row r="2169" spans="1:16" x14ac:dyDescent="0.4">
      <c r="A2169" t="s">
        <v>2210</v>
      </c>
      <c r="B2169">
        <v>56</v>
      </c>
      <c r="C2169" t="s">
        <v>41</v>
      </c>
      <c r="D2169" t="s">
        <v>32</v>
      </c>
      <c r="E2169">
        <v>8.36</v>
      </c>
      <c r="F2169">
        <v>58</v>
      </c>
      <c r="G2169" t="s">
        <v>70</v>
      </c>
      <c r="H2169" t="s">
        <v>24</v>
      </c>
      <c r="I2169" s="2">
        <v>17.989999999999998</v>
      </c>
      <c r="J2169">
        <v>1</v>
      </c>
      <c r="K2169" s="2">
        <f t="shared" si="66"/>
        <v>17.989999999999998</v>
      </c>
      <c r="L2169" t="s">
        <v>19</v>
      </c>
      <c r="M2169">
        <v>2</v>
      </c>
      <c r="N2169">
        <v>0.14000000000000001</v>
      </c>
      <c r="O2169" t="str">
        <f t="shared" si="67"/>
        <v>0–0.2 hours</v>
      </c>
      <c r="P2169" t="s">
        <v>34</v>
      </c>
    </row>
    <row r="2170" spans="1:16" x14ac:dyDescent="0.4">
      <c r="A2170" t="s">
        <v>2211</v>
      </c>
      <c r="B2170">
        <v>22</v>
      </c>
      <c r="C2170" t="s">
        <v>27</v>
      </c>
      <c r="D2170" t="s">
        <v>22</v>
      </c>
      <c r="E2170">
        <v>0.48</v>
      </c>
      <c r="F2170">
        <v>24</v>
      </c>
      <c r="G2170" t="s">
        <v>70</v>
      </c>
      <c r="H2170" t="s">
        <v>55</v>
      </c>
      <c r="I2170" s="2">
        <v>13.99</v>
      </c>
      <c r="J2170">
        <v>1</v>
      </c>
      <c r="K2170" s="2">
        <f t="shared" si="66"/>
        <v>13.99</v>
      </c>
      <c r="L2170" t="s">
        <v>19</v>
      </c>
      <c r="M2170">
        <v>2</v>
      </c>
      <c r="N2170">
        <v>0.02</v>
      </c>
      <c r="O2170" t="str">
        <f t="shared" si="67"/>
        <v>0–0.2 hours</v>
      </c>
      <c r="P2170" t="s">
        <v>39</v>
      </c>
    </row>
    <row r="2171" spans="1:16" x14ac:dyDescent="0.4">
      <c r="A2171" t="s">
        <v>2212</v>
      </c>
      <c r="B2171">
        <v>63</v>
      </c>
      <c r="C2171" t="s">
        <v>27</v>
      </c>
      <c r="D2171" t="s">
        <v>22</v>
      </c>
      <c r="E2171">
        <v>15.97</v>
      </c>
      <c r="F2171">
        <v>38</v>
      </c>
      <c r="G2171" t="s">
        <v>49</v>
      </c>
      <c r="H2171" t="s">
        <v>57</v>
      </c>
      <c r="I2171" s="2">
        <v>13.99</v>
      </c>
      <c r="J2171">
        <v>1</v>
      </c>
      <c r="K2171" s="2">
        <f t="shared" si="66"/>
        <v>13.99</v>
      </c>
      <c r="L2171" t="s">
        <v>19</v>
      </c>
      <c r="M2171">
        <v>3</v>
      </c>
      <c r="N2171">
        <v>0.41</v>
      </c>
      <c r="O2171" t="str">
        <f t="shared" si="67"/>
        <v>0.4–0.6 hours</v>
      </c>
      <c r="P2171" t="s">
        <v>30</v>
      </c>
    </row>
    <row r="2172" spans="1:16" x14ac:dyDescent="0.4">
      <c r="A2172" t="s">
        <v>2213</v>
      </c>
      <c r="B2172">
        <v>62</v>
      </c>
      <c r="C2172" t="s">
        <v>27</v>
      </c>
      <c r="D2172" t="s">
        <v>16</v>
      </c>
      <c r="E2172">
        <v>4.82</v>
      </c>
      <c r="F2172">
        <v>10</v>
      </c>
      <c r="G2172" t="s">
        <v>23</v>
      </c>
      <c r="H2172" t="s">
        <v>46</v>
      </c>
      <c r="I2172" s="2">
        <v>8.99</v>
      </c>
      <c r="J2172">
        <v>1</v>
      </c>
      <c r="K2172" s="2">
        <f t="shared" si="66"/>
        <v>8.99</v>
      </c>
      <c r="L2172" t="s">
        <v>37</v>
      </c>
      <c r="M2172">
        <v>5</v>
      </c>
      <c r="N2172">
        <v>0.44</v>
      </c>
      <c r="O2172" t="str">
        <f t="shared" si="67"/>
        <v>0.4–0.6 hours</v>
      </c>
      <c r="P2172" t="s">
        <v>25</v>
      </c>
    </row>
    <row r="2173" spans="1:16" x14ac:dyDescent="0.4">
      <c r="A2173" t="s">
        <v>2214</v>
      </c>
      <c r="B2173">
        <v>63</v>
      </c>
      <c r="C2173" t="s">
        <v>15</v>
      </c>
      <c r="D2173" t="s">
        <v>32</v>
      </c>
      <c r="E2173">
        <v>21.62</v>
      </c>
      <c r="F2173">
        <v>50</v>
      </c>
      <c r="G2173" t="s">
        <v>33</v>
      </c>
      <c r="H2173" t="s">
        <v>55</v>
      </c>
      <c r="I2173" s="2">
        <v>17.989999999999998</v>
      </c>
      <c r="J2173">
        <v>0</v>
      </c>
      <c r="K2173" s="2">
        <f t="shared" si="66"/>
        <v>0</v>
      </c>
      <c r="L2173" t="s">
        <v>19</v>
      </c>
      <c r="M2173">
        <v>4</v>
      </c>
      <c r="N2173">
        <v>0.42</v>
      </c>
      <c r="O2173" t="str">
        <f t="shared" si="67"/>
        <v>0.4–0.6 hours</v>
      </c>
      <c r="P2173" t="s">
        <v>39</v>
      </c>
    </row>
    <row r="2174" spans="1:16" x14ac:dyDescent="0.4">
      <c r="A2174" t="s">
        <v>2215</v>
      </c>
      <c r="B2174">
        <v>21</v>
      </c>
      <c r="C2174" t="s">
        <v>15</v>
      </c>
      <c r="D2174" t="s">
        <v>32</v>
      </c>
      <c r="E2174">
        <v>0.2</v>
      </c>
      <c r="F2174">
        <v>21</v>
      </c>
      <c r="G2174" t="s">
        <v>33</v>
      </c>
      <c r="H2174" t="s">
        <v>24</v>
      </c>
      <c r="I2174" s="2">
        <v>17.989999999999998</v>
      </c>
      <c r="J2174">
        <v>0</v>
      </c>
      <c r="K2174" s="2">
        <f t="shared" si="66"/>
        <v>0</v>
      </c>
      <c r="L2174" t="s">
        <v>37</v>
      </c>
      <c r="M2174">
        <v>5</v>
      </c>
      <c r="N2174">
        <v>0.01</v>
      </c>
      <c r="O2174" t="str">
        <f t="shared" si="67"/>
        <v>0–0.2 hours</v>
      </c>
      <c r="P2174" t="s">
        <v>30</v>
      </c>
    </row>
    <row r="2175" spans="1:16" x14ac:dyDescent="0.4">
      <c r="A2175" t="s">
        <v>2216</v>
      </c>
      <c r="B2175">
        <v>52</v>
      </c>
      <c r="C2175" t="s">
        <v>41</v>
      </c>
      <c r="D2175" t="s">
        <v>22</v>
      </c>
      <c r="E2175">
        <v>22.33</v>
      </c>
      <c r="F2175">
        <v>28</v>
      </c>
      <c r="G2175" t="s">
        <v>49</v>
      </c>
      <c r="H2175" t="s">
        <v>55</v>
      </c>
      <c r="I2175" s="2">
        <v>13.99</v>
      </c>
      <c r="J2175">
        <v>0</v>
      </c>
      <c r="K2175" s="2">
        <f t="shared" si="66"/>
        <v>0</v>
      </c>
      <c r="L2175" t="s">
        <v>43</v>
      </c>
      <c r="M2175">
        <v>5</v>
      </c>
      <c r="N2175">
        <v>0.77</v>
      </c>
      <c r="O2175" t="str">
        <f t="shared" si="67"/>
        <v>0.6–0.8 hours</v>
      </c>
      <c r="P2175" t="s">
        <v>25</v>
      </c>
    </row>
    <row r="2176" spans="1:16" x14ac:dyDescent="0.4">
      <c r="A2176" t="s">
        <v>2217</v>
      </c>
      <c r="B2176">
        <v>33</v>
      </c>
      <c r="C2176" t="s">
        <v>27</v>
      </c>
      <c r="D2176" t="s">
        <v>32</v>
      </c>
      <c r="E2176">
        <v>18.3</v>
      </c>
      <c r="F2176">
        <v>14</v>
      </c>
      <c r="G2176" t="s">
        <v>23</v>
      </c>
      <c r="H2176" t="s">
        <v>57</v>
      </c>
      <c r="I2176" s="2">
        <v>17.989999999999998</v>
      </c>
      <c r="J2176">
        <v>0</v>
      </c>
      <c r="K2176" s="2">
        <f t="shared" si="66"/>
        <v>0</v>
      </c>
      <c r="L2176" t="s">
        <v>29</v>
      </c>
      <c r="M2176">
        <v>1</v>
      </c>
      <c r="N2176">
        <v>1.22</v>
      </c>
      <c r="O2176" t="str">
        <f t="shared" si="67"/>
        <v>1+ hours</v>
      </c>
      <c r="P2176" t="s">
        <v>25</v>
      </c>
    </row>
    <row r="2177" spans="1:16" x14ac:dyDescent="0.4">
      <c r="A2177" t="s">
        <v>2218</v>
      </c>
      <c r="B2177">
        <v>39</v>
      </c>
      <c r="C2177" t="s">
        <v>27</v>
      </c>
      <c r="D2177" t="s">
        <v>22</v>
      </c>
      <c r="E2177">
        <v>17.05</v>
      </c>
      <c r="F2177">
        <v>37</v>
      </c>
      <c r="G2177" t="s">
        <v>23</v>
      </c>
      <c r="H2177" t="s">
        <v>55</v>
      </c>
      <c r="I2177" s="2">
        <v>13.99</v>
      </c>
      <c r="J2177">
        <v>1</v>
      </c>
      <c r="K2177" s="2">
        <f t="shared" si="66"/>
        <v>13.99</v>
      </c>
      <c r="L2177" t="s">
        <v>37</v>
      </c>
      <c r="M2177">
        <v>1</v>
      </c>
      <c r="N2177">
        <v>0.45</v>
      </c>
      <c r="O2177" t="str">
        <f t="shared" si="67"/>
        <v>0.4–0.6 hours</v>
      </c>
      <c r="P2177" t="s">
        <v>30</v>
      </c>
    </row>
    <row r="2178" spans="1:16" x14ac:dyDescent="0.4">
      <c r="A2178" t="s">
        <v>2219</v>
      </c>
      <c r="B2178">
        <v>48</v>
      </c>
      <c r="C2178" t="s">
        <v>27</v>
      </c>
      <c r="D2178" t="s">
        <v>16</v>
      </c>
      <c r="E2178">
        <v>16.75</v>
      </c>
      <c r="F2178">
        <v>16</v>
      </c>
      <c r="G2178" t="s">
        <v>17</v>
      </c>
      <c r="H2178" t="s">
        <v>46</v>
      </c>
      <c r="I2178" s="2">
        <v>8.99</v>
      </c>
      <c r="J2178">
        <v>0</v>
      </c>
      <c r="K2178" s="2">
        <f t="shared" si="66"/>
        <v>0</v>
      </c>
      <c r="L2178" t="s">
        <v>19</v>
      </c>
      <c r="M2178">
        <v>5</v>
      </c>
      <c r="N2178">
        <v>0.99</v>
      </c>
      <c r="O2178" t="str">
        <f t="shared" si="67"/>
        <v>0.8–1 hour</v>
      </c>
      <c r="P2178" t="s">
        <v>52</v>
      </c>
    </row>
    <row r="2179" spans="1:16" x14ac:dyDescent="0.4">
      <c r="A2179" t="s">
        <v>2220</v>
      </c>
      <c r="B2179">
        <v>46</v>
      </c>
      <c r="C2179" t="s">
        <v>27</v>
      </c>
      <c r="D2179" t="s">
        <v>32</v>
      </c>
      <c r="E2179">
        <v>23.02</v>
      </c>
      <c r="F2179">
        <v>59</v>
      </c>
      <c r="G2179" t="s">
        <v>28</v>
      </c>
      <c r="H2179" t="s">
        <v>57</v>
      </c>
      <c r="I2179" s="2">
        <v>17.989999999999998</v>
      </c>
      <c r="J2179">
        <v>0</v>
      </c>
      <c r="K2179" s="2">
        <f t="shared" ref="K2179:K2242" si="68">SUMIF(J2179,1,I2179)</f>
        <v>0</v>
      </c>
      <c r="L2179" t="s">
        <v>29</v>
      </c>
      <c r="M2179">
        <v>2</v>
      </c>
      <c r="N2179">
        <v>0.38</v>
      </c>
      <c r="O2179" t="str">
        <f t="shared" ref="O2179:O2242" si="69">IF(N2179&gt;1,"1+ hours",IF(N2179&lt;=0.2,"0–0.2 hours",IF(N2179&lt;=0.4,"0.2–0.4 hours",IF(N2179&lt;=0.6,"0.4–0.6 hours",IF(N2179&lt;=0.8,"0.6–0.8 hours","0.8–1 hour")))))</f>
        <v>0.2–0.4 hours</v>
      </c>
      <c r="P2179" t="s">
        <v>52</v>
      </c>
    </row>
    <row r="2180" spans="1:16" x14ac:dyDescent="0.4">
      <c r="A2180" t="s">
        <v>2221</v>
      </c>
      <c r="B2180">
        <v>25</v>
      </c>
      <c r="C2180" t="s">
        <v>41</v>
      </c>
      <c r="D2180" t="s">
        <v>16</v>
      </c>
      <c r="E2180">
        <v>5.88</v>
      </c>
      <c r="F2180">
        <v>0</v>
      </c>
      <c r="G2180" t="s">
        <v>23</v>
      </c>
      <c r="H2180" t="s">
        <v>24</v>
      </c>
      <c r="I2180" s="2">
        <v>8.99</v>
      </c>
      <c r="J2180">
        <v>0</v>
      </c>
      <c r="K2180" s="2">
        <f t="shared" si="68"/>
        <v>0</v>
      </c>
      <c r="L2180" t="s">
        <v>61</v>
      </c>
      <c r="M2180">
        <v>3</v>
      </c>
      <c r="N2180">
        <v>5.88</v>
      </c>
      <c r="O2180" t="str">
        <f t="shared" si="69"/>
        <v>1+ hours</v>
      </c>
      <c r="P2180" t="s">
        <v>30</v>
      </c>
    </row>
    <row r="2181" spans="1:16" x14ac:dyDescent="0.4">
      <c r="A2181" t="s">
        <v>2222</v>
      </c>
      <c r="B2181">
        <v>57</v>
      </c>
      <c r="C2181" t="s">
        <v>15</v>
      </c>
      <c r="D2181" t="s">
        <v>16</v>
      </c>
      <c r="E2181">
        <v>2.08</v>
      </c>
      <c r="F2181">
        <v>14</v>
      </c>
      <c r="G2181" t="s">
        <v>70</v>
      </c>
      <c r="H2181" t="s">
        <v>24</v>
      </c>
      <c r="I2181" s="2">
        <v>8.99</v>
      </c>
      <c r="J2181">
        <v>1</v>
      </c>
      <c r="K2181" s="2">
        <f t="shared" si="68"/>
        <v>8.99</v>
      </c>
      <c r="L2181" t="s">
        <v>61</v>
      </c>
      <c r="M2181">
        <v>5</v>
      </c>
      <c r="N2181">
        <v>0.14000000000000001</v>
      </c>
      <c r="O2181" t="str">
        <f t="shared" si="69"/>
        <v>0–0.2 hours</v>
      </c>
      <c r="P2181" t="s">
        <v>20</v>
      </c>
    </row>
    <row r="2182" spans="1:16" x14ac:dyDescent="0.4">
      <c r="A2182" t="s">
        <v>2223</v>
      </c>
      <c r="B2182">
        <v>18</v>
      </c>
      <c r="C2182" t="s">
        <v>41</v>
      </c>
      <c r="D2182" t="s">
        <v>32</v>
      </c>
      <c r="E2182">
        <v>28.08</v>
      </c>
      <c r="F2182">
        <v>11</v>
      </c>
      <c r="G2182" t="s">
        <v>33</v>
      </c>
      <c r="H2182" t="s">
        <v>46</v>
      </c>
      <c r="I2182" s="2">
        <v>17.989999999999998</v>
      </c>
      <c r="J2182">
        <v>0</v>
      </c>
      <c r="K2182" s="2">
        <f t="shared" si="68"/>
        <v>0</v>
      </c>
      <c r="L2182" t="s">
        <v>19</v>
      </c>
      <c r="M2182">
        <v>2</v>
      </c>
      <c r="N2182">
        <v>2.34</v>
      </c>
      <c r="O2182" t="str">
        <f t="shared" si="69"/>
        <v>1+ hours</v>
      </c>
      <c r="P2182" t="s">
        <v>39</v>
      </c>
    </row>
    <row r="2183" spans="1:16" x14ac:dyDescent="0.4">
      <c r="A2183" t="s">
        <v>2224</v>
      </c>
      <c r="B2183">
        <v>62</v>
      </c>
      <c r="C2183" t="s">
        <v>27</v>
      </c>
      <c r="D2183" t="s">
        <v>16</v>
      </c>
      <c r="E2183">
        <v>16.100000000000001</v>
      </c>
      <c r="F2183">
        <v>54</v>
      </c>
      <c r="G2183" t="s">
        <v>17</v>
      </c>
      <c r="H2183" t="s">
        <v>18</v>
      </c>
      <c r="I2183" s="2">
        <v>8.99</v>
      </c>
      <c r="J2183">
        <v>1</v>
      </c>
      <c r="K2183" s="2">
        <f t="shared" si="68"/>
        <v>8.99</v>
      </c>
      <c r="L2183" t="s">
        <v>43</v>
      </c>
      <c r="M2183">
        <v>2</v>
      </c>
      <c r="N2183">
        <v>0.28999999999999998</v>
      </c>
      <c r="O2183" t="str">
        <f t="shared" si="69"/>
        <v>0.2–0.4 hours</v>
      </c>
      <c r="P2183" t="s">
        <v>52</v>
      </c>
    </row>
    <row r="2184" spans="1:16" x14ac:dyDescent="0.4">
      <c r="A2184" t="s">
        <v>2225</v>
      </c>
      <c r="B2184">
        <v>57</v>
      </c>
      <c r="C2184" t="s">
        <v>27</v>
      </c>
      <c r="D2184" t="s">
        <v>22</v>
      </c>
      <c r="E2184">
        <v>15.02</v>
      </c>
      <c r="F2184">
        <v>5</v>
      </c>
      <c r="G2184" t="s">
        <v>49</v>
      </c>
      <c r="H2184" t="s">
        <v>57</v>
      </c>
      <c r="I2184" s="2">
        <v>13.99</v>
      </c>
      <c r="J2184">
        <v>0</v>
      </c>
      <c r="K2184" s="2">
        <f t="shared" si="68"/>
        <v>0</v>
      </c>
      <c r="L2184" t="s">
        <v>61</v>
      </c>
      <c r="M2184">
        <v>2</v>
      </c>
      <c r="N2184">
        <v>2.5</v>
      </c>
      <c r="O2184" t="str">
        <f t="shared" si="69"/>
        <v>1+ hours</v>
      </c>
      <c r="P2184" t="s">
        <v>30</v>
      </c>
    </row>
    <row r="2185" spans="1:16" x14ac:dyDescent="0.4">
      <c r="A2185" t="s">
        <v>2226</v>
      </c>
      <c r="B2185">
        <v>54</v>
      </c>
      <c r="C2185" t="s">
        <v>41</v>
      </c>
      <c r="D2185" t="s">
        <v>16</v>
      </c>
      <c r="E2185">
        <v>22.85</v>
      </c>
      <c r="F2185">
        <v>10</v>
      </c>
      <c r="G2185" t="s">
        <v>49</v>
      </c>
      <c r="H2185" t="s">
        <v>55</v>
      </c>
      <c r="I2185" s="2">
        <v>8.99</v>
      </c>
      <c r="J2185">
        <v>0</v>
      </c>
      <c r="K2185" s="2">
        <f t="shared" si="68"/>
        <v>0</v>
      </c>
      <c r="L2185" t="s">
        <v>29</v>
      </c>
      <c r="M2185">
        <v>5</v>
      </c>
      <c r="N2185">
        <v>2.08</v>
      </c>
      <c r="O2185" t="str">
        <f t="shared" si="69"/>
        <v>1+ hours</v>
      </c>
      <c r="P2185" t="s">
        <v>30</v>
      </c>
    </row>
    <row r="2186" spans="1:16" x14ac:dyDescent="0.4">
      <c r="A2186" t="s">
        <v>2227</v>
      </c>
      <c r="B2186">
        <v>38</v>
      </c>
      <c r="C2186" t="s">
        <v>15</v>
      </c>
      <c r="D2186" t="s">
        <v>16</v>
      </c>
      <c r="E2186">
        <v>6.49</v>
      </c>
      <c r="F2186">
        <v>34</v>
      </c>
      <c r="G2186" t="s">
        <v>70</v>
      </c>
      <c r="H2186" t="s">
        <v>18</v>
      </c>
      <c r="I2186" s="2">
        <v>8.99</v>
      </c>
      <c r="J2186">
        <v>1</v>
      </c>
      <c r="K2186" s="2">
        <f t="shared" si="68"/>
        <v>8.99</v>
      </c>
      <c r="L2186" t="s">
        <v>37</v>
      </c>
      <c r="M2186">
        <v>2</v>
      </c>
      <c r="N2186">
        <v>0.19</v>
      </c>
      <c r="O2186" t="str">
        <f t="shared" si="69"/>
        <v>0–0.2 hours</v>
      </c>
      <c r="P2186" t="s">
        <v>34</v>
      </c>
    </row>
    <row r="2187" spans="1:16" x14ac:dyDescent="0.4">
      <c r="A2187" t="s">
        <v>2228</v>
      </c>
      <c r="B2187">
        <v>68</v>
      </c>
      <c r="C2187" t="s">
        <v>41</v>
      </c>
      <c r="D2187" t="s">
        <v>16</v>
      </c>
      <c r="E2187">
        <v>19.16</v>
      </c>
      <c r="F2187">
        <v>24</v>
      </c>
      <c r="G2187" t="s">
        <v>70</v>
      </c>
      <c r="H2187" t="s">
        <v>18</v>
      </c>
      <c r="I2187" s="2">
        <v>8.99</v>
      </c>
      <c r="J2187">
        <v>0</v>
      </c>
      <c r="K2187" s="2">
        <f t="shared" si="68"/>
        <v>0</v>
      </c>
      <c r="L2187" t="s">
        <v>37</v>
      </c>
      <c r="M2187">
        <v>4</v>
      </c>
      <c r="N2187">
        <v>0.77</v>
      </c>
      <c r="O2187" t="str">
        <f t="shared" si="69"/>
        <v>0.6–0.8 hours</v>
      </c>
      <c r="P2187" t="s">
        <v>47</v>
      </c>
    </row>
    <row r="2188" spans="1:16" x14ac:dyDescent="0.4">
      <c r="A2188" t="s">
        <v>2229</v>
      </c>
      <c r="B2188">
        <v>36</v>
      </c>
      <c r="C2188" t="s">
        <v>27</v>
      </c>
      <c r="D2188" t="s">
        <v>32</v>
      </c>
      <c r="E2188">
        <v>14.18</v>
      </c>
      <c r="F2188">
        <v>6</v>
      </c>
      <c r="G2188" t="s">
        <v>33</v>
      </c>
      <c r="H2188" t="s">
        <v>57</v>
      </c>
      <c r="I2188" s="2">
        <v>17.989999999999998</v>
      </c>
      <c r="J2188">
        <v>0</v>
      </c>
      <c r="K2188" s="2">
        <f t="shared" si="68"/>
        <v>0</v>
      </c>
      <c r="L2188" t="s">
        <v>19</v>
      </c>
      <c r="M2188">
        <v>2</v>
      </c>
      <c r="N2188">
        <v>2.0299999999999998</v>
      </c>
      <c r="O2188" t="str">
        <f t="shared" si="69"/>
        <v>1+ hours</v>
      </c>
      <c r="P2188" t="s">
        <v>25</v>
      </c>
    </row>
    <row r="2189" spans="1:16" x14ac:dyDescent="0.4">
      <c r="A2189" t="s">
        <v>2230</v>
      </c>
      <c r="B2189">
        <v>38</v>
      </c>
      <c r="C2189" t="s">
        <v>41</v>
      </c>
      <c r="D2189" t="s">
        <v>16</v>
      </c>
      <c r="E2189">
        <v>8.32</v>
      </c>
      <c r="F2189">
        <v>22</v>
      </c>
      <c r="G2189" t="s">
        <v>28</v>
      </c>
      <c r="H2189" t="s">
        <v>46</v>
      </c>
      <c r="I2189" s="2">
        <v>8.99</v>
      </c>
      <c r="J2189">
        <v>1</v>
      </c>
      <c r="K2189" s="2">
        <f t="shared" si="68"/>
        <v>8.99</v>
      </c>
      <c r="L2189" t="s">
        <v>37</v>
      </c>
      <c r="M2189">
        <v>1</v>
      </c>
      <c r="N2189">
        <v>0.36</v>
      </c>
      <c r="O2189" t="str">
        <f t="shared" si="69"/>
        <v>0.2–0.4 hours</v>
      </c>
      <c r="P2189" t="s">
        <v>52</v>
      </c>
    </row>
    <row r="2190" spans="1:16" x14ac:dyDescent="0.4">
      <c r="A2190" t="s">
        <v>2231</v>
      </c>
      <c r="B2190">
        <v>40</v>
      </c>
      <c r="C2190" t="s">
        <v>15</v>
      </c>
      <c r="D2190" t="s">
        <v>32</v>
      </c>
      <c r="E2190">
        <v>9.64</v>
      </c>
      <c r="F2190">
        <v>34</v>
      </c>
      <c r="G2190" t="s">
        <v>70</v>
      </c>
      <c r="H2190" t="s">
        <v>57</v>
      </c>
      <c r="I2190" s="2">
        <v>17.989999999999998</v>
      </c>
      <c r="J2190">
        <v>1</v>
      </c>
      <c r="K2190" s="2">
        <f t="shared" si="68"/>
        <v>17.989999999999998</v>
      </c>
      <c r="L2190" t="s">
        <v>61</v>
      </c>
      <c r="M2190">
        <v>1</v>
      </c>
      <c r="N2190">
        <v>0.28000000000000003</v>
      </c>
      <c r="O2190" t="str">
        <f t="shared" si="69"/>
        <v>0.2–0.4 hours</v>
      </c>
      <c r="P2190" t="s">
        <v>20</v>
      </c>
    </row>
    <row r="2191" spans="1:16" x14ac:dyDescent="0.4">
      <c r="A2191" t="s">
        <v>2232</v>
      </c>
      <c r="B2191">
        <v>54</v>
      </c>
      <c r="C2191" t="s">
        <v>15</v>
      </c>
      <c r="D2191" t="s">
        <v>22</v>
      </c>
      <c r="E2191">
        <v>3.22</v>
      </c>
      <c r="F2191">
        <v>12</v>
      </c>
      <c r="G2191" t="s">
        <v>17</v>
      </c>
      <c r="H2191" t="s">
        <v>46</v>
      </c>
      <c r="I2191" s="2">
        <v>13.99</v>
      </c>
      <c r="J2191">
        <v>1</v>
      </c>
      <c r="K2191" s="2">
        <f t="shared" si="68"/>
        <v>13.99</v>
      </c>
      <c r="L2191" t="s">
        <v>61</v>
      </c>
      <c r="M2191">
        <v>1</v>
      </c>
      <c r="N2191">
        <v>0.25</v>
      </c>
      <c r="O2191" t="str">
        <f t="shared" si="69"/>
        <v>0.2–0.4 hours</v>
      </c>
      <c r="P2191" t="s">
        <v>30</v>
      </c>
    </row>
    <row r="2192" spans="1:16" x14ac:dyDescent="0.4">
      <c r="A2192" t="s">
        <v>2233</v>
      </c>
      <c r="B2192">
        <v>59</v>
      </c>
      <c r="C2192" t="s">
        <v>41</v>
      </c>
      <c r="D2192" t="s">
        <v>16</v>
      </c>
      <c r="E2192">
        <v>14.96</v>
      </c>
      <c r="F2192">
        <v>8</v>
      </c>
      <c r="G2192" t="s">
        <v>28</v>
      </c>
      <c r="H2192" t="s">
        <v>46</v>
      </c>
      <c r="I2192" s="2">
        <v>8.99</v>
      </c>
      <c r="J2192">
        <v>0</v>
      </c>
      <c r="K2192" s="2">
        <f t="shared" si="68"/>
        <v>0</v>
      </c>
      <c r="L2192" t="s">
        <v>61</v>
      </c>
      <c r="M2192">
        <v>2</v>
      </c>
      <c r="N2192">
        <v>1.66</v>
      </c>
      <c r="O2192" t="str">
        <f t="shared" si="69"/>
        <v>1+ hours</v>
      </c>
      <c r="P2192" t="s">
        <v>39</v>
      </c>
    </row>
    <row r="2193" spans="1:16" x14ac:dyDescent="0.4">
      <c r="A2193" t="s">
        <v>2234</v>
      </c>
      <c r="B2193">
        <v>46</v>
      </c>
      <c r="C2193" t="s">
        <v>15</v>
      </c>
      <c r="D2193" t="s">
        <v>16</v>
      </c>
      <c r="E2193">
        <v>6.99</v>
      </c>
      <c r="F2193">
        <v>34</v>
      </c>
      <c r="G2193" t="s">
        <v>28</v>
      </c>
      <c r="H2193" t="s">
        <v>46</v>
      </c>
      <c r="I2193" s="2">
        <v>8.99</v>
      </c>
      <c r="J2193">
        <v>1</v>
      </c>
      <c r="K2193" s="2">
        <f t="shared" si="68"/>
        <v>8.99</v>
      </c>
      <c r="L2193" t="s">
        <v>29</v>
      </c>
      <c r="M2193">
        <v>2</v>
      </c>
      <c r="N2193">
        <v>0.2</v>
      </c>
      <c r="O2193" t="str">
        <f t="shared" si="69"/>
        <v>0–0.2 hours</v>
      </c>
      <c r="P2193" t="s">
        <v>34</v>
      </c>
    </row>
    <row r="2194" spans="1:16" x14ac:dyDescent="0.4">
      <c r="A2194" t="s">
        <v>2235</v>
      </c>
      <c r="B2194">
        <v>65</v>
      </c>
      <c r="C2194" t="s">
        <v>41</v>
      </c>
      <c r="D2194" t="s">
        <v>32</v>
      </c>
      <c r="E2194">
        <v>13.83</v>
      </c>
      <c r="F2194">
        <v>9</v>
      </c>
      <c r="G2194" t="s">
        <v>49</v>
      </c>
      <c r="H2194" t="s">
        <v>57</v>
      </c>
      <c r="I2194" s="2">
        <v>17.989999999999998</v>
      </c>
      <c r="J2194">
        <v>0</v>
      </c>
      <c r="K2194" s="2">
        <f t="shared" si="68"/>
        <v>0</v>
      </c>
      <c r="L2194" t="s">
        <v>61</v>
      </c>
      <c r="M2194">
        <v>3</v>
      </c>
      <c r="N2194">
        <v>1.38</v>
      </c>
      <c r="O2194" t="str">
        <f t="shared" si="69"/>
        <v>1+ hours</v>
      </c>
      <c r="P2194" t="s">
        <v>52</v>
      </c>
    </row>
    <row r="2195" spans="1:16" x14ac:dyDescent="0.4">
      <c r="A2195" t="s">
        <v>2236</v>
      </c>
      <c r="B2195">
        <v>35</v>
      </c>
      <c r="C2195" t="s">
        <v>27</v>
      </c>
      <c r="D2195" t="s">
        <v>22</v>
      </c>
      <c r="E2195">
        <v>13.03</v>
      </c>
      <c r="F2195">
        <v>0</v>
      </c>
      <c r="G2195" t="s">
        <v>17</v>
      </c>
      <c r="H2195" t="s">
        <v>55</v>
      </c>
      <c r="I2195" s="2">
        <v>13.99</v>
      </c>
      <c r="J2195">
        <v>0</v>
      </c>
      <c r="K2195" s="2">
        <f t="shared" si="68"/>
        <v>0</v>
      </c>
      <c r="L2195" t="s">
        <v>43</v>
      </c>
      <c r="M2195">
        <v>5</v>
      </c>
      <c r="N2195">
        <v>13.03</v>
      </c>
      <c r="O2195" t="str">
        <f t="shared" si="69"/>
        <v>1+ hours</v>
      </c>
      <c r="P2195" t="s">
        <v>25</v>
      </c>
    </row>
    <row r="2196" spans="1:16" x14ac:dyDescent="0.4">
      <c r="A2196" t="s">
        <v>2237</v>
      </c>
      <c r="B2196">
        <v>22</v>
      </c>
      <c r="C2196" t="s">
        <v>15</v>
      </c>
      <c r="D2196" t="s">
        <v>22</v>
      </c>
      <c r="E2196">
        <v>5.32</v>
      </c>
      <c r="F2196">
        <v>16</v>
      </c>
      <c r="G2196" t="s">
        <v>28</v>
      </c>
      <c r="H2196" t="s">
        <v>46</v>
      </c>
      <c r="I2196" s="2">
        <v>13.99</v>
      </c>
      <c r="J2196">
        <v>0</v>
      </c>
      <c r="K2196" s="2">
        <f t="shared" si="68"/>
        <v>0</v>
      </c>
      <c r="L2196" t="s">
        <v>61</v>
      </c>
      <c r="M2196">
        <v>3</v>
      </c>
      <c r="N2196">
        <v>0.31</v>
      </c>
      <c r="O2196" t="str">
        <f t="shared" si="69"/>
        <v>0.2–0.4 hours</v>
      </c>
      <c r="P2196" t="s">
        <v>47</v>
      </c>
    </row>
    <row r="2197" spans="1:16" x14ac:dyDescent="0.4">
      <c r="A2197" t="s">
        <v>2238</v>
      </c>
      <c r="B2197">
        <v>53</v>
      </c>
      <c r="C2197" t="s">
        <v>27</v>
      </c>
      <c r="D2197" t="s">
        <v>16</v>
      </c>
      <c r="E2197">
        <v>20.16</v>
      </c>
      <c r="F2197">
        <v>1</v>
      </c>
      <c r="G2197" t="s">
        <v>70</v>
      </c>
      <c r="H2197" t="s">
        <v>57</v>
      </c>
      <c r="I2197" s="2">
        <v>8.99</v>
      </c>
      <c r="J2197">
        <v>0</v>
      </c>
      <c r="K2197" s="2">
        <f t="shared" si="68"/>
        <v>0</v>
      </c>
      <c r="L2197" t="s">
        <v>37</v>
      </c>
      <c r="M2197">
        <v>5</v>
      </c>
      <c r="N2197">
        <v>10.08</v>
      </c>
      <c r="O2197" t="str">
        <f t="shared" si="69"/>
        <v>1+ hours</v>
      </c>
      <c r="P2197" t="s">
        <v>52</v>
      </c>
    </row>
    <row r="2198" spans="1:16" x14ac:dyDescent="0.4">
      <c r="A2198" t="s">
        <v>2239</v>
      </c>
      <c r="B2198">
        <v>18</v>
      </c>
      <c r="C2198" t="s">
        <v>15</v>
      </c>
      <c r="D2198" t="s">
        <v>32</v>
      </c>
      <c r="E2198">
        <v>25.3</v>
      </c>
      <c r="F2198">
        <v>51</v>
      </c>
      <c r="G2198" t="s">
        <v>70</v>
      </c>
      <c r="H2198" t="s">
        <v>18</v>
      </c>
      <c r="I2198" s="2">
        <v>17.989999999999998</v>
      </c>
      <c r="J2198">
        <v>0</v>
      </c>
      <c r="K2198" s="2">
        <f t="shared" si="68"/>
        <v>0</v>
      </c>
      <c r="L2198" t="s">
        <v>29</v>
      </c>
      <c r="M2198">
        <v>3</v>
      </c>
      <c r="N2198">
        <v>0.49</v>
      </c>
      <c r="O2198" t="str">
        <f t="shared" si="69"/>
        <v>0.4–0.6 hours</v>
      </c>
      <c r="P2198" t="s">
        <v>34</v>
      </c>
    </row>
    <row r="2199" spans="1:16" x14ac:dyDescent="0.4">
      <c r="A2199" t="s">
        <v>2240</v>
      </c>
      <c r="B2199">
        <v>22</v>
      </c>
      <c r="C2199" t="s">
        <v>27</v>
      </c>
      <c r="D2199" t="s">
        <v>16</v>
      </c>
      <c r="E2199">
        <v>16.66</v>
      </c>
      <c r="F2199">
        <v>18</v>
      </c>
      <c r="G2199" t="s">
        <v>49</v>
      </c>
      <c r="H2199" t="s">
        <v>24</v>
      </c>
      <c r="I2199" s="2">
        <v>8.99</v>
      </c>
      <c r="J2199">
        <v>0</v>
      </c>
      <c r="K2199" s="2">
        <f t="shared" si="68"/>
        <v>0</v>
      </c>
      <c r="L2199" t="s">
        <v>43</v>
      </c>
      <c r="M2199">
        <v>1</v>
      </c>
      <c r="N2199">
        <v>0.88</v>
      </c>
      <c r="O2199" t="str">
        <f t="shared" si="69"/>
        <v>0.8–1 hour</v>
      </c>
      <c r="P2199" t="s">
        <v>47</v>
      </c>
    </row>
    <row r="2200" spans="1:16" x14ac:dyDescent="0.4">
      <c r="A2200" t="s">
        <v>2241</v>
      </c>
      <c r="B2200">
        <v>18</v>
      </c>
      <c r="C2200" t="s">
        <v>41</v>
      </c>
      <c r="D2200" t="s">
        <v>22</v>
      </c>
      <c r="E2200">
        <v>1.68</v>
      </c>
      <c r="F2200">
        <v>19</v>
      </c>
      <c r="G2200" t="s">
        <v>49</v>
      </c>
      <c r="H2200" t="s">
        <v>46</v>
      </c>
      <c r="I2200" s="2">
        <v>13.99</v>
      </c>
      <c r="J2200">
        <v>1</v>
      </c>
      <c r="K2200" s="2">
        <f t="shared" si="68"/>
        <v>13.99</v>
      </c>
      <c r="L2200" t="s">
        <v>29</v>
      </c>
      <c r="M2200">
        <v>4</v>
      </c>
      <c r="N2200">
        <v>0.08</v>
      </c>
      <c r="O2200" t="str">
        <f t="shared" si="69"/>
        <v>0–0.2 hours</v>
      </c>
      <c r="P2200" t="s">
        <v>25</v>
      </c>
    </row>
    <row r="2201" spans="1:16" x14ac:dyDescent="0.4">
      <c r="A2201" t="s">
        <v>2242</v>
      </c>
      <c r="B2201">
        <v>53</v>
      </c>
      <c r="C2201" t="s">
        <v>15</v>
      </c>
      <c r="D2201" t="s">
        <v>16</v>
      </c>
      <c r="E2201">
        <v>8.33</v>
      </c>
      <c r="F2201">
        <v>4</v>
      </c>
      <c r="G2201" t="s">
        <v>28</v>
      </c>
      <c r="H2201" t="s">
        <v>57</v>
      </c>
      <c r="I2201" s="2">
        <v>8.99</v>
      </c>
      <c r="J2201">
        <v>0</v>
      </c>
      <c r="K2201" s="2">
        <f t="shared" si="68"/>
        <v>0</v>
      </c>
      <c r="L2201" t="s">
        <v>29</v>
      </c>
      <c r="M2201">
        <v>2</v>
      </c>
      <c r="N2201">
        <v>1.67</v>
      </c>
      <c r="O2201" t="str">
        <f t="shared" si="69"/>
        <v>1+ hours</v>
      </c>
      <c r="P2201" t="s">
        <v>39</v>
      </c>
    </row>
    <row r="2202" spans="1:16" x14ac:dyDescent="0.4">
      <c r="A2202" t="s">
        <v>2243</v>
      </c>
      <c r="B2202">
        <v>47</v>
      </c>
      <c r="C2202" t="s">
        <v>27</v>
      </c>
      <c r="D2202" t="s">
        <v>32</v>
      </c>
      <c r="E2202">
        <v>3.51</v>
      </c>
      <c r="F2202">
        <v>50</v>
      </c>
      <c r="G2202" t="s">
        <v>33</v>
      </c>
      <c r="H2202" t="s">
        <v>24</v>
      </c>
      <c r="I2202" s="2">
        <v>17.989999999999998</v>
      </c>
      <c r="J2202">
        <v>1</v>
      </c>
      <c r="K2202" s="2">
        <f t="shared" si="68"/>
        <v>17.989999999999998</v>
      </c>
      <c r="L2202" t="s">
        <v>29</v>
      </c>
      <c r="M2202">
        <v>1</v>
      </c>
      <c r="N2202">
        <v>7.0000000000000007E-2</v>
      </c>
      <c r="O2202" t="str">
        <f t="shared" si="69"/>
        <v>0–0.2 hours</v>
      </c>
      <c r="P2202" t="s">
        <v>39</v>
      </c>
    </row>
    <row r="2203" spans="1:16" x14ac:dyDescent="0.4">
      <c r="A2203" t="s">
        <v>2244</v>
      </c>
      <c r="B2203">
        <v>69</v>
      </c>
      <c r="C2203" t="s">
        <v>27</v>
      </c>
      <c r="D2203" t="s">
        <v>16</v>
      </c>
      <c r="E2203">
        <v>6.16</v>
      </c>
      <c r="F2203">
        <v>1</v>
      </c>
      <c r="G2203" t="s">
        <v>49</v>
      </c>
      <c r="H2203" t="s">
        <v>57</v>
      </c>
      <c r="I2203" s="2">
        <v>8.99</v>
      </c>
      <c r="J2203">
        <v>0</v>
      </c>
      <c r="K2203" s="2">
        <f t="shared" si="68"/>
        <v>0</v>
      </c>
      <c r="L2203" t="s">
        <v>29</v>
      </c>
      <c r="M2203">
        <v>1</v>
      </c>
      <c r="N2203">
        <v>3.08</v>
      </c>
      <c r="O2203" t="str">
        <f t="shared" si="69"/>
        <v>1+ hours</v>
      </c>
      <c r="P2203" t="s">
        <v>34</v>
      </c>
    </row>
    <row r="2204" spans="1:16" x14ac:dyDescent="0.4">
      <c r="A2204" t="s">
        <v>2245</v>
      </c>
      <c r="B2204">
        <v>42</v>
      </c>
      <c r="C2204" t="s">
        <v>27</v>
      </c>
      <c r="D2204" t="s">
        <v>22</v>
      </c>
      <c r="E2204">
        <v>13.17</v>
      </c>
      <c r="F2204">
        <v>50</v>
      </c>
      <c r="G2204" t="s">
        <v>17</v>
      </c>
      <c r="H2204" t="s">
        <v>24</v>
      </c>
      <c r="I2204" s="2">
        <v>13.99</v>
      </c>
      <c r="J2204">
        <v>0</v>
      </c>
      <c r="K2204" s="2">
        <f t="shared" si="68"/>
        <v>0</v>
      </c>
      <c r="L2204" t="s">
        <v>43</v>
      </c>
      <c r="M2204">
        <v>4</v>
      </c>
      <c r="N2204">
        <v>0.26</v>
      </c>
      <c r="O2204" t="str">
        <f t="shared" si="69"/>
        <v>0.2–0.4 hours</v>
      </c>
      <c r="P2204" t="s">
        <v>52</v>
      </c>
    </row>
    <row r="2205" spans="1:16" x14ac:dyDescent="0.4">
      <c r="A2205" t="s">
        <v>2246</v>
      </c>
      <c r="B2205">
        <v>41</v>
      </c>
      <c r="C2205" t="s">
        <v>15</v>
      </c>
      <c r="D2205" t="s">
        <v>32</v>
      </c>
      <c r="E2205">
        <v>1.65</v>
      </c>
      <c r="F2205">
        <v>9</v>
      </c>
      <c r="G2205" t="s">
        <v>23</v>
      </c>
      <c r="H2205" t="s">
        <v>57</v>
      </c>
      <c r="I2205" s="2">
        <v>17.989999999999998</v>
      </c>
      <c r="J2205">
        <v>1</v>
      </c>
      <c r="K2205" s="2">
        <f t="shared" si="68"/>
        <v>17.989999999999998</v>
      </c>
      <c r="L2205" t="s">
        <v>43</v>
      </c>
      <c r="M2205">
        <v>2</v>
      </c>
      <c r="N2205">
        <v>0.16</v>
      </c>
      <c r="O2205" t="str">
        <f t="shared" si="69"/>
        <v>0–0.2 hours</v>
      </c>
      <c r="P2205" t="s">
        <v>47</v>
      </c>
    </row>
    <row r="2206" spans="1:16" x14ac:dyDescent="0.4">
      <c r="A2206" t="s">
        <v>2247</v>
      </c>
      <c r="B2206">
        <v>19</v>
      </c>
      <c r="C2206" t="s">
        <v>41</v>
      </c>
      <c r="D2206" t="s">
        <v>32</v>
      </c>
      <c r="E2206">
        <v>0.17</v>
      </c>
      <c r="F2206">
        <v>9</v>
      </c>
      <c r="G2206" t="s">
        <v>49</v>
      </c>
      <c r="H2206" t="s">
        <v>55</v>
      </c>
      <c r="I2206" s="2">
        <v>17.989999999999998</v>
      </c>
      <c r="J2206">
        <v>0</v>
      </c>
      <c r="K2206" s="2">
        <f t="shared" si="68"/>
        <v>0</v>
      </c>
      <c r="L2206" t="s">
        <v>37</v>
      </c>
      <c r="M2206">
        <v>4</v>
      </c>
      <c r="N2206">
        <v>0.02</v>
      </c>
      <c r="O2206" t="str">
        <f t="shared" si="69"/>
        <v>0–0.2 hours</v>
      </c>
      <c r="P2206" t="s">
        <v>34</v>
      </c>
    </row>
    <row r="2207" spans="1:16" x14ac:dyDescent="0.4">
      <c r="A2207" t="s">
        <v>2248</v>
      </c>
      <c r="B2207">
        <v>45</v>
      </c>
      <c r="C2207" t="s">
        <v>15</v>
      </c>
      <c r="D2207" t="s">
        <v>16</v>
      </c>
      <c r="E2207">
        <v>11.74</v>
      </c>
      <c r="F2207">
        <v>17</v>
      </c>
      <c r="G2207" t="s">
        <v>33</v>
      </c>
      <c r="H2207" t="s">
        <v>57</v>
      </c>
      <c r="I2207" s="2">
        <v>8.99</v>
      </c>
      <c r="J2207">
        <v>0</v>
      </c>
      <c r="K2207" s="2">
        <f t="shared" si="68"/>
        <v>0</v>
      </c>
      <c r="L2207" t="s">
        <v>37</v>
      </c>
      <c r="M2207">
        <v>4</v>
      </c>
      <c r="N2207">
        <v>0.65</v>
      </c>
      <c r="O2207" t="str">
        <f t="shared" si="69"/>
        <v>0.6–0.8 hours</v>
      </c>
      <c r="P2207" t="s">
        <v>52</v>
      </c>
    </row>
    <row r="2208" spans="1:16" x14ac:dyDescent="0.4">
      <c r="A2208" t="s">
        <v>2249</v>
      </c>
      <c r="B2208">
        <v>41</v>
      </c>
      <c r="C2208" t="s">
        <v>27</v>
      </c>
      <c r="D2208" t="s">
        <v>32</v>
      </c>
      <c r="E2208">
        <v>13.2</v>
      </c>
      <c r="F2208">
        <v>29</v>
      </c>
      <c r="G2208" t="s">
        <v>17</v>
      </c>
      <c r="H2208" t="s">
        <v>46</v>
      </c>
      <c r="I2208" s="2">
        <v>17.989999999999998</v>
      </c>
      <c r="J2208">
        <v>0</v>
      </c>
      <c r="K2208" s="2">
        <f t="shared" si="68"/>
        <v>0</v>
      </c>
      <c r="L2208" t="s">
        <v>29</v>
      </c>
      <c r="M2208">
        <v>3</v>
      </c>
      <c r="N2208">
        <v>0.44</v>
      </c>
      <c r="O2208" t="str">
        <f t="shared" si="69"/>
        <v>0.4–0.6 hours</v>
      </c>
      <c r="P2208" t="s">
        <v>34</v>
      </c>
    </row>
    <row r="2209" spans="1:16" x14ac:dyDescent="0.4">
      <c r="A2209" t="s">
        <v>2250</v>
      </c>
      <c r="B2209">
        <v>25</v>
      </c>
      <c r="C2209" t="s">
        <v>27</v>
      </c>
      <c r="D2209" t="s">
        <v>32</v>
      </c>
      <c r="E2209">
        <v>36.4</v>
      </c>
      <c r="F2209">
        <v>28</v>
      </c>
      <c r="G2209" t="s">
        <v>23</v>
      </c>
      <c r="H2209" t="s">
        <v>24</v>
      </c>
      <c r="I2209" s="2">
        <v>17.989999999999998</v>
      </c>
      <c r="J2209">
        <v>0</v>
      </c>
      <c r="K2209" s="2">
        <f t="shared" si="68"/>
        <v>0</v>
      </c>
      <c r="L2209" t="s">
        <v>29</v>
      </c>
      <c r="M2209">
        <v>5</v>
      </c>
      <c r="N2209">
        <v>1.26</v>
      </c>
      <c r="O2209" t="str">
        <f t="shared" si="69"/>
        <v>1+ hours</v>
      </c>
      <c r="P2209" t="s">
        <v>30</v>
      </c>
    </row>
    <row r="2210" spans="1:16" x14ac:dyDescent="0.4">
      <c r="A2210" t="s">
        <v>2251</v>
      </c>
      <c r="B2210">
        <v>23</v>
      </c>
      <c r="C2210" t="s">
        <v>27</v>
      </c>
      <c r="D2210" t="s">
        <v>22</v>
      </c>
      <c r="E2210">
        <v>51.87</v>
      </c>
      <c r="F2210">
        <v>25</v>
      </c>
      <c r="G2210" t="s">
        <v>28</v>
      </c>
      <c r="H2210" t="s">
        <v>55</v>
      </c>
      <c r="I2210" s="2">
        <v>13.99</v>
      </c>
      <c r="J2210">
        <v>0</v>
      </c>
      <c r="K2210" s="2">
        <f t="shared" si="68"/>
        <v>0</v>
      </c>
      <c r="L2210" t="s">
        <v>29</v>
      </c>
      <c r="M2210">
        <v>2</v>
      </c>
      <c r="N2210">
        <v>1.99</v>
      </c>
      <c r="O2210" t="str">
        <f t="shared" si="69"/>
        <v>1+ hours</v>
      </c>
      <c r="P2210" t="s">
        <v>20</v>
      </c>
    </row>
    <row r="2211" spans="1:16" x14ac:dyDescent="0.4">
      <c r="A2211" t="s">
        <v>2252</v>
      </c>
      <c r="B2211">
        <v>21</v>
      </c>
      <c r="C2211" t="s">
        <v>27</v>
      </c>
      <c r="D2211" t="s">
        <v>22</v>
      </c>
      <c r="E2211">
        <v>14.17</v>
      </c>
      <c r="F2211">
        <v>60</v>
      </c>
      <c r="G2211" t="s">
        <v>70</v>
      </c>
      <c r="H2211" t="s">
        <v>18</v>
      </c>
      <c r="I2211" s="2">
        <v>13.99</v>
      </c>
      <c r="J2211">
        <v>1</v>
      </c>
      <c r="K2211" s="2">
        <f t="shared" si="68"/>
        <v>13.99</v>
      </c>
      <c r="L2211" t="s">
        <v>19</v>
      </c>
      <c r="M2211">
        <v>5</v>
      </c>
      <c r="N2211">
        <v>0.23</v>
      </c>
      <c r="O2211" t="str">
        <f t="shared" si="69"/>
        <v>0.2–0.4 hours</v>
      </c>
      <c r="P2211" t="s">
        <v>52</v>
      </c>
    </row>
    <row r="2212" spans="1:16" x14ac:dyDescent="0.4">
      <c r="A2212" t="s">
        <v>2253</v>
      </c>
      <c r="B2212">
        <v>29</v>
      </c>
      <c r="C2212" t="s">
        <v>27</v>
      </c>
      <c r="D2212" t="s">
        <v>16</v>
      </c>
      <c r="E2212">
        <v>0.39</v>
      </c>
      <c r="F2212">
        <v>45</v>
      </c>
      <c r="G2212" t="s">
        <v>17</v>
      </c>
      <c r="H2212" t="s">
        <v>18</v>
      </c>
      <c r="I2212" s="2">
        <v>8.99</v>
      </c>
      <c r="J2212">
        <v>1</v>
      </c>
      <c r="K2212" s="2">
        <f t="shared" si="68"/>
        <v>8.99</v>
      </c>
      <c r="L2212" t="s">
        <v>37</v>
      </c>
      <c r="M2212">
        <v>5</v>
      </c>
      <c r="N2212">
        <v>0.01</v>
      </c>
      <c r="O2212" t="str">
        <f t="shared" si="69"/>
        <v>0–0.2 hours</v>
      </c>
      <c r="P2212" t="s">
        <v>47</v>
      </c>
    </row>
    <row r="2213" spans="1:16" x14ac:dyDescent="0.4">
      <c r="A2213" t="s">
        <v>2254</v>
      </c>
      <c r="B2213">
        <v>34</v>
      </c>
      <c r="C2213" t="s">
        <v>27</v>
      </c>
      <c r="D2213" t="s">
        <v>22</v>
      </c>
      <c r="E2213">
        <v>5.67</v>
      </c>
      <c r="F2213">
        <v>20</v>
      </c>
      <c r="G2213" t="s">
        <v>49</v>
      </c>
      <c r="H2213" t="s">
        <v>24</v>
      </c>
      <c r="I2213" s="2">
        <v>13.99</v>
      </c>
      <c r="J2213">
        <v>0</v>
      </c>
      <c r="K2213" s="2">
        <f t="shared" si="68"/>
        <v>0</v>
      </c>
      <c r="L2213" t="s">
        <v>29</v>
      </c>
      <c r="M2213">
        <v>4</v>
      </c>
      <c r="N2213">
        <v>0.27</v>
      </c>
      <c r="O2213" t="str">
        <f t="shared" si="69"/>
        <v>0.2–0.4 hours</v>
      </c>
      <c r="P2213" t="s">
        <v>25</v>
      </c>
    </row>
    <row r="2214" spans="1:16" x14ac:dyDescent="0.4">
      <c r="A2214" t="s">
        <v>2255</v>
      </c>
      <c r="B2214">
        <v>36</v>
      </c>
      <c r="C2214" t="s">
        <v>15</v>
      </c>
      <c r="D2214" t="s">
        <v>22</v>
      </c>
      <c r="E2214">
        <v>14.25</v>
      </c>
      <c r="F2214">
        <v>22</v>
      </c>
      <c r="G2214" t="s">
        <v>33</v>
      </c>
      <c r="H2214" t="s">
        <v>24</v>
      </c>
      <c r="I2214" s="2">
        <v>13.99</v>
      </c>
      <c r="J2214">
        <v>0</v>
      </c>
      <c r="K2214" s="2">
        <f t="shared" si="68"/>
        <v>0</v>
      </c>
      <c r="L2214" t="s">
        <v>43</v>
      </c>
      <c r="M2214">
        <v>5</v>
      </c>
      <c r="N2214">
        <v>0.62</v>
      </c>
      <c r="O2214" t="str">
        <f t="shared" si="69"/>
        <v>0.6–0.8 hours</v>
      </c>
      <c r="P2214" t="s">
        <v>34</v>
      </c>
    </row>
    <row r="2215" spans="1:16" x14ac:dyDescent="0.4">
      <c r="A2215" t="s">
        <v>2256</v>
      </c>
      <c r="B2215">
        <v>35</v>
      </c>
      <c r="C2215" t="s">
        <v>15</v>
      </c>
      <c r="D2215" t="s">
        <v>32</v>
      </c>
      <c r="E2215">
        <v>28.04</v>
      </c>
      <c r="F2215">
        <v>59</v>
      </c>
      <c r="G2215" t="s">
        <v>33</v>
      </c>
      <c r="H2215" t="s">
        <v>24</v>
      </c>
      <c r="I2215" s="2">
        <v>17.989999999999998</v>
      </c>
      <c r="J2215">
        <v>0</v>
      </c>
      <c r="K2215" s="2">
        <f t="shared" si="68"/>
        <v>0</v>
      </c>
      <c r="L2215" t="s">
        <v>29</v>
      </c>
      <c r="M2215">
        <v>2</v>
      </c>
      <c r="N2215">
        <v>0.47</v>
      </c>
      <c r="O2215" t="str">
        <f t="shared" si="69"/>
        <v>0.4–0.6 hours</v>
      </c>
      <c r="P2215" t="s">
        <v>34</v>
      </c>
    </row>
    <row r="2216" spans="1:16" x14ac:dyDescent="0.4">
      <c r="A2216" t="s">
        <v>2257</v>
      </c>
      <c r="B2216">
        <v>31</v>
      </c>
      <c r="C2216" t="s">
        <v>41</v>
      </c>
      <c r="D2216" t="s">
        <v>22</v>
      </c>
      <c r="E2216">
        <v>6.11</v>
      </c>
      <c r="F2216">
        <v>17</v>
      </c>
      <c r="G2216" t="s">
        <v>23</v>
      </c>
      <c r="H2216" t="s">
        <v>24</v>
      </c>
      <c r="I2216" s="2">
        <v>13.99</v>
      </c>
      <c r="J2216">
        <v>0</v>
      </c>
      <c r="K2216" s="2">
        <f t="shared" si="68"/>
        <v>0</v>
      </c>
      <c r="L2216" t="s">
        <v>61</v>
      </c>
      <c r="M2216">
        <v>5</v>
      </c>
      <c r="N2216">
        <v>0.34</v>
      </c>
      <c r="O2216" t="str">
        <f t="shared" si="69"/>
        <v>0.2–0.4 hours</v>
      </c>
      <c r="P2216" t="s">
        <v>25</v>
      </c>
    </row>
    <row r="2217" spans="1:16" x14ac:dyDescent="0.4">
      <c r="A2217" t="s">
        <v>2258</v>
      </c>
      <c r="B2217">
        <v>57</v>
      </c>
      <c r="C2217" t="s">
        <v>41</v>
      </c>
      <c r="D2217" t="s">
        <v>32</v>
      </c>
      <c r="E2217">
        <v>6.13</v>
      </c>
      <c r="F2217">
        <v>3</v>
      </c>
      <c r="G2217" t="s">
        <v>28</v>
      </c>
      <c r="H2217" t="s">
        <v>55</v>
      </c>
      <c r="I2217" s="2">
        <v>17.989999999999998</v>
      </c>
      <c r="J2217">
        <v>0</v>
      </c>
      <c r="K2217" s="2">
        <f t="shared" si="68"/>
        <v>0</v>
      </c>
      <c r="L2217" t="s">
        <v>43</v>
      </c>
      <c r="M2217">
        <v>3</v>
      </c>
      <c r="N2217">
        <v>1.53</v>
      </c>
      <c r="O2217" t="str">
        <f t="shared" si="69"/>
        <v>1+ hours</v>
      </c>
      <c r="P2217" t="s">
        <v>25</v>
      </c>
    </row>
    <row r="2218" spans="1:16" x14ac:dyDescent="0.4">
      <c r="A2218" t="s">
        <v>2259</v>
      </c>
      <c r="B2218">
        <v>46</v>
      </c>
      <c r="C2218" t="s">
        <v>15</v>
      </c>
      <c r="D2218" t="s">
        <v>16</v>
      </c>
      <c r="E2218">
        <v>3.39</v>
      </c>
      <c r="F2218">
        <v>5</v>
      </c>
      <c r="G2218" t="s">
        <v>70</v>
      </c>
      <c r="H2218" t="s">
        <v>57</v>
      </c>
      <c r="I2218" s="2">
        <v>8.99</v>
      </c>
      <c r="J2218">
        <v>0</v>
      </c>
      <c r="K2218" s="2">
        <f t="shared" si="68"/>
        <v>0</v>
      </c>
      <c r="L2218" t="s">
        <v>37</v>
      </c>
      <c r="M2218">
        <v>4</v>
      </c>
      <c r="N2218">
        <v>0.56999999999999995</v>
      </c>
      <c r="O2218" t="str">
        <f t="shared" si="69"/>
        <v>0.4–0.6 hours</v>
      </c>
      <c r="P2218" t="s">
        <v>34</v>
      </c>
    </row>
    <row r="2219" spans="1:16" x14ac:dyDescent="0.4">
      <c r="A2219" t="s">
        <v>2260</v>
      </c>
      <c r="B2219">
        <v>26</v>
      </c>
      <c r="C2219" t="s">
        <v>27</v>
      </c>
      <c r="D2219" t="s">
        <v>22</v>
      </c>
      <c r="E2219">
        <v>5.67</v>
      </c>
      <c r="F2219">
        <v>36</v>
      </c>
      <c r="G2219" t="s">
        <v>49</v>
      </c>
      <c r="H2219" t="s">
        <v>18</v>
      </c>
      <c r="I2219" s="2">
        <v>13.99</v>
      </c>
      <c r="J2219">
        <v>0</v>
      </c>
      <c r="K2219" s="2">
        <f t="shared" si="68"/>
        <v>0</v>
      </c>
      <c r="L2219" t="s">
        <v>43</v>
      </c>
      <c r="M2219">
        <v>5</v>
      </c>
      <c r="N2219">
        <v>0.15</v>
      </c>
      <c r="O2219" t="str">
        <f t="shared" si="69"/>
        <v>0–0.2 hours</v>
      </c>
      <c r="P2219" t="s">
        <v>25</v>
      </c>
    </row>
    <row r="2220" spans="1:16" x14ac:dyDescent="0.4">
      <c r="A2220" t="s">
        <v>2261</v>
      </c>
      <c r="B2220">
        <v>30</v>
      </c>
      <c r="C2220" t="s">
        <v>15</v>
      </c>
      <c r="D2220" t="s">
        <v>16</v>
      </c>
      <c r="E2220">
        <v>0.28000000000000003</v>
      </c>
      <c r="F2220">
        <v>56</v>
      </c>
      <c r="G2220" t="s">
        <v>17</v>
      </c>
      <c r="H2220" t="s">
        <v>24</v>
      </c>
      <c r="I2220" s="2">
        <v>8.99</v>
      </c>
      <c r="J2220">
        <v>1</v>
      </c>
      <c r="K2220" s="2">
        <f t="shared" si="68"/>
        <v>8.99</v>
      </c>
      <c r="L2220" t="s">
        <v>43</v>
      </c>
      <c r="M2220">
        <v>2</v>
      </c>
      <c r="N2220">
        <v>0</v>
      </c>
      <c r="O2220" t="str">
        <f t="shared" si="69"/>
        <v>0–0.2 hours</v>
      </c>
      <c r="P2220" t="s">
        <v>34</v>
      </c>
    </row>
    <row r="2221" spans="1:16" x14ac:dyDescent="0.4">
      <c r="A2221" t="s">
        <v>2262</v>
      </c>
      <c r="B2221">
        <v>57</v>
      </c>
      <c r="C2221" t="s">
        <v>27</v>
      </c>
      <c r="D2221" t="s">
        <v>32</v>
      </c>
      <c r="E2221">
        <v>6.49</v>
      </c>
      <c r="F2221">
        <v>23</v>
      </c>
      <c r="G2221" t="s">
        <v>33</v>
      </c>
      <c r="H2221" t="s">
        <v>46</v>
      </c>
      <c r="I2221" s="2">
        <v>17.989999999999998</v>
      </c>
      <c r="J2221">
        <v>0</v>
      </c>
      <c r="K2221" s="2">
        <f t="shared" si="68"/>
        <v>0</v>
      </c>
      <c r="L2221" t="s">
        <v>19</v>
      </c>
      <c r="M2221">
        <v>1</v>
      </c>
      <c r="N2221">
        <v>0.27</v>
      </c>
      <c r="O2221" t="str">
        <f t="shared" si="69"/>
        <v>0.2–0.4 hours</v>
      </c>
      <c r="P2221" t="s">
        <v>39</v>
      </c>
    </row>
    <row r="2222" spans="1:16" x14ac:dyDescent="0.4">
      <c r="A2222" t="s">
        <v>2263</v>
      </c>
      <c r="B2222">
        <v>24</v>
      </c>
      <c r="C2222" t="s">
        <v>41</v>
      </c>
      <c r="D2222" t="s">
        <v>16</v>
      </c>
      <c r="E2222">
        <v>3.55</v>
      </c>
      <c r="F2222">
        <v>59</v>
      </c>
      <c r="G2222" t="s">
        <v>28</v>
      </c>
      <c r="H2222" t="s">
        <v>46</v>
      </c>
      <c r="I2222" s="2">
        <v>8.99</v>
      </c>
      <c r="J2222">
        <v>1</v>
      </c>
      <c r="K2222" s="2">
        <f t="shared" si="68"/>
        <v>8.99</v>
      </c>
      <c r="L2222" t="s">
        <v>43</v>
      </c>
      <c r="M2222">
        <v>3</v>
      </c>
      <c r="N2222">
        <v>0.06</v>
      </c>
      <c r="O2222" t="str">
        <f t="shared" si="69"/>
        <v>0–0.2 hours</v>
      </c>
      <c r="P2222" t="s">
        <v>30</v>
      </c>
    </row>
    <row r="2223" spans="1:16" x14ac:dyDescent="0.4">
      <c r="A2223" t="s">
        <v>2264</v>
      </c>
      <c r="B2223">
        <v>20</v>
      </c>
      <c r="C2223" t="s">
        <v>27</v>
      </c>
      <c r="D2223" t="s">
        <v>16</v>
      </c>
      <c r="E2223">
        <v>14.05</v>
      </c>
      <c r="F2223">
        <v>7</v>
      </c>
      <c r="G2223" t="s">
        <v>17</v>
      </c>
      <c r="H2223" t="s">
        <v>24</v>
      </c>
      <c r="I2223" s="2">
        <v>8.99</v>
      </c>
      <c r="J2223">
        <v>0</v>
      </c>
      <c r="K2223" s="2">
        <f t="shared" si="68"/>
        <v>0</v>
      </c>
      <c r="L2223" t="s">
        <v>61</v>
      </c>
      <c r="M2223">
        <v>3</v>
      </c>
      <c r="N2223">
        <v>1.76</v>
      </c>
      <c r="O2223" t="str">
        <f t="shared" si="69"/>
        <v>1+ hours</v>
      </c>
      <c r="P2223" t="s">
        <v>20</v>
      </c>
    </row>
    <row r="2224" spans="1:16" x14ac:dyDescent="0.4">
      <c r="A2224" t="s">
        <v>2265</v>
      </c>
      <c r="B2224">
        <v>22</v>
      </c>
      <c r="C2224" t="s">
        <v>27</v>
      </c>
      <c r="D2224" t="s">
        <v>32</v>
      </c>
      <c r="E2224">
        <v>1.03</v>
      </c>
      <c r="F2224">
        <v>44</v>
      </c>
      <c r="G2224" t="s">
        <v>17</v>
      </c>
      <c r="H2224" t="s">
        <v>18</v>
      </c>
      <c r="I2224" s="2">
        <v>17.989999999999998</v>
      </c>
      <c r="J2224">
        <v>1</v>
      </c>
      <c r="K2224" s="2">
        <f t="shared" si="68"/>
        <v>17.989999999999998</v>
      </c>
      <c r="L2224" t="s">
        <v>37</v>
      </c>
      <c r="M2224">
        <v>2</v>
      </c>
      <c r="N2224">
        <v>0.02</v>
      </c>
      <c r="O2224" t="str">
        <f t="shared" si="69"/>
        <v>0–0.2 hours</v>
      </c>
      <c r="P2224" t="s">
        <v>30</v>
      </c>
    </row>
    <row r="2225" spans="1:16" x14ac:dyDescent="0.4">
      <c r="A2225" t="s">
        <v>2266</v>
      </c>
      <c r="B2225">
        <v>62</v>
      </c>
      <c r="C2225" t="s">
        <v>27</v>
      </c>
      <c r="D2225" t="s">
        <v>16</v>
      </c>
      <c r="E2225">
        <v>3.62</v>
      </c>
      <c r="F2225">
        <v>34</v>
      </c>
      <c r="G2225" t="s">
        <v>17</v>
      </c>
      <c r="H2225" t="s">
        <v>24</v>
      </c>
      <c r="I2225" s="2">
        <v>8.99</v>
      </c>
      <c r="J2225">
        <v>1</v>
      </c>
      <c r="K2225" s="2">
        <f t="shared" si="68"/>
        <v>8.99</v>
      </c>
      <c r="L2225" t="s">
        <v>43</v>
      </c>
      <c r="M2225">
        <v>3</v>
      </c>
      <c r="N2225">
        <v>0.1</v>
      </c>
      <c r="O2225" t="str">
        <f t="shared" si="69"/>
        <v>0–0.2 hours</v>
      </c>
      <c r="P2225" t="s">
        <v>30</v>
      </c>
    </row>
    <row r="2226" spans="1:16" x14ac:dyDescent="0.4">
      <c r="A2226" t="s">
        <v>2267</v>
      </c>
      <c r="B2226">
        <v>56</v>
      </c>
      <c r="C2226" t="s">
        <v>27</v>
      </c>
      <c r="D2226" t="s">
        <v>16</v>
      </c>
      <c r="E2226">
        <v>2.54</v>
      </c>
      <c r="F2226">
        <v>39</v>
      </c>
      <c r="G2226" t="s">
        <v>70</v>
      </c>
      <c r="H2226" t="s">
        <v>55</v>
      </c>
      <c r="I2226" s="2">
        <v>8.99</v>
      </c>
      <c r="J2226">
        <v>1</v>
      </c>
      <c r="K2226" s="2">
        <f t="shared" si="68"/>
        <v>8.99</v>
      </c>
      <c r="L2226" t="s">
        <v>43</v>
      </c>
      <c r="M2226">
        <v>5</v>
      </c>
      <c r="N2226">
        <v>0.06</v>
      </c>
      <c r="O2226" t="str">
        <f t="shared" si="69"/>
        <v>0–0.2 hours</v>
      </c>
      <c r="P2226" t="s">
        <v>25</v>
      </c>
    </row>
    <row r="2227" spans="1:16" x14ac:dyDescent="0.4">
      <c r="A2227" t="s">
        <v>2268</v>
      </c>
      <c r="B2227">
        <v>22</v>
      </c>
      <c r="C2227" t="s">
        <v>15</v>
      </c>
      <c r="D2227" t="s">
        <v>16</v>
      </c>
      <c r="E2227">
        <v>2.59</v>
      </c>
      <c r="F2227">
        <v>2</v>
      </c>
      <c r="G2227" t="s">
        <v>17</v>
      </c>
      <c r="H2227" t="s">
        <v>18</v>
      </c>
      <c r="I2227" s="2">
        <v>8.99</v>
      </c>
      <c r="J2227">
        <v>1</v>
      </c>
      <c r="K2227" s="2">
        <f t="shared" si="68"/>
        <v>8.99</v>
      </c>
      <c r="L2227" t="s">
        <v>19</v>
      </c>
      <c r="M2227">
        <v>1</v>
      </c>
      <c r="N2227">
        <v>0.86</v>
      </c>
      <c r="O2227" t="str">
        <f t="shared" si="69"/>
        <v>0.8–1 hour</v>
      </c>
      <c r="P2227" t="s">
        <v>52</v>
      </c>
    </row>
    <row r="2228" spans="1:16" x14ac:dyDescent="0.4">
      <c r="A2228" t="s">
        <v>2269</v>
      </c>
      <c r="B2228">
        <v>43</v>
      </c>
      <c r="C2228" t="s">
        <v>15</v>
      </c>
      <c r="D2228" t="s">
        <v>16</v>
      </c>
      <c r="E2228">
        <v>8.0500000000000007</v>
      </c>
      <c r="F2228">
        <v>13</v>
      </c>
      <c r="G2228" t="s">
        <v>70</v>
      </c>
      <c r="H2228" t="s">
        <v>55</v>
      </c>
      <c r="I2228" s="2">
        <v>8.99</v>
      </c>
      <c r="J2228">
        <v>0</v>
      </c>
      <c r="K2228" s="2">
        <f t="shared" si="68"/>
        <v>0</v>
      </c>
      <c r="L2228" t="s">
        <v>43</v>
      </c>
      <c r="M2228">
        <v>5</v>
      </c>
      <c r="N2228">
        <v>0.57999999999999996</v>
      </c>
      <c r="O2228" t="str">
        <f t="shared" si="69"/>
        <v>0.4–0.6 hours</v>
      </c>
      <c r="P2228" t="s">
        <v>34</v>
      </c>
    </row>
    <row r="2229" spans="1:16" x14ac:dyDescent="0.4">
      <c r="A2229" t="s">
        <v>2270</v>
      </c>
      <c r="B2229">
        <v>46</v>
      </c>
      <c r="C2229" t="s">
        <v>15</v>
      </c>
      <c r="D2229" t="s">
        <v>22</v>
      </c>
      <c r="E2229">
        <v>16.95</v>
      </c>
      <c r="F2229">
        <v>32</v>
      </c>
      <c r="G2229" t="s">
        <v>33</v>
      </c>
      <c r="H2229" t="s">
        <v>46</v>
      </c>
      <c r="I2229" s="2">
        <v>13.99</v>
      </c>
      <c r="J2229">
        <v>0</v>
      </c>
      <c r="K2229" s="2">
        <f t="shared" si="68"/>
        <v>0</v>
      </c>
      <c r="L2229" t="s">
        <v>37</v>
      </c>
      <c r="M2229">
        <v>2</v>
      </c>
      <c r="N2229">
        <v>0.51</v>
      </c>
      <c r="O2229" t="str">
        <f t="shared" si="69"/>
        <v>0.4–0.6 hours</v>
      </c>
      <c r="P2229" t="s">
        <v>30</v>
      </c>
    </row>
    <row r="2230" spans="1:16" x14ac:dyDescent="0.4">
      <c r="A2230" t="s">
        <v>2271</v>
      </c>
      <c r="B2230">
        <v>38</v>
      </c>
      <c r="C2230" t="s">
        <v>41</v>
      </c>
      <c r="D2230" t="s">
        <v>22</v>
      </c>
      <c r="E2230">
        <v>2.76</v>
      </c>
      <c r="F2230">
        <v>30</v>
      </c>
      <c r="G2230" t="s">
        <v>70</v>
      </c>
      <c r="H2230" t="s">
        <v>55</v>
      </c>
      <c r="I2230" s="2">
        <v>13.99</v>
      </c>
      <c r="J2230">
        <v>1</v>
      </c>
      <c r="K2230" s="2">
        <f t="shared" si="68"/>
        <v>13.99</v>
      </c>
      <c r="L2230" t="s">
        <v>19</v>
      </c>
      <c r="M2230">
        <v>4</v>
      </c>
      <c r="N2230">
        <v>0.09</v>
      </c>
      <c r="O2230" t="str">
        <f t="shared" si="69"/>
        <v>0–0.2 hours</v>
      </c>
      <c r="P2230" t="s">
        <v>30</v>
      </c>
    </row>
    <row r="2231" spans="1:16" x14ac:dyDescent="0.4">
      <c r="A2231" t="s">
        <v>2272</v>
      </c>
      <c r="B2231">
        <v>36</v>
      </c>
      <c r="C2231" t="s">
        <v>15</v>
      </c>
      <c r="D2231" t="s">
        <v>32</v>
      </c>
      <c r="E2231">
        <v>13.25</v>
      </c>
      <c r="F2231">
        <v>19</v>
      </c>
      <c r="G2231" t="s">
        <v>70</v>
      </c>
      <c r="H2231" t="s">
        <v>57</v>
      </c>
      <c r="I2231" s="2">
        <v>17.989999999999998</v>
      </c>
      <c r="J2231">
        <v>0</v>
      </c>
      <c r="K2231" s="2">
        <f t="shared" si="68"/>
        <v>0</v>
      </c>
      <c r="L2231" t="s">
        <v>19</v>
      </c>
      <c r="M2231">
        <v>1</v>
      </c>
      <c r="N2231">
        <v>0.66</v>
      </c>
      <c r="O2231" t="str">
        <f t="shared" si="69"/>
        <v>0.6–0.8 hours</v>
      </c>
      <c r="P2231" t="s">
        <v>39</v>
      </c>
    </row>
    <row r="2232" spans="1:16" x14ac:dyDescent="0.4">
      <c r="A2232" t="s">
        <v>2273</v>
      </c>
      <c r="B2232">
        <v>41</v>
      </c>
      <c r="C2232" t="s">
        <v>41</v>
      </c>
      <c r="D2232" t="s">
        <v>22</v>
      </c>
      <c r="E2232">
        <v>14.82</v>
      </c>
      <c r="F2232">
        <v>33</v>
      </c>
      <c r="G2232" t="s">
        <v>23</v>
      </c>
      <c r="H2232" t="s">
        <v>46</v>
      </c>
      <c r="I2232" s="2">
        <v>13.99</v>
      </c>
      <c r="J2232">
        <v>1</v>
      </c>
      <c r="K2232" s="2">
        <f t="shared" si="68"/>
        <v>13.99</v>
      </c>
      <c r="L2232" t="s">
        <v>37</v>
      </c>
      <c r="M2232">
        <v>2</v>
      </c>
      <c r="N2232">
        <v>0.44</v>
      </c>
      <c r="O2232" t="str">
        <f t="shared" si="69"/>
        <v>0.4–0.6 hours</v>
      </c>
      <c r="P2232" t="s">
        <v>39</v>
      </c>
    </row>
    <row r="2233" spans="1:16" x14ac:dyDescent="0.4">
      <c r="A2233" t="s">
        <v>2274</v>
      </c>
      <c r="B2233">
        <v>39</v>
      </c>
      <c r="C2233" t="s">
        <v>15</v>
      </c>
      <c r="D2233" t="s">
        <v>16</v>
      </c>
      <c r="E2233">
        <v>2.52</v>
      </c>
      <c r="F2233">
        <v>52</v>
      </c>
      <c r="G2233" t="s">
        <v>33</v>
      </c>
      <c r="H2233" t="s">
        <v>55</v>
      </c>
      <c r="I2233" s="2">
        <v>8.99</v>
      </c>
      <c r="J2233">
        <v>1</v>
      </c>
      <c r="K2233" s="2">
        <f t="shared" si="68"/>
        <v>8.99</v>
      </c>
      <c r="L2233" t="s">
        <v>43</v>
      </c>
      <c r="M2233">
        <v>2</v>
      </c>
      <c r="N2233">
        <v>0.05</v>
      </c>
      <c r="O2233" t="str">
        <f t="shared" si="69"/>
        <v>0–0.2 hours</v>
      </c>
      <c r="P2233" t="s">
        <v>39</v>
      </c>
    </row>
    <row r="2234" spans="1:16" x14ac:dyDescent="0.4">
      <c r="A2234" t="s">
        <v>2275</v>
      </c>
      <c r="B2234">
        <v>31</v>
      </c>
      <c r="C2234" t="s">
        <v>41</v>
      </c>
      <c r="D2234" t="s">
        <v>16</v>
      </c>
      <c r="E2234">
        <v>9.7100000000000009</v>
      </c>
      <c r="F2234">
        <v>16</v>
      </c>
      <c r="G2234" t="s">
        <v>70</v>
      </c>
      <c r="H2234" t="s">
        <v>18</v>
      </c>
      <c r="I2234" s="2">
        <v>8.99</v>
      </c>
      <c r="J2234">
        <v>0</v>
      </c>
      <c r="K2234" s="2">
        <f t="shared" si="68"/>
        <v>0</v>
      </c>
      <c r="L2234" t="s">
        <v>29</v>
      </c>
      <c r="M2234">
        <v>3</v>
      </c>
      <c r="N2234">
        <v>0.56999999999999995</v>
      </c>
      <c r="O2234" t="str">
        <f t="shared" si="69"/>
        <v>0.4–0.6 hours</v>
      </c>
      <c r="P2234" t="s">
        <v>25</v>
      </c>
    </row>
    <row r="2235" spans="1:16" x14ac:dyDescent="0.4">
      <c r="A2235" t="s">
        <v>2276</v>
      </c>
      <c r="B2235">
        <v>29</v>
      </c>
      <c r="C2235" t="s">
        <v>27</v>
      </c>
      <c r="D2235" t="s">
        <v>32</v>
      </c>
      <c r="E2235">
        <v>5.29</v>
      </c>
      <c r="F2235">
        <v>8</v>
      </c>
      <c r="G2235" t="s">
        <v>33</v>
      </c>
      <c r="H2235" t="s">
        <v>57</v>
      </c>
      <c r="I2235" s="2">
        <v>17.989999999999998</v>
      </c>
      <c r="J2235">
        <v>0</v>
      </c>
      <c r="K2235" s="2">
        <f t="shared" si="68"/>
        <v>0</v>
      </c>
      <c r="L2235" t="s">
        <v>37</v>
      </c>
      <c r="M2235">
        <v>3</v>
      </c>
      <c r="N2235">
        <v>0.59</v>
      </c>
      <c r="O2235" t="str">
        <f t="shared" si="69"/>
        <v>0.4–0.6 hours</v>
      </c>
      <c r="P2235" t="s">
        <v>34</v>
      </c>
    </row>
    <row r="2236" spans="1:16" x14ac:dyDescent="0.4">
      <c r="A2236" t="s">
        <v>2277</v>
      </c>
      <c r="B2236">
        <v>33</v>
      </c>
      <c r="C2236" t="s">
        <v>27</v>
      </c>
      <c r="D2236" t="s">
        <v>16</v>
      </c>
      <c r="E2236">
        <v>9.81</v>
      </c>
      <c r="F2236">
        <v>39</v>
      </c>
      <c r="G2236" t="s">
        <v>70</v>
      </c>
      <c r="H2236" t="s">
        <v>57</v>
      </c>
      <c r="I2236" s="2">
        <v>8.99</v>
      </c>
      <c r="J2236">
        <v>1</v>
      </c>
      <c r="K2236" s="2">
        <f t="shared" si="68"/>
        <v>8.99</v>
      </c>
      <c r="L2236" t="s">
        <v>19</v>
      </c>
      <c r="M2236">
        <v>3</v>
      </c>
      <c r="N2236">
        <v>0.25</v>
      </c>
      <c r="O2236" t="str">
        <f t="shared" si="69"/>
        <v>0.2–0.4 hours</v>
      </c>
      <c r="P2236" t="s">
        <v>25</v>
      </c>
    </row>
    <row r="2237" spans="1:16" x14ac:dyDescent="0.4">
      <c r="A2237" t="s">
        <v>2278</v>
      </c>
      <c r="B2237">
        <v>30</v>
      </c>
      <c r="C2237" t="s">
        <v>15</v>
      </c>
      <c r="D2237" t="s">
        <v>22</v>
      </c>
      <c r="E2237">
        <v>5.21</v>
      </c>
      <c r="F2237">
        <v>11</v>
      </c>
      <c r="G2237" t="s">
        <v>33</v>
      </c>
      <c r="H2237" t="s">
        <v>57</v>
      </c>
      <c r="I2237" s="2">
        <v>13.99</v>
      </c>
      <c r="J2237">
        <v>0</v>
      </c>
      <c r="K2237" s="2">
        <f t="shared" si="68"/>
        <v>0</v>
      </c>
      <c r="L2237" t="s">
        <v>43</v>
      </c>
      <c r="M2237">
        <v>3</v>
      </c>
      <c r="N2237">
        <v>0.43</v>
      </c>
      <c r="O2237" t="str">
        <f t="shared" si="69"/>
        <v>0.4–0.6 hours</v>
      </c>
      <c r="P2237" t="s">
        <v>39</v>
      </c>
    </row>
    <row r="2238" spans="1:16" x14ac:dyDescent="0.4">
      <c r="A2238" t="s">
        <v>2279</v>
      </c>
      <c r="B2238">
        <v>51</v>
      </c>
      <c r="C2238" t="s">
        <v>15</v>
      </c>
      <c r="D2238" t="s">
        <v>16</v>
      </c>
      <c r="E2238">
        <v>6.7</v>
      </c>
      <c r="F2238">
        <v>58</v>
      </c>
      <c r="G2238" t="s">
        <v>33</v>
      </c>
      <c r="H2238" t="s">
        <v>57</v>
      </c>
      <c r="I2238" s="2">
        <v>8.99</v>
      </c>
      <c r="J2238">
        <v>1</v>
      </c>
      <c r="K2238" s="2">
        <f t="shared" si="68"/>
        <v>8.99</v>
      </c>
      <c r="L2238" t="s">
        <v>19</v>
      </c>
      <c r="M2238">
        <v>4</v>
      </c>
      <c r="N2238">
        <v>0.11</v>
      </c>
      <c r="O2238" t="str">
        <f t="shared" si="69"/>
        <v>0–0.2 hours</v>
      </c>
      <c r="P2238" t="s">
        <v>34</v>
      </c>
    </row>
    <row r="2239" spans="1:16" x14ac:dyDescent="0.4">
      <c r="A2239" t="s">
        <v>2280</v>
      </c>
      <c r="B2239">
        <v>40</v>
      </c>
      <c r="C2239" t="s">
        <v>27</v>
      </c>
      <c r="D2239" t="s">
        <v>22</v>
      </c>
      <c r="E2239">
        <v>7.88</v>
      </c>
      <c r="F2239">
        <v>9</v>
      </c>
      <c r="G2239" t="s">
        <v>33</v>
      </c>
      <c r="H2239" t="s">
        <v>24</v>
      </c>
      <c r="I2239" s="2">
        <v>13.99</v>
      </c>
      <c r="J2239">
        <v>0</v>
      </c>
      <c r="K2239" s="2">
        <f t="shared" si="68"/>
        <v>0</v>
      </c>
      <c r="L2239" t="s">
        <v>29</v>
      </c>
      <c r="M2239">
        <v>2</v>
      </c>
      <c r="N2239">
        <v>0.79</v>
      </c>
      <c r="O2239" t="str">
        <f t="shared" si="69"/>
        <v>0.6–0.8 hours</v>
      </c>
      <c r="P2239" t="s">
        <v>25</v>
      </c>
    </row>
    <row r="2240" spans="1:16" x14ac:dyDescent="0.4">
      <c r="A2240" t="s">
        <v>2281</v>
      </c>
      <c r="B2240">
        <v>36</v>
      </c>
      <c r="C2240" t="s">
        <v>15</v>
      </c>
      <c r="D2240" t="s">
        <v>32</v>
      </c>
      <c r="E2240">
        <v>41.02</v>
      </c>
      <c r="F2240">
        <v>47</v>
      </c>
      <c r="G2240" t="s">
        <v>23</v>
      </c>
      <c r="H2240" t="s">
        <v>18</v>
      </c>
      <c r="I2240" s="2">
        <v>17.989999999999998</v>
      </c>
      <c r="J2240">
        <v>0</v>
      </c>
      <c r="K2240" s="2">
        <f t="shared" si="68"/>
        <v>0</v>
      </c>
      <c r="L2240" t="s">
        <v>37</v>
      </c>
      <c r="M2240">
        <v>3</v>
      </c>
      <c r="N2240">
        <v>0.85</v>
      </c>
      <c r="O2240" t="str">
        <f t="shared" si="69"/>
        <v>0.8–1 hour</v>
      </c>
      <c r="P2240" t="s">
        <v>30</v>
      </c>
    </row>
    <row r="2241" spans="1:16" x14ac:dyDescent="0.4">
      <c r="A2241" t="s">
        <v>2282</v>
      </c>
      <c r="B2241">
        <v>65</v>
      </c>
      <c r="C2241" t="s">
        <v>41</v>
      </c>
      <c r="D2241" t="s">
        <v>16</v>
      </c>
      <c r="E2241">
        <v>46.29</v>
      </c>
      <c r="F2241">
        <v>39</v>
      </c>
      <c r="G2241" t="s">
        <v>70</v>
      </c>
      <c r="H2241" t="s">
        <v>57</v>
      </c>
      <c r="I2241" s="2">
        <v>8.99</v>
      </c>
      <c r="J2241">
        <v>0</v>
      </c>
      <c r="K2241" s="2">
        <f t="shared" si="68"/>
        <v>0</v>
      </c>
      <c r="L2241" t="s">
        <v>43</v>
      </c>
      <c r="M2241">
        <v>5</v>
      </c>
      <c r="N2241">
        <v>1.1599999999999999</v>
      </c>
      <c r="O2241" t="str">
        <f t="shared" si="69"/>
        <v>1+ hours</v>
      </c>
      <c r="P2241" t="s">
        <v>30</v>
      </c>
    </row>
    <row r="2242" spans="1:16" x14ac:dyDescent="0.4">
      <c r="A2242" t="s">
        <v>2283</v>
      </c>
      <c r="B2242">
        <v>58</v>
      </c>
      <c r="C2242" t="s">
        <v>27</v>
      </c>
      <c r="D2242" t="s">
        <v>32</v>
      </c>
      <c r="E2242">
        <v>59.99</v>
      </c>
      <c r="F2242">
        <v>11</v>
      </c>
      <c r="G2242" t="s">
        <v>70</v>
      </c>
      <c r="H2242" t="s">
        <v>55</v>
      </c>
      <c r="I2242" s="2">
        <v>17.989999999999998</v>
      </c>
      <c r="J2242">
        <v>0</v>
      </c>
      <c r="K2242" s="2">
        <f t="shared" si="68"/>
        <v>0</v>
      </c>
      <c r="L2242" t="s">
        <v>61</v>
      </c>
      <c r="M2242">
        <v>2</v>
      </c>
      <c r="N2242">
        <v>5</v>
      </c>
      <c r="O2242" t="str">
        <f t="shared" si="69"/>
        <v>1+ hours</v>
      </c>
      <c r="P2242" t="s">
        <v>47</v>
      </c>
    </row>
    <row r="2243" spans="1:16" x14ac:dyDescent="0.4">
      <c r="A2243" t="s">
        <v>2284</v>
      </c>
      <c r="B2243">
        <v>43</v>
      </c>
      <c r="C2243" t="s">
        <v>41</v>
      </c>
      <c r="D2243" t="s">
        <v>16</v>
      </c>
      <c r="E2243">
        <v>1.18</v>
      </c>
      <c r="F2243">
        <v>31</v>
      </c>
      <c r="G2243" t="s">
        <v>28</v>
      </c>
      <c r="H2243" t="s">
        <v>55</v>
      </c>
      <c r="I2243" s="2">
        <v>8.99</v>
      </c>
      <c r="J2243">
        <v>1</v>
      </c>
      <c r="K2243" s="2">
        <f t="shared" ref="K2243:K2306" si="70">SUMIF(J2243,1,I2243)</f>
        <v>8.99</v>
      </c>
      <c r="L2243" t="s">
        <v>37</v>
      </c>
      <c r="M2243">
        <v>1</v>
      </c>
      <c r="N2243">
        <v>0.04</v>
      </c>
      <c r="O2243" t="str">
        <f t="shared" ref="O2243:O2306" si="71">IF(N2243&gt;1,"1+ hours",IF(N2243&lt;=0.2,"0–0.2 hours",IF(N2243&lt;=0.4,"0.2–0.4 hours",IF(N2243&lt;=0.6,"0.4–0.6 hours",IF(N2243&lt;=0.8,"0.6–0.8 hours","0.8–1 hour")))))</f>
        <v>0–0.2 hours</v>
      </c>
      <c r="P2243" t="s">
        <v>20</v>
      </c>
    </row>
    <row r="2244" spans="1:16" x14ac:dyDescent="0.4">
      <c r="A2244" t="s">
        <v>2285</v>
      </c>
      <c r="B2244">
        <v>70</v>
      </c>
      <c r="C2244" t="s">
        <v>15</v>
      </c>
      <c r="D2244" t="s">
        <v>16</v>
      </c>
      <c r="E2244">
        <v>8.26</v>
      </c>
      <c r="F2244">
        <v>2</v>
      </c>
      <c r="G2244" t="s">
        <v>28</v>
      </c>
      <c r="H2244" t="s">
        <v>18</v>
      </c>
      <c r="I2244" s="2">
        <v>8.99</v>
      </c>
      <c r="J2244">
        <v>0</v>
      </c>
      <c r="K2244" s="2">
        <f t="shared" si="70"/>
        <v>0</v>
      </c>
      <c r="L2244" t="s">
        <v>37</v>
      </c>
      <c r="M2244">
        <v>4</v>
      </c>
      <c r="N2244">
        <v>2.75</v>
      </c>
      <c r="O2244" t="str">
        <f t="shared" si="71"/>
        <v>1+ hours</v>
      </c>
      <c r="P2244" t="s">
        <v>47</v>
      </c>
    </row>
    <row r="2245" spans="1:16" x14ac:dyDescent="0.4">
      <c r="A2245" t="s">
        <v>2286</v>
      </c>
      <c r="B2245">
        <v>49</v>
      </c>
      <c r="C2245" t="s">
        <v>41</v>
      </c>
      <c r="D2245" t="s">
        <v>22</v>
      </c>
      <c r="E2245">
        <v>20.37</v>
      </c>
      <c r="F2245">
        <v>30</v>
      </c>
      <c r="G2245" t="s">
        <v>23</v>
      </c>
      <c r="H2245" t="s">
        <v>24</v>
      </c>
      <c r="I2245" s="2">
        <v>13.99</v>
      </c>
      <c r="J2245">
        <v>0</v>
      </c>
      <c r="K2245" s="2">
        <f t="shared" si="70"/>
        <v>0</v>
      </c>
      <c r="L2245" t="s">
        <v>29</v>
      </c>
      <c r="M2245">
        <v>1</v>
      </c>
      <c r="N2245">
        <v>0.66</v>
      </c>
      <c r="O2245" t="str">
        <f t="shared" si="71"/>
        <v>0.6–0.8 hours</v>
      </c>
      <c r="P2245" t="s">
        <v>30</v>
      </c>
    </row>
    <row r="2246" spans="1:16" x14ac:dyDescent="0.4">
      <c r="A2246" t="s">
        <v>2287</v>
      </c>
      <c r="B2246">
        <v>30</v>
      </c>
      <c r="C2246" t="s">
        <v>15</v>
      </c>
      <c r="D2246" t="s">
        <v>22</v>
      </c>
      <c r="E2246">
        <v>3.36</v>
      </c>
      <c r="F2246">
        <v>2</v>
      </c>
      <c r="G2246" t="s">
        <v>33</v>
      </c>
      <c r="H2246" t="s">
        <v>46</v>
      </c>
      <c r="I2246" s="2">
        <v>13.99</v>
      </c>
      <c r="J2246">
        <v>0</v>
      </c>
      <c r="K2246" s="2">
        <f t="shared" si="70"/>
        <v>0</v>
      </c>
      <c r="L2246" t="s">
        <v>29</v>
      </c>
      <c r="M2246">
        <v>2</v>
      </c>
      <c r="N2246">
        <v>1.1200000000000001</v>
      </c>
      <c r="O2246" t="str">
        <f t="shared" si="71"/>
        <v>1+ hours</v>
      </c>
      <c r="P2246" t="s">
        <v>25</v>
      </c>
    </row>
    <row r="2247" spans="1:16" x14ac:dyDescent="0.4">
      <c r="A2247" t="s">
        <v>2288</v>
      </c>
      <c r="B2247">
        <v>43</v>
      </c>
      <c r="C2247" t="s">
        <v>41</v>
      </c>
      <c r="D2247" t="s">
        <v>16</v>
      </c>
      <c r="E2247">
        <v>17.66</v>
      </c>
      <c r="F2247">
        <v>7</v>
      </c>
      <c r="G2247" t="s">
        <v>28</v>
      </c>
      <c r="H2247" t="s">
        <v>46</v>
      </c>
      <c r="I2247" s="2">
        <v>8.99</v>
      </c>
      <c r="J2247">
        <v>0</v>
      </c>
      <c r="K2247" s="2">
        <f t="shared" si="70"/>
        <v>0</v>
      </c>
      <c r="L2247" t="s">
        <v>29</v>
      </c>
      <c r="M2247">
        <v>1</v>
      </c>
      <c r="N2247">
        <v>2.21</v>
      </c>
      <c r="O2247" t="str">
        <f t="shared" si="71"/>
        <v>1+ hours</v>
      </c>
      <c r="P2247" t="s">
        <v>34</v>
      </c>
    </row>
    <row r="2248" spans="1:16" x14ac:dyDescent="0.4">
      <c r="A2248" t="s">
        <v>2289</v>
      </c>
      <c r="B2248">
        <v>47</v>
      </c>
      <c r="C2248" t="s">
        <v>41</v>
      </c>
      <c r="D2248" t="s">
        <v>16</v>
      </c>
      <c r="E2248">
        <v>0.83</v>
      </c>
      <c r="F2248">
        <v>42</v>
      </c>
      <c r="G2248" t="s">
        <v>70</v>
      </c>
      <c r="H2248" t="s">
        <v>18</v>
      </c>
      <c r="I2248" s="2">
        <v>8.99</v>
      </c>
      <c r="J2248">
        <v>1</v>
      </c>
      <c r="K2248" s="2">
        <f t="shared" si="70"/>
        <v>8.99</v>
      </c>
      <c r="L2248" t="s">
        <v>61</v>
      </c>
      <c r="M2248">
        <v>2</v>
      </c>
      <c r="N2248">
        <v>0.02</v>
      </c>
      <c r="O2248" t="str">
        <f t="shared" si="71"/>
        <v>0–0.2 hours</v>
      </c>
      <c r="P2248" t="s">
        <v>34</v>
      </c>
    </row>
    <row r="2249" spans="1:16" x14ac:dyDescent="0.4">
      <c r="A2249" t="s">
        <v>2290</v>
      </c>
      <c r="B2249">
        <v>47</v>
      </c>
      <c r="C2249" t="s">
        <v>41</v>
      </c>
      <c r="D2249" t="s">
        <v>32</v>
      </c>
      <c r="E2249">
        <v>25.17</v>
      </c>
      <c r="F2249">
        <v>1</v>
      </c>
      <c r="G2249" t="s">
        <v>17</v>
      </c>
      <c r="H2249" t="s">
        <v>55</v>
      </c>
      <c r="I2249" s="2">
        <v>17.989999999999998</v>
      </c>
      <c r="J2249">
        <v>0</v>
      </c>
      <c r="K2249" s="2">
        <f t="shared" si="70"/>
        <v>0</v>
      </c>
      <c r="L2249" t="s">
        <v>29</v>
      </c>
      <c r="M2249">
        <v>5</v>
      </c>
      <c r="N2249">
        <v>12.59</v>
      </c>
      <c r="O2249" t="str">
        <f t="shared" si="71"/>
        <v>1+ hours</v>
      </c>
      <c r="P2249" t="s">
        <v>25</v>
      </c>
    </row>
    <row r="2250" spans="1:16" x14ac:dyDescent="0.4">
      <c r="A2250" t="s">
        <v>2291</v>
      </c>
      <c r="B2250">
        <v>51</v>
      </c>
      <c r="C2250" t="s">
        <v>27</v>
      </c>
      <c r="D2250" t="s">
        <v>22</v>
      </c>
      <c r="E2250">
        <v>6.79</v>
      </c>
      <c r="F2250">
        <v>3</v>
      </c>
      <c r="G2250" t="s">
        <v>28</v>
      </c>
      <c r="H2250" t="s">
        <v>57</v>
      </c>
      <c r="I2250" s="2">
        <v>13.99</v>
      </c>
      <c r="J2250">
        <v>0</v>
      </c>
      <c r="K2250" s="2">
        <f t="shared" si="70"/>
        <v>0</v>
      </c>
      <c r="L2250" t="s">
        <v>19</v>
      </c>
      <c r="M2250">
        <v>4</v>
      </c>
      <c r="N2250">
        <v>1.7</v>
      </c>
      <c r="O2250" t="str">
        <f t="shared" si="71"/>
        <v>1+ hours</v>
      </c>
      <c r="P2250" t="s">
        <v>20</v>
      </c>
    </row>
    <row r="2251" spans="1:16" x14ac:dyDescent="0.4">
      <c r="A2251" t="s">
        <v>2292</v>
      </c>
      <c r="B2251">
        <v>38</v>
      </c>
      <c r="C2251" t="s">
        <v>41</v>
      </c>
      <c r="D2251" t="s">
        <v>32</v>
      </c>
      <c r="E2251">
        <v>11.56</v>
      </c>
      <c r="F2251">
        <v>38</v>
      </c>
      <c r="G2251" t="s">
        <v>70</v>
      </c>
      <c r="H2251" t="s">
        <v>24</v>
      </c>
      <c r="I2251" s="2">
        <v>17.989999999999998</v>
      </c>
      <c r="J2251">
        <v>1</v>
      </c>
      <c r="K2251" s="2">
        <f t="shared" si="70"/>
        <v>17.989999999999998</v>
      </c>
      <c r="L2251" t="s">
        <v>19</v>
      </c>
      <c r="M2251">
        <v>4</v>
      </c>
      <c r="N2251">
        <v>0.3</v>
      </c>
      <c r="O2251" t="str">
        <f t="shared" si="71"/>
        <v>0.2–0.4 hours</v>
      </c>
      <c r="P2251" t="s">
        <v>39</v>
      </c>
    </row>
    <row r="2252" spans="1:16" x14ac:dyDescent="0.4">
      <c r="A2252" t="s">
        <v>2293</v>
      </c>
      <c r="B2252">
        <v>48</v>
      </c>
      <c r="C2252" t="s">
        <v>15</v>
      </c>
      <c r="D2252" t="s">
        <v>16</v>
      </c>
      <c r="E2252">
        <v>60.85</v>
      </c>
      <c r="F2252">
        <v>10</v>
      </c>
      <c r="G2252" t="s">
        <v>17</v>
      </c>
      <c r="H2252" t="s">
        <v>55</v>
      </c>
      <c r="I2252" s="2">
        <v>8.99</v>
      </c>
      <c r="J2252">
        <v>0</v>
      </c>
      <c r="K2252" s="2">
        <f t="shared" si="70"/>
        <v>0</v>
      </c>
      <c r="L2252" t="s">
        <v>37</v>
      </c>
      <c r="M2252">
        <v>5</v>
      </c>
      <c r="N2252">
        <v>5.53</v>
      </c>
      <c r="O2252" t="str">
        <f t="shared" si="71"/>
        <v>1+ hours</v>
      </c>
      <c r="P2252" t="s">
        <v>34</v>
      </c>
    </row>
    <row r="2253" spans="1:16" x14ac:dyDescent="0.4">
      <c r="A2253" t="s">
        <v>2294</v>
      </c>
      <c r="B2253">
        <v>28</v>
      </c>
      <c r="C2253" t="s">
        <v>41</v>
      </c>
      <c r="D2253" t="s">
        <v>22</v>
      </c>
      <c r="E2253">
        <v>5.29</v>
      </c>
      <c r="F2253">
        <v>18</v>
      </c>
      <c r="G2253" t="s">
        <v>23</v>
      </c>
      <c r="H2253" t="s">
        <v>55</v>
      </c>
      <c r="I2253" s="2">
        <v>13.99</v>
      </c>
      <c r="J2253">
        <v>0</v>
      </c>
      <c r="K2253" s="2">
        <f t="shared" si="70"/>
        <v>0</v>
      </c>
      <c r="L2253" t="s">
        <v>37</v>
      </c>
      <c r="M2253">
        <v>1</v>
      </c>
      <c r="N2253">
        <v>0.28000000000000003</v>
      </c>
      <c r="O2253" t="str">
        <f t="shared" si="71"/>
        <v>0.2–0.4 hours</v>
      </c>
      <c r="P2253" t="s">
        <v>34</v>
      </c>
    </row>
    <row r="2254" spans="1:16" x14ac:dyDescent="0.4">
      <c r="A2254" t="s">
        <v>2295</v>
      </c>
      <c r="B2254">
        <v>32</v>
      </c>
      <c r="C2254" t="s">
        <v>27</v>
      </c>
      <c r="D2254" t="s">
        <v>22</v>
      </c>
      <c r="E2254">
        <v>1.7</v>
      </c>
      <c r="F2254">
        <v>45</v>
      </c>
      <c r="G2254" t="s">
        <v>17</v>
      </c>
      <c r="H2254" t="s">
        <v>24</v>
      </c>
      <c r="I2254" s="2">
        <v>13.99</v>
      </c>
      <c r="J2254">
        <v>1</v>
      </c>
      <c r="K2254" s="2">
        <f t="shared" si="70"/>
        <v>13.99</v>
      </c>
      <c r="L2254" t="s">
        <v>19</v>
      </c>
      <c r="M2254">
        <v>5</v>
      </c>
      <c r="N2254">
        <v>0.04</v>
      </c>
      <c r="O2254" t="str">
        <f t="shared" si="71"/>
        <v>0–0.2 hours</v>
      </c>
      <c r="P2254" t="s">
        <v>47</v>
      </c>
    </row>
    <row r="2255" spans="1:16" x14ac:dyDescent="0.4">
      <c r="A2255" t="s">
        <v>2296</v>
      </c>
      <c r="B2255">
        <v>57</v>
      </c>
      <c r="C2255" t="s">
        <v>15</v>
      </c>
      <c r="D2255" t="s">
        <v>32</v>
      </c>
      <c r="E2255">
        <v>27.17</v>
      </c>
      <c r="F2255">
        <v>41</v>
      </c>
      <c r="G2255" t="s">
        <v>49</v>
      </c>
      <c r="H2255" t="s">
        <v>18</v>
      </c>
      <c r="I2255" s="2">
        <v>17.989999999999998</v>
      </c>
      <c r="J2255">
        <v>0</v>
      </c>
      <c r="K2255" s="2">
        <f t="shared" si="70"/>
        <v>0</v>
      </c>
      <c r="L2255" t="s">
        <v>43</v>
      </c>
      <c r="M2255">
        <v>4</v>
      </c>
      <c r="N2255">
        <v>0.65</v>
      </c>
      <c r="O2255" t="str">
        <f t="shared" si="71"/>
        <v>0.6–0.8 hours</v>
      </c>
      <c r="P2255" t="s">
        <v>25</v>
      </c>
    </row>
    <row r="2256" spans="1:16" x14ac:dyDescent="0.4">
      <c r="A2256" t="s">
        <v>2297</v>
      </c>
      <c r="B2256">
        <v>44</v>
      </c>
      <c r="C2256" t="s">
        <v>41</v>
      </c>
      <c r="D2256" t="s">
        <v>22</v>
      </c>
      <c r="E2256">
        <v>8.0299999999999994</v>
      </c>
      <c r="F2256">
        <v>57</v>
      </c>
      <c r="G2256" t="s">
        <v>49</v>
      </c>
      <c r="H2256" t="s">
        <v>18</v>
      </c>
      <c r="I2256" s="2">
        <v>13.99</v>
      </c>
      <c r="J2256">
        <v>1</v>
      </c>
      <c r="K2256" s="2">
        <f t="shared" si="70"/>
        <v>13.99</v>
      </c>
      <c r="L2256" t="s">
        <v>29</v>
      </c>
      <c r="M2256">
        <v>5</v>
      </c>
      <c r="N2256">
        <v>0.14000000000000001</v>
      </c>
      <c r="O2256" t="str">
        <f t="shared" si="71"/>
        <v>0–0.2 hours</v>
      </c>
      <c r="P2256" t="s">
        <v>34</v>
      </c>
    </row>
    <row r="2257" spans="1:16" x14ac:dyDescent="0.4">
      <c r="A2257" t="s">
        <v>2298</v>
      </c>
      <c r="B2257">
        <v>18</v>
      </c>
      <c r="C2257" t="s">
        <v>15</v>
      </c>
      <c r="D2257" t="s">
        <v>22</v>
      </c>
      <c r="E2257">
        <v>5.41</v>
      </c>
      <c r="F2257">
        <v>20</v>
      </c>
      <c r="G2257" t="s">
        <v>17</v>
      </c>
      <c r="H2257" t="s">
        <v>57</v>
      </c>
      <c r="I2257" s="2">
        <v>13.99</v>
      </c>
      <c r="J2257">
        <v>0</v>
      </c>
      <c r="K2257" s="2">
        <f t="shared" si="70"/>
        <v>0</v>
      </c>
      <c r="L2257" t="s">
        <v>29</v>
      </c>
      <c r="M2257">
        <v>3</v>
      </c>
      <c r="N2257">
        <v>0.26</v>
      </c>
      <c r="O2257" t="str">
        <f t="shared" si="71"/>
        <v>0.2–0.4 hours</v>
      </c>
      <c r="P2257" t="s">
        <v>20</v>
      </c>
    </row>
    <row r="2258" spans="1:16" x14ac:dyDescent="0.4">
      <c r="A2258" t="s">
        <v>2299</v>
      </c>
      <c r="B2258">
        <v>18</v>
      </c>
      <c r="C2258" t="s">
        <v>41</v>
      </c>
      <c r="D2258" t="s">
        <v>16</v>
      </c>
      <c r="E2258">
        <v>10.17</v>
      </c>
      <c r="F2258">
        <v>46</v>
      </c>
      <c r="G2258" t="s">
        <v>23</v>
      </c>
      <c r="H2258" t="s">
        <v>24</v>
      </c>
      <c r="I2258" s="2">
        <v>8.99</v>
      </c>
      <c r="J2258">
        <v>1</v>
      </c>
      <c r="K2258" s="2">
        <f t="shared" si="70"/>
        <v>8.99</v>
      </c>
      <c r="L2258" t="s">
        <v>37</v>
      </c>
      <c r="M2258">
        <v>1</v>
      </c>
      <c r="N2258">
        <v>0.22</v>
      </c>
      <c r="O2258" t="str">
        <f t="shared" si="71"/>
        <v>0.2–0.4 hours</v>
      </c>
      <c r="P2258" t="s">
        <v>30</v>
      </c>
    </row>
    <row r="2259" spans="1:16" x14ac:dyDescent="0.4">
      <c r="A2259" t="s">
        <v>2300</v>
      </c>
      <c r="B2259">
        <v>21</v>
      </c>
      <c r="C2259" t="s">
        <v>27</v>
      </c>
      <c r="D2259" t="s">
        <v>22</v>
      </c>
      <c r="E2259">
        <v>16.739999999999998</v>
      </c>
      <c r="F2259">
        <v>39</v>
      </c>
      <c r="G2259" t="s">
        <v>33</v>
      </c>
      <c r="H2259" t="s">
        <v>46</v>
      </c>
      <c r="I2259" s="2">
        <v>13.99</v>
      </c>
      <c r="J2259">
        <v>1</v>
      </c>
      <c r="K2259" s="2">
        <f t="shared" si="70"/>
        <v>13.99</v>
      </c>
      <c r="L2259" t="s">
        <v>19</v>
      </c>
      <c r="M2259">
        <v>3</v>
      </c>
      <c r="N2259">
        <v>0.42</v>
      </c>
      <c r="O2259" t="str">
        <f t="shared" si="71"/>
        <v>0.4–0.6 hours</v>
      </c>
      <c r="P2259" t="s">
        <v>20</v>
      </c>
    </row>
    <row r="2260" spans="1:16" x14ac:dyDescent="0.4">
      <c r="A2260" t="s">
        <v>2301</v>
      </c>
      <c r="B2260">
        <v>29</v>
      </c>
      <c r="C2260" t="s">
        <v>27</v>
      </c>
      <c r="D2260" t="s">
        <v>32</v>
      </c>
      <c r="E2260">
        <v>1.38</v>
      </c>
      <c r="F2260">
        <v>4</v>
      </c>
      <c r="G2260" t="s">
        <v>23</v>
      </c>
      <c r="H2260" t="s">
        <v>46</v>
      </c>
      <c r="I2260" s="2">
        <v>17.989999999999998</v>
      </c>
      <c r="J2260">
        <v>1</v>
      </c>
      <c r="K2260" s="2">
        <f t="shared" si="70"/>
        <v>17.989999999999998</v>
      </c>
      <c r="L2260" t="s">
        <v>19</v>
      </c>
      <c r="M2260">
        <v>3</v>
      </c>
      <c r="N2260">
        <v>0.28000000000000003</v>
      </c>
      <c r="O2260" t="str">
        <f t="shared" si="71"/>
        <v>0.2–0.4 hours</v>
      </c>
      <c r="P2260" t="s">
        <v>25</v>
      </c>
    </row>
    <row r="2261" spans="1:16" x14ac:dyDescent="0.4">
      <c r="A2261" t="s">
        <v>2302</v>
      </c>
      <c r="B2261">
        <v>63</v>
      </c>
      <c r="C2261" t="s">
        <v>27</v>
      </c>
      <c r="D2261" t="s">
        <v>32</v>
      </c>
      <c r="E2261">
        <v>21.06</v>
      </c>
      <c r="F2261">
        <v>17</v>
      </c>
      <c r="G2261" t="s">
        <v>17</v>
      </c>
      <c r="H2261" t="s">
        <v>55</v>
      </c>
      <c r="I2261" s="2">
        <v>17.989999999999998</v>
      </c>
      <c r="J2261">
        <v>0</v>
      </c>
      <c r="K2261" s="2">
        <f t="shared" si="70"/>
        <v>0</v>
      </c>
      <c r="L2261" t="s">
        <v>29</v>
      </c>
      <c r="M2261">
        <v>1</v>
      </c>
      <c r="N2261">
        <v>1.17</v>
      </c>
      <c r="O2261" t="str">
        <f t="shared" si="71"/>
        <v>1+ hours</v>
      </c>
      <c r="P2261" t="s">
        <v>47</v>
      </c>
    </row>
    <row r="2262" spans="1:16" x14ac:dyDescent="0.4">
      <c r="A2262" t="s">
        <v>2303</v>
      </c>
      <c r="B2262">
        <v>64</v>
      </c>
      <c r="C2262" t="s">
        <v>27</v>
      </c>
      <c r="D2262" t="s">
        <v>16</v>
      </c>
      <c r="E2262">
        <v>11.77</v>
      </c>
      <c r="F2262">
        <v>9</v>
      </c>
      <c r="G2262" t="s">
        <v>17</v>
      </c>
      <c r="H2262" t="s">
        <v>24</v>
      </c>
      <c r="I2262" s="2">
        <v>8.99</v>
      </c>
      <c r="J2262">
        <v>0</v>
      </c>
      <c r="K2262" s="2">
        <f t="shared" si="70"/>
        <v>0</v>
      </c>
      <c r="L2262" t="s">
        <v>29</v>
      </c>
      <c r="M2262">
        <v>2</v>
      </c>
      <c r="N2262">
        <v>1.18</v>
      </c>
      <c r="O2262" t="str">
        <f t="shared" si="71"/>
        <v>1+ hours</v>
      </c>
      <c r="P2262" t="s">
        <v>20</v>
      </c>
    </row>
    <row r="2263" spans="1:16" x14ac:dyDescent="0.4">
      <c r="A2263" t="s">
        <v>2304</v>
      </c>
      <c r="B2263">
        <v>21</v>
      </c>
      <c r="C2263" t="s">
        <v>27</v>
      </c>
      <c r="D2263" t="s">
        <v>32</v>
      </c>
      <c r="E2263">
        <v>20.56</v>
      </c>
      <c r="F2263">
        <v>0</v>
      </c>
      <c r="G2263" t="s">
        <v>17</v>
      </c>
      <c r="H2263" t="s">
        <v>46</v>
      </c>
      <c r="I2263" s="2">
        <v>17.989999999999998</v>
      </c>
      <c r="J2263">
        <v>0</v>
      </c>
      <c r="K2263" s="2">
        <f t="shared" si="70"/>
        <v>0</v>
      </c>
      <c r="L2263" t="s">
        <v>29</v>
      </c>
      <c r="M2263">
        <v>5</v>
      </c>
      <c r="N2263">
        <v>20.56</v>
      </c>
      <c r="O2263" t="str">
        <f t="shared" si="71"/>
        <v>1+ hours</v>
      </c>
      <c r="P2263" t="s">
        <v>52</v>
      </c>
    </row>
    <row r="2264" spans="1:16" x14ac:dyDescent="0.4">
      <c r="A2264" t="s">
        <v>2305</v>
      </c>
      <c r="B2264">
        <v>50</v>
      </c>
      <c r="C2264" t="s">
        <v>15</v>
      </c>
      <c r="D2264" t="s">
        <v>16</v>
      </c>
      <c r="E2264">
        <v>6.36</v>
      </c>
      <c r="F2264">
        <v>57</v>
      </c>
      <c r="G2264" t="s">
        <v>23</v>
      </c>
      <c r="H2264" t="s">
        <v>24</v>
      </c>
      <c r="I2264" s="2">
        <v>8.99</v>
      </c>
      <c r="J2264">
        <v>1</v>
      </c>
      <c r="K2264" s="2">
        <f t="shared" si="70"/>
        <v>8.99</v>
      </c>
      <c r="L2264" t="s">
        <v>37</v>
      </c>
      <c r="M2264">
        <v>5</v>
      </c>
      <c r="N2264">
        <v>0.11</v>
      </c>
      <c r="O2264" t="str">
        <f t="shared" si="71"/>
        <v>0–0.2 hours</v>
      </c>
      <c r="P2264" t="s">
        <v>52</v>
      </c>
    </row>
    <row r="2265" spans="1:16" x14ac:dyDescent="0.4">
      <c r="A2265" t="s">
        <v>2306</v>
      </c>
      <c r="B2265">
        <v>23</v>
      </c>
      <c r="C2265" t="s">
        <v>27</v>
      </c>
      <c r="D2265" t="s">
        <v>22</v>
      </c>
      <c r="E2265">
        <v>12.14</v>
      </c>
      <c r="F2265">
        <v>9</v>
      </c>
      <c r="G2265" t="s">
        <v>70</v>
      </c>
      <c r="H2265" t="s">
        <v>18</v>
      </c>
      <c r="I2265" s="2">
        <v>13.99</v>
      </c>
      <c r="J2265">
        <v>0</v>
      </c>
      <c r="K2265" s="2">
        <f t="shared" si="70"/>
        <v>0</v>
      </c>
      <c r="L2265" t="s">
        <v>29</v>
      </c>
      <c r="M2265">
        <v>3</v>
      </c>
      <c r="N2265">
        <v>1.21</v>
      </c>
      <c r="O2265" t="str">
        <f t="shared" si="71"/>
        <v>1+ hours</v>
      </c>
      <c r="P2265" t="s">
        <v>39</v>
      </c>
    </row>
    <row r="2266" spans="1:16" x14ac:dyDescent="0.4">
      <c r="A2266" s="1" t="s">
        <v>2307</v>
      </c>
      <c r="B2266">
        <v>65</v>
      </c>
      <c r="C2266" t="s">
        <v>27</v>
      </c>
      <c r="D2266" t="s">
        <v>22</v>
      </c>
      <c r="E2266">
        <v>15.97</v>
      </c>
      <c r="F2266">
        <v>2</v>
      </c>
      <c r="G2266" t="s">
        <v>17</v>
      </c>
      <c r="H2266" t="s">
        <v>18</v>
      </c>
      <c r="I2266" s="2">
        <v>13.99</v>
      </c>
      <c r="J2266">
        <v>0</v>
      </c>
      <c r="K2266" s="2">
        <f t="shared" si="70"/>
        <v>0</v>
      </c>
      <c r="L2266" t="s">
        <v>29</v>
      </c>
      <c r="M2266">
        <v>1</v>
      </c>
      <c r="N2266">
        <v>5.32</v>
      </c>
      <c r="O2266" t="str">
        <f t="shared" si="71"/>
        <v>1+ hours</v>
      </c>
      <c r="P2266" t="s">
        <v>30</v>
      </c>
    </row>
    <row r="2267" spans="1:16" x14ac:dyDescent="0.4">
      <c r="A2267" t="s">
        <v>2308</v>
      </c>
      <c r="B2267">
        <v>49</v>
      </c>
      <c r="C2267" t="s">
        <v>41</v>
      </c>
      <c r="D2267" t="s">
        <v>22</v>
      </c>
      <c r="E2267">
        <v>3.75</v>
      </c>
      <c r="F2267">
        <v>0</v>
      </c>
      <c r="G2267" t="s">
        <v>70</v>
      </c>
      <c r="H2267" t="s">
        <v>57</v>
      </c>
      <c r="I2267" s="2">
        <v>13.99</v>
      </c>
      <c r="J2267">
        <v>0</v>
      </c>
      <c r="K2267" s="2">
        <f t="shared" si="70"/>
        <v>0</v>
      </c>
      <c r="L2267" t="s">
        <v>61</v>
      </c>
      <c r="M2267">
        <v>4</v>
      </c>
      <c r="N2267">
        <v>3.75</v>
      </c>
      <c r="O2267" t="str">
        <f t="shared" si="71"/>
        <v>1+ hours</v>
      </c>
      <c r="P2267" t="s">
        <v>34</v>
      </c>
    </row>
    <row r="2268" spans="1:16" x14ac:dyDescent="0.4">
      <c r="A2268" t="s">
        <v>2309</v>
      </c>
      <c r="B2268">
        <v>29</v>
      </c>
      <c r="C2268" t="s">
        <v>27</v>
      </c>
      <c r="D2268" t="s">
        <v>22</v>
      </c>
      <c r="E2268">
        <v>0.24</v>
      </c>
      <c r="F2268">
        <v>23</v>
      </c>
      <c r="G2268" t="s">
        <v>33</v>
      </c>
      <c r="H2268" t="s">
        <v>18</v>
      </c>
      <c r="I2268" s="2">
        <v>13.99</v>
      </c>
      <c r="J2268">
        <v>1</v>
      </c>
      <c r="K2268" s="2">
        <f t="shared" si="70"/>
        <v>13.99</v>
      </c>
      <c r="L2268" t="s">
        <v>61</v>
      </c>
      <c r="M2268">
        <v>2</v>
      </c>
      <c r="N2268">
        <v>0.01</v>
      </c>
      <c r="O2268" t="str">
        <f t="shared" si="71"/>
        <v>0–0.2 hours</v>
      </c>
      <c r="P2268" t="s">
        <v>52</v>
      </c>
    </row>
    <row r="2269" spans="1:16" x14ac:dyDescent="0.4">
      <c r="A2269" t="s">
        <v>2310</v>
      </c>
      <c r="B2269">
        <v>55</v>
      </c>
      <c r="C2269" t="s">
        <v>27</v>
      </c>
      <c r="D2269" t="s">
        <v>16</v>
      </c>
      <c r="E2269">
        <v>18.98</v>
      </c>
      <c r="F2269">
        <v>34</v>
      </c>
      <c r="G2269" t="s">
        <v>49</v>
      </c>
      <c r="H2269" t="s">
        <v>55</v>
      </c>
      <c r="I2269" s="2">
        <v>8.99</v>
      </c>
      <c r="J2269">
        <v>0</v>
      </c>
      <c r="K2269" s="2">
        <f t="shared" si="70"/>
        <v>0</v>
      </c>
      <c r="L2269" t="s">
        <v>43</v>
      </c>
      <c r="M2269">
        <v>5</v>
      </c>
      <c r="N2269">
        <v>0.54</v>
      </c>
      <c r="O2269" t="str">
        <f t="shared" si="71"/>
        <v>0.4–0.6 hours</v>
      </c>
      <c r="P2269" t="s">
        <v>52</v>
      </c>
    </row>
    <row r="2270" spans="1:16" x14ac:dyDescent="0.4">
      <c r="A2270" t="s">
        <v>2311</v>
      </c>
      <c r="B2270">
        <v>63</v>
      </c>
      <c r="C2270" t="s">
        <v>41</v>
      </c>
      <c r="D2270" t="s">
        <v>32</v>
      </c>
      <c r="E2270">
        <v>2.96</v>
      </c>
      <c r="F2270">
        <v>25</v>
      </c>
      <c r="G2270" t="s">
        <v>70</v>
      </c>
      <c r="H2270" t="s">
        <v>55</v>
      </c>
      <c r="I2270" s="2">
        <v>17.989999999999998</v>
      </c>
      <c r="J2270">
        <v>0</v>
      </c>
      <c r="K2270" s="2">
        <f t="shared" si="70"/>
        <v>0</v>
      </c>
      <c r="L2270" t="s">
        <v>37</v>
      </c>
      <c r="M2270">
        <v>4</v>
      </c>
      <c r="N2270">
        <v>0.11</v>
      </c>
      <c r="O2270" t="str">
        <f t="shared" si="71"/>
        <v>0–0.2 hours</v>
      </c>
      <c r="P2270" t="s">
        <v>20</v>
      </c>
    </row>
    <row r="2271" spans="1:16" x14ac:dyDescent="0.4">
      <c r="A2271" t="s">
        <v>2312</v>
      </c>
      <c r="B2271">
        <v>66</v>
      </c>
      <c r="C2271" t="s">
        <v>15</v>
      </c>
      <c r="D2271" t="s">
        <v>32</v>
      </c>
      <c r="E2271">
        <v>1.4</v>
      </c>
      <c r="F2271">
        <v>23</v>
      </c>
      <c r="G2271" t="s">
        <v>28</v>
      </c>
      <c r="H2271" t="s">
        <v>46</v>
      </c>
      <c r="I2271" s="2">
        <v>17.989999999999998</v>
      </c>
      <c r="J2271">
        <v>1</v>
      </c>
      <c r="K2271" s="2">
        <f t="shared" si="70"/>
        <v>17.989999999999998</v>
      </c>
      <c r="L2271" t="s">
        <v>19</v>
      </c>
      <c r="M2271">
        <v>2</v>
      </c>
      <c r="N2271">
        <v>0.06</v>
      </c>
      <c r="O2271" t="str">
        <f t="shared" si="71"/>
        <v>0–0.2 hours</v>
      </c>
      <c r="P2271" t="s">
        <v>52</v>
      </c>
    </row>
    <row r="2272" spans="1:16" x14ac:dyDescent="0.4">
      <c r="A2272" t="s">
        <v>2313</v>
      </c>
      <c r="B2272">
        <v>24</v>
      </c>
      <c r="C2272" t="s">
        <v>15</v>
      </c>
      <c r="D2272" t="s">
        <v>16</v>
      </c>
      <c r="E2272">
        <v>3.05</v>
      </c>
      <c r="F2272">
        <v>54</v>
      </c>
      <c r="G2272" t="s">
        <v>33</v>
      </c>
      <c r="H2272" t="s">
        <v>55</v>
      </c>
      <c r="I2272" s="2">
        <v>8.99</v>
      </c>
      <c r="J2272">
        <v>1</v>
      </c>
      <c r="K2272" s="2">
        <f t="shared" si="70"/>
        <v>8.99</v>
      </c>
      <c r="L2272" t="s">
        <v>19</v>
      </c>
      <c r="M2272">
        <v>3</v>
      </c>
      <c r="N2272">
        <v>0.06</v>
      </c>
      <c r="O2272" t="str">
        <f t="shared" si="71"/>
        <v>0–0.2 hours</v>
      </c>
      <c r="P2272" t="s">
        <v>30</v>
      </c>
    </row>
    <row r="2273" spans="1:16" x14ac:dyDescent="0.4">
      <c r="A2273" t="s">
        <v>2314</v>
      </c>
      <c r="B2273">
        <v>22</v>
      </c>
      <c r="C2273" t="s">
        <v>41</v>
      </c>
      <c r="D2273" t="s">
        <v>16</v>
      </c>
      <c r="E2273">
        <v>5.15</v>
      </c>
      <c r="F2273">
        <v>25</v>
      </c>
      <c r="G2273" t="s">
        <v>17</v>
      </c>
      <c r="H2273" t="s">
        <v>46</v>
      </c>
      <c r="I2273" s="2">
        <v>8.99</v>
      </c>
      <c r="J2273">
        <v>0</v>
      </c>
      <c r="K2273" s="2">
        <f t="shared" si="70"/>
        <v>0</v>
      </c>
      <c r="L2273" t="s">
        <v>29</v>
      </c>
      <c r="M2273">
        <v>4</v>
      </c>
      <c r="N2273">
        <v>0.2</v>
      </c>
      <c r="O2273" t="str">
        <f t="shared" si="71"/>
        <v>0–0.2 hours</v>
      </c>
      <c r="P2273" t="s">
        <v>52</v>
      </c>
    </row>
    <row r="2274" spans="1:16" x14ac:dyDescent="0.4">
      <c r="A2274" t="s">
        <v>2315</v>
      </c>
      <c r="B2274">
        <v>34</v>
      </c>
      <c r="C2274" t="s">
        <v>41</v>
      </c>
      <c r="D2274" t="s">
        <v>32</v>
      </c>
      <c r="E2274">
        <v>26.14</v>
      </c>
      <c r="F2274">
        <v>15</v>
      </c>
      <c r="G2274" t="s">
        <v>33</v>
      </c>
      <c r="H2274" t="s">
        <v>24</v>
      </c>
      <c r="I2274" s="2">
        <v>17.989999999999998</v>
      </c>
      <c r="J2274">
        <v>0</v>
      </c>
      <c r="K2274" s="2">
        <f t="shared" si="70"/>
        <v>0</v>
      </c>
      <c r="L2274" t="s">
        <v>37</v>
      </c>
      <c r="M2274">
        <v>3</v>
      </c>
      <c r="N2274">
        <v>1.63</v>
      </c>
      <c r="O2274" t="str">
        <f t="shared" si="71"/>
        <v>1+ hours</v>
      </c>
      <c r="P2274" t="s">
        <v>39</v>
      </c>
    </row>
    <row r="2275" spans="1:16" x14ac:dyDescent="0.4">
      <c r="A2275" t="s">
        <v>2316</v>
      </c>
      <c r="B2275">
        <v>64</v>
      </c>
      <c r="C2275" t="s">
        <v>15</v>
      </c>
      <c r="D2275" t="s">
        <v>32</v>
      </c>
      <c r="E2275">
        <v>8.4600000000000009</v>
      </c>
      <c r="F2275">
        <v>20</v>
      </c>
      <c r="G2275" t="s">
        <v>28</v>
      </c>
      <c r="H2275" t="s">
        <v>46</v>
      </c>
      <c r="I2275" s="2">
        <v>17.989999999999998</v>
      </c>
      <c r="J2275">
        <v>0</v>
      </c>
      <c r="K2275" s="2">
        <f t="shared" si="70"/>
        <v>0</v>
      </c>
      <c r="L2275" t="s">
        <v>37</v>
      </c>
      <c r="M2275">
        <v>4</v>
      </c>
      <c r="N2275">
        <v>0.4</v>
      </c>
      <c r="O2275" t="str">
        <f t="shared" si="71"/>
        <v>0.2–0.4 hours</v>
      </c>
      <c r="P2275" t="s">
        <v>39</v>
      </c>
    </row>
    <row r="2276" spans="1:16" x14ac:dyDescent="0.4">
      <c r="A2276" t="s">
        <v>2317</v>
      </c>
      <c r="B2276">
        <v>67</v>
      </c>
      <c r="C2276" t="s">
        <v>27</v>
      </c>
      <c r="D2276" t="s">
        <v>16</v>
      </c>
      <c r="E2276">
        <v>3.68</v>
      </c>
      <c r="F2276">
        <v>34</v>
      </c>
      <c r="G2276" t="s">
        <v>70</v>
      </c>
      <c r="H2276" t="s">
        <v>57</v>
      </c>
      <c r="I2276" s="2">
        <v>8.99</v>
      </c>
      <c r="J2276">
        <v>1</v>
      </c>
      <c r="K2276" s="2">
        <f t="shared" si="70"/>
        <v>8.99</v>
      </c>
      <c r="L2276" t="s">
        <v>43</v>
      </c>
      <c r="M2276">
        <v>1</v>
      </c>
      <c r="N2276">
        <v>0.11</v>
      </c>
      <c r="O2276" t="str">
        <f t="shared" si="71"/>
        <v>0–0.2 hours</v>
      </c>
      <c r="P2276" t="s">
        <v>25</v>
      </c>
    </row>
    <row r="2277" spans="1:16" x14ac:dyDescent="0.4">
      <c r="A2277" t="s">
        <v>2318</v>
      </c>
      <c r="B2277">
        <v>38</v>
      </c>
      <c r="C2277" t="s">
        <v>41</v>
      </c>
      <c r="D2277" t="s">
        <v>22</v>
      </c>
      <c r="E2277">
        <v>6.77</v>
      </c>
      <c r="F2277">
        <v>49</v>
      </c>
      <c r="G2277" t="s">
        <v>23</v>
      </c>
      <c r="H2277" t="s">
        <v>24</v>
      </c>
      <c r="I2277" s="2">
        <v>13.99</v>
      </c>
      <c r="J2277">
        <v>1</v>
      </c>
      <c r="K2277" s="2">
        <f t="shared" si="70"/>
        <v>13.99</v>
      </c>
      <c r="L2277" t="s">
        <v>19</v>
      </c>
      <c r="M2277">
        <v>3</v>
      </c>
      <c r="N2277">
        <v>0.14000000000000001</v>
      </c>
      <c r="O2277" t="str">
        <f t="shared" si="71"/>
        <v>0–0.2 hours</v>
      </c>
      <c r="P2277" t="s">
        <v>39</v>
      </c>
    </row>
    <row r="2278" spans="1:16" x14ac:dyDescent="0.4">
      <c r="A2278" t="s">
        <v>2319</v>
      </c>
      <c r="B2278">
        <v>57</v>
      </c>
      <c r="C2278" t="s">
        <v>27</v>
      </c>
      <c r="D2278" t="s">
        <v>16</v>
      </c>
      <c r="E2278">
        <v>1.24</v>
      </c>
      <c r="F2278">
        <v>52</v>
      </c>
      <c r="G2278" t="s">
        <v>23</v>
      </c>
      <c r="H2278" t="s">
        <v>55</v>
      </c>
      <c r="I2278" s="2">
        <v>8.99</v>
      </c>
      <c r="J2278">
        <v>1</v>
      </c>
      <c r="K2278" s="2">
        <f t="shared" si="70"/>
        <v>8.99</v>
      </c>
      <c r="L2278" t="s">
        <v>61</v>
      </c>
      <c r="M2278">
        <v>4</v>
      </c>
      <c r="N2278">
        <v>0.02</v>
      </c>
      <c r="O2278" t="str">
        <f t="shared" si="71"/>
        <v>0–0.2 hours</v>
      </c>
      <c r="P2278" t="s">
        <v>25</v>
      </c>
    </row>
    <row r="2279" spans="1:16" x14ac:dyDescent="0.4">
      <c r="A2279" t="s">
        <v>2320</v>
      </c>
      <c r="B2279">
        <v>31</v>
      </c>
      <c r="C2279" t="s">
        <v>41</v>
      </c>
      <c r="D2279" t="s">
        <v>16</v>
      </c>
      <c r="E2279">
        <v>1.04</v>
      </c>
      <c r="F2279">
        <v>46</v>
      </c>
      <c r="G2279" t="s">
        <v>49</v>
      </c>
      <c r="H2279" t="s">
        <v>18</v>
      </c>
      <c r="I2279" s="2">
        <v>8.99</v>
      </c>
      <c r="J2279">
        <v>1</v>
      </c>
      <c r="K2279" s="2">
        <f t="shared" si="70"/>
        <v>8.99</v>
      </c>
      <c r="L2279" t="s">
        <v>43</v>
      </c>
      <c r="M2279">
        <v>1</v>
      </c>
      <c r="N2279">
        <v>0.02</v>
      </c>
      <c r="O2279" t="str">
        <f t="shared" si="71"/>
        <v>0–0.2 hours</v>
      </c>
      <c r="P2279" t="s">
        <v>39</v>
      </c>
    </row>
    <row r="2280" spans="1:16" x14ac:dyDescent="0.4">
      <c r="A2280" t="s">
        <v>2321</v>
      </c>
      <c r="B2280">
        <v>43</v>
      </c>
      <c r="C2280" t="s">
        <v>41</v>
      </c>
      <c r="D2280" t="s">
        <v>16</v>
      </c>
      <c r="E2280">
        <v>1.63</v>
      </c>
      <c r="F2280">
        <v>0</v>
      </c>
      <c r="G2280" t="s">
        <v>33</v>
      </c>
      <c r="H2280" t="s">
        <v>24</v>
      </c>
      <c r="I2280" s="2">
        <v>8.99</v>
      </c>
      <c r="J2280">
        <v>0</v>
      </c>
      <c r="K2280" s="2">
        <f t="shared" si="70"/>
        <v>0</v>
      </c>
      <c r="L2280" t="s">
        <v>61</v>
      </c>
      <c r="M2280">
        <v>3</v>
      </c>
      <c r="N2280">
        <v>1.63</v>
      </c>
      <c r="O2280" t="str">
        <f t="shared" si="71"/>
        <v>1+ hours</v>
      </c>
      <c r="P2280" t="s">
        <v>52</v>
      </c>
    </row>
    <row r="2281" spans="1:16" x14ac:dyDescent="0.4">
      <c r="A2281" t="s">
        <v>2322</v>
      </c>
      <c r="B2281">
        <v>69</v>
      </c>
      <c r="C2281" t="s">
        <v>15</v>
      </c>
      <c r="D2281" t="s">
        <v>32</v>
      </c>
      <c r="E2281">
        <v>3.66</v>
      </c>
      <c r="F2281">
        <v>53</v>
      </c>
      <c r="G2281" t="s">
        <v>33</v>
      </c>
      <c r="H2281" t="s">
        <v>18</v>
      </c>
      <c r="I2281" s="2">
        <v>17.989999999999998</v>
      </c>
      <c r="J2281">
        <v>1</v>
      </c>
      <c r="K2281" s="2">
        <f t="shared" si="70"/>
        <v>17.989999999999998</v>
      </c>
      <c r="L2281" t="s">
        <v>29</v>
      </c>
      <c r="M2281">
        <v>4</v>
      </c>
      <c r="N2281">
        <v>7.0000000000000007E-2</v>
      </c>
      <c r="O2281" t="str">
        <f t="shared" si="71"/>
        <v>0–0.2 hours</v>
      </c>
      <c r="P2281" t="s">
        <v>25</v>
      </c>
    </row>
    <row r="2282" spans="1:16" x14ac:dyDescent="0.4">
      <c r="A2282" t="s">
        <v>2323</v>
      </c>
      <c r="B2282">
        <v>55</v>
      </c>
      <c r="C2282" t="s">
        <v>41</v>
      </c>
      <c r="D2282" t="s">
        <v>16</v>
      </c>
      <c r="E2282">
        <v>9.2799999999999994</v>
      </c>
      <c r="F2282">
        <v>42</v>
      </c>
      <c r="G2282" t="s">
        <v>28</v>
      </c>
      <c r="H2282" t="s">
        <v>46</v>
      </c>
      <c r="I2282" s="2">
        <v>8.99</v>
      </c>
      <c r="J2282">
        <v>1</v>
      </c>
      <c r="K2282" s="2">
        <f t="shared" si="70"/>
        <v>8.99</v>
      </c>
      <c r="L2282" t="s">
        <v>43</v>
      </c>
      <c r="M2282">
        <v>2</v>
      </c>
      <c r="N2282">
        <v>0.22</v>
      </c>
      <c r="O2282" t="str">
        <f t="shared" si="71"/>
        <v>0.2–0.4 hours</v>
      </c>
      <c r="P2282" t="s">
        <v>34</v>
      </c>
    </row>
    <row r="2283" spans="1:16" x14ac:dyDescent="0.4">
      <c r="A2283" t="s">
        <v>2324</v>
      </c>
      <c r="B2283">
        <v>43</v>
      </c>
      <c r="C2283" t="s">
        <v>15</v>
      </c>
      <c r="D2283" t="s">
        <v>22</v>
      </c>
      <c r="E2283">
        <v>77.569999999999993</v>
      </c>
      <c r="F2283">
        <v>6</v>
      </c>
      <c r="G2283" t="s">
        <v>49</v>
      </c>
      <c r="H2283" t="s">
        <v>24</v>
      </c>
      <c r="I2283" s="2">
        <v>13.99</v>
      </c>
      <c r="J2283">
        <v>0</v>
      </c>
      <c r="K2283" s="2">
        <f t="shared" si="70"/>
        <v>0</v>
      </c>
      <c r="L2283" t="s">
        <v>61</v>
      </c>
      <c r="M2283">
        <v>4</v>
      </c>
      <c r="N2283">
        <v>11.08</v>
      </c>
      <c r="O2283" t="str">
        <f t="shared" si="71"/>
        <v>1+ hours</v>
      </c>
      <c r="P2283" t="s">
        <v>47</v>
      </c>
    </row>
    <row r="2284" spans="1:16" x14ac:dyDescent="0.4">
      <c r="A2284" t="s">
        <v>2325</v>
      </c>
      <c r="B2284">
        <v>46</v>
      </c>
      <c r="C2284" t="s">
        <v>27</v>
      </c>
      <c r="D2284" t="s">
        <v>32</v>
      </c>
      <c r="E2284">
        <v>3.16</v>
      </c>
      <c r="F2284">
        <v>5</v>
      </c>
      <c r="G2284" t="s">
        <v>28</v>
      </c>
      <c r="H2284" t="s">
        <v>18</v>
      </c>
      <c r="I2284" s="2">
        <v>17.989999999999998</v>
      </c>
      <c r="J2284">
        <v>0</v>
      </c>
      <c r="K2284" s="2">
        <f t="shared" si="70"/>
        <v>0</v>
      </c>
      <c r="L2284" t="s">
        <v>37</v>
      </c>
      <c r="M2284">
        <v>5</v>
      </c>
      <c r="N2284">
        <v>0.53</v>
      </c>
      <c r="O2284" t="str">
        <f t="shared" si="71"/>
        <v>0.4–0.6 hours</v>
      </c>
      <c r="P2284" t="s">
        <v>20</v>
      </c>
    </row>
    <row r="2285" spans="1:16" x14ac:dyDescent="0.4">
      <c r="A2285" t="s">
        <v>2326</v>
      </c>
      <c r="B2285">
        <v>60</v>
      </c>
      <c r="C2285" t="s">
        <v>27</v>
      </c>
      <c r="D2285" t="s">
        <v>32</v>
      </c>
      <c r="E2285">
        <v>9.31</v>
      </c>
      <c r="F2285">
        <v>2</v>
      </c>
      <c r="G2285" t="s">
        <v>23</v>
      </c>
      <c r="H2285" t="s">
        <v>55</v>
      </c>
      <c r="I2285" s="2">
        <v>17.989999999999998</v>
      </c>
      <c r="J2285">
        <v>0</v>
      </c>
      <c r="K2285" s="2">
        <f t="shared" si="70"/>
        <v>0</v>
      </c>
      <c r="L2285" t="s">
        <v>43</v>
      </c>
      <c r="M2285">
        <v>5</v>
      </c>
      <c r="N2285">
        <v>3.1</v>
      </c>
      <c r="O2285" t="str">
        <f t="shared" si="71"/>
        <v>1+ hours</v>
      </c>
      <c r="P2285" t="s">
        <v>34</v>
      </c>
    </row>
    <row r="2286" spans="1:16" x14ac:dyDescent="0.4">
      <c r="A2286" t="s">
        <v>2327</v>
      </c>
      <c r="B2286">
        <v>32</v>
      </c>
      <c r="C2286" t="s">
        <v>41</v>
      </c>
      <c r="D2286" t="s">
        <v>32</v>
      </c>
      <c r="E2286">
        <v>24.08</v>
      </c>
      <c r="F2286">
        <v>37</v>
      </c>
      <c r="G2286" t="s">
        <v>33</v>
      </c>
      <c r="H2286" t="s">
        <v>57</v>
      </c>
      <c r="I2286" s="2">
        <v>17.989999999999998</v>
      </c>
      <c r="J2286">
        <v>0</v>
      </c>
      <c r="K2286" s="2">
        <f t="shared" si="70"/>
        <v>0</v>
      </c>
      <c r="L2286" t="s">
        <v>37</v>
      </c>
      <c r="M2286">
        <v>3</v>
      </c>
      <c r="N2286">
        <v>0.63</v>
      </c>
      <c r="O2286" t="str">
        <f t="shared" si="71"/>
        <v>0.6–0.8 hours</v>
      </c>
      <c r="P2286" t="s">
        <v>20</v>
      </c>
    </row>
    <row r="2287" spans="1:16" x14ac:dyDescent="0.4">
      <c r="A2287" t="s">
        <v>2328</v>
      </c>
      <c r="B2287">
        <v>42</v>
      </c>
      <c r="C2287" t="s">
        <v>15</v>
      </c>
      <c r="D2287" t="s">
        <v>16</v>
      </c>
      <c r="E2287">
        <v>12.95</v>
      </c>
      <c r="F2287">
        <v>41</v>
      </c>
      <c r="G2287" t="s">
        <v>33</v>
      </c>
      <c r="H2287" t="s">
        <v>55</v>
      </c>
      <c r="I2287" s="2">
        <v>8.99</v>
      </c>
      <c r="J2287">
        <v>1</v>
      </c>
      <c r="K2287" s="2">
        <f t="shared" si="70"/>
        <v>8.99</v>
      </c>
      <c r="L2287" t="s">
        <v>19</v>
      </c>
      <c r="M2287">
        <v>1</v>
      </c>
      <c r="N2287">
        <v>0.31</v>
      </c>
      <c r="O2287" t="str">
        <f t="shared" si="71"/>
        <v>0.2–0.4 hours</v>
      </c>
      <c r="P2287" t="s">
        <v>47</v>
      </c>
    </row>
    <row r="2288" spans="1:16" x14ac:dyDescent="0.4">
      <c r="A2288" t="s">
        <v>2329</v>
      </c>
      <c r="B2288">
        <v>32</v>
      </c>
      <c r="C2288" t="s">
        <v>27</v>
      </c>
      <c r="D2288" t="s">
        <v>22</v>
      </c>
      <c r="E2288">
        <v>9.8000000000000007</v>
      </c>
      <c r="F2288">
        <v>5</v>
      </c>
      <c r="G2288" t="s">
        <v>70</v>
      </c>
      <c r="H2288" t="s">
        <v>57</v>
      </c>
      <c r="I2288" s="2">
        <v>13.99</v>
      </c>
      <c r="J2288">
        <v>0</v>
      </c>
      <c r="K2288" s="2">
        <f t="shared" si="70"/>
        <v>0</v>
      </c>
      <c r="L2288" t="s">
        <v>61</v>
      </c>
      <c r="M2288">
        <v>3</v>
      </c>
      <c r="N2288">
        <v>1.63</v>
      </c>
      <c r="O2288" t="str">
        <f t="shared" si="71"/>
        <v>1+ hours</v>
      </c>
      <c r="P2288" t="s">
        <v>30</v>
      </c>
    </row>
    <row r="2289" spans="1:16" x14ac:dyDescent="0.4">
      <c r="A2289" t="s">
        <v>2330</v>
      </c>
      <c r="B2289">
        <v>35</v>
      </c>
      <c r="C2289" t="s">
        <v>41</v>
      </c>
      <c r="D2289" t="s">
        <v>22</v>
      </c>
      <c r="E2289">
        <v>23.05</v>
      </c>
      <c r="F2289">
        <v>14</v>
      </c>
      <c r="G2289" t="s">
        <v>17</v>
      </c>
      <c r="H2289" t="s">
        <v>46</v>
      </c>
      <c r="I2289" s="2">
        <v>13.99</v>
      </c>
      <c r="J2289">
        <v>0</v>
      </c>
      <c r="K2289" s="2">
        <f t="shared" si="70"/>
        <v>0</v>
      </c>
      <c r="L2289" t="s">
        <v>37</v>
      </c>
      <c r="M2289">
        <v>4</v>
      </c>
      <c r="N2289">
        <v>1.54</v>
      </c>
      <c r="O2289" t="str">
        <f t="shared" si="71"/>
        <v>1+ hours</v>
      </c>
      <c r="P2289" t="s">
        <v>52</v>
      </c>
    </row>
    <row r="2290" spans="1:16" x14ac:dyDescent="0.4">
      <c r="A2290" t="s">
        <v>2331</v>
      </c>
      <c r="B2290">
        <v>60</v>
      </c>
      <c r="C2290" t="s">
        <v>15</v>
      </c>
      <c r="D2290" t="s">
        <v>16</v>
      </c>
      <c r="E2290">
        <v>12.11</v>
      </c>
      <c r="F2290">
        <v>33</v>
      </c>
      <c r="G2290" t="s">
        <v>33</v>
      </c>
      <c r="H2290" t="s">
        <v>55</v>
      </c>
      <c r="I2290" s="2">
        <v>8.99</v>
      </c>
      <c r="J2290">
        <v>1</v>
      </c>
      <c r="K2290" s="2">
        <f t="shared" si="70"/>
        <v>8.99</v>
      </c>
      <c r="L2290" t="s">
        <v>29</v>
      </c>
      <c r="M2290">
        <v>4</v>
      </c>
      <c r="N2290">
        <v>0.36</v>
      </c>
      <c r="O2290" t="str">
        <f t="shared" si="71"/>
        <v>0.2–0.4 hours</v>
      </c>
      <c r="P2290" t="s">
        <v>47</v>
      </c>
    </row>
    <row r="2291" spans="1:16" x14ac:dyDescent="0.4">
      <c r="A2291" t="s">
        <v>2332</v>
      </c>
      <c r="B2291">
        <v>68</v>
      </c>
      <c r="C2291" t="s">
        <v>27</v>
      </c>
      <c r="D2291" t="s">
        <v>22</v>
      </c>
      <c r="E2291">
        <v>2.58</v>
      </c>
      <c r="F2291">
        <v>37</v>
      </c>
      <c r="G2291" t="s">
        <v>49</v>
      </c>
      <c r="H2291" t="s">
        <v>57</v>
      </c>
      <c r="I2291" s="2">
        <v>13.99</v>
      </c>
      <c r="J2291">
        <v>1</v>
      </c>
      <c r="K2291" s="2">
        <f t="shared" si="70"/>
        <v>13.99</v>
      </c>
      <c r="L2291" t="s">
        <v>37</v>
      </c>
      <c r="M2291">
        <v>3</v>
      </c>
      <c r="N2291">
        <v>7.0000000000000007E-2</v>
      </c>
      <c r="O2291" t="str">
        <f t="shared" si="71"/>
        <v>0–0.2 hours</v>
      </c>
      <c r="P2291" t="s">
        <v>25</v>
      </c>
    </row>
    <row r="2292" spans="1:16" x14ac:dyDescent="0.4">
      <c r="A2292" t="s">
        <v>2333</v>
      </c>
      <c r="B2292">
        <v>43</v>
      </c>
      <c r="C2292" t="s">
        <v>41</v>
      </c>
      <c r="D2292" t="s">
        <v>22</v>
      </c>
      <c r="E2292">
        <v>16.48</v>
      </c>
      <c r="F2292">
        <v>17</v>
      </c>
      <c r="G2292" t="s">
        <v>70</v>
      </c>
      <c r="H2292" t="s">
        <v>57</v>
      </c>
      <c r="I2292" s="2">
        <v>13.99</v>
      </c>
      <c r="J2292">
        <v>0</v>
      </c>
      <c r="K2292" s="2">
        <f t="shared" si="70"/>
        <v>0</v>
      </c>
      <c r="L2292" t="s">
        <v>19</v>
      </c>
      <c r="M2292">
        <v>3</v>
      </c>
      <c r="N2292">
        <v>0.92</v>
      </c>
      <c r="O2292" t="str">
        <f t="shared" si="71"/>
        <v>0.8–1 hour</v>
      </c>
      <c r="P2292" t="s">
        <v>47</v>
      </c>
    </row>
    <row r="2293" spans="1:16" x14ac:dyDescent="0.4">
      <c r="A2293" t="s">
        <v>2334</v>
      </c>
      <c r="B2293">
        <v>64</v>
      </c>
      <c r="C2293" t="s">
        <v>41</v>
      </c>
      <c r="D2293" t="s">
        <v>22</v>
      </c>
      <c r="E2293">
        <v>10.46</v>
      </c>
      <c r="F2293">
        <v>51</v>
      </c>
      <c r="G2293" t="s">
        <v>49</v>
      </c>
      <c r="H2293" t="s">
        <v>46</v>
      </c>
      <c r="I2293" s="2">
        <v>13.99</v>
      </c>
      <c r="J2293">
        <v>1</v>
      </c>
      <c r="K2293" s="2">
        <f t="shared" si="70"/>
        <v>13.99</v>
      </c>
      <c r="L2293" t="s">
        <v>61</v>
      </c>
      <c r="M2293">
        <v>2</v>
      </c>
      <c r="N2293">
        <v>0.2</v>
      </c>
      <c r="O2293" t="str">
        <f t="shared" si="71"/>
        <v>0–0.2 hours</v>
      </c>
      <c r="P2293" t="s">
        <v>47</v>
      </c>
    </row>
    <row r="2294" spans="1:16" x14ac:dyDescent="0.4">
      <c r="A2294" t="s">
        <v>2335</v>
      </c>
      <c r="B2294">
        <v>56</v>
      </c>
      <c r="C2294" t="s">
        <v>27</v>
      </c>
      <c r="D2294" t="s">
        <v>16</v>
      </c>
      <c r="E2294">
        <v>2.15</v>
      </c>
      <c r="F2294">
        <v>12</v>
      </c>
      <c r="G2294" t="s">
        <v>49</v>
      </c>
      <c r="H2294" t="s">
        <v>46</v>
      </c>
      <c r="I2294" s="2">
        <v>8.99</v>
      </c>
      <c r="J2294">
        <v>1</v>
      </c>
      <c r="K2294" s="2">
        <f t="shared" si="70"/>
        <v>8.99</v>
      </c>
      <c r="L2294" t="s">
        <v>43</v>
      </c>
      <c r="M2294">
        <v>5</v>
      </c>
      <c r="N2294">
        <v>0.17</v>
      </c>
      <c r="O2294" t="str">
        <f t="shared" si="71"/>
        <v>0–0.2 hours</v>
      </c>
      <c r="P2294" t="s">
        <v>30</v>
      </c>
    </row>
    <row r="2295" spans="1:16" x14ac:dyDescent="0.4">
      <c r="A2295" t="s">
        <v>2336</v>
      </c>
      <c r="B2295">
        <v>56</v>
      </c>
      <c r="C2295" t="s">
        <v>15</v>
      </c>
      <c r="D2295" t="s">
        <v>32</v>
      </c>
      <c r="E2295">
        <v>19.25</v>
      </c>
      <c r="F2295">
        <v>28</v>
      </c>
      <c r="G2295" t="s">
        <v>70</v>
      </c>
      <c r="H2295" t="s">
        <v>46</v>
      </c>
      <c r="I2295" s="2">
        <v>17.989999999999998</v>
      </c>
      <c r="J2295">
        <v>0</v>
      </c>
      <c r="K2295" s="2">
        <f t="shared" si="70"/>
        <v>0</v>
      </c>
      <c r="L2295" t="s">
        <v>61</v>
      </c>
      <c r="M2295">
        <v>5</v>
      </c>
      <c r="N2295">
        <v>0.66</v>
      </c>
      <c r="O2295" t="str">
        <f t="shared" si="71"/>
        <v>0.6–0.8 hours</v>
      </c>
      <c r="P2295" t="s">
        <v>20</v>
      </c>
    </row>
    <row r="2296" spans="1:16" x14ac:dyDescent="0.4">
      <c r="A2296" t="s">
        <v>2337</v>
      </c>
      <c r="B2296">
        <v>57</v>
      </c>
      <c r="C2296" t="s">
        <v>15</v>
      </c>
      <c r="D2296" t="s">
        <v>32</v>
      </c>
      <c r="E2296">
        <v>8.6199999999999992</v>
      </c>
      <c r="F2296">
        <v>40</v>
      </c>
      <c r="G2296" t="s">
        <v>17</v>
      </c>
      <c r="H2296" t="s">
        <v>55</v>
      </c>
      <c r="I2296" s="2">
        <v>17.989999999999998</v>
      </c>
      <c r="J2296">
        <v>1</v>
      </c>
      <c r="K2296" s="2">
        <f t="shared" si="70"/>
        <v>17.989999999999998</v>
      </c>
      <c r="L2296" t="s">
        <v>43</v>
      </c>
      <c r="M2296">
        <v>2</v>
      </c>
      <c r="N2296">
        <v>0.21</v>
      </c>
      <c r="O2296" t="str">
        <f t="shared" si="71"/>
        <v>0.2–0.4 hours</v>
      </c>
      <c r="P2296" t="s">
        <v>39</v>
      </c>
    </row>
    <row r="2297" spans="1:16" x14ac:dyDescent="0.4">
      <c r="A2297" t="s">
        <v>2338</v>
      </c>
      <c r="B2297">
        <v>38</v>
      </c>
      <c r="C2297" t="s">
        <v>15</v>
      </c>
      <c r="D2297" t="s">
        <v>22</v>
      </c>
      <c r="E2297">
        <v>10.23</v>
      </c>
      <c r="F2297">
        <v>18</v>
      </c>
      <c r="G2297" t="s">
        <v>17</v>
      </c>
      <c r="H2297" t="s">
        <v>18</v>
      </c>
      <c r="I2297" s="2">
        <v>13.99</v>
      </c>
      <c r="J2297">
        <v>0</v>
      </c>
      <c r="K2297" s="2">
        <f t="shared" si="70"/>
        <v>0</v>
      </c>
      <c r="L2297" t="s">
        <v>43</v>
      </c>
      <c r="M2297">
        <v>5</v>
      </c>
      <c r="N2297">
        <v>0.54</v>
      </c>
      <c r="O2297" t="str">
        <f t="shared" si="71"/>
        <v>0.4–0.6 hours</v>
      </c>
      <c r="P2297" t="s">
        <v>52</v>
      </c>
    </row>
    <row r="2298" spans="1:16" x14ac:dyDescent="0.4">
      <c r="A2298" t="s">
        <v>2339</v>
      </c>
      <c r="B2298">
        <v>35</v>
      </c>
      <c r="C2298" t="s">
        <v>15</v>
      </c>
      <c r="D2298" t="s">
        <v>32</v>
      </c>
      <c r="E2298">
        <v>21.23</v>
      </c>
      <c r="F2298">
        <v>9</v>
      </c>
      <c r="G2298" t="s">
        <v>28</v>
      </c>
      <c r="H2298" t="s">
        <v>18</v>
      </c>
      <c r="I2298" s="2">
        <v>17.989999999999998</v>
      </c>
      <c r="J2298">
        <v>0</v>
      </c>
      <c r="K2298" s="2">
        <f t="shared" si="70"/>
        <v>0</v>
      </c>
      <c r="L2298" t="s">
        <v>43</v>
      </c>
      <c r="M2298">
        <v>5</v>
      </c>
      <c r="N2298">
        <v>2.12</v>
      </c>
      <c r="O2298" t="str">
        <f t="shared" si="71"/>
        <v>1+ hours</v>
      </c>
      <c r="P2298" t="s">
        <v>34</v>
      </c>
    </row>
    <row r="2299" spans="1:16" x14ac:dyDescent="0.4">
      <c r="A2299" t="s">
        <v>2340</v>
      </c>
      <c r="B2299">
        <v>35</v>
      </c>
      <c r="C2299" t="s">
        <v>41</v>
      </c>
      <c r="D2299" t="s">
        <v>16</v>
      </c>
      <c r="E2299">
        <v>16.649999999999999</v>
      </c>
      <c r="F2299">
        <v>46</v>
      </c>
      <c r="G2299" t="s">
        <v>28</v>
      </c>
      <c r="H2299" t="s">
        <v>18</v>
      </c>
      <c r="I2299" s="2">
        <v>8.99</v>
      </c>
      <c r="J2299">
        <v>1</v>
      </c>
      <c r="K2299" s="2">
        <f t="shared" si="70"/>
        <v>8.99</v>
      </c>
      <c r="L2299" t="s">
        <v>29</v>
      </c>
      <c r="M2299">
        <v>3</v>
      </c>
      <c r="N2299">
        <v>0.35</v>
      </c>
      <c r="O2299" t="str">
        <f t="shared" si="71"/>
        <v>0.2–0.4 hours</v>
      </c>
      <c r="P2299" t="s">
        <v>39</v>
      </c>
    </row>
    <row r="2300" spans="1:16" x14ac:dyDescent="0.4">
      <c r="A2300" t="s">
        <v>2341</v>
      </c>
      <c r="B2300">
        <v>58</v>
      </c>
      <c r="C2300" t="s">
        <v>15</v>
      </c>
      <c r="D2300" t="s">
        <v>22</v>
      </c>
      <c r="E2300">
        <v>6.62</v>
      </c>
      <c r="F2300">
        <v>25</v>
      </c>
      <c r="G2300" t="s">
        <v>17</v>
      </c>
      <c r="H2300" t="s">
        <v>18</v>
      </c>
      <c r="I2300" s="2">
        <v>13.99</v>
      </c>
      <c r="J2300">
        <v>0</v>
      </c>
      <c r="K2300" s="2">
        <f t="shared" si="70"/>
        <v>0</v>
      </c>
      <c r="L2300" t="s">
        <v>37</v>
      </c>
      <c r="M2300">
        <v>2</v>
      </c>
      <c r="N2300">
        <v>0.25</v>
      </c>
      <c r="O2300" t="str">
        <f t="shared" si="71"/>
        <v>0.2–0.4 hours</v>
      </c>
      <c r="P2300" t="s">
        <v>30</v>
      </c>
    </row>
    <row r="2301" spans="1:16" x14ac:dyDescent="0.4">
      <c r="A2301" t="s">
        <v>2342</v>
      </c>
      <c r="B2301">
        <v>38</v>
      </c>
      <c r="C2301" t="s">
        <v>41</v>
      </c>
      <c r="D2301" t="s">
        <v>16</v>
      </c>
      <c r="E2301">
        <v>6.67</v>
      </c>
      <c r="F2301">
        <v>39</v>
      </c>
      <c r="G2301" t="s">
        <v>70</v>
      </c>
      <c r="H2301" t="s">
        <v>46</v>
      </c>
      <c r="I2301" s="2">
        <v>8.99</v>
      </c>
      <c r="J2301">
        <v>1</v>
      </c>
      <c r="K2301" s="2">
        <f t="shared" si="70"/>
        <v>8.99</v>
      </c>
      <c r="L2301" t="s">
        <v>19</v>
      </c>
      <c r="M2301">
        <v>3</v>
      </c>
      <c r="N2301">
        <v>0.17</v>
      </c>
      <c r="O2301" t="str">
        <f t="shared" si="71"/>
        <v>0–0.2 hours</v>
      </c>
      <c r="P2301" t="s">
        <v>30</v>
      </c>
    </row>
    <row r="2302" spans="1:16" x14ac:dyDescent="0.4">
      <c r="A2302" t="s">
        <v>2343</v>
      </c>
      <c r="B2302">
        <v>69</v>
      </c>
      <c r="C2302" t="s">
        <v>41</v>
      </c>
      <c r="D2302" t="s">
        <v>22</v>
      </c>
      <c r="E2302">
        <v>4.8600000000000003</v>
      </c>
      <c r="F2302">
        <v>27</v>
      </c>
      <c r="G2302" t="s">
        <v>70</v>
      </c>
      <c r="H2302" t="s">
        <v>55</v>
      </c>
      <c r="I2302" s="2">
        <v>13.99</v>
      </c>
      <c r="J2302">
        <v>1</v>
      </c>
      <c r="K2302" s="2">
        <f t="shared" si="70"/>
        <v>13.99</v>
      </c>
      <c r="L2302" t="s">
        <v>19</v>
      </c>
      <c r="M2302">
        <v>3</v>
      </c>
      <c r="N2302">
        <v>0.17</v>
      </c>
      <c r="O2302" t="str">
        <f t="shared" si="71"/>
        <v>0–0.2 hours</v>
      </c>
      <c r="P2302" t="s">
        <v>34</v>
      </c>
    </row>
    <row r="2303" spans="1:16" x14ac:dyDescent="0.4">
      <c r="A2303" t="s">
        <v>2344</v>
      </c>
      <c r="B2303">
        <v>47</v>
      </c>
      <c r="C2303" t="s">
        <v>41</v>
      </c>
      <c r="D2303" t="s">
        <v>16</v>
      </c>
      <c r="E2303">
        <v>19.260000000000002</v>
      </c>
      <c r="F2303">
        <v>57</v>
      </c>
      <c r="G2303" t="s">
        <v>23</v>
      </c>
      <c r="H2303" t="s">
        <v>18</v>
      </c>
      <c r="I2303" s="2">
        <v>8.99</v>
      </c>
      <c r="J2303">
        <v>1</v>
      </c>
      <c r="K2303" s="2">
        <f t="shared" si="70"/>
        <v>8.99</v>
      </c>
      <c r="L2303" t="s">
        <v>43</v>
      </c>
      <c r="M2303">
        <v>2</v>
      </c>
      <c r="N2303">
        <v>0.33</v>
      </c>
      <c r="O2303" t="str">
        <f t="shared" si="71"/>
        <v>0.2–0.4 hours</v>
      </c>
      <c r="P2303" t="s">
        <v>20</v>
      </c>
    </row>
    <row r="2304" spans="1:16" x14ac:dyDescent="0.4">
      <c r="A2304" t="s">
        <v>2345</v>
      </c>
      <c r="B2304">
        <v>49</v>
      </c>
      <c r="C2304" t="s">
        <v>41</v>
      </c>
      <c r="D2304" t="s">
        <v>32</v>
      </c>
      <c r="E2304">
        <v>7.9</v>
      </c>
      <c r="F2304">
        <v>20</v>
      </c>
      <c r="G2304" t="s">
        <v>23</v>
      </c>
      <c r="H2304" t="s">
        <v>24</v>
      </c>
      <c r="I2304" s="2">
        <v>17.989999999999998</v>
      </c>
      <c r="J2304">
        <v>0</v>
      </c>
      <c r="K2304" s="2">
        <f t="shared" si="70"/>
        <v>0</v>
      </c>
      <c r="L2304" t="s">
        <v>29</v>
      </c>
      <c r="M2304">
        <v>2</v>
      </c>
      <c r="N2304">
        <v>0.38</v>
      </c>
      <c r="O2304" t="str">
        <f t="shared" si="71"/>
        <v>0.2–0.4 hours</v>
      </c>
      <c r="P2304" t="s">
        <v>34</v>
      </c>
    </row>
    <row r="2305" spans="1:16" x14ac:dyDescent="0.4">
      <c r="A2305" t="s">
        <v>2346</v>
      </c>
      <c r="B2305">
        <v>26</v>
      </c>
      <c r="C2305" t="s">
        <v>27</v>
      </c>
      <c r="D2305" t="s">
        <v>22</v>
      </c>
      <c r="E2305">
        <v>8.8800000000000008</v>
      </c>
      <c r="F2305">
        <v>42</v>
      </c>
      <c r="G2305" t="s">
        <v>17</v>
      </c>
      <c r="H2305" t="s">
        <v>55</v>
      </c>
      <c r="I2305" s="2">
        <v>13.99</v>
      </c>
      <c r="J2305">
        <v>1</v>
      </c>
      <c r="K2305" s="2">
        <f t="shared" si="70"/>
        <v>13.99</v>
      </c>
      <c r="L2305" t="s">
        <v>37</v>
      </c>
      <c r="M2305">
        <v>1</v>
      </c>
      <c r="N2305">
        <v>0.21</v>
      </c>
      <c r="O2305" t="str">
        <f t="shared" si="71"/>
        <v>0.2–0.4 hours</v>
      </c>
      <c r="P2305" t="s">
        <v>52</v>
      </c>
    </row>
    <row r="2306" spans="1:16" x14ac:dyDescent="0.4">
      <c r="A2306" t="s">
        <v>2347</v>
      </c>
      <c r="B2306">
        <v>28</v>
      </c>
      <c r="C2306" t="s">
        <v>27</v>
      </c>
      <c r="D2306" t="s">
        <v>32</v>
      </c>
      <c r="E2306">
        <v>25.32</v>
      </c>
      <c r="F2306">
        <v>6</v>
      </c>
      <c r="G2306" t="s">
        <v>49</v>
      </c>
      <c r="H2306" t="s">
        <v>46</v>
      </c>
      <c r="I2306" s="2">
        <v>17.989999999999998</v>
      </c>
      <c r="J2306">
        <v>0</v>
      </c>
      <c r="K2306" s="2">
        <f t="shared" si="70"/>
        <v>0</v>
      </c>
      <c r="L2306" t="s">
        <v>19</v>
      </c>
      <c r="M2306">
        <v>1</v>
      </c>
      <c r="N2306">
        <v>3.62</v>
      </c>
      <c r="O2306" t="str">
        <f t="shared" si="71"/>
        <v>1+ hours</v>
      </c>
      <c r="P2306" t="s">
        <v>20</v>
      </c>
    </row>
    <row r="2307" spans="1:16" x14ac:dyDescent="0.4">
      <c r="A2307" t="s">
        <v>2348</v>
      </c>
      <c r="B2307">
        <v>36</v>
      </c>
      <c r="C2307" t="s">
        <v>27</v>
      </c>
      <c r="D2307" t="s">
        <v>22</v>
      </c>
      <c r="E2307">
        <v>12.08</v>
      </c>
      <c r="F2307">
        <v>60</v>
      </c>
      <c r="G2307" t="s">
        <v>23</v>
      </c>
      <c r="H2307" t="s">
        <v>24</v>
      </c>
      <c r="I2307" s="2">
        <v>13.99</v>
      </c>
      <c r="J2307">
        <v>1</v>
      </c>
      <c r="K2307" s="2">
        <f t="shared" ref="K2307:K2370" si="72">SUMIF(J2307,1,I2307)</f>
        <v>13.99</v>
      </c>
      <c r="L2307" t="s">
        <v>43</v>
      </c>
      <c r="M2307">
        <v>2</v>
      </c>
      <c r="N2307">
        <v>0.2</v>
      </c>
      <c r="O2307" t="str">
        <f t="shared" ref="O2307:O2370" si="73">IF(N2307&gt;1,"1+ hours",IF(N2307&lt;=0.2,"0–0.2 hours",IF(N2307&lt;=0.4,"0.2–0.4 hours",IF(N2307&lt;=0.6,"0.4–0.6 hours",IF(N2307&lt;=0.8,"0.6–0.8 hours","0.8–1 hour")))))</f>
        <v>0–0.2 hours</v>
      </c>
      <c r="P2307" t="s">
        <v>47</v>
      </c>
    </row>
    <row r="2308" spans="1:16" x14ac:dyDescent="0.4">
      <c r="A2308" t="s">
        <v>2349</v>
      </c>
      <c r="B2308">
        <v>28</v>
      </c>
      <c r="C2308" t="s">
        <v>41</v>
      </c>
      <c r="D2308" t="s">
        <v>32</v>
      </c>
      <c r="E2308">
        <v>2.0099999999999998</v>
      </c>
      <c r="F2308">
        <v>35</v>
      </c>
      <c r="G2308" t="s">
        <v>23</v>
      </c>
      <c r="H2308" t="s">
        <v>57</v>
      </c>
      <c r="I2308" s="2">
        <v>17.989999999999998</v>
      </c>
      <c r="J2308">
        <v>1</v>
      </c>
      <c r="K2308" s="2">
        <f t="shared" si="72"/>
        <v>17.989999999999998</v>
      </c>
      <c r="L2308" t="s">
        <v>19</v>
      </c>
      <c r="M2308">
        <v>2</v>
      </c>
      <c r="N2308">
        <v>0.06</v>
      </c>
      <c r="O2308" t="str">
        <f t="shared" si="73"/>
        <v>0–0.2 hours</v>
      </c>
      <c r="P2308" t="s">
        <v>52</v>
      </c>
    </row>
    <row r="2309" spans="1:16" x14ac:dyDescent="0.4">
      <c r="A2309" t="s">
        <v>2350</v>
      </c>
      <c r="B2309">
        <v>24</v>
      </c>
      <c r="C2309" t="s">
        <v>41</v>
      </c>
      <c r="D2309" t="s">
        <v>32</v>
      </c>
      <c r="E2309">
        <v>9.24</v>
      </c>
      <c r="F2309">
        <v>23</v>
      </c>
      <c r="G2309" t="s">
        <v>33</v>
      </c>
      <c r="H2309" t="s">
        <v>55</v>
      </c>
      <c r="I2309" s="2">
        <v>17.989999999999998</v>
      </c>
      <c r="J2309">
        <v>0</v>
      </c>
      <c r="K2309" s="2">
        <f t="shared" si="72"/>
        <v>0</v>
      </c>
      <c r="L2309" t="s">
        <v>37</v>
      </c>
      <c r="M2309">
        <v>3</v>
      </c>
      <c r="N2309">
        <v>0.39</v>
      </c>
      <c r="O2309" t="str">
        <f t="shared" si="73"/>
        <v>0.2–0.4 hours</v>
      </c>
      <c r="P2309" t="s">
        <v>52</v>
      </c>
    </row>
    <row r="2310" spans="1:16" x14ac:dyDescent="0.4">
      <c r="A2310" t="s">
        <v>2351</v>
      </c>
      <c r="B2310">
        <v>59</v>
      </c>
      <c r="C2310" t="s">
        <v>15</v>
      </c>
      <c r="D2310" t="s">
        <v>32</v>
      </c>
      <c r="E2310">
        <v>18.05</v>
      </c>
      <c r="F2310">
        <v>19</v>
      </c>
      <c r="G2310" t="s">
        <v>28</v>
      </c>
      <c r="H2310" t="s">
        <v>18</v>
      </c>
      <c r="I2310" s="2">
        <v>17.989999999999998</v>
      </c>
      <c r="J2310">
        <v>0</v>
      </c>
      <c r="K2310" s="2">
        <f t="shared" si="72"/>
        <v>0</v>
      </c>
      <c r="L2310" t="s">
        <v>43</v>
      </c>
      <c r="M2310">
        <v>3</v>
      </c>
      <c r="N2310">
        <v>0.9</v>
      </c>
      <c r="O2310" t="str">
        <f t="shared" si="73"/>
        <v>0.8–1 hour</v>
      </c>
      <c r="P2310" t="s">
        <v>52</v>
      </c>
    </row>
    <row r="2311" spans="1:16" x14ac:dyDescent="0.4">
      <c r="A2311" t="s">
        <v>2352</v>
      </c>
      <c r="B2311">
        <v>69</v>
      </c>
      <c r="C2311" t="s">
        <v>15</v>
      </c>
      <c r="D2311" t="s">
        <v>16</v>
      </c>
      <c r="E2311">
        <v>3.12</v>
      </c>
      <c r="F2311">
        <v>47</v>
      </c>
      <c r="G2311" t="s">
        <v>49</v>
      </c>
      <c r="H2311" t="s">
        <v>24</v>
      </c>
      <c r="I2311" s="2">
        <v>8.99</v>
      </c>
      <c r="J2311">
        <v>1</v>
      </c>
      <c r="K2311" s="2">
        <f t="shared" si="72"/>
        <v>8.99</v>
      </c>
      <c r="L2311" t="s">
        <v>29</v>
      </c>
      <c r="M2311">
        <v>3</v>
      </c>
      <c r="N2311">
        <v>7.0000000000000007E-2</v>
      </c>
      <c r="O2311" t="str">
        <f t="shared" si="73"/>
        <v>0–0.2 hours</v>
      </c>
      <c r="P2311" t="s">
        <v>52</v>
      </c>
    </row>
    <row r="2312" spans="1:16" x14ac:dyDescent="0.4">
      <c r="A2312" t="s">
        <v>2353</v>
      </c>
      <c r="B2312">
        <v>46</v>
      </c>
      <c r="C2312" t="s">
        <v>41</v>
      </c>
      <c r="D2312" t="s">
        <v>32</v>
      </c>
      <c r="E2312">
        <v>26.01</v>
      </c>
      <c r="F2312">
        <v>3</v>
      </c>
      <c r="G2312" t="s">
        <v>28</v>
      </c>
      <c r="H2312" t="s">
        <v>24</v>
      </c>
      <c r="I2312" s="2">
        <v>17.989999999999998</v>
      </c>
      <c r="J2312">
        <v>0</v>
      </c>
      <c r="K2312" s="2">
        <f t="shared" si="72"/>
        <v>0</v>
      </c>
      <c r="L2312" t="s">
        <v>37</v>
      </c>
      <c r="M2312">
        <v>3</v>
      </c>
      <c r="N2312">
        <v>6.5</v>
      </c>
      <c r="O2312" t="str">
        <f t="shared" si="73"/>
        <v>1+ hours</v>
      </c>
      <c r="P2312" t="s">
        <v>34</v>
      </c>
    </row>
    <row r="2313" spans="1:16" x14ac:dyDescent="0.4">
      <c r="A2313" t="s">
        <v>2354</v>
      </c>
      <c r="B2313">
        <v>62</v>
      </c>
      <c r="C2313" t="s">
        <v>15</v>
      </c>
      <c r="D2313" t="s">
        <v>22</v>
      </c>
      <c r="E2313">
        <v>36.03</v>
      </c>
      <c r="F2313">
        <v>46</v>
      </c>
      <c r="G2313" t="s">
        <v>70</v>
      </c>
      <c r="H2313" t="s">
        <v>24</v>
      </c>
      <c r="I2313" s="2">
        <v>13.99</v>
      </c>
      <c r="J2313">
        <v>0</v>
      </c>
      <c r="K2313" s="2">
        <f t="shared" si="72"/>
        <v>0</v>
      </c>
      <c r="L2313" t="s">
        <v>19</v>
      </c>
      <c r="M2313">
        <v>2</v>
      </c>
      <c r="N2313">
        <v>0.77</v>
      </c>
      <c r="O2313" t="str">
        <f t="shared" si="73"/>
        <v>0.6–0.8 hours</v>
      </c>
      <c r="P2313" t="s">
        <v>52</v>
      </c>
    </row>
    <row r="2314" spans="1:16" x14ac:dyDescent="0.4">
      <c r="A2314" t="s">
        <v>2355</v>
      </c>
      <c r="B2314">
        <v>60</v>
      </c>
      <c r="C2314" t="s">
        <v>27</v>
      </c>
      <c r="D2314" t="s">
        <v>22</v>
      </c>
      <c r="E2314">
        <v>1.85</v>
      </c>
      <c r="F2314">
        <v>28</v>
      </c>
      <c r="G2314" t="s">
        <v>17</v>
      </c>
      <c r="H2314" t="s">
        <v>24</v>
      </c>
      <c r="I2314" s="2">
        <v>13.99</v>
      </c>
      <c r="J2314">
        <v>1</v>
      </c>
      <c r="K2314" s="2">
        <f t="shared" si="72"/>
        <v>13.99</v>
      </c>
      <c r="L2314" t="s">
        <v>43</v>
      </c>
      <c r="M2314">
        <v>3</v>
      </c>
      <c r="N2314">
        <v>0.06</v>
      </c>
      <c r="O2314" t="str">
        <f t="shared" si="73"/>
        <v>0–0.2 hours</v>
      </c>
      <c r="P2314" t="s">
        <v>47</v>
      </c>
    </row>
    <row r="2315" spans="1:16" x14ac:dyDescent="0.4">
      <c r="A2315" t="s">
        <v>2356</v>
      </c>
      <c r="B2315">
        <v>33</v>
      </c>
      <c r="C2315" t="s">
        <v>27</v>
      </c>
      <c r="D2315" t="s">
        <v>22</v>
      </c>
      <c r="E2315">
        <v>1.32</v>
      </c>
      <c r="F2315">
        <v>36</v>
      </c>
      <c r="G2315" t="s">
        <v>49</v>
      </c>
      <c r="H2315" t="s">
        <v>46</v>
      </c>
      <c r="I2315" s="2">
        <v>13.99</v>
      </c>
      <c r="J2315">
        <v>1</v>
      </c>
      <c r="K2315" s="2">
        <f t="shared" si="72"/>
        <v>13.99</v>
      </c>
      <c r="L2315" t="s">
        <v>29</v>
      </c>
      <c r="M2315">
        <v>1</v>
      </c>
      <c r="N2315">
        <v>0.04</v>
      </c>
      <c r="O2315" t="str">
        <f t="shared" si="73"/>
        <v>0–0.2 hours</v>
      </c>
      <c r="P2315" t="s">
        <v>30</v>
      </c>
    </row>
    <row r="2316" spans="1:16" x14ac:dyDescent="0.4">
      <c r="A2316" t="s">
        <v>2357</v>
      </c>
      <c r="B2316">
        <v>51</v>
      </c>
      <c r="C2316" t="s">
        <v>27</v>
      </c>
      <c r="D2316" t="s">
        <v>32</v>
      </c>
      <c r="E2316">
        <v>16.96</v>
      </c>
      <c r="F2316">
        <v>15</v>
      </c>
      <c r="G2316" t="s">
        <v>33</v>
      </c>
      <c r="H2316" t="s">
        <v>46</v>
      </c>
      <c r="I2316" s="2">
        <v>17.989999999999998</v>
      </c>
      <c r="J2316">
        <v>0</v>
      </c>
      <c r="K2316" s="2">
        <f t="shared" si="72"/>
        <v>0</v>
      </c>
      <c r="L2316" t="s">
        <v>61</v>
      </c>
      <c r="M2316">
        <v>5</v>
      </c>
      <c r="N2316">
        <v>1.06</v>
      </c>
      <c r="O2316" t="str">
        <f t="shared" si="73"/>
        <v>1+ hours</v>
      </c>
      <c r="P2316" t="s">
        <v>25</v>
      </c>
    </row>
    <row r="2317" spans="1:16" x14ac:dyDescent="0.4">
      <c r="A2317" t="s">
        <v>2358</v>
      </c>
      <c r="B2317">
        <v>32</v>
      </c>
      <c r="C2317" t="s">
        <v>27</v>
      </c>
      <c r="D2317" t="s">
        <v>16</v>
      </c>
      <c r="E2317">
        <v>0.54</v>
      </c>
      <c r="F2317">
        <v>5</v>
      </c>
      <c r="G2317" t="s">
        <v>33</v>
      </c>
      <c r="H2317" t="s">
        <v>46</v>
      </c>
      <c r="I2317" s="2">
        <v>8.99</v>
      </c>
      <c r="J2317">
        <v>1</v>
      </c>
      <c r="K2317" s="2">
        <f t="shared" si="72"/>
        <v>8.99</v>
      </c>
      <c r="L2317" t="s">
        <v>43</v>
      </c>
      <c r="M2317">
        <v>2</v>
      </c>
      <c r="N2317">
        <v>0.09</v>
      </c>
      <c r="O2317" t="str">
        <f t="shared" si="73"/>
        <v>0–0.2 hours</v>
      </c>
      <c r="P2317" t="s">
        <v>30</v>
      </c>
    </row>
    <row r="2318" spans="1:16" x14ac:dyDescent="0.4">
      <c r="A2318" t="s">
        <v>2359</v>
      </c>
      <c r="B2318">
        <v>40</v>
      </c>
      <c r="C2318" t="s">
        <v>15</v>
      </c>
      <c r="D2318" t="s">
        <v>22</v>
      </c>
      <c r="E2318">
        <v>11.56</v>
      </c>
      <c r="F2318">
        <v>48</v>
      </c>
      <c r="G2318" t="s">
        <v>28</v>
      </c>
      <c r="H2318" t="s">
        <v>57</v>
      </c>
      <c r="I2318" s="2">
        <v>13.99</v>
      </c>
      <c r="J2318">
        <v>1</v>
      </c>
      <c r="K2318" s="2">
        <f t="shared" si="72"/>
        <v>13.99</v>
      </c>
      <c r="L2318" t="s">
        <v>19</v>
      </c>
      <c r="M2318">
        <v>5</v>
      </c>
      <c r="N2318">
        <v>0.24</v>
      </c>
      <c r="O2318" t="str">
        <f t="shared" si="73"/>
        <v>0.2–0.4 hours</v>
      </c>
      <c r="P2318" t="s">
        <v>52</v>
      </c>
    </row>
    <row r="2319" spans="1:16" x14ac:dyDescent="0.4">
      <c r="A2319" t="s">
        <v>2360</v>
      </c>
      <c r="B2319">
        <v>62</v>
      </c>
      <c r="C2319" t="s">
        <v>15</v>
      </c>
      <c r="D2319" t="s">
        <v>32</v>
      </c>
      <c r="E2319">
        <v>9.58</v>
      </c>
      <c r="F2319">
        <v>25</v>
      </c>
      <c r="G2319" t="s">
        <v>28</v>
      </c>
      <c r="H2319" t="s">
        <v>57</v>
      </c>
      <c r="I2319" s="2">
        <v>17.989999999999998</v>
      </c>
      <c r="J2319">
        <v>0</v>
      </c>
      <c r="K2319" s="2">
        <f t="shared" si="72"/>
        <v>0</v>
      </c>
      <c r="L2319" t="s">
        <v>61</v>
      </c>
      <c r="M2319">
        <v>2</v>
      </c>
      <c r="N2319">
        <v>0.37</v>
      </c>
      <c r="O2319" t="str">
        <f t="shared" si="73"/>
        <v>0.2–0.4 hours</v>
      </c>
      <c r="P2319" t="s">
        <v>47</v>
      </c>
    </row>
    <row r="2320" spans="1:16" x14ac:dyDescent="0.4">
      <c r="A2320" t="s">
        <v>2361</v>
      </c>
      <c r="B2320">
        <v>56</v>
      </c>
      <c r="C2320" t="s">
        <v>41</v>
      </c>
      <c r="D2320" t="s">
        <v>32</v>
      </c>
      <c r="E2320">
        <v>6.24</v>
      </c>
      <c r="F2320">
        <v>2</v>
      </c>
      <c r="G2320" t="s">
        <v>33</v>
      </c>
      <c r="H2320" t="s">
        <v>57</v>
      </c>
      <c r="I2320" s="2">
        <v>17.989999999999998</v>
      </c>
      <c r="J2320">
        <v>0</v>
      </c>
      <c r="K2320" s="2">
        <f t="shared" si="72"/>
        <v>0</v>
      </c>
      <c r="L2320" t="s">
        <v>29</v>
      </c>
      <c r="M2320">
        <v>4</v>
      </c>
      <c r="N2320">
        <v>2.08</v>
      </c>
      <c r="O2320" t="str">
        <f t="shared" si="73"/>
        <v>1+ hours</v>
      </c>
      <c r="P2320" t="s">
        <v>25</v>
      </c>
    </row>
    <row r="2321" spans="1:16" x14ac:dyDescent="0.4">
      <c r="A2321" t="s">
        <v>2362</v>
      </c>
      <c r="B2321">
        <v>22</v>
      </c>
      <c r="C2321" t="s">
        <v>41</v>
      </c>
      <c r="D2321" t="s">
        <v>32</v>
      </c>
      <c r="E2321">
        <v>12.87</v>
      </c>
      <c r="F2321">
        <v>59</v>
      </c>
      <c r="G2321" t="s">
        <v>23</v>
      </c>
      <c r="H2321" t="s">
        <v>57</v>
      </c>
      <c r="I2321" s="2">
        <v>17.989999999999998</v>
      </c>
      <c r="J2321">
        <v>1</v>
      </c>
      <c r="K2321" s="2">
        <f t="shared" si="72"/>
        <v>17.989999999999998</v>
      </c>
      <c r="L2321" t="s">
        <v>19</v>
      </c>
      <c r="M2321">
        <v>4</v>
      </c>
      <c r="N2321">
        <v>0.21</v>
      </c>
      <c r="O2321" t="str">
        <f t="shared" si="73"/>
        <v>0.2–0.4 hours</v>
      </c>
      <c r="P2321" t="s">
        <v>39</v>
      </c>
    </row>
    <row r="2322" spans="1:16" x14ac:dyDescent="0.4">
      <c r="A2322" t="s">
        <v>2363</v>
      </c>
      <c r="B2322">
        <v>31</v>
      </c>
      <c r="C2322" t="s">
        <v>41</v>
      </c>
      <c r="D2322" t="s">
        <v>22</v>
      </c>
      <c r="E2322">
        <v>11.93</v>
      </c>
      <c r="F2322">
        <v>15</v>
      </c>
      <c r="G2322" t="s">
        <v>17</v>
      </c>
      <c r="H2322" t="s">
        <v>57</v>
      </c>
      <c r="I2322" s="2">
        <v>13.99</v>
      </c>
      <c r="J2322">
        <v>0</v>
      </c>
      <c r="K2322" s="2">
        <f t="shared" si="72"/>
        <v>0</v>
      </c>
      <c r="L2322" t="s">
        <v>19</v>
      </c>
      <c r="M2322">
        <v>4</v>
      </c>
      <c r="N2322">
        <v>0.75</v>
      </c>
      <c r="O2322" t="str">
        <f t="shared" si="73"/>
        <v>0.6–0.8 hours</v>
      </c>
      <c r="P2322" t="s">
        <v>34</v>
      </c>
    </row>
    <row r="2323" spans="1:16" x14ac:dyDescent="0.4">
      <c r="A2323" t="s">
        <v>2364</v>
      </c>
      <c r="B2323">
        <v>60</v>
      </c>
      <c r="C2323" t="s">
        <v>41</v>
      </c>
      <c r="D2323" t="s">
        <v>32</v>
      </c>
      <c r="E2323">
        <v>7.25</v>
      </c>
      <c r="F2323">
        <v>35</v>
      </c>
      <c r="G2323" t="s">
        <v>28</v>
      </c>
      <c r="H2323" t="s">
        <v>18</v>
      </c>
      <c r="I2323" s="2">
        <v>17.989999999999998</v>
      </c>
      <c r="J2323">
        <v>0</v>
      </c>
      <c r="K2323" s="2">
        <f t="shared" si="72"/>
        <v>0</v>
      </c>
      <c r="L2323" t="s">
        <v>37</v>
      </c>
      <c r="M2323">
        <v>5</v>
      </c>
      <c r="N2323">
        <v>0.2</v>
      </c>
      <c r="O2323" t="str">
        <f t="shared" si="73"/>
        <v>0–0.2 hours</v>
      </c>
      <c r="P2323" t="s">
        <v>25</v>
      </c>
    </row>
    <row r="2324" spans="1:16" x14ac:dyDescent="0.4">
      <c r="A2324" t="s">
        <v>2365</v>
      </c>
      <c r="B2324">
        <v>64</v>
      </c>
      <c r="C2324" t="s">
        <v>41</v>
      </c>
      <c r="D2324" t="s">
        <v>16</v>
      </c>
      <c r="E2324">
        <v>6.68</v>
      </c>
      <c r="F2324">
        <v>24</v>
      </c>
      <c r="G2324" t="s">
        <v>28</v>
      </c>
      <c r="H2324" t="s">
        <v>46</v>
      </c>
      <c r="I2324" s="2">
        <v>8.99</v>
      </c>
      <c r="J2324">
        <v>1</v>
      </c>
      <c r="K2324" s="2">
        <f t="shared" si="72"/>
        <v>8.99</v>
      </c>
      <c r="L2324" t="s">
        <v>29</v>
      </c>
      <c r="M2324">
        <v>2</v>
      </c>
      <c r="N2324">
        <v>0.27</v>
      </c>
      <c r="O2324" t="str">
        <f t="shared" si="73"/>
        <v>0.2–0.4 hours</v>
      </c>
      <c r="P2324" t="s">
        <v>34</v>
      </c>
    </row>
    <row r="2325" spans="1:16" x14ac:dyDescent="0.4">
      <c r="A2325" t="s">
        <v>2366</v>
      </c>
      <c r="B2325">
        <v>53</v>
      </c>
      <c r="C2325" t="s">
        <v>41</v>
      </c>
      <c r="D2325" t="s">
        <v>16</v>
      </c>
      <c r="E2325">
        <v>6.64</v>
      </c>
      <c r="F2325">
        <v>37</v>
      </c>
      <c r="G2325" t="s">
        <v>17</v>
      </c>
      <c r="H2325" t="s">
        <v>55</v>
      </c>
      <c r="I2325" s="2">
        <v>8.99</v>
      </c>
      <c r="J2325">
        <v>1</v>
      </c>
      <c r="K2325" s="2">
        <f t="shared" si="72"/>
        <v>8.99</v>
      </c>
      <c r="L2325" t="s">
        <v>61</v>
      </c>
      <c r="M2325">
        <v>5</v>
      </c>
      <c r="N2325">
        <v>0.17</v>
      </c>
      <c r="O2325" t="str">
        <f t="shared" si="73"/>
        <v>0–0.2 hours</v>
      </c>
      <c r="P2325" t="s">
        <v>52</v>
      </c>
    </row>
    <row r="2326" spans="1:16" x14ac:dyDescent="0.4">
      <c r="A2326" t="s">
        <v>2367</v>
      </c>
      <c r="B2326">
        <v>21</v>
      </c>
      <c r="C2326" t="s">
        <v>27</v>
      </c>
      <c r="D2326" t="s">
        <v>22</v>
      </c>
      <c r="E2326">
        <v>8.6</v>
      </c>
      <c r="F2326">
        <v>46</v>
      </c>
      <c r="G2326" t="s">
        <v>23</v>
      </c>
      <c r="H2326" t="s">
        <v>24</v>
      </c>
      <c r="I2326" s="2">
        <v>13.99</v>
      </c>
      <c r="J2326">
        <v>0</v>
      </c>
      <c r="K2326" s="2">
        <f t="shared" si="72"/>
        <v>0</v>
      </c>
      <c r="L2326" t="s">
        <v>43</v>
      </c>
      <c r="M2326">
        <v>4</v>
      </c>
      <c r="N2326">
        <v>0.18</v>
      </c>
      <c r="O2326" t="str">
        <f t="shared" si="73"/>
        <v>0–0.2 hours</v>
      </c>
      <c r="P2326" t="s">
        <v>20</v>
      </c>
    </row>
    <row r="2327" spans="1:16" x14ac:dyDescent="0.4">
      <c r="A2327" t="s">
        <v>2368</v>
      </c>
      <c r="B2327">
        <v>45</v>
      </c>
      <c r="C2327" t="s">
        <v>15</v>
      </c>
      <c r="D2327" t="s">
        <v>22</v>
      </c>
      <c r="E2327">
        <v>25.59</v>
      </c>
      <c r="F2327">
        <v>22</v>
      </c>
      <c r="G2327" t="s">
        <v>23</v>
      </c>
      <c r="H2327" t="s">
        <v>18</v>
      </c>
      <c r="I2327" s="2">
        <v>13.99</v>
      </c>
      <c r="J2327">
        <v>0</v>
      </c>
      <c r="K2327" s="2">
        <f t="shared" si="72"/>
        <v>0</v>
      </c>
      <c r="L2327" t="s">
        <v>61</v>
      </c>
      <c r="M2327">
        <v>2</v>
      </c>
      <c r="N2327">
        <v>1.1100000000000001</v>
      </c>
      <c r="O2327" t="str">
        <f t="shared" si="73"/>
        <v>1+ hours</v>
      </c>
      <c r="P2327" t="s">
        <v>25</v>
      </c>
    </row>
    <row r="2328" spans="1:16" x14ac:dyDescent="0.4">
      <c r="A2328" t="s">
        <v>2369</v>
      </c>
      <c r="B2328">
        <v>37</v>
      </c>
      <c r="C2328" t="s">
        <v>41</v>
      </c>
      <c r="D2328" t="s">
        <v>16</v>
      </c>
      <c r="E2328">
        <v>11.52</v>
      </c>
      <c r="F2328">
        <v>38</v>
      </c>
      <c r="G2328" t="s">
        <v>33</v>
      </c>
      <c r="H2328" t="s">
        <v>18</v>
      </c>
      <c r="I2328" s="2">
        <v>8.99</v>
      </c>
      <c r="J2328">
        <v>1</v>
      </c>
      <c r="K2328" s="2">
        <f t="shared" si="72"/>
        <v>8.99</v>
      </c>
      <c r="L2328" t="s">
        <v>43</v>
      </c>
      <c r="M2328">
        <v>4</v>
      </c>
      <c r="N2328">
        <v>0.3</v>
      </c>
      <c r="O2328" t="str">
        <f t="shared" si="73"/>
        <v>0.2–0.4 hours</v>
      </c>
      <c r="P2328" t="s">
        <v>20</v>
      </c>
    </row>
    <row r="2329" spans="1:16" x14ac:dyDescent="0.4">
      <c r="A2329" t="s">
        <v>2370</v>
      </c>
      <c r="B2329">
        <v>18</v>
      </c>
      <c r="C2329" t="s">
        <v>27</v>
      </c>
      <c r="D2329" t="s">
        <v>16</v>
      </c>
      <c r="E2329">
        <v>47.29</v>
      </c>
      <c r="F2329">
        <v>23</v>
      </c>
      <c r="G2329" t="s">
        <v>28</v>
      </c>
      <c r="H2329" t="s">
        <v>18</v>
      </c>
      <c r="I2329" s="2">
        <v>8.99</v>
      </c>
      <c r="J2329">
        <v>0</v>
      </c>
      <c r="K2329" s="2">
        <f t="shared" si="72"/>
        <v>0</v>
      </c>
      <c r="L2329" t="s">
        <v>43</v>
      </c>
      <c r="M2329">
        <v>3</v>
      </c>
      <c r="N2329">
        <v>1.97</v>
      </c>
      <c r="O2329" t="str">
        <f t="shared" si="73"/>
        <v>1+ hours</v>
      </c>
      <c r="P2329" t="s">
        <v>39</v>
      </c>
    </row>
    <row r="2330" spans="1:16" x14ac:dyDescent="0.4">
      <c r="A2330" t="s">
        <v>2371</v>
      </c>
      <c r="B2330">
        <v>28</v>
      </c>
      <c r="C2330" t="s">
        <v>27</v>
      </c>
      <c r="D2330" t="s">
        <v>16</v>
      </c>
      <c r="E2330">
        <v>2.66</v>
      </c>
      <c r="F2330">
        <v>55</v>
      </c>
      <c r="G2330" t="s">
        <v>17</v>
      </c>
      <c r="H2330" t="s">
        <v>46</v>
      </c>
      <c r="I2330" s="2">
        <v>8.99</v>
      </c>
      <c r="J2330">
        <v>1</v>
      </c>
      <c r="K2330" s="2">
        <f t="shared" si="72"/>
        <v>8.99</v>
      </c>
      <c r="L2330" t="s">
        <v>29</v>
      </c>
      <c r="M2330">
        <v>5</v>
      </c>
      <c r="N2330">
        <v>0.05</v>
      </c>
      <c r="O2330" t="str">
        <f t="shared" si="73"/>
        <v>0–0.2 hours</v>
      </c>
      <c r="P2330" t="s">
        <v>20</v>
      </c>
    </row>
    <row r="2331" spans="1:16" x14ac:dyDescent="0.4">
      <c r="A2331" t="s">
        <v>2372</v>
      </c>
      <c r="B2331">
        <v>38</v>
      </c>
      <c r="C2331" t="s">
        <v>15</v>
      </c>
      <c r="D2331" t="s">
        <v>16</v>
      </c>
      <c r="E2331">
        <v>8.81</v>
      </c>
      <c r="F2331">
        <v>1</v>
      </c>
      <c r="G2331" t="s">
        <v>70</v>
      </c>
      <c r="H2331" t="s">
        <v>55</v>
      </c>
      <c r="I2331" s="2">
        <v>8.99</v>
      </c>
      <c r="J2331">
        <v>0</v>
      </c>
      <c r="K2331" s="2">
        <f t="shared" si="72"/>
        <v>0</v>
      </c>
      <c r="L2331" t="s">
        <v>19</v>
      </c>
      <c r="M2331">
        <v>4</v>
      </c>
      <c r="N2331">
        <v>4.41</v>
      </c>
      <c r="O2331" t="str">
        <f t="shared" si="73"/>
        <v>1+ hours</v>
      </c>
      <c r="P2331" t="s">
        <v>20</v>
      </c>
    </row>
    <row r="2332" spans="1:16" x14ac:dyDescent="0.4">
      <c r="A2332" t="s">
        <v>2373</v>
      </c>
      <c r="B2332">
        <v>54</v>
      </c>
      <c r="C2332" t="s">
        <v>15</v>
      </c>
      <c r="D2332" t="s">
        <v>16</v>
      </c>
      <c r="E2332">
        <v>1.07</v>
      </c>
      <c r="F2332">
        <v>59</v>
      </c>
      <c r="G2332" t="s">
        <v>23</v>
      </c>
      <c r="H2332" t="s">
        <v>18</v>
      </c>
      <c r="I2332" s="2">
        <v>8.99</v>
      </c>
      <c r="J2332">
        <v>1</v>
      </c>
      <c r="K2332" s="2">
        <f t="shared" si="72"/>
        <v>8.99</v>
      </c>
      <c r="L2332" t="s">
        <v>61</v>
      </c>
      <c r="M2332">
        <v>1</v>
      </c>
      <c r="N2332">
        <v>0.02</v>
      </c>
      <c r="O2332" t="str">
        <f t="shared" si="73"/>
        <v>0–0.2 hours</v>
      </c>
      <c r="P2332" t="s">
        <v>52</v>
      </c>
    </row>
    <row r="2333" spans="1:16" x14ac:dyDescent="0.4">
      <c r="A2333" t="s">
        <v>2374</v>
      </c>
      <c r="B2333">
        <v>36</v>
      </c>
      <c r="C2333" t="s">
        <v>41</v>
      </c>
      <c r="D2333" t="s">
        <v>22</v>
      </c>
      <c r="E2333">
        <v>48.01</v>
      </c>
      <c r="F2333">
        <v>29</v>
      </c>
      <c r="G2333" t="s">
        <v>17</v>
      </c>
      <c r="H2333" t="s">
        <v>57</v>
      </c>
      <c r="I2333" s="2">
        <v>13.99</v>
      </c>
      <c r="J2333">
        <v>0</v>
      </c>
      <c r="K2333" s="2">
        <f t="shared" si="72"/>
        <v>0</v>
      </c>
      <c r="L2333" t="s">
        <v>29</v>
      </c>
      <c r="M2333">
        <v>5</v>
      </c>
      <c r="N2333">
        <v>1.6</v>
      </c>
      <c r="O2333" t="str">
        <f t="shared" si="73"/>
        <v>1+ hours</v>
      </c>
      <c r="P2333" t="s">
        <v>25</v>
      </c>
    </row>
    <row r="2334" spans="1:16" x14ac:dyDescent="0.4">
      <c r="A2334" t="s">
        <v>2375</v>
      </c>
      <c r="B2334">
        <v>61</v>
      </c>
      <c r="C2334" t="s">
        <v>41</v>
      </c>
      <c r="D2334" t="s">
        <v>22</v>
      </c>
      <c r="E2334">
        <v>26.05</v>
      </c>
      <c r="F2334">
        <v>21</v>
      </c>
      <c r="G2334" t="s">
        <v>70</v>
      </c>
      <c r="H2334" t="s">
        <v>57</v>
      </c>
      <c r="I2334" s="2">
        <v>13.99</v>
      </c>
      <c r="J2334">
        <v>0</v>
      </c>
      <c r="K2334" s="2">
        <f t="shared" si="72"/>
        <v>0</v>
      </c>
      <c r="L2334" t="s">
        <v>37</v>
      </c>
      <c r="M2334">
        <v>1</v>
      </c>
      <c r="N2334">
        <v>1.18</v>
      </c>
      <c r="O2334" t="str">
        <f t="shared" si="73"/>
        <v>1+ hours</v>
      </c>
      <c r="P2334" t="s">
        <v>52</v>
      </c>
    </row>
    <row r="2335" spans="1:16" x14ac:dyDescent="0.4">
      <c r="A2335" t="s">
        <v>2376</v>
      </c>
      <c r="B2335">
        <v>65</v>
      </c>
      <c r="C2335" t="s">
        <v>15</v>
      </c>
      <c r="D2335" t="s">
        <v>32</v>
      </c>
      <c r="E2335">
        <v>16.68</v>
      </c>
      <c r="F2335">
        <v>9</v>
      </c>
      <c r="G2335" t="s">
        <v>28</v>
      </c>
      <c r="H2335" t="s">
        <v>24</v>
      </c>
      <c r="I2335" s="2">
        <v>17.989999999999998</v>
      </c>
      <c r="J2335">
        <v>0</v>
      </c>
      <c r="K2335" s="2">
        <f t="shared" si="72"/>
        <v>0</v>
      </c>
      <c r="L2335" t="s">
        <v>37</v>
      </c>
      <c r="M2335">
        <v>2</v>
      </c>
      <c r="N2335">
        <v>1.67</v>
      </c>
      <c r="O2335" t="str">
        <f t="shared" si="73"/>
        <v>1+ hours</v>
      </c>
      <c r="P2335" t="s">
        <v>39</v>
      </c>
    </row>
    <row r="2336" spans="1:16" x14ac:dyDescent="0.4">
      <c r="A2336" t="s">
        <v>2377</v>
      </c>
      <c r="B2336">
        <v>25</v>
      </c>
      <c r="C2336" t="s">
        <v>27</v>
      </c>
      <c r="D2336" t="s">
        <v>22</v>
      </c>
      <c r="E2336">
        <v>9.64</v>
      </c>
      <c r="F2336">
        <v>54</v>
      </c>
      <c r="G2336" t="s">
        <v>33</v>
      </c>
      <c r="H2336" t="s">
        <v>18</v>
      </c>
      <c r="I2336" s="2">
        <v>13.99</v>
      </c>
      <c r="J2336">
        <v>1</v>
      </c>
      <c r="K2336" s="2">
        <f t="shared" si="72"/>
        <v>13.99</v>
      </c>
      <c r="L2336" t="s">
        <v>61</v>
      </c>
      <c r="M2336">
        <v>3</v>
      </c>
      <c r="N2336">
        <v>0.18</v>
      </c>
      <c r="O2336" t="str">
        <f t="shared" si="73"/>
        <v>0–0.2 hours</v>
      </c>
      <c r="P2336" t="s">
        <v>30</v>
      </c>
    </row>
    <row r="2337" spans="1:16" x14ac:dyDescent="0.4">
      <c r="A2337" t="s">
        <v>2378</v>
      </c>
      <c r="B2337">
        <v>37</v>
      </c>
      <c r="C2337" t="s">
        <v>41</v>
      </c>
      <c r="D2337" t="s">
        <v>16</v>
      </c>
      <c r="E2337">
        <v>18.78</v>
      </c>
      <c r="F2337">
        <v>33</v>
      </c>
      <c r="G2337" t="s">
        <v>70</v>
      </c>
      <c r="H2337" t="s">
        <v>57</v>
      </c>
      <c r="I2337" s="2">
        <v>8.99</v>
      </c>
      <c r="J2337">
        <v>1</v>
      </c>
      <c r="K2337" s="2">
        <f t="shared" si="72"/>
        <v>8.99</v>
      </c>
      <c r="L2337" t="s">
        <v>37</v>
      </c>
      <c r="M2337">
        <v>3</v>
      </c>
      <c r="N2337">
        <v>0.55000000000000004</v>
      </c>
      <c r="O2337" t="str">
        <f t="shared" si="73"/>
        <v>0.4–0.6 hours</v>
      </c>
      <c r="P2337" t="s">
        <v>34</v>
      </c>
    </row>
    <row r="2338" spans="1:16" x14ac:dyDescent="0.4">
      <c r="A2338" t="s">
        <v>2379</v>
      </c>
      <c r="B2338">
        <v>59</v>
      </c>
      <c r="C2338" t="s">
        <v>41</v>
      </c>
      <c r="D2338" t="s">
        <v>32</v>
      </c>
      <c r="E2338">
        <v>4.9000000000000004</v>
      </c>
      <c r="F2338">
        <v>56</v>
      </c>
      <c r="G2338" t="s">
        <v>33</v>
      </c>
      <c r="H2338" t="s">
        <v>46</v>
      </c>
      <c r="I2338" s="2">
        <v>17.989999999999998</v>
      </c>
      <c r="J2338">
        <v>1</v>
      </c>
      <c r="K2338" s="2">
        <f t="shared" si="72"/>
        <v>17.989999999999998</v>
      </c>
      <c r="L2338" t="s">
        <v>29</v>
      </c>
      <c r="M2338">
        <v>4</v>
      </c>
      <c r="N2338">
        <v>0.09</v>
      </c>
      <c r="O2338" t="str">
        <f t="shared" si="73"/>
        <v>0–0.2 hours</v>
      </c>
      <c r="P2338" t="s">
        <v>52</v>
      </c>
    </row>
    <row r="2339" spans="1:16" x14ac:dyDescent="0.4">
      <c r="A2339" t="s">
        <v>2380</v>
      </c>
      <c r="B2339">
        <v>64</v>
      </c>
      <c r="C2339" t="s">
        <v>27</v>
      </c>
      <c r="D2339" t="s">
        <v>16</v>
      </c>
      <c r="E2339">
        <v>3.98</v>
      </c>
      <c r="F2339">
        <v>58</v>
      </c>
      <c r="G2339" t="s">
        <v>33</v>
      </c>
      <c r="H2339" t="s">
        <v>46</v>
      </c>
      <c r="I2339" s="2">
        <v>8.99</v>
      </c>
      <c r="J2339">
        <v>1</v>
      </c>
      <c r="K2339" s="2">
        <f t="shared" si="72"/>
        <v>8.99</v>
      </c>
      <c r="L2339" t="s">
        <v>43</v>
      </c>
      <c r="M2339">
        <v>5</v>
      </c>
      <c r="N2339">
        <v>7.0000000000000007E-2</v>
      </c>
      <c r="O2339" t="str">
        <f t="shared" si="73"/>
        <v>0–0.2 hours</v>
      </c>
      <c r="P2339" t="s">
        <v>25</v>
      </c>
    </row>
    <row r="2340" spans="1:16" x14ac:dyDescent="0.4">
      <c r="A2340" t="s">
        <v>2381</v>
      </c>
      <c r="B2340">
        <v>44</v>
      </c>
      <c r="C2340" t="s">
        <v>41</v>
      </c>
      <c r="D2340" t="s">
        <v>16</v>
      </c>
      <c r="E2340">
        <v>8.02</v>
      </c>
      <c r="F2340">
        <v>9</v>
      </c>
      <c r="G2340" t="s">
        <v>70</v>
      </c>
      <c r="H2340" t="s">
        <v>18</v>
      </c>
      <c r="I2340" s="2">
        <v>8.99</v>
      </c>
      <c r="J2340">
        <v>0</v>
      </c>
      <c r="K2340" s="2">
        <f t="shared" si="72"/>
        <v>0</v>
      </c>
      <c r="L2340" t="s">
        <v>29</v>
      </c>
      <c r="M2340">
        <v>4</v>
      </c>
      <c r="N2340">
        <v>0.8</v>
      </c>
      <c r="O2340" t="str">
        <f t="shared" si="73"/>
        <v>0.6–0.8 hours</v>
      </c>
      <c r="P2340" t="s">
        <v>47</v>
      </c>
    </row>
    <row r="2341" spans="1:16" x14ac:dyDescent="0.4">
      <c r="A2341" t="s">
        <v>2382</v>
      </c>
      <c r="B2341">
        <v>21</v>
      </c>
      <c r="C2341" t="s">
        <v>41</v>
      </c>
      <c r="D2341" t="s">
        <v>32</v>
      </c>
      <c r="E2341">
        <v>1.83</v>
      </c>
      <c r="F2341">
        <v>21</v>
      </c>
      <c r="G2341" t="s">
        <v>70</v>
      </c>
      <c r="H2341" t="s">
        <v>18</v>
      </c>
      <c r="I2341" s="2">
        <v>17.989999999999998</v>
      </c>
      <c r="J2341">
        <v>1</v>
      </c>
      <c r="K2341" s="2">
        <f t="shared" si="72"/>
        <v>17.989999999999998</v>
      </c>
      <c r="L2341" t="s">
        <v>19</v>
      </c>
      <c r="M2341">
        <v>1</v>
      </c>
      <c r="N2341">
        <v>0.08</v>
      </c>
      <c r="O2341" t="str">
        <f t="shared" si="73"/>
        <v>0–0.2 hours</v>
      </c>
      <c r="P2341" t="s">
        <v>47</v>
      </c>
    </row>
    <row r="2342" spans="1:16" x14ac:dyDescent="0.4">
      <c r="A2342" t="s">
        <v>2383</v>
      </c>
      <c r="B2342">
        <v>31</v>
      </c>
      <c r="C2342" t="s">
        <v>15</v>
      </c>
      <c r="D2342" t="s">
        <v>22</v>
      </c>
      <c r="E2342">
        <v>3.9</v>
      </c>
      <c r="F2342">
        <v>33</v>
      </c>
      <c r="G2342" t="s">
        <v>33</v>
      </c>
      <c r="H2342" t="s">
        <v>46</v>
      </c>
      <c r="I2342" s="2">
        <v>13.99</v>
      </c>
      <c r="J2342">
        <v>1</v>
      </c>
      <c r="K2342" s="2">
        <f t="shared" si="72"/>
        <v>13.99</v>
      </c>
      <c r="L2342" t="s">
        <v>37</v>
      </c>
      <c r="M2342">
        <v>3</v>
      </c>
      <c r="N2342">
        <v>0.11</v>
      </c>
      <c r="O2342" t="str">
        <f t="shared" si="73"/>
        <v>0–0.2 hours</v>
      </c>
      <c r="P2342" t="s">
        <v>20</v>
      </c>
    </row>
    <row r="2343" spans="1:16" x14ac:dyDescent="0.4">
      <c r="A2343" t="s">
        <v>2384</v>
      </c>
      <c r="B2343">
        <v>46</v>
      </c>
      <c r="C2343" t="s">
        <v>15</v>
      </c>
      <c r="D2343" t="s">
        <v>16</v>
      </c>
      <c r="E2343">
        <v>7.63</v>
      </c>
      <c r="F2343">
        <v>31</v>
      </c>
      <c r="G2343" t="s">
        <v>28</v>
      </c>
      <c r="H2343" t="s">
        <v>57</v>
      </c>
      <c r="I2343" s="2">
        <v>8.99</v>
      </c>
      <c r="J2343">
        <v>1</v>
      </c>
      <c r="K2343" s="2">
        <f t="shared" si="72"/>
        <v>8.99</v>
      </c>
      <c r="L2343" t="s">
        <v>19</v>
      </c>
      <c r="M2343">
        <v>5</v>
      </c>
      <c r="N2343">
        <v>0.24</v>
      </c>
      <c r="O2343" t="str">
        <f t="shared" si="73"/>
        <v>0.2–0.4 hours</v>
      </c>
      <c r="P2343" t="s">
        <v>39</v>
      </c>
    </row>
    <row r="2344" spans="1:16" x14ac:dyDescent="0.4">
      <c r="A2344" t="s">
        <v>2385</v>
      </c>
      <c r="B2344">
        <v>32</v>
      </c>
      <c r="C2344" t="s">
        <v>41</v>
      </c>
      <c r="D2344" t="s">
        <v>32</v>
      </c>
      <c r="E2344">
        <v>2.38</v>
      </c>
      <c r="F2344">
        <v>3</v>
      </c>
      <c r="G2344" t="s">
        <v>28</v>
      </c>
      <c r="H2344" t="s">
        <v>24</v>
      </c>
      <c r="I2344" s="2">
        <v>17.989999999999998</v>
      </c>
      <c r="J2344">
        <v>0</v>
      </c>
      <c r="K2344" s="2">
        <f t="shared" si="72"/>
        <v>0</v>
      </c>
      <c r="L2344" t="s">
        <v>19</v>
      </c>
      <c r="M2344">
        <v>4</v>
      </c>
      <c r="N2344">
        <v>0.59</v>
      </c>
      <c r="O2344" t="str">
        <f t="shared" si="73"/>
        <v>0.4–0.6 hours</v>
      </c>
      <c r="P2344" t="s">
        <v>30</v>
      </c>
    </row>
    <row r="2345" spans="1:16" x14ac:dyDescent="0.4">
      <c r="A2345" t="s">
        <v>2386</v>
      </c>
      <c r="B2345">
        <v>20</v>
      </c>
      <c r="C2345" t="s">
        <v>27</v>
      </c>
      <c r="D2345" t="s">
        <v>16</v>
      </c>
      <c r="E2345">
        <v>1.27</v>
      </c>
      <c r="F2345">
        <v>46</v>
      </c>
      <c r="G2345" t="s">
        <v>28</v>
      </c>
      <c r="H2345" t="s">
        <v>55</v>
      </c>
      <c r="I2345" s="2">
        <v>8.99</v>
      </c>
      <c r="J2345">
        <v>1</v>
      </c>
      <c r="K2345" s="2">
        <f t="shared" si="72"/>
        <v>8.99</v>
      </c>
      <c r="L2345" t="s">
        <v>43</v>
      </c>
      <c r="M2345">
        <v>1</v>
      </c>
      <c r="N2345">
        <v>0.03</v>
      </c>
      <c r="O2345" t="str">
        <f t="shared" si="73"/>
        <v>0–0.2 hours</v>
      </c>
      <c r="P2345" t="s">
        <v>34</v>
      </c>
    </row>
    <row r="2346" spans="1:16" x14ac:dyDescent="0.4">
      <c r="A2346" t="s">
        <v>2387</v>
      </c>
      <c r="B2346">
        <v>49</v>
      </c>
      <c r="C2346" t="s">
        <v>41</v>
      </c>
      <c r="D2346" t="s">
        <v>16</v>
      </c>
      <c r="E2346">
        <v>5.3</v>
      </c>
      <c r="F2346">
        <v>44</v>
      </c>
      <c r="G2346" t="s">
        <v>33</v>
      </c>
      <c r="H2346" t="s">
        <v>18</v>
      </c>
      <c r="I2346" s="2">
        <v>8.99</v>
      </c>
      <c r="J2346">
        <v>1</v>
      </c>
      <c r="K2346" s="2">
        <f t="shared" si="72"/>
        <v>8.99</v>
      </c>
      <c r="L2346" t="s">
        <v>61</v>
      </c>
      <c r="M2346">
        <v>3</v>
      </c>
      <c r="N2346">
        <v>0.12</v>
      </c>
      <c r="O2346" t="str">
        <f t="shared" si="73"/>
        <v>0–0.2 hours</v>
      </c>
      <c r="P2346" t="s">
        <v>47</v>
      </c>
    </row>
    <row r="2347" spans="1:16" x14ac:dyDescent="0.4">
      <c r="A2347" t="s">
        <v>2388</v>
      </c>
      <c r="B2347">
        <v>18</v>
      </c>
      <c r="C2347" t="s">
        <v>41</v>
      </c>
      <c r="D2347" t="s">
        <v>16</v>
      </c>
      <c r="E2347">
        <v>3.11</v>
      </c>
      <c r="F2347">
        <v>48</v>
      </c>
      <c r="G2347" t="s">
        <v>23</v>
      </c>
      <c r="H2347" t="s">
        <v>18</v>
      </c>
      <c r="I2347" s="2">
        <v>8.99</v>
      </c>
      <c r="J2347">
        <v>1</v>
      </c>
      <c r="K2347" s="2">
        <f t="shared" si="72"/>
        <v>8.99</v>
      </c>
      <c r="L2347" t="s">
        <v>61</v>
      </c>
      <c r="M2347">
        <v>2</v>
      </c>
      <c r="N2347">
        <v>0.06</v>
      </c>
      <c r="O2347" t="str">
        <f t="shared" si="73"/>
        <v>0–0.2 hours</v>
      </c>
      <c r="P2347" t="s">
        <v>25</v>
      </c>
    </row>
    <row r="2348" spans="1:16" x14ac:dyDescent="0.4">
      <c r="A2348" t="s">
        <v>2389</v>
      </c>
      <c r="B2348">
        <v>65</v>
      </c>
      <c r="C2348" t="s">
        <v>41</v>
      </c>
      <c r="D2348" t="s">
        <v>32</v>
      </c>
      <c r="E2348">
        <v>23.31</v>
      </c>
      <c r="F2348">
        <v>25</v>
      </c>
      <c r="G2348" t="s">
        <v>49</v>
      </c>
      <c r="H2348" t="s">
        <v>57</v>
      </c>
      <c r="I2348" s="2">
        <v>17.989999999999998</v>
      </c>
      <c r="J2348">
        <v>0</v>
      </c>
      <c r="K2348" s="2">
        <f t="shared" si="72"/>
        <v>0</v>
      </c>
      <c r="L2348" t="s">
        <v>37</v>
      </c>
      <c r="M2348">
        <v>2</v>
      </c>
      <c r="N2348">
        <v>0.9</v>
      </c>
      <c r="O2348" t="str">
        <f t="shared" si="73"/>
        <v>0.8–1 hour</v>
      </c>
      <c r="P2348" t="s">
        <v>20</v>
      </c>
    </row>
    <row r="2349" spans="1:16" x14ac:dyDescent="0.4">
      <c r="A2349" t="s">
        <v>2390</v>
      </c>
      <c r="B2349">
        <v>28</v>
      </c>
      <c r="C2349" t="s">
        <v>27</v>
      </c>
      <c r="D2349" t="s">
        <v>22</v>
      </c>
      <c r="E2349">
        <v>0.61</v>
      </c>
      <c r="F2349">
        <v>59</v>
      </c>
      <c r="G2349" t="s">
        <v>17</v>
      </c>
      <c r="H2349" t="s">
        <v>46</v>
      </c>
      <c r="I2349" s="2">
        <v>13.99</v>
      </c>
      <c r="J2349">
        <v>1</v>
      </c>
      <c r="K2349" s="2">
        <f t="shared" si="72"/>
        <v>13.99</v>
      </c>
      <c r="L2349" t="s">
        <v>19</v>
      </c>
      <c r="M2349">
        <v>5</v>
      </c>
      <c r="N2349">
        <v>0.01</v>
      </c>
      <c r="O2349" t="str">
        <f t="shared" si="73"/>
        <v>0–0.2 hours</v>
      </c>
      <c r="P2349" t="s">
        <v>39</v>
      </c>
    </row>
    <row r="2350" spans="1:16" x14ac:dyDescent="0.4">
      <c r="A2350" t="s">
        <v>2391</v>
      </c>
      <c r="B2350">
        <v>62</v>
      </c>
      <c r="C2350" t="s">
        <v>41</v>
      </c>
      <c r="D2350" t="s">
        <v>32</v>
      </c>
      <c r="E2350">
        <v>0.99</v>
      </c>
      <c r="F2350">
        <v>43</v>
      </c>
      <c r="G2350" t="s">
        <v>28</v>
      </c>
      <c r="H2350" t="s">
        <v>24</v>
      </c>
      <c r="I2350" s="2">
        <v>17.989999999999998</v>
      </c>
      <c r="J2350">
        <v>1</v>
      </c>
      <c r="K2350" s="2">
        <f t="shared" si="72"/>
        <v>17.989999999999998</v>
      </c>
      <c r="L2350" t="s">
        <v>37</v>
      </c>
      <c r="M2350">
        <v>5</v>
      </c>
      <c r="N2350">
        <v>0.02</v>
      </c>
      <c r="O2350" t="str">
        <f t="shared" si="73"/>
        <v>0–0.2 hours</v>
      </c>
      <c r="P2350" t="s">
        <v>52</v>
      </c>
    </row>
    <row r="2351" spans="1:16" x14ac:dyDescent="0.4">
      <c r="A2351" t="s">
        <v>2392</v>
      </c>
      <c r="B2351">
        <v>22</v>
      </c>
      <c r="C2351" t="s">
        <v>41</v>
      </c>
      <c r="D2351" t="s">
        <v>22</v>
      </c>
      <c r="E2351">
        <v>10.96</v>
      </c>
      <c r="F2351">
        <v>50</v>
      </c>
      <c r="G2351" t="s">
        <v>28</v>
      </c>
      <c r="H2351" t="s">
        <v>46</v>
      </c>
      <c r="I2351" s="2">
        <v>13.99</v>
      </c>
      <c r="J2351">
        <v>1</v>
      </c>
      <c r="K2351" s="2">
        <f t="shared" si="72"/>
        <v>13.99</v>
      </c>
      <c r="L2351" t="s">
        <v>29</v>
      </c>
      <c r="M2351">
        <v>4</v>
      </c>
      <c r="N2351">
        <v>0.21</v>
      </c>
      <c r="O2351" t="str">
        <f t="shared" si="73"/>
        <v>0.2–0.4 hours</v>
      </c>
      <c r="P2351" t="s">
        <v>30</v>
      </c>
    </row>
    <row r="2352" spans="1:16" x14ac:dyDescent="0.4">
      <c r="A2352" t="s">
        <v>2393</v>
      </c>
      <c r="B2352">
        <v>29</v>
      </c>
      <c r="C2352" t="s">
        <v>15</v>
      </c>
      <c r="D2352" t="s">
        <v>32</v>
      </c>
      <c r="E2352">
        <v>16.95</v>
      </c>
      <c r="F2352">
        <v>53</v>
      </c>
      <c r="G2352" t="s">
        <v>17</v>
      </c>
      <c r="H2352" t="s">
        <v>24</v>
      </c>
      <c r="I2352" s="2">
        <v>17.989999999999998</v>
      </c>
      <c r="J2352">
        <v>1</v>
      </c>
      <c r="K2352" s="2">
        <f t="shared" si="72"/>
        <v>17.989999999999998</v>
      </c>
      <c r="L2352" t="s">
        <v>43</v>
      </c>
      <c r="M2352">
        <v>3</v>
      </c>
      <c r="N2352">
        <v>0.31</v>
      </c>
      <c r="O2352" t="str">
        <f t="shared" si="73"/>
        <v>0.2–0.4 hours</v>
      </c>
      <c r="P2352" t="s">
        <v>39</v>
      </c>
    </row>
    <row r="2353" spans="1:16" x14ac:dyDescent="0.4">
      <c r="A2353" t="s">
        <v>2394</v>
      </c>
      <c r="B2353">
        <v>37</v>
      </c>
      <c r="C2353" t="s">
        <v>27</v>
      </c>
      <c r="D2353" t="s">
        <v>22</v>
      </c>
      <c r="E2353">
        <v>5.31</v>
      </c>
      <c r="F2353">
        <v>38</v>
      </c>
      <c r="G2353" t="s">
        <v>28</v>
      </c>
      <c r="H2353" t="s">
        <v>18</v>
      </c>
      <c r="I2353" s="2">
        <v>13.99</v>
      </c>
      <c r="J2353">
        <v>0</v>
      </c>
      <c r="K2353" s="2">
        <f t="shared" si="72"/>
        <v>0</v>
      </c>
      <c r="L2353" t="s">
        <v>43</v>
      </c>
      <c r="M2353">
        <v>5</v>
      </c>
      <c r="N2353">
        <v>0.14000000000000001</v>
      </c>
      <c r="O2353" t="str">
        <f t="shared" si="73"/>
        <v>0–0.2 hours</v>
      </c>
      <c r="P2353" t="s">
        <v>25</v>
      </c>
    </row>
    <row r="2354" spans="1:16" x14ac:dyDescent="0.4">
      <c r="A2354" t="s">
        <v>2395</v>
      </c>
      <c r="B2354">
        <v>34</v>
      </c>
      <c r="C2354" t="s">
        <v>15</v>
      </c>
      <c r="D2354" t="s">
        <v>22</v>
      </c>
      <c r="E2354">
        <v>8.59</v>
      </c>
      <c r="F2354">
        <v>20</v>
      </c>
      <c r="G2354" t="s">
        <v>23</v>
      </c>
      <c r="H2354" t="s">
        <v>18</v>
      </c>
      <c r="I2354" s="2">
        <v>13.99</v>
      </c>
      <c r="J2354">
        <v>0</v>
      </c>
      <c r="K2354" s="2">
        <f t="shared" si="72"/>
        <v>0</v>
      </c>
      <c r="L2354" t="s">
        <v>19</v>
      </c>
      <c r="M2354">
        <v>1</v>
      </c>
      <c r="N2354">
        <v>0.41</v>
      </c>
      <c r="O2354" t="str">
        <f t="shared" si="73"/>
        <v>0.4–0.6 hours</v>
      </c>
      <c r="P2354" t="s">
        <v>39</v>
      </c>
    </row>
    <row r="2355" spans="1:16" x14ac:dyDescent="0.4">
      <c r="A2355" t="s">
        <v>2396</v>
      </c>
      <c r="B2355">
        <v>60</v>
      </c>
      <c r="C2355" t="s">
        <v>15</v>
      </c>
      <c r="D2355" t="s">
        <v>16</v>
      </c>
      <c r="E2355">
        <v>36.07</v>
      </c>
      <c r="F2355">
        <v>38</v>
      </c>
      <c r="G2355" t="s">
        <v>33</v>
      </c>
      <c r="H2355" t="s">
        <v>18</v>
      </c>
      <c r="I2355" s="2">
        <v>8.99</v>
      </c>
      <c r="J2355">
        <v>0</v>
      </c>
      <c r="K2355" s="2">
        <f t="shared" si="72"/>
        <v>0</v>
      </c>
      <c r="L2355" t="s">
        <v>37</v>
      </c>
      <c r="M2355">
        <v>5</v>
      </c>
      <c r="N2355">
        <v>0.92</v>
      </c>
      <c r="O2355" t="str">
        <f t="shared" si="73"/>
        <v>0.8–1 hour</v>
      </c>
      <c r="P2355" t="s">
        <v>39</v>
      </c>
    </row>
    <row r="2356" spans="1:16" x14ac:dyDescent="0.4">
      <c r="A2356" t="s">
        <v>2397</v>
      </c>
      <c r="B2356">
        <v>57</v>
      </c>
      <c r="C2356" t="s">
        <v>27</v>
      </c>
      <c r="D2356" t="s">
        <v>16</v>
      </c>
      <c r="E2356">
        <v>2.86</v>
      </c>
      <c r="F2356">
        <v>49</v>
      </c>
      <c r="G2356" t="s">
        <v>23</v>
      </c>
      <c r="H2356" t="s">
        <v>55</v>
      </c>
      <c r="I2356" s="2">
        <v>8.99</v>
      </c>
      <c r="J2356">
        <v>1</v>
      </c>
      <c r="K2356" s="2">
        <f t="shared" si="72"/>
        <v>8.99</v>
      </c>
      <c r="L2356" t="s">
        <v>37</v>
      </c>
      <c r="M2356">
        <v>2</v>
      </c>
      <c r="N2356">
        <v>0.06</v>
      </c>
      <c r="O2356" t="str">
        <f t="shared" si="73"/>
        <v>0–0.2 hours</v>
      </c>
      <c r="P2356" t="s">
        <v>52</v>
      </c>
    </row>
    <row r="2357" spans="1:16" x14ac:dyDescent="0.4">
      <c r="A2357" t="s">
        <v>2398</v>
      </c>
      <c r="B2357">
        <v>33</v>
      </c>
      <c r="C2357" t="s">
        <v>15</v>
      </c>
      <c r="D2357" t="s">
        <v>16</v>
      </c>
      <c r="E2357">
        <v>24.94</v>
      </c>
      <c r="F2357">
        <v>16</v>
      </c>
      <c r="G2357" t="s">
        <v>49</v>
      </c>
      <c r="H2357" t="s">
        <v>24</v>
      </c>
      <c r="I2357" s="2">
        <v>8.99</v>
      </c>
      <c r="J2357">
        <v>0</v>
      </c>
      <c r="K2357" s="2">
        <f t="shared" si="72"/>
        <v>0</v>
      </c>
      <c r="L2357" t="s">
        <v>61</v>
      </c>
      <c r="M2357">
        <v>1</v>
      </c>
      <c r="N2357">
        <v>1.47</v>
      </c>
      <c r="O2357" t="str">
        <f t="shared" si="73"/>
        <v>1+ hours</v>
      </c>
      <c r="P2357" t="s">
        <v>30</v>
      </c>
    </row>
    <row r="2358" spans="1:16" x14ac:dyDescent="0.4">
      <c r="A2358" t="s">
        <v>2399</v>
      </c>
      <c r="B2358">
        <v>26</v>
      </c>
      <c r="C2358" t="s">
        <v>41</v>
      </c>
      <c r="D2358" t="s">
        <v>22</v>
      </c>
      <c r="E2358">
        <v>26.4</v>
      </c>
      <c r="F2358">
        <v>22</v>
      </c>
      <c r="G2358" t="s">
        <v>70</v>
      </c>
      <c r="H2358" t="s">
        <v>18</v>
      </c>
      <c r="I2358" s="2">
        <v>13.99</v>
      </c>
      <c r="J2358">
        <v>0</v>
      </c>
      <c r="K2358" s="2">
        <f t="shared" si="72"/>
        <v>0</v>
      </c>
      <c r="L2358" t="s">
        <v>61</v>
      </c>
      <c r="M2358">
        <v>1</v>
      </c>
      <c r="N2358">
        <v>1.1499999999999999</v>
      </c>
      <c r="O2358" t="str">
        <f t="shared" si="73"/>
        <v>1+ hours</v>
      </c>
      <c r="P2358" t="s">
        <v>39</v>
      </c>
    </row>
    <row r="2359" spans="1:16" x14ac:dyDescent="0.4">
      <c r="A2359" t="s">
        <v>2400</v>
      </c>
      <c r="B2359">
        <v>28</v>
      </c>
      <c r="C2359" t="s">
        <v>15</v>
      </c>
      <c r="D2359" t="s">
        <v>22</v>
      </c>
      <c r="E2359">
        <v>14.45</v>
      </c>
      <c r="F2359">
        <v>4</v>
      </c>
      <c r="G2359" t="s">
        <v>23</v>
      </c>
      <c r="H2359" t="s">
        <v>46</v>
      </c>
      <c r="I2359" s="2">
        <v>13.99</v>
      </c>
      <c r="J2359">
        <v>0</v>
      </c>
      <c r="K2359" s="2">
        <f t="shared" si="72"/>
        <v>0</v>
      </c>
      <c r="L2359" t="s">
        <v>61</v>
      </c>
      <c r="M2359">
        <v>5</v>
      </c>
      <c r="N2359">
        <v>2.89</v>
      </c>
      <c r="O2359" t="str">
        <f t="shared" si="73"/>
        <v>1+ hours</v>
      </c>
      <c r="P2359" t="s">
        <v>34</v>
      </c>
    </row>
    <row r="2360" spans="1:16" x14ac:dyDescent="0.4">
      <c r="A2360" t="s">
        <v>2401</v>
      </c>
      <c r="B2360">
        <v>53</v>
      </c>
      <c r="C2360" t="s">
        <v>15</v>
      </c>
      <c r="D2360" t="s">
        <v>32</v>
      </c>
      <c r="E2360">
        <v>4.49</v>
      </c>
      <c r="F2360">
        <v>10</v>
      </c>
      <c r="G2360" t="s">
        <v>49</v>
      </c>
      <c r="H2360" t="s">
        <v>57</v>
      </c>
      <c r="I2360" s="2">
        <v>17.989999999999998</v>
      </c>
      <c r="J2360">
        <v>1</v>
      </c>
      <c r="K2360" s="2">
        <f t="shared" si="72"/>
        <v>17.989999999999998</v>
      </c>
      <c r="L2360" t="s">
        <v>37</v>
      </c>
      <c r="M2360">
        <v>1</v>
      </c>
      <c r="N2360">
        <v>0.41</v>
      </c>
      <c r="O2360" t="str">
        <f t="shared" si="73"/>
        <v>0.4–0.6 hours</v>
      </c>
      <c r="P2360" t="s">
        <v>20</v>
      </c>
    </row>
    <row r="2361" spans="1:16" x14ac:dyDescent="0.4">
      <c r="A2361" t="s">
        <v>2402</v>
      </c>
      <c r="B2361">
        <v>45</v>
      </c>
      <c r="C2361" t="s">
        <v>41</v>
      </c>
      <c r="D2361" t="s">
        <v>16</v>
      </c>
      <c r="E2361">
        <v>4.22</v>
      </c>
      <c r="F2361">
        <v>18</v>
      </c>
      <c r="G2361" t="s">
        <v>17</v>
      </c>
      <c r="H2361" t="s">
        <v>55</v>
      </c>
      <c r="I2361" s="2">
        <v>8.99</v>
      </c>
      <c r="J2361">
        <v>1</v>
      </c>
      <c r="K2361" s="2">
        <f t="shared" si="72"/>
        <v>8.99</v>
      </c>
      <c r="L2361" t="s">
        <v>29</v>
      </c>
      <c r="M2361">
        <v>3</v>
      </c>
      <c r="N2361">
        <v>0.22</v>
      </c>
      <c r="O2361" t="str">
        <f t="shared" si="73"/>
        <v>0.2–0.4 hours</v>
      </c>
      <c r="P2361" t="s">
        <v>25</v>
      </c>
    </row>
    <row r="2362" spans="1:16" x14ac:dyDescent="0.4">
      <c r="A2362" t="s">
        <v>2403</v>
      </c>
      <c r="B2362">
        <v>62</v>
      </c>
      <c r="C2362" t="s">
        <v>15</v>
      </c>
      <c r="D2362" t="s">
        <v>16</v>
      </c>
      <c r="E2362">
        <v>16.62</v>
      </c>
      <c r="F2362">
        <v>21</v>
      </c>
      <c r="G2362" t="s">
        <v>49</v>
      </c>
      <c r="H2362" t="s">
        <v>55</v>
      </c>
      <c r="I2362" s="2">
        <v>8.99</v>
      </c>
      <c r="J2362">
        <v>0</v>
      </c>
      <c r="K2362" s="2">
        <f t="shared" si="72"/>
        <v>0</v>
      </c>
      <c r="L2362" t="s">
        <v>19</v>
      </c>
      <c r="M2362">
        <v>3</v>
      </c>
      <c r="N2362">
        <v>0.76</v>
      </c>
      <c r="O2362" t="str">
        <f t="shared" si="73"/>
        <v>0.6–0.8 hours</v>
      </c>
      <c r="P2362" t="s">
        <v>20</v>
      </c>
    </row>
    <row r="2363" spans="1:16" x14ac:dyDescent="0.4">
      <c r="A2363" t="s">
        <v>2404</v>
      </c>
      <c r="B2363">
        <v>28</v>
      </c>
      <c r="C2363" t="s">
        <v>15</v>
      </c>
      <c r="D2363" t="s">
        <v>22</v>
      </c>
      <c r="E2363">
        <v>1.07</v>
      </c>
      <c r="F2363">
        <v>9</v>
      </c>
      <c r="G2363" t="s">
        <v>17</v>
      </c>
      <c r="H2363" t="s">
        <v>24</v>
      </c>
      <c r="I2363" s="2">
        <v>13.99</v>
      </c>
      <c r="J2363">
        <v>1</v>
      </c>
      <c r="K2363" s="2">
        <f t="shared" si="72"/>
        <v>13.99</v>
      </c>
      <c r="L2363" t="s">
        <v>43</v>
      </c>
      <c r="M2363">
        <v>1</v>
      </c>
      <c r="N2363">
        <v>0.11</v>
      </c>
      <c r="O2363" t="str">
        <f t="shared" si="73"/>
        <v>0–0.2 hours</v>
      </c>
      <c r="P2363" t="s">
        <v>47</v>
      </c>
    </row>
    <row r="2364" spans="1:16" x14ac:dyDescent="0.4">
      <c r="A2364" t="s">
        <v>2405</v>
      </c>
      <c r="B2364">
        <v>53</v>
      </c>
      <c r="C2364" t="s">
        <v>15</v>
      </c>
      <c r="D2364" t="s">
        <v>32</v>
      </c>
      <c r="E2364">
        <v>27.73</v>
      </c>
      <c r="F2364">
        <v>32</v>
      </c>
      <c r="G2364" t="s">
        <v>17</v>
      </c>
      <c r="H2364" t="s">
        <v>55</v>
      </c>
      <c r="I2364" s="2">
        <v>17.989999999999998</v>
      </c>
      <c r="J2364">
        <v>0</v>
      </c>
      <c r="K2364" s="2">
        <f t="shared" si="72"/>
        <v>0</v>
      </c>
      <c r="L2364" t="s">
        <v>37</v>
      </c>
      <c r="M2364">
        <v>4</v>
      </c>
      <c r="N2364">
        <v>0.84</v>
      </c>
      <c r="O2364" t="str">
        <f t="shared" si="73"/>
        <v>0.8–1 hour</v>
      </c>
      <c r="P2364" t="s">
        <v>47</v>
      </c>
    </row>
    <row r="2365" spans="1:16" x14ac:dyDescent="0.4">
      <c r="A2365" t="s">
        <v>2406</v>
      </c>
      <c r="B2365">
        <v>20</v>
      </c>
      <c r="C2365" t="s">
        <v>41</v>
      </c>
      <c r="D2365" t="s">
        <v>16</v>
      </c>
      <c r="E2365">
        <v>1.4</v>
      </c>
      <c r="F2365">
        <v>51</v>
      </c>
      <c r="G2365" t="s">
        <v>49</v>
      </c>
      <c r="H2365" t="s">
        <v>18</v>
      </c>
      <c r="I2365" s="2">
        <v>8.99</v>
      </c>
      <c r="J2365">
        <v>1</v>
      </c>
      <c r="K2365" s="2">
        <f t="shared" si="72"/>
        <v>8.99</v>
      </c>
      <c r="L2365" t="s">
        <v>19</v>
      </c>
      <c r="M2365">
        <v>4</v>
      </c>
      <c r="N2365">
        <v>0.03</v>
      </c>
      <c r="O2365" t="str">
        <f t="shared" si="73"/>
        <v>0–0.2 hours</v>
      </c>
      <c r="P2365" t="s">
        <v>47</v>
      </c>
    </row>
    <row r="2366" spans="1:16" x14ac:dyDescent="0.4">
      <c r="A2366" t="s">
        <v>2407</v>
      </c>
      <c r="B2366">
        <v>59</v>
      </c>
      <c r="C2366" t="s">
        <v>41</v>
      </c>
      <c r="D2366" t="s">
        <v>22</v>
      </c>
      <c r="E2366">
        <v>10.64</v>
      </c>
      <c r="F2366">
        <v>36</v>
      </c>
      <c r="G2366" t="s">
        <v>33</v>
      </c>
      <c r="H2366" t="s">
        <v>55</v>
      </c>
      <c r="I2366" s="2">
        <v>13.99</v>
      </c>
      <c r="J2366">
        <v>1</v>
      </c>
      <c r="K2366" s="2">
        <f t="shared" si="72"/>
        <v>13.99</v>
      </c>
      <c r="L2366" t="s">
        <v>19</v>
      </c>
      <c r="M2366">
        <v>2</v>
      </c>
      <c r="N2366">
        <v>0.28999999999999998</v>
      </c>
      <c r="O2366" t="str">
        <f t="shared" si="73"/>
        <v>0.2–0.4 hours</v>
      </c>
      <c r="P2366" t="s">
        <v>30</v>
      </c>
    </row>
    <row r="2367" spans="1:16" x14ac:dyDescent="0.4">
      <c r="A2367" t="s">
        <v>2408</v>
      </c>
      <c r="B2367">
        <v>66</v>
      </c>
      <c r="C2367" t="s">
        <v>41</v>
      </c>
      <c r="D2367" t="s">
        <v>16</v>
      </c>
      <c r="E2367">
        <v>8.01</v>
      </c>
      <c r="F2367">
        <v>53</v>
      </c>
      <c r="G2367" t="s">
        <v>23</v>
      </c>
      <c r="H2367" t="s">
        <v>57</v>
      </c>
      <c r="I2367" s="2">
        <v>8.99</v>
      </c>
      <c r="J2367">
        <v>1</v>
      </c>
      <c r="K2367" s="2">
        <f t="shared" si="72"/>
        <v>8.99</v>
      </c>
      <c r="L2367" t="s">
        <v>61</v>
      </c>
      <c r="M2367">
        <v>1</v>
      </c>
      <c r="N2367">
        <v>0.15</v>
      </c>
      <c r="O2367" t="str">
        <f t="shared" si="73"/>
        <v>0–0.2 hours</v>
      </c>
      <c r="P2367" t="s">
        <v>47</v>
      </c>
    </row>
    <row r="2368" spans="1:16" x14ac:dyDescent="0.4">
      <c r="A2368" t="s">
        <v>2409</v>
      </c>
      <c r="B2368">
        <v>41</v>
      </c>
      <c r="C2368" t="s">
        <v>41</v>
      </c>
      <c r="D2368" t="s">
        <v>16</v>
      </c>
      <c r="E2368">
        <v>7.04</v>
      </c>
      <c r="F2368">
        <v>30</v>
      </c>
      <c r="G2368" t="s">
        <v>49</v>
      </c>
      <c r="H2368" t="s">
        <v>57</v>
      </c>
      <c r="I2368" s="2">
        <v>8.99</v>
      </c>
      <c r="J2368">
        <v>0</v>
      </c>
      <c r="K2368" s="2">
        <f t="shared" si="72"/>
        <v>0</v>
      </c>
      <c r="L2368" t="s">
        <v>37</v>
      </c>
      <c r="M2368">
        <v>5</v>
      </c>
      <c r="N2368">
        <v>0.23</v>
      </c>
      <c r="O2368" t="str">
        <f t="shared" si="73"/>
        <v>0.2–0.4 hours</v>
      </c>
      <c r="P2368" t="s">
        <v>25</v>
      </c>
    </row>
    <row r="2369" spans="1:16" x14ac:dyDescent="0.4">
      <c r="A2369" t="s">
        <v>2410</v>
      </c>
      <c r="B2369">
        <v>51</v>
      </c>
      <c r="C2369" t="s">
        <v>41</v>
      </c>
      <c r="D2369" t="s">
        <v>16</v>
      </c>
      <c r="E2369">
        <v>7.54</v>
      </c>
      <c r="F2369">
        <v>5</v>
      </c>
      <c r="G2369" t="s">
        <v>23</v>
      </c>
      <c r="H2369" t="s">
        <v>55</v>
      </c>
      <c r="I2369" s="2">
        <v>8.99</v>
      </c>
      <c r="J2369">
        <v>0</v>
      </c>
      <c r="K2369" s="2">
        <f t="shared" si="72"/>
        <v>0</v>
      </c>
      <c r="L2369" t="s">
        <v>37</v>
      </c>
      <c r="M2369">
        <v>4</v>
      </c>
      <c r="N2369">
        <v>1.26</v>
      </c>
      <c r="O2369" t="str">
        <f t="shared" si="73"/>
        <v>1+ hours</v>
      </c>
      <c r="P2369" t="s">
        <v>20</v>
      </c>
    </row>
    <row r="2370" spans="1:16" x14ac:dyDescent="0.4">
      <c r="A2370" t="s">
        <v>2411</v>
      </c>
      <c r="B2370">
        <v>29</v>
      </c>
      <c r="C2370" t="s">
        <v>27</v>
      </c>
      <c r="D2370" t="s">
        <v>22</v>
      </c>
      <c r="E2370">
        <v>17.260000000000002</v>
      </c>
      <c r="F2370">
        <v>17</v>
      </c>
      <c r="G2370" t="s">
        <v>33</v>
      </c>
      <c r="H2370" t="s">
        <v>57</v>
      </c>
      <c r="I2370" s="2">
        <v>13.99</v>
      </c>
      <c r="J2370">
        <v>0</v>
      </c>
      <c r="K2370" s="2">
        <f t="shared" si="72"/>
        <v>0</v>
      </c>
      <c r="L2370" t="s">
        <v>19</v>
      </c>
      <c r="M2370">
        <v>2</v>
      </c>
      <c r="N2370">
        <v>0.96</v>
      </c>
      <c r="O2370" t="str">
        <f t="shared" si="73"/>
        <v>0.8–1 hour</v>
      </c>
      <c r="P2370" t="s">
        <v>30</v>
      </c>
    </row>
    <row r="2371" spans="1:16" x14ac:dyDescent="0.4">
      <c r="A2371" t="s">
        <v>2412</v>
      </c>
      <c r="B2371">
        <v>58</v>
      </c>
      <c r="C2371" t="s">
        <v>15</v>
      </c>
      <c r="D2371" t="s">
        <v>32</v>
      </c>
      <c r="E2371">
        <v>14.44</v>
      </c>
      <c r="F2371">
        <v>43</v>
      </c>
      <c r="G2371" t="s">
        <v>70</v>
      </c>
      <c r="H2371" t="s">
        <v>57</v>
      </c>
      <c r="I2371" s="2">
        <v>17.989999999999998</v>
      </c>
      <c r="J2371">
        <v>1</v>
      </c>
      <c r="K2371" s="2">
        <f t="shared" ref="K2371:K2434" si="74">SUMIF(J2371,1,I2371)</f>
        <v>17.989999999999998</v>
      </c>
      <c r="L2371" t="s">
        <v>19</v>
      </c>
      <c r="M2371">
        <v>3</v>
      </c>
      <c r="N2371">
        <v>0.33</v>
      </c>
      <c r="O2371" t="str">
        <f t="shared" ref="O2371:O2434" si="75">IF(N2371&gt;1,"1+ hours",IF(N2371&lt;=0.2,"0–0.2 hours",IF(N2371&lt;=0.4,"0.2–0.4 hours",IF(N2371&lt;=0.6,"0.4–0.6 hours",IF(N2371&lt;=0.8,"0.6–0.8 hours","0.8–1 hour")))))</f>
        <v>0.2–0.4 hours</v>
      </c>
      <c r="P2371" t="s">
        <v>34</v>
      </c>
    </row>
    <row r="2372" spans="1:16" x14ac:dyDescent="0.4">
      <c r="A2372" t="s">
        <v>2413</v>
      </c>
      <c r="B2372">
        <v>28</v>
      </c>
      <c r="C2372" t="s">
        <v>15</v>
      </c>
      <c r="D2372" t="s">
        <v>22</v>
      </c>
      <c r="E2372">
        <v>6.97</v>
      </c>
      <c r="F2372">
        <v>9</v>
      </c>
      <c r="G2372" t="s">
        <v>17</v>
      </c>
      <c r="H2372" t="s">
        <v>55</v>
      </c>
      <c r="I2372" s="2">
        <v>13.99</v>
      </c>
      <c r="J2372">
        <v>0</v>
      </c>
      <c r="K2372" s="2">
        <f t="shared" si="74"/>
        <v>0</v>
      </c>
      <c r="L2372" t="s">
        <v>37</v>
      </c>
      <c r="M2372">
        <v>4</v>
      </c>
      <c r="N2372">
        <v>0.7</v>
      </c>
      <c r="O2372" t="str">
        <f t="shared" si="75"/>
        <v>0.6–0.8 hours</v>
      </c>
      <c r="P2372" t="s">
        <v>34</v>
      </c>
    </row>
    <row r="2373" spans="1:16" x14ac:dyDescent="0.4">
      <c r="A2373" t="s">
        <v>2414</v>
      </c>
      <c r="B2373">
        <v>29</v>
      </c>
      <c r="C2373" t="s">
        <v>27</v>
      </c>
      <c r="D2373" t="s">
        <v>32</v>
      </c>
      <c r="E2373">
        <v>14.87</v>
      </c>
      <c r="F2373">
        <v>12</v>
      </c>
      <c r="G2373" t="s">
        <v>70</v>
      </c>
      <c r="H2373" t="s">
        <v>46</v>
      </c>
      <c r="I2373" s="2">
        <v>17.989999999999998</v>
      </c>
      <c r="J2373">
        <v>0</v>
      </c>
      <c r="K2373" s="2">
        <f t="shared" si="74"/>
        <v>0</v>
      </c>
      <c r="L2373" t="s">
        <v>61</v>
      </c>
      <c r="M2373">
        <v>4</v>
      </c>
      <c r="N2373">
        <v>1.1399999999999999</v>
      </c>
      <c r="O2373" t="str">
        <f t="shared" si="75"/>
        <v>1+ hours</v>
      </c>
      <c r="P2373" t="s">
        <v>20</v>
      </c>
    </row>
    <row r="2374" spans="1:16" x14ac:dyDescent="0.4">
      <c r="A2374" t="s">
        <v>2415</v>
      </c>
      <c r="B2374">
        <v>62</v>
      </c>
      <c r="C2374" t="s">
        <v>15</v>
      </c>
      <c r="D2374" t="s">
        <v>22</v>
      </c>
      <c r="E2374">
        <v>4.16</v>
      </c>
      <c r="F2374">
        <v>29</v>
      </c>
      <c r="G2374" t="s">
        <v>23</v>
      </c>
      <c r="H2374" t="s">
        <v>55</v>
      </c>
      <c r="I2374" s="2">
        <v>13.99</v>
      </c>
      <c r="J2374">
        <v>1</v>
      </c>
      <c r="K2374" s="2">
        <f t="shared" si="74"/>
        <v>13.99</v>
      </c>
      <c r="L2374" t="s">
        <v>43</v>
      </c>
      <c r="M2374">
        <v>3</v>
      </c>
      <c r="N2374">
        <v>0.14000000000000001</v>
      </c>
      <c r="O2374" t="str">
        <f t="shared" si="75"/>
        <v>0–0.2 hours</v>
      </c>
      <c r="P2374" t="s">
        <v>25</v>
      </c>
    </row>
    <row r="2375" spans="1:16" x14ac:dyDescent="0.4">
      <c r="A2375" t="s">
        <v>2416</v>
      </c>
      <c r="B2375">
        <v>62</v>
      </c>
      <c r="C2375" t="s">
        <v>15</v>
      </c>
      <c r="D2375" t="s">
        <v>16</v>
      </c>
      <c r="E2375">
        <v>21.86</v>
      </c>
      <c r="F2375">
        <v>22</v>
      </c>
      <c r="G2375" t="s">
        <v>33</v>
      </c>
      <c r="H2375" t="s">
        <v>18</v>
      </c>
      <c r="I2375" s="2">
        <v>8.99</v>
      </c>
      <c r="J2375">
        <v>0</v>
      </c>
      <c r="K2375" s="2">
        <f t="shared" si="74"/>
        <v>0</v>
      </c>
      <c r="L2375" t="s">
        <v>29</v>
      </c>
      <c r="M2375">
        <v>5</v>
      </c>
      <c r="N2375">
        <v>0.95</v>
      </c>
      <c r="O2375" t="str">
        <f t="shared" si="75"/>
        <v>0.8–1 hour</v>
      </c>
      <c r="P2375" t="s">
        <v>25</v>
      </c>
    </row>
    <row r="2376" spans="1:16" x14ac:dyDescent="0.4">
      <c r="A2376" t="s">
        <v>2417</v>
      </c>
      <c r="B2376">
        <v>58</v>
      </c>
      <c r="C2376" t="s">
        <v>27</v>
      </c>
      <c r="D2376" t="s">
        <v>16</v>
      </c>
      <c r="E2376">
        <v>8.4</v>
      </c>
      <c r="F2376">
        <v>44</v>
      </c>
      <c r="G2376" t="s">
        <v>17</v>
      </c>
      <c r="H2376" t="s">
        <v>46</v>
      </c>
      <c r="I2376" s="2">
        <v>8.99</v>
      </c>
      <c r="J2376">
        <v>1</v>
      </c>
      <c r="K2376" s="2">
        <f t="shared" si="74"/>
        <v>8.99</v>
      </c>
      <c r="L2376" t="s">
        <v>19</v>
      </c>
      <c r="M2376">
        <v>2</v>
      </c>
      <c r="N2376">
        <v>0.19</v>
      </c>
      <c r="O2376" t="str">
        <f t="shared" si="75"/>
        <v>0–0.2 hours</v>
      </c>
      <c r="P2376" t="s">
        <v>52</v>
      </c>
    </row>
    <row r="2377" spans="1:16" x14ac:dyDescent="0.4">
      <c r="A2377" t="s">
        <v>2418</v>
      </c>
      <c r="B2377">
        <v>21</v>
      </c>
      <c r="C2377" t="s">
        <v>27</v>
      </c>
      <c r="D2377" t="s">
        <v>22</v>
      </c>
      <c r="E2377">
        <v>25.32</v>
      </c>
      <c r="F2377">
        <v>60</v>
      </c>
      <c r="G2377" t="s">
        <v>23</v>
      </c>
      <c r="H2377" t="s">
        <v>24</v>
      </c>
      <c r="I2377" s="2">
        <v>13.99</v>
      </c>
      <c r="J2377">
        <v>0</v>
      </c>
      <c r="K2377" s="2">
        <f t="shared" si="74"/>
        <v>0</v>
      </c>
      <c r="L2377" t="s">
        <v>29</v>
      </c>
      <c r="M2377">
        <v>4</v>
      </c>
      <c r="N2377">
        <v>0.42</v>
      </c>
      <c r="O2377" t="str">
        <f t="shared" si="75"/>
        <v>0.4–0.6 hours</v>
      </c>
      <c r="P2377" t="s">
        <v>47</v>
      </c>
    </row>
    <row r="2378" spans="1:16" x14ac:dyDescent="0.4">
      <c r="A2378" s="1" t="s">
        <v>2419</v>
      </c>
      <c r="B2378">
        <v>38</v>
      </c>
      <c r="C2378" t="s">
        <v>41</v>
      </c>
      <c r="D2378" t="s">
        <v>16</v>
      </c>
      <c r="E2378">
        <v>22.74</v>
      </c>
      <c r="F2378">
        <v>60</v>
      </c>
      <c r="G2378" t="s">
        <v>28</v>
      </c>
      <c r="H2378" t="s">
        <v>55</v>
      </c>
      <c r="I2378" s="2">
        <v>8.99</v>
      </c>
      <c r="J2378">
        <v>1</v>
      </c>
      <c r="K2378" s="2">
        <f t="shared" si="74"/>
        <v>8.99</v>
      </c>
      <c r="L2378" t="s">
        <v>19</v>
      </c>
      <c r="M2378">
        <v>3</v>
      </c>
      <c r="N2378">
        <v>0.37</v>
      </c>
      <c r="O2378" t="str">
        <f t="shared" si="75"/>
        <v>0.2–0.4 hours</v>
      </c>
      <c r="P2378" t="s">
        <v>52</v>
      </c>
    </row>
    <row r="2379" spans="1:16" x14ac:dyDescent="0.4">
      <c r="A2379" t="s">
        <v>2420</v>
      </c>
      <c r="B2379">
        <v>19</v>
      </c>
      <c r="C2379" t="s">
        <v>27</v>
      </c>
      <c r="D2379" t="s">
        <v>22</v>
      </c>
      <c r="E2379">
        <v>16.260000000000002</v>
      </c>
      <c r="F2379">
        <v>17</v>
      </c>
      <c r="G2379" t="s">
        <v>23</v>
      </c>
      <c r="H2379" t="s">
        <v>57</v>
      </c>
      <c r="I2379" s="2">
        <v>13.99</v>
      </c>
      <c r="J2379">
        <v>0</v>
      </c>
      <c r="K2379" s="2">
        <f t="shared" si="74"/>
        <v>0</v>
      </c>
      <c r="L2379" t="s">
        <v>61</v>
      </c>
      <c r="M2379">
        <v>1</v>
      </c>
      <c r="N2379">
        <v>0.9</v>
      </c>
      <c r="O2379" t="str">
        <f t="shared" si="75"/>
        <v>0.8–1 hour</v>
      </c>
      <c r="P2379" t="s">
        <v>30</v>
      </c>
    </row>
    <row r="2380" spans="1:16" x14ac:dyDescent="0.4">
      <c r="A2380" t="s">
        <v>2421</v>
      </c>
      <c r="B2380">
        <v>46</v>
      </c>
      <c r="C2380" t="s">
        <v>15</v>
      </c>
      <c r="D2380" t="s">
        <v>16</v>
      </c>
      <c r="E2380">
        <v>13.83</v>
      </c>
      <c r="F2380">
        <v>44</v>
      </c>
      <c r="G2380" t="s">
        <v>70</v>
      </c>
      <c r="H2380" t="s">
        <v>24</v>
      </c>
      <c r="I2380" s="2">
        <v>8.99</v>
      </c>
      <c r="J2380">
        <v>1</v>
      </c>
      <c r="K2380" s="2">
        <f t="shared" si="74"/>
        <v>8.99</v>
      </c>
      <c r="L2380" t="s">
        <v>37</v>
      </c>
      <c r="M2380">
        <v>4</v>
      </c>
      <c r="N2380">
        <v>0.31</v>
      </c>
      <c r="O2380" t="str">
        <f t="shared" si="75"/>
        <v>0.2–0.4 hours</v>
      </c>
      <c r="P2380" t="s">
        <v>20</v>
      </c>
    </row>
    <row r="2381" spans="1:16" x14ac:dyDescent="0.4">
      <c r="A2381" t="s">
        <v>2422</v>
      </c>
      <c r="B2381">
        <v>38</v>
      </c>
      <c r="C2381" t="s">
        <v>27</v>
      </c>
      <c r="D2381" t="s">
        <v>22</v>
      </c>
      <c r="E2381">
        <v>0.9</v>
      </c>
      <c r="F2381">
        <v>35</v>
      </c>
      <c r="G2381" t="s">
        <v>70</v>
      </c>
      <c r="H2381" t="s">
        <v>55</v>
      </c>
      <c r="I2381" s="2">
        <v>13.99</v>
      </c>
      <c r="J2381">
        <v>1</v>
      </c>
      <c r="K2381" s="2">
        <f t="shared" si="74"/>
        <v>13.99</v>
      </c>
      <c r="L2381" t="s">
        <v>43</v>
      </c>
      <c r="M2381">
        <v>2</v>
      </c>
      <c r="N2381">
        <v>0.03</v>
      </c>
      <c r="O2381" t="str">
        <f t="shared" si="75"/>
        <v>0–0.2 hours</v>
      </c>
      <c r="P2381" t="s">
        <v>25</v>
      </c>
    </row>
    <row r="2382" spans="1:16" x14ac:dyDescent="0.4">
      <c r="A2382" t="s">
        <v>2423</v>
      </c>
      <c r="B2382">
        <v>36</v>
      </c>
      <c r="C2382" t="s">
        <v>41</v>
      </c>
      <c r="D2382" t="s">
        <v>22</v>
      </c>
      <c r="E2382">
        <v>37.54</v>
      </c>
      <c r="F2382">
        <v>54</v>
      </c>
      <c r="G2382" t="s">
        <v>23</v>
      </c>
      <c r="H2382" t="s">
        <v>18</v>
      </c>
      <c r="I2382" s="2">
        <v>13.99</v>
      </c>
      <c r="J2382">
        <v>0</v>
      </c>
      <c r="K2382" s="2">
        <f t="shared" si="74"/>
        <v>0</v>
      </c>
      <c r="L2382" t="s">
        <v>43</v>
      </c>
      <c r="M2382">
        <v>2</v>
      </c>
      <c r="N2382">
        <v>0.68</v>
      </c>
      <c r="O2382" t="str">
        <f t="shared" si="75"/>
        <v>0.6–0.8 hours</v>
      </c>
      <c r="P2382" t="s">
        <v>39</v>
      </c>
    </row>
    <row r="2383" spans="1:16" x14ac:dyDescent="0.4">
      <c r="A2383" t="s">
        <v>2424</v>
      </c>
      <c r="B2383">
        <v>42</v>
      </c>
      <c r="C2383" t="s">
        <v>41</v>
      </c>
      <c r="D2383" t="s">
        <v>22</v>
      </c>
      <c r="E2383">
        <v>1.64</v>
      </c>
      <c r="F2383">
        <v>17</v>
      </c>
      <c r="G2383" t="s">
        <v>33</v>
      </c>
      <c r="H2383" t="s">
        <v>55</v>
      </c>
      <c r="I2383" s="2">
        <v>13.99</v>
      </c>
      <c r="J2383">
        <v>0</v>
      </c>
      <c r="K2383" s="2">
        <f t="shared" si="74"/>
        <v>0</v>
      </c>
      <c r="L2383" t="s">
        <v>37</v>
      </c>
      <c r="M2383">
        <v>5</v>
      </c>
      <c r="N2383">
        <v>0.09</v>
      </c>
      <c r="O2383" t="str">
        <f t="shared" si="75"/>
        <v>0–0.2 hours</v>
      </c>
      <c r="P2383" t="s">
        <v>47</v>
      </c>
    </row>
    <row r="2384" spans="1:16" x14ac:dyDescent="0.4">
      <c r="A2384" t="s">
        <v>2425</v>
      </c>
      <c r="B2384">
        <v>43</v>
      </c>
      <c r="C2384" t="s">
        <v>41</v>
      </c>
      <c r="D2384" t="s">
        <v>22</v>
      </c>
      <c r="E2384">
        <v>5.61</v>
      </c>
      <c r="F2384">
        <v>41</v>
      </c>
      <c r="G2384" t="s">
        <v>23</v>
      </c>
      <c r="H2384" t="s">
        <v>57</v>
      </c>
      <c r="I2384" s="2">
        <v>13.99</v>
      </c>
      <c r="J2384">
        <v>1</v>
      </c>
      <c r="K2384" s="2">
        <f t="shared" si="74"/>
        <v>13.99</v>
      </c>
      <c r="L2384" t="s">
        <v>43</v>
      </c>
      <c r="M2384">
        <v>1</v>
      </c>
      <c r="N2384">
        <v>0.13</v>
      </c>
      <c r="O2384" t="str">
        <f t="shared" si="75"/>
        <v>0–0.2 hours</v>
      </c>
      <c r="P2384" t="s">
        <v>34</v>
      </c>
    </row>
    <row r="2385" spans="1:16" x14ac:dyDescent="0.4">
      <c r="A2385" t="s">
        <v>2426</v>
      </c>
      <c r="B2385">
        <v>60</v>
      </c>
      <c r="C2385" t="s">
        <v>15</v>
      </c>
      <c r="D2385" t="s">
        <v>32</v>
      </c>
      <c r="E2385">
        <v>7.61</v>
      </c>
      <c r="F2385">
        <v>20</v>
      </c>
      <c r="G2385" t="s">
        <v>23</v>
      </c>
      <c r="H2385" t="s">
        <v>46</v>
      </c>
      <c r="I2385" s="2">
        <v>17.989999999999998</v>
      </c>
      <c r="J2385">
        <v>0</v>
      </c>
      <c r="K2385" s="2">
        <f t="shared" si="74"/>
        <v>0</v>
      </c>
      <c r="L2385" t="s">
        <v>43</v>
      </c>
      <c r="M2385">
        <v>1</v>
      </c>
      <c r="N2385">
        <v>0.36</v>
      </c>
      <c r="O2385" t="str">
        <f t="shared" si="75"/>
        <v>0.2–0.4 hours</v>
      </c>
      <c r="P2385" t="s">
        <v>20</v>
      </c>
    </row>
    <row r="2386" spans="1:16" x14ac:dyDescent="0.4">
      <c r="A2386" t="s">
        <v>2427</v>
      </c>
      <c r="B2386">
        <v>55</v>
      </c>
      <c r="C2386" t="s">
        <v>27</v>
      </c>
      <c r="D2386" t="s">
        <v>22</v>
      </c>
      <c r="E2386">
        <v>14.71</v>
      </c>
      <c r="F2386">
        <v>20</v>
      </c>
      <c r="G2386" t="s">
        <v>49</v>
      </c>
      <c r="H2386" t="s">
        <v>55</v>
      </c>
      <c r="I2386" s="2">
        <v>13.99</v>
      </c>
      <c r="J2386">
        <v>0</v>
      </c>
      <c r="K2386" s="2">
        <f t="shared" si="74"/>
        <v>0</v>
      </c>
      <c r="L2386" t="s">
        <v>61</v>
      </c>
      <c r="M2386">
        <v>2</v>
      </c>
      <c r="N2386">
        <v>0.7</v>
      </c>
      <c r="O2386" t="str">
        <f t="shared" si="75"/>
        <v>0.6–0.8 hours</v>
      </c>
      <c r="P2386" t="s">
        <v>34</v>
      </c>
    </row>
    <row r="2387" spans="1:16" x14ac:dyDescent="0.4">
      <c r="A2387" t="s">
        <v>2428</v>
      </c>
      <c r="B2387">
        <v>41</v>
      </c>
      <c r="C2387" t="s">
        <v>27</v>
      </c>
      <c r="D2387" t="s">
        <v>16</v>
      </c>
      <c r="E2387">
        <v>27.09</v>
      </c>
      <c r="F2387">
        <v>7</v>
      </c>
      <c r="G2387" t="s">
        <v>49</v>
      </c>
      <c r="H2387" t="s">
        <v>18</v>
      </c>
      <c r="I2387" s="2">
        <v>8.99</v>
      </c>
      <c r="J2387">
        <v>0</v>
      </c>
      <c r="K2387" s="2">
        <f t="shared" si="74"/>
        <v>0</v>
      </c>
      <c r="L2387" t="s">
        <v>61</v>
      </c>
      <c r="M2387">
        <v>5</v>
      </c>
      <c r="N2387">
        <v>3.39</v>
      </c>
      <c r="O2387" t="str">
        <f t="shared" si="75"/>
        <v>1+ hours</v>
      </c>
      <c r="P2387" t="s">
        <v>20</v>
      </c>
    </row>
    <row r="2388" spans="1:16" x14ac:dyDescent="0.4">
      <c r="A2388" t="s">
        <v>2429</v>
      </c>
      <c r="B2388">
        <v>51</v>
      </c>
      <c r="C2388" t="s">
        <v>41</v>
      </c>
      <c r="D2388" t="s">
        <v>32</v>
      </c>
      <c r="E2388">
        <v>7.92</v>
      </c>
      <c r="F2388">
        <v>16</v>
      </c>
      <c r="G2388" t="s">
        <v>17</v>
      </c>
      <c r="H2388" t="s">
        <v>24</v>
      </c>
      <c r="I2388" s="2">
        <v>17.989999999999998</v>
      </c>
      <c r="J2388">
        <v>0</v>
      </c>
      <c r="K2388" s="2">
        <f t="shared" si="74"/>
        <v>0</v>
      </c>
      <c r="L2388" t="s">
        <v>37</v>
      </c>
      <c r="M2388">
        <v>2</v>
      </c>
      <c r="N2388">
        <v>0.47</v>
      </c>
      <c r="O2388" t="str">
        <f t="shared" si="75"/>
        <v>0.4–0.6 hours</v>
      </c>
      <c r="P2388" t="s">
        <v>52</v>
      </c>
    </row>
    <row r="2389" spans="1:16" x14ac:dyDescent="0.4">
      <c r="A2389" t="s">
        <v>2430</v>
      </c>
      <c r="B2389">
        <v>32</v>
      </c>
      <c r="C2389" t="s">
        <v>15</v>
      </c>
      <c r="D2389" t="s">
        <v>16</v>
      </c>
      <c r="E2389">
        <v>12.06</v>
      </c>
      <c r="F2389">
        <v>26</v>
      </c>
      <c r="G2389" t="s">
        <v>28</v>
      </c>
      <c r="H2389" t="s">
        <v>46</v>
      </c>
      <c r="I2389" s="2">
        <v>8.99</v>
      </c>
      <c r="J2389">
        <v>0</v>
      </c>
      <c r="K2389" s="2">
        <f t="shared" si="74"/>
        <v>0</v>
      </c>
      <c r="L2389" t="s">
        <v>43</v>
      </c>
      <c r="M2389">
        <v>3</v>
      </c>
      <c r="N2389">
        <v>0.45</v>
      </c>
      <c r="O2389" t="str">
        <f t="shared" si="75"/>
        <v>0.4–0.6 hours</v>
      </c>
      <c r="P2389" t="s">
        <v>30</v>
      </c>
    </row>
    <row r="2390" spans="1:16" x14ac:dyDescent="0.4">
      <c r="A2390" t="s">
        <v>2431</v>
      </c>
      <c r="B2390">
        <v>35</v>
      </c>
      <c r="C2390" t="s">
        <v>27</v>
      </c>
      <c r="D2390" t="s">
        <v>16</v>
      </c>
      <c r="E2390">
        <v>2.2200000000000002</v>
      </c>
      <c r="F2390">
        <v>4</v>
      </c>
      <c r="G2390" t="s">
        <v>17</v>
      </c>
      <c r="H2390" t="s">
        <v>55</v>
      </c>
      <c r="I2390" s="2">
        <v>8.99</v>
      </c>
      <c r="J2390">
        <v>1</v>
      </c>
      <c r="K2390" s="2">
        <f t="shared" si="74"/>
        <v>8.99</v>
      </c>
      <c r="L2390" t="s">
        <v>43</v>
      </c>
      <c r="M2390">
        <v>2</v>
      </c>
      <c r="N2390">
        <v>0.44</v>
      </c>
      <c r="O2390" t="str">
        <f t="shared" si="75"/>
        <v>0.4–0.6 hours</v>
      </c>
      <c r="P2390" t="s">
        <v>47</v>
      </c>
    </row>
    <row r="2391" spans="1:16" x14ac:dyDescent="0.4">
      <c r="A2391" t="s">
        <v>2432</v>
      </c>
      <c r="B2391">
        <v>63</v>
      </c>
      <c r="C2391" t="s">
        <v>41</v>
      </c>
      <c r="D2391" t="s">
        <v>32</v>
      </c>
      <c r="E2391">
        <v>20.68</v>
      </c>
      <c r="F2391">
        <v>26</v>
      </c>
      <c r="G2391" t="s">
        <v>28</v>
      </c>
      <c r="H2391" t="s">
        <v>57</v>
      </c>
      <c r="I2391" s="2">
        <v>17.989999999999998</v>
      </c>
      <c r="J2391">
        <v>0</v>
      </c>
      <c r="K2391" s="2">
        <f t="shared" si="74"/>
        <v>0</v>
      </c>
      <c r="L2391" t="s">
        <v>29</v>
      </c>
      <c r="M2391">
        <v>5</v>
      </c>
      <c r="N2391">
        <v>0.77</v>
      </c>
      <c r="O2391" t="str">
        <f t="shared" si="75"/>
        <v>0.6–0.8 hours</v>
      </c>
      <c r="P2391" t="s">
        <v>34</v>
      </c>
    </row>
    <row r="2392" spans="1:16" x14ac:dyDescent="0.4">
      <c r="A2392" t="s">
        <v>2433</v>
      </c>
      <c r="B2392">
        <v>39</v>
      </c>
      <c r="C2392" t="s">
        <v>15</v>
      </c>
      <c r="D2392" t="s">
        <v>32</v>
      </c>
      <c r="E2392">
        <v>4</v>
      </c>
      <c r="F2392">
        <v>32</v>
      </c>
      <c r="G2392" t="s">
        <v>49</v>
      </c>
      <c r="H2392" t="s">
        <v>24</v>
      </c>
      <c r="I2392" s="2">
        <v>17.989999999999998</v>
      </c>
      <c r="J2392">
        <v>1</v>
      </c>
      <c r="K2392" s="2">
        <f t="shared" si="74"/>
        <v>17.989999999999998</v>
      </c>
      <c r="L2392" t="s">
        <v>37</v>
      </c>
      <c r="M2392">
        <v>2</v>
      </c>
      <c r="N2392">
        <v>0.12</v>
      </c>
      <c r="O2392" t="str">
        <f t="shared" si="75"/>
        <v>0–0.2 hours</v>
      </c>
      <c r="P2392" t="s">
        <v>34</v>
      </c>
    </row>
    <row r="2393" spans="1:16" x14ac:dyDescent="0.4">
      <c r="A2393" t="s">
        <v>2434</v>
      </c>
      <c r="B2393">
        <v>19</v>
      </c>
      <c r="C2393" t="s">
        <v>41</v>
      </c>
      <c r="D2393" t="s">
        <v>16</v>
      </c>
      <c r="E2393">
        <v>2.79</v>
      </c>
      <c r="F2393">
        <v>33</v>
      </c>
      <c r="G2393" t="s">
        <v>33</v>
      </c>
      <c r="H2393" t="s">
        <v>57</v>
      </c>
      <c r="I2393" s="2">
        <v>8.99</v>
      </c>
      <c r="J2393">
        <v>1</v>
      </c>
      <c r="K2393" s="2">
        <f t="shared" si="74"/>
        <v>8.99</v>
      </c>
      <c r="L2393" t="s">
        <v>43</v>
      </c>
      <c r="M2393">
        <v>4</v>
      </c>
      <c r="N2393">
        <v>0.08</v>
      </c>
      <c r="O2393" t="str">
        <f t="shared" si="75"/>
        <v>0–0.2 hours</v>
      </c>
      <c r="P2393" t="s">
        <v>25</v>
      </c>
    </row>
    <row r="2394" spans="1:16" x14ac:dyDescent="0.4">
      <c r="A2394" t="s">
        <v>2435</v>
      </c>
      <c r="B2394">
        <v>33</v>
      </c>
      <c r="C2394" t="s">
        <v>27</v>
      </c>
      <c r="D2394" t="s">
        <v>16</v>
      </c>
      <c r="E2394">
        <v>9.64</v>
      </c>
      <c r="F2394">
        <v>30</v>
      </c>
      <c r="G2394" t="s">
        <v>28</v>
      </c>
      <c r="H2394" t="s">
        <v>24</v>
      </c>
      <c r="I2394" s="2">
        <v>8.99</v>
      </c>
      <c r="J2394">
        <v>0</v>
      </c>
      <c r="K2394" s="2">
        <f t="shared" si="74"/>
        <v>0</v>
      </c>
      <c r="L2394" t="s">
        <v>29</v>
      </c>
      <c r="M2394">
        <v>5</v>
      </c>
      <c r="N2394">
        <v>0.31</v>
      </c>
      <c r="O2394" t="str">
        <f t="shared" si="75"/>
        <v>0.2–0.4 hours</v>
      </c>
      <c r="P2394" t="s">
        <v>52</v>
      </c>
    </row>
    <row r="2395" spans="1:16" x14ac:dyDescent="0.4">
      <c r="A2395" t="s">
        <v>2436</v>
      </c>
      <c r="B2395">
        <v>63</v>
      </c>
      <c r="C2395" t="s">
        <v>41</v>
      </c>
      <c r="D2395" t="s">
        <v>16</v>
      </c>
      <c r="E2395">
        <v>39.549999999999997</v>
      </c>
      <c r="F2395">
        <v>42</v>
      </c>
      <c r="G2395" t="s">
        <v>70</v>
      </c>
      <c r="H2395" t="s">
        <v>57</v>
      </c>
      <c r="I2395" s="2">
        <v>8.99</v>
      </c>
      <c r="J2395">
        <v>1</v>
      </c>
      <c r="K2395" s="2">
        <f t="shared" si="74"/>
        <v>8.99</v>
      </c>
      <c r="L2395" t="s">
        <v>19</v>
      </c>
      <c r="M2395">
        <v>1</v>
      </c>
      <c r="N2395">
        <v>0.92</v>
      </c>
      <c r="O2395" t="str">
        <f t="shared" si="75"/>
        <v>0.8–1 hour</v>
      </c>
      <c r="P2395" t="s">
        <v>25</v>
      </c>
    </row>
    <row r="2396" spans="1:16" x14ac:dyDescent="0.4">
      <c r="A2396" t="s">
        <v>2437</v>
      </c>
      <c r="B2396">
        <v>18</v>
      </c>
      <c r="C2396" t="s">
        <v>15</v>
      </c>
      <c r="D2396" t="s">
        <v>16</v>
      </c>
      <c r="E2396">
        <v>2.13</v>
      </c>
      <c r="F2396">
        <v>20</v>
      </c>
      <c r="G2396" t="s">
        <v>33</v>
      </c>
      <c r="H2396" t="s">
        <v>46</v>
      </c>
      <c r="I2396" s="2">
        <v>8.99</v>
      </c>
      <c r="J2396">
        <v>1</v>
      </c>
      <c r="K2396" s="2">
        <f t="shared" si="74"/>
        <v>8.99</v>
      </c>
      <c r="L2396" t="s">
        <v>61</v>
      </c>
      <c r="M2396">
        <v>1</v>
      </c>
      <c r="N2396">
        <v>0.1</v>
      </c>
      <c r="O2396" t="str">
        <f t="shared" si="75"/>
        <v>0–0.2 hours</v>
      </c>
      <c r="P2396" t="s">
        <v>25</v>
      </c>
    </row>
    <row r="2397" spans="1:16" x14ac:dyDescent="0.4">
      <c r="A2397" t="s">
        <v>2438</v>
      </c>
      <c r="B2397">
        <v>22</v>
      </c>
      <c r="C2397" t="s">
        <v>15</v>
      </c>
      <c r="D2397" t="s">
        <v>32</v>
      </c>
      <c r="E2397">
        <v>32.64</v>
      </c>
      <c r="F2397">
        <v>30</v>
      </c>
      <c r="G2397" t="s">
        <v>33</v>
      </c>
      <c r="H2397" t="s">
        <v>24</v>
      </c>
      <c r="I2397" s="2">
        <v>17.989999999999998</v>
      </c>
      <c r="J2397">
        <v>0</v>
      </c>
      <c r="K2397" s="2">
        <f t="shared" si="74"/>
        <v>0</v>
      </c>
      <c r="L2397" t="s">
        <v>61</v>
      </c>
      <c r="M2397">
        <v>5</v>
      </c>
      <c r="N2397">
        <v>1.05</v>
      </c>
      <c r="O2397" t="str">
        <f t="shared" si="75"/>
        <v>1+ hours</v>
      </c>
      <c r="P2397" t="s">
        <v>25</v>
      </c>
    </row>
    <row r="2398" spans="1:16" x14ac:dyDescent="0.4">
      <c r="A2398" t="s">
        <v>2439</v>
      </c>
      <c r="B2398">
        <v>42</v>
      </c>
      <c r="C2398" t="s">
        <v>15</v>
      </c>
      <c r="D2398" t="s">
        <v>16</v>
      </c>
      <c r="E2398">
        <v>20.52</v>
      </c>
      <c r="F2398">
        <v>5</v>
      </c>
      <c r="G2398" t="s">
        <v>23</v>
      </c>
      <c r="H2398" t="s">
        <v>57</v>
      </c>
      <c r="I2398" s="2">
        <v>8.99</v>
      </c>
      <c r="J2398">
        <v>0</v>
      </c>
      <c r="K2398" s="2">
        <f t="shared" si="74"/>
        <v>0</v>
      </c>
      <c r="L2398" t="s">
        <v>37</v>
      </c>
      <c r="M2398">
        <v>2</v>
      </c>
      <c r="N2398">
        <v>3.42</v>
      </c>
      <c r="O2398" t="str">
        <f t="shared" si="75"/>
        <v>1+ hours</v>
      </c>
      <c r="P2398" t="s">
        <v>39</v>
      </c>
    </row>
    <row r="2399" spans="1:16" x14ac:dyDescent="0.4">
      <c r="A2399" t="s">
        <v>2440</v>
      </c>
      <c r="B2399">
        <v>42</v>
      </c>
      <c r="C2399" t="s">
        <v>41</v>
      </c>
      <c r="D2399" t="s">
        <v>32</v>
      </c>
      <c r="E2399">
        <v>3.49</v>
      </c>
      <c r="F2399">
        <v>55</v>
      </c>
      <c r="G2399" t="s">
        <v>33</v>
      </c>
      <c r="H2399" t="s">
        <v>57</v>
      </c>
      <c r="I2399" s="2">
        <v>17.989999999999998</v>
      </c>
      <c r="J2399">
        <v>1</v>
      </c>
      <c r="K2399" s="2">
        <f t="shared" si="74"/>
        <v>17.989999999999998</v>
      </c>
      <c r="L2399" t="s">
        <v>19</v>
      </c>
      <c r="M2399">
        <v>4</v>
      </c>
      <c r="N2399">
        <v>0.06</v>
      </c>
      <c r="O2399" t="str">
        <f t="shared" si="75"/>
        <v>0–0.2 hours</v>
      </c>
      <c r="P2399" t="s">
        <v>34</v>
      </c>
    </row>
    <row r="2400" spans="1:16" x14ac:dyDescent="0.4">
      <c r="A2400" t="s">
        <v>2441</v>
      </c>
      <c r="B2400">
        <v>24</v>
      </c>
      <c r="C2400" t="s">
        <v>27</v>
      </c>
      <c r="D2400" t="s">
        <v>16</v>
      </c>
      <c r="E2400">
        <v>14.8</v>
      </c>
      <c r="F2400">
        <v>28</v>
      </c>
      <c r="G2400" t="s">
        <v>70</v>
      </c>
      <c r="H2400" t="s">
        <v>46</v>
      </c>
      <c r="I2400" s="2">
        <v>8.99</v>
      </c>
      <c r="J2400">
        <v>0</v>
      </c>
      <c r="K2400" s="2">
        <f t="shared" si="74"/>
        <v>0</v>
      </c>
      <c r="L2400" t="s">
        <v>37</v>
      </c>
      <c r="M2400">
        <v>5</v>
      </c>
      <c r="N2400">
        <v>0.51</v>
      </c>
      <c r="O2400" t="str">
        <f t="shared" si="75"/>
        <v>0.4–0.6 hours</v>
      </c>
      <c r="P2400" t="s">
        <v>30</v>
      </c>
    </row>
    <row r="2401" spans="1:16" x14ac:dyDescent="0.4">
      <c r="A2401" t="s">
        <v>2442</v>
      </c>
      <c r="B2401">
        <v>30</v>
      </c>
      <c r="C2401" t="s">
        <v>27</v>
      </c>
      <c r="D2401" t="s">
        <v>16</v>
      </c>
      <c r="E2401">
        <v>4.3899999999999997</v>
      </c>
      <c r="F2401">
        <v>52</v>
      </c>
      <c r="G2401" t="s">
        <v>70</v>
      </c>
      <c r="H2401" t="s">
        <v>18</v>
      </c>
      <c r="I2401" s="2">
        <v>8.99</v>
      </c>
      <c r="J2401">
        <v>1</v>
      </c>
      <c r="K2401" s="2">
        <f t="shared" si="74"/>
        <v>8.99</v>
      </c>
      <c r="L2401" t="s">
        <v>61</v>
      </c>
      <c r="M2401">
        <v>3</v>
      </c>
      <c r="N2401">
        <v>0.08</v>
      </c>
      <c r="O2401" t="str">
        <f t="shared" si="75"/>
        <v>0–0.2 hours</v>
      </c>
      <c r="P2401" t="s">
        <v>30</v>
      </c>
    </row>
    <row r="2402" spans="1:16" x14ac:dyDescent="0.4">
      <c r="A2402" t="s">
        <v>2443</v>
      </c>
      <c r="B2402">
        <v>22</v>
      </c>
      <c r="C2402" t="s">
        <v>41</v>
      </c>
      <c r="D2402" t="s">
        <v>32</v>
      </c>
      <c r="E2402">
        <v>5.45</v>
      </c>
      <c r="F2402">
        <v>16</v>
      </c>
      <c r="G2402" t="s">
        <v>70</v>
      </c>
      <c r="H2402" t="s">
        <v>55</v>
      </c>
      <c r="I2402" s="2">
        <v>17.989999999999998</v>
      </c>
      <c r="J2402">
        <v>0</v>
      </c>
      <c r="K2402" s="2">
        <f t="shared" si="74"/>
        <v>0</v>
      </c>
      <c r="L2402" t="s">
        <v>61</v>
      </c>
      <c r="M2402">
        <v>1</v>
      </c>
      <c r="N2402">
        <v>0.32</v>
      </c>
      <c r="O2402" t="str">
        <f t="shared" si="75"/>
        <v>0.2–0.4 hours</v>
      </c>
      <c r="P2402" t="s">
        <v>39</v>
      </c>
    </row>
    <row r="2403" spans="1:16" x14ac:dyDescent="0.4">
      <c r="A2403" t="s">
        <v>2444</v>
      </c>
      <c r="B2403">
        <v>54</v>
      </c>
      <c r="C2403" t="s">
        <v>41</v>
      </c>
      <c r="D2403" t="s">
        <v>22</v>
      </c>
      <c r="E2403">
        <v>15.65</v>
      </c>
      <c r="F2403">
        <v>53</v>
      </c>
      <c r="G2403" t="s">
        <v>33</v>
      </c>
      <c r="H2403" t="s">
        <v>57</v>
      </c>
      <c r="I2403" s="2">
        <v>13.99</v>
      </c>
      <c r="J2403">
        <v>1</v>
      </c>
      <c r="K2403" s="2">
        <f t="shared" si="74"/>
        <v>13.99</v>
      </c>
      <c r="L2403" t="s">
        <v>19</v>
      </c>
      <c r="M2403">
        <v>2</v>
      </c>
      <c r="N2403">
        <v>0.28999999999999998</v>
      </c>
      <c r="O2403" t="str">
        <f t="shared" si="75"/>
        <v>0.2–0.4 hours</v>
      </c>
      <c r="P2403" t="s">
        <v>25</v>
      </c>
    </row>
    <row r="2404" spans="1:16" x14ac:dyDescent="0.4">
      <c r="A2404" t="s">
        <v>2445</v>
      </c>
      <c r="B2404">
        <v>68</v>
      </c>
      <c r="C2404" t="s">
        <v>15</v>
      </c>
      <c r="D2404" t="s">
        <v>22</v>
      </c>
      <c r="E2404">
        <v>5.33</v>
      </c>
      <c r="F2404">
        <v>26</v>
      </c>
      <c r="G2404" t="s">
        <v>70</v>
      </c>
      <c r="H2404" t="s">
        <v>46</v>
      </c>
      <c r="I2404" s="2">
        <v>13.99</v>
      </c>
      <c r="J2404">
        <v>0</v>
      </c>
      <c r="K2404" s="2">
        <f t="shared" si="74"/>
        <v>0</v>
      </c>
      <c r="L2404" t="s">
        <v>29</v>
      </c>
      <c r="M2404">
        <v>5</v>
      </c>
      <c r="N2404">
        <v>0.2</v>
      </c>
      <c r="O2404" t="str">
        <f t="shared" si="75"/>
        <v>0–0.2 hours</v>
      </c>
      <c r="P2404" t="s">
        <v>30</v>
      </c>
    </row>
    <row r="2405" spans="1:16" x14ac:dyDescent="0.4">
      <c r="A2405" t="s">
        <v>2446</v>
      </c>
      <c r="B2405">
        <v>51</v>
      </c>
      <c r="C2405" t="s">
        <v>27</v>
      </c>
      <c r="D2405" t="s">
        <v>22</v>
      </c>
      <c r="E2405">
        <v>5.79</v>
      </c>
      <c r="F2405">
        <v>47</v>
      </c>
      <c r="G2405" t="s">
        <v>49</v>
      </c>
      <c r="H2405" t="s">
        <v>24</v>
      </c>
      <c r="I2405" s="2">
        <v>13.99</v>
      </c>
      <c r="J2405">
        <v>1</v>
      </c>
      <c r="K2405" s="2">
        <f t="shared" si="74"/>
        <v>13.99</v>
      </c>
      <c r="L2405" t="s">
        <v>37</v>
      </c>
      <c r="M2405">
        <v>2</v>
      </c>
      <c r="N2405">
        <v>0.12</v>
      </c>
      <c r="O2405" t="str">
        <f t="shared" si="75"/>
        <v>0–0.2 hours</v>
      </c>
      <c r="P2405" t="s">
        <v>52</v>
      </c>
    </row>
    <row r="2406" spans="1:16" x14ac:dyDescent="0.4">
      <c r="A2406" t="s">
        <v>2447</v>
      </c>
      <c r="B2406">
        <v>68</v>
      </c>
      <c r="C2406" t="s">
        <v>27</v>
      </c>
      <c r="D2406" t="s">
        <v>22</v>
      </c>
      <c r="E2406">
        <v>14.65</v>
      </c>
      <c r="F2406">
        <v>11</v>
      </c>
      <c r="G2406" t="s">
        <v>33</v>
      </c>
      <c r="H2406" t="s">
        <v>57</v>
      </c>
      <c r="I2406" s="2">
        <v>13.99</v>
      </c>
      <c r="J2406">
        <v>0</v>
      </c>
      <c r="K2406" s="2">
        <f t="shared" si="74"/>
        <v>0</v>
      </c>
      <c r="L2406" t="s">
        <v>37</v>
      </c>
      <c r="M2406">
        <v>5</v>
      </c>
      <c r="N2406">
        <v>1.22</v>
      </c>
      <c r="O2406" t="str">
        <f t="shared" si="75"/>
        <v>1+ hours</v>
      </c>
      <c r="P2406" t="s">
        <v>25</v>
      </c>
    </row>
    <row r="2407" spans="1:16" x14ac:dyDescent="0.4">
      <c r="A2407" t="s">
        <v>2448</v>
      </c>
      <c r="B2407">
        <v>58</v>
      </c>
      <c r="C2407" t="s">
        <v>15</v>
      </c>
      <c r="D2407" t="s">
        <v>22</v>
      </c>
      <c r="E2407">
        <v>0.37</v>
      </c>
      <c r="F2407">
        <v>60</v>
      </c>
      <c r="G2407" t="s">
        <v>23</v>
      </c>
      <c r="H2407" t="s">
        <v>57</v>
      </c>
      <c r="I2407" s="2">
        <v>13.99</v>
      </c>
      <c r="J2407">
        <v>1</v>
      </c>
      <c r="K2407" s="2">
        <f t="shared" si="74"/>
        <v>13.99</v>
      </c>
      <c r="L2407" t="s">
        <v>37</v>
      </c>
      <c r="M2407">
        <v>5</v>
      </c>
      <c r="N2407">
        <v>0.01</v>
      </c>
      <c r="O2407" t="str">
        <f t="shared" si="75"/>
        <v>0–0.2 hours</v>
      </c>
      <c r="P2407" t="s">
        <v>52</v>
      </c>
    </row>
    <row r="2408" spans="1:16" x14ac:dyDescent="0.4">
      <c r="A2408" t="s">
        <v>2449</v>
      </c>
      <c r="B2408">
        <v>32</v>
      </c>
      <c r="C2408" t="s">
        <v>27</v>
      </c>
      <c r="D2408" t="s">
        <v>16</v>
      </c>
      <c r="E2408">
        <v>9.14</v>
      </c>
      <c r="F2408">
        <v>51</v>
      </c>
      <c r="G2408" t="s">
        <v>70</v>
      </c>
      <c r="H2408" t="s">
        <v>24</v>
      </c>
      <c r="I2408" s="2">
        <v>8.99</v>
      </c>
      <c r="J2408">
        <v>1</v>
      </c>
      <c r="K2408" s="2">
        <f t="shared" si="74"/>
        <v>8.99</v>
      </c>
      <c r="L2408" t="s">
        <v>37</v>
      </c>
      <c r="M2408">
        <v>2</v>
      </c>
      <c r="N2408">
        <v>0.18</v>
      </c>
      <c r="O2408" t="str">
        <f t="shared" si="75"/>
        <v>0–0.2 hours</v>
      </c>
      <c r="P2408" t="s">
        <v>39</v>
      </c>
    </row>
    <row r="2409" spans="1:16" x14ac:dyDescent="0.4">
      <c r="A2409" t="s">
        <v>2450</v>
      </c>
      <c r="B2409">
        <v>59</v>
      </c>
      <c r="C2409" t="s">
        <v>41</v>
      </c>
      <c r="D2409" t="s">
        <v>16</v>
      </c>
      <c r="E2409">
        <v>25</v>
      </c>
      <c r="F2409">
        <v>44</v>
      </c>
      <c r="G2409" t="s">
        <v>28</v>
      </c>
      <c r="H2409" t="s">
        <v>57</v>
      </c>
      <c r="I2409" s="2">
        <v>8.99</v>
      </c>
      <c r="J2409">
        <v>0</v>
      </c>
      <c r="K2409" s="2">
        <f t="shared" si="74"/>
        <v>0</v>
      </c>
      <c r="L2409" t="s">
        <v>29</v>
      </c>
      <c r="M2409">
        <v>4</v>
      </c>
      <c r="N2409">
        <v>0.56000000000000005</v>
      </c>
      <c r="O2409" t="str">
        <f t="shared" si="75"/>
        <v>0.4–0.6 hours</v>
      </c>
      <c r="P2409" t="s">
        <v>47</v>
      </c>
    </row>
    <row r="2410" spans="1:16" x14ac:dyDescent="0.4">
      <c r="A2410" t="s">
        <v>2451</v>
      </c>
      <c r="B2410">
        <v>49</v>
      </c>
      <c r="C2410" t="s">
        <v>27</v>
      </c>
      <c r="D2410" t="s">
        <v>32</v>
      </c>
      <c r="E2410">
        <v>14.39</v>
      </c>
      <c r="F2410">
        <v>48</v>
      </c>
      <c r="G2410" t="s">
        <v>28</v>
      </c>
      <c r="H2410" t="s">
        <v>55</v>
      </c>
      <c r="I2410" s="2">
        <v>17.989999999999998</v>
      </c>
      <c r="J2410">
        <v>1</v>
      </c>
      <c r="K2410" s="2">
        <f t="shared" si="74"/>
        <v>17.989999999999998</v>
      </c>
      <c r="L2410" t="s">
        <v>19</v>
      </c>
      <c r="M2410">
        <v>1</v>
      </c>
      <c r="N2410">
        <v>0.28999999999999998</v>
      </c>
      <c r="O2410" t="str">
        <f t="shared" si="75"/>
        <v>0.2–0.4 hours</v>
      </c>
      <c r="P2410" t="s">
        <v>20</v>
      </c>
    </row>
    <row r="2411" spans="1:16" x14ac:dyDescent="0.4">
      <c r="A2411" t="s">
        <v>2452</v>
      </c>
      <c r="B2411">
        <v>29</v>
      </c>
      <c r="C2411" t="s">
        <v>41</v>
      </c>
      <c r="D2411" t="s">
        <v>32</v>
      </c>
      <c r="E2411">
        <v>0.69</v>
      </c>
      <c r="F2411">
        <v>41</v>
      </c>
      <c r="G2411" t="s">
        <v>33</v>
      </c>
      <c r="H2411" t="s">
        <v>57</v>
      </c>
      <c r="I2411" s="2">
        <v>17.989999999999998</v>
      </c>
      <c r="J2411">
        <v>1</v>
      </c>
      <c r="K2411" s="2">
        <f t="shared" si="74"/>
        <v>17.989999999999998</v>
      </c>
      <c r="L2411" t="s">
        <v>37</v>
      </c>
      <c r="M2411">
        <v>5</v>
      </c>
      <c r="N2411">
        <v>0.02</v>
      </c>
      <c r="O2411" t="str">
        <f t="shared" si="75"/>
        <v>0–0.2 hours</v>
      </c>
      <c r="P2411" t="s">
        <v>20</v>
      </c>
    </row>
    <row r="2412" spans="1:16" x14ac:dyDescent="0.4">
      <c r="A2412" t="s">
        <v>2453</v>
      </c>
      <c r="B2412">
        <v>53</v>
      </c>
      <c r="C2412" t="s">
        <v>27</v>
      </c>
      <c r="D2412" t="s">
        <v>16</v>
      </c>
      <c r="E2412">
        <v>10.96</v>
      </c>
      <c r="F2412">
        <v>15</v>
      </c>
      <c r="G2412" t="s">
        <v>49</v>
      </c>
      <c r="H2412" t="s">
        <v>18</v>
      </c>
      <c r="I2412" s="2">
        <v>8.99</v>
      </c>
      <c r="J2412">
        <v>0</v>
      </c>
      <c r="K2412" s="2">
        <f t="shared" si="74"/>
        <v>0</v>
      </c>
      <c r="L2412" t="s">
        <v>43</v>
      </c>
      <c r="M2412">
        <v>2</v>
      </c>
      <c r="N2412">
        <v>0.69</v>
      </c>
      <c r="O2412" t="str">
        <f t="shared" si="75"/>
        <v>0.6–0.8 hours</v>
      </c>
      <c r="P2412" t="s">
        <v>47</v>
      </c>
    </row>
    <row r="2413" spans="1:16" x14ac:dyDescent="0.4">
      <c r="A2413" t="s">
        <v>2454</v>
      </c>
      <c r="B2413">
        <v>56</v>
      </c>
      <c r="C2413" t="s">
        <v>41</v>
      </c>
      <c r="D2413" t="s">
        <v>16</v>
      </c>
      <c r="E2413">
        <v>14.36</v>
      </c>
      <c r="F2413">
        <v>21</v>
      </c>
      <c r="G2413" t="s">
        <v>49</v>
      </c>
      <c r="H2413" t="s">
        <v>57</v>
      </c>
      <c r="I2413" s="2">
        <v>8.99</v>
      </c>
      <c r="J2413">
        <v>0</v>
      </c>
      <c r="K2413" s="2">
        <f t="shared" si="74"/>
        <v>0</v>
      </c>
      <c r="L2413" t="s">
        <v>29</v>
      </c>
      <c r="M2413">
        <v>1</v>
      </c>
      <c r="N2413">
        <v>0.65</v>
      </c>
      <c r="O2413" t="str">
        <f t="shared" si="75"/>
        <v>0.6–0.8 hours</v>
      </c>
      <c r="P2413" t="s">
        <v>39</v>
      </c>
    </row>
    <row r="2414" spans="1:16" x14ac:dyDescent="0.4">
      <c r="A2414" t="s">
        <v>2455</v>
      </c>
      <c r="B2414">
        <v>56</v>
      </c>
      <c r="C2414" t="s">
        <v>41</v>
      </c>
      <c r="D2414" t="s">
        <v>16</v>
      </c>
      <c r="E2414">
        <v>3.26</v>
      </c>
      <c r="F2414">
        <v>20</v>
      </c>
      <c r="G2414" t="s">
        <v>70</v>
      </c>
      <c r="H2414" t="s">
        <v>46</v>
      </c>
      <c r="I2414" s="2">
        <v>8.99</v>
      </c>
      <c r="J2414">
        <v>1</v>
      </c>
      <c r="K2414" s="2">
        <f t="shared" si="74"/>
        <v>8.99</v>
      </c>
      <c r="L2414" t="s">
        <v>43</v>
      </c>
      <c r="M2414">
        <v>3</v>
      </c>
      <c r="N2414">
        <v>0.16</v>
      </c>
      <c r="O2414" t="str">
        <f t="shared" si="75"/>
        <v>0–0.2 hours</v>
      </c>
      <c r="P2414" t="s">
        <v>47</v>
      </c>
    </row>
    <row r="2415" spans="1:16" x14ac:dyDescent="0.4">
      <c r="A2415" t="s">
        <v>2456</v>
      </c>
      <c r="B2415">
        <v>68</v>
      </c>
      <c r="C2415" t="s">
        <v>41</v>
      </c>
      <c r="D2415" t="s">
        <v>22</v>
      </c>
      <c r="E2415">
        <v>24.08</v>
      </c>
      <c r="F2415">
        <v>58</v>
      </c>
      <c r="G2415" t="s">
        <v>49</v>
      </c>
      <c r="H2415" t="s">
        <v>46</v>
      </c>
      <c r="I2415" s="2">
        <v>13.99</v>
      </c>
      <c r="J2415">
        <v>0</v>
      </c>
      <c r="K2415" s="2">
        <f t="shared" si="74"/>
        <v>0</v>
      </c>
      <c r="L2415" t="s">
        <v>19</v>
      </c>
      <c r="M2415">
        <v>2</v>
      </c>
      <c r="N2415">
        <v>0.41</v>
      </c>
      <c r="O2415" t="str">
        <f t="shared" si="75"/>
        <v>0.4–0.6 hours</v>
      </c>
      <c r="P2415" t="s">
        <v>47</v>
      </c>
    </row>
    <row r="2416" spans="1:16" x14ac:dyDescent="0.4">
      <c r="A2416" t="s">
        <v>2457</v>
      </c>
      <c r="B2416">
        <v>62</v>
      </c>
      <c r="C2416" t="s">
        <v>15</v>
      </c>
      <c r="D2416" t="s">
        <v>32</v>
      </c>
      <c r="E2416">
        <v>7.68</v>
      </c>
      <c r="F2416">
        <v>56</v>
      </c>
      <c r="G2416" t="s">
        <v>23</v>
      </c>
      <c r="H2416" t="s">
        <v>46</v>
      </c>
      <c r="I2416" s="2">
        <v>17.989999999999998</v>
      </c>
      <c r="J2416">
        <v>1</v>
      </c>
      <c r="K2416" s="2">
        <f t="shared" si="74"/>
        <v>17.989999999999998</v>
      </c>
      <c r="L2416" t="s">
        <v>43</v>
      </c>
      <c r="M2416">
        <v>2</v>
      </c>
      <c r="N2416">
        <v>0.13</v>
      </c>
      <c r="O2416" t="str">
        <f t="shared" si="75"/>
        <v>0–0.2 hours</v>
      </c>
      <c r="P2416" t="s">
        <v>34</v>
      </c>
    </row>
    <row r="2417" spans="1:16" x14ac:dyDescent="0.4">
      <c r="A2417" t="s">
        <v>2458</v>
      </c>
      <c r="B2417">
        <v>26</v>
      </c>
      <c r="C2417" t="s">
        <v>41</v>
      </c>
      <c r="D2417" t="s">
        <v>22</v>
      </c>
      <c r="E2417">
        <v>67.5</v>
      </c>
      <c r="F2417">
        <v>29</v>
      </c>
      <c r="G2417" t="s">
        <v>49</v>
      </c>
      <c r="H2417" t="s">
        <v>24</v>
      </c>
      <c r="I2417" s="2">
        <v>13.99</v>
      </c>
      <c r="J2417">
        <v>0</v>
      </c>
      <c r="K2417" s="2">
        <f t="shared" si="74"/>
        <v>0</v>
      </c>
      <c r="L2417" t="s">
        <v>43</v>
      </c>
      <c r="M2417">
        <v>4</v>
      </c>
      <c r="N2417">
        <v>2.25</v>
      </c>
      <c r="O2417" t="str">
        <f t="shared" si="75"/>
        <v>1+ hours</v>
      </c>
      <c r="P2417" t="s">
        <v>39</v>
      </c>
    </row>
    <row r="2418" spans="1:16" x14ac:dyDescent="0.4">
      <c r="A2418" t="s">
        <v>2459</v>
      </c>
      <c r="B2418">
        <v>26</v>
      </c>
      <c r="C2418" t="s">
        <v>15</v>
      </c>
      <c r="D2418" t="s">
        <v>22</v>
      </c>
      <c r="E2418">
        <v>4.3099999999999996</v>
      </c>
      <c r="F2418">
        <v>13</v>
      </c>
      <c r="G2418" t="s">
        <v>49</v>
      </c>
      <c r="H2418" t="s">
        <v>24</v>
      </c>
      <c r="I2418" s="2">
        <v>13.99</v>
      </c>
      <c r="J2418">
        <v>1</v>
      </c>
      <c r="K2418" s="2">
        <f t="shared" si="74"/>
        <v>13.99</v>
      </c>
      <c r="L2418" t="s">
        <v>37</v>
      </c>
      <c r="M2418">
        <v>1</v>
      </c>
      <c r="N2418">
        <v>0.31</v>
      </c>
      <c r="O2418" t="str">
        <f t="shared" si="75"/>
        <v>0.2–0.4 hours</v>
      </c>
      <c r="P2418" t="s">
        <v>47</v>
      </c>
    </row>
    <row r="2419" spans="1:16" x14ac:dyDescent="0.4">
      <c r="A2419" t="s">
        <v>2460</v>
      </c>
      <c r="B2419">
        <v>40</v>
      </c>
      <c r="C2419" t="s">
        <v>27</v>
      </c>
      <c r="D2419" t="s">
        <v>16</v>
      </c>
      <c r="E2419">
        <v>12.67</v>
      </c>
      <c r="F2419">
        <v>44</v>
      </c>
      <c r="G2419" t="s">
        <v>23</v>
      </c>
      <c r="H2419" t="s">
        <v>46</v>
      </c>
      <c r="I2419" s="2">
        <v>8.99</v>
      </c>
      <c r="J2419">
        <v>1</v>
      </c>
      <c r="K2419" s="2">
        <f t="shared" si="74"/>
        <v>8.99</v>
      </c>
      <c r="L2419" t="s">
        <v>61</v>
      </c>
      <c r="M2419">
        <v>1</v>
      </c>
      <c r="N2419">
        <v>0.28000000000000003</v>
      </c>
      <c r="O2419" t="str">
        <f t="shared" si="75"/>
        <v>0.2–0.4 hours</v>
      </c>
      <c r="P2419" t="s">
        <v>47</v>
      </c>
    </row>
    <row r="2420" spans="1:16" x14ac:dyDescent="0.4">
      <c r="A2420" t="s">
        <v>2461</v>
      </c>
      <c r="B2420">
        <v>52</v>
      </c>
      <c r="C2420" t="s">
        <v>41</v>
      </c>
      <c r="D2420" t="s">
        <v>22</v>
      </c>
      <c r="E2420">
        <v>5.03</v>
      </c>
      <c r="F2420">
        <v>4</v>
      </c>
      <c r="G2420" t="s">
        <v>23</v>
      </c>
      <c r="H2420" t="s">
        <v>55</v>
      </c>
      <c r="I2420" s="2">
        <v>13.99</v>
      </c>
      <c r="J2420">
        <v>0</v>
      </c>
      <c r="K2420" s="2">
        <f t="shared" si="74"/>
        <v>0</v>
      </c>
      <c r="L2420" t="s">
        <v>37</v>
      </c>
      <c r="M2420">
        <v>5</v>
      </c>
      <c r="N2420">
        <v>1.01</v>
      </c>
      <c r="O2420" t="str">
        <f t="shared" si="75"/>
        <v>1+ hours</v>
      </c>
      <c r="P2420" t="s">
        <v>25</v>
      </c>
    </row>
    <row r="2421" spans="1:16" x14ac:dyDescent="0.4">
      <c r="A2421" t="s">
        <v>2462</v>
      </c>
      <c r="B2421">
        <v>37</v>
      </c>
      <c r="C2421" t="s">
        <v>27</v>
      </c>
      <c r="D2421" t="s">
        <v>16</v>
      </c>
      <c r="E2421">
        <v>25.43</v>
      </c>
      <c r="F2421">
        <v>5</v>
      </c>
      <c r="G2421" t="s">
        <v>17</v>
      </c>
      <c r="H2421" t="s">
        <v>55</v>
      </c>
      <c r="I2421" s="2">
        <v>8.99</v>
      </c>
      <c r="J2421">
        <v>0</v>
      </c>
      <c r="K2421" s="2">
        <f t="shared" si="74"/>
        <v>0</v>
      </c>
      <c r="L2421" t="s">
        <v>19</v>
      </c>
      <c r="M2421">
        <v>4</v>
      </c>
      <c r="N2421">
        <v>4.24</v>
      </c>
      <c r="O2421" t="str">
        <f t="shared" si="75"/>
        <v>1+ hours</v>
      </c>
      <c r="P2421" t="s">
        <v>34</v>
      </c>
    </row>
    <row r="2422" spans="1:16" x14ac:dyDescent="0.4">
      <c r="A2422" t="s">
        <v>2463</v>
      </c>
      <c r="B2422">
        <v>24</v>
      </c>
      <c r="C2422" t="s">
        <v>27</v>
      </c>
      <c r="D2422" t="s">
        <v>16</v>
      </c>
      <c r="E2422">
        <v>5.59</v>
      </c>
      <c r="F2422">
        <v>0</v>
      </c>
      <c r="G2422" t="s">
        <v>70</v>
      </c>
      <c r="H2422" t="s">
        <v>57</v>
      </c>
      <c r="I2422" s="2">
        <v>8.99</v>
      </c>
      <c r="J2422">
        <v>0</v>
      </c>
      <c r="K2422" s="2">
        <f t="shared" si="74"/>
        <v>0</v>
      </c>
      <c r="L2422" t="s">
        <v>29</v>
      </c>
      <c r="M2422">
        <v>5</v>
      </c>
      <c r="N2422">
        <v>5.59</v>
      </c>
      <c r="O2422" t="str">
        <f t="shared" si="75"/>
        <v>1+ hours</v>
      </c>
      <c r="P2422" t="s">
        <v>52</v>
      </c>
    </row>
    <row r="2423" spans="1:16" x14ac:dyDescent="0.4">
      <c r="A2423" t="s">
        <v>2464</v>
      </c>
      <c r="B2423">
        <v>19</v>
      </c>
      <c r="C2423" t="s">
        <v>41</v>
      </c>
      <c r="D2423" t="s">
        <v>32</v>
      </c>
      <c r="E2423">
        <v>11.32</v>
      </c>
      <c r="F2423">
        <v>31</v>
      </c>
      <c r="G2423" t="s">
        <v>28</v>
      </c>
      <c r="H2423" t="s">
        <v>55</v>
      </c>
      <c r="I2423" s="2">
        <v>17.989999999999998</v>
      </c>
      <c r="J2423">
        <v>0</v>
      </c>
      <c r="K2423" s="2">
        <f t="shared" si="74"/>
        <v>0</v>
      </c>
      <c r="L2423" t="s">
        <v>37</v>
      </c>
      <c r="M2423">
        <v>4</v>
      </c>
      <c r="N2423">
        <v>0.35</v>
      </c>
      <c r="O2423" t="str">
        <f t="shared" si="75"/>
        <v>0.2–0.4 hours</v>
      </c>
      <c r="P2423" t="s">
        <v>20</v>
      </c>
    </row>
    <row r="2424" spans="1:16" x14ac:dyDescent="0.4">
      <c r="A2424" t="s">
        <v>2465</v>
      </c>
      <c r="B2424">
        <v>69</v>
      </c>
      <c r="C2424" t="s">
        <v>41</v>
      </c>
      <c r="D2424" t="s">
        <v>16</v>
      </c>
      <c r="E2424">
        <v>1.1299999999999999</v>
      </c>
      <c r="F2424">
        <v>24</v>
      </c>
      <c r="G2424" t="s">
        <v>17</v>
      </c>
      <c r="H2424" t="s">
        <v>57</v>
      </c>
      <c r="I2424" s="2">
        <v>8.99</v>
      </c>
      <c r="J2424">
        <v>1</v>
      </c>
      <c r="K2424" s="2">
        <f t="shared" si="74"/>
        <v>8.99</v>
      </c>
      <c r="L2424" t="s">
        <v>61</v>
      </c>
      <c r="M2424">
        <v>3</v>
      </c>
      <c r="N2424">
        <v>0.05</v>
      </c>
      <c r="O2424" t="str">
        <f t="shared" si="75"/>
        <v>0–0.2 hours</v>
      </c>
      <c r="P2424" t="s">
        <v>39</v>
      </c>
    </row>
    <row r="2425" spans="1:16" x14ac:dyDescent="0.4">
      <c r="A2425" t="s">
        <v>2466</v>
      </c>
      <c r="B2425">
        <v>40</v>
      </c>
      <c r="C2425" t="s">
        <v>27</v>
      </c>
      <c r="D2425" t="s">
        <v>22</v>
      </c>
      <c r="E2425">
        <v>30.74</v>
      </c>
      <c r="F2425">
        <v>55</v>
      </c>
      <c r="G2425" t="s">
        <v>33</v>
      </c>
      <c r="H2425" t="s">
        <v>57</v>
      </c>
      <c r="I2425" s="2">
        <v>13.99</v>
      </c>
      <c r="J2425">
        <v>0</v>
      </c>
      <c r="K2425" s="2">
        <f t="shared" si="74"/>
        <v>0</v>
      </c>
      <c r="L2425" t="s">
        <v>29</v>
      </c>
      <c r="M2425">
        <v>3</v>
      </c>
      <c r="N2425">
        <v>0.55000000000000004</v>
      </c>
      <c r="O2425" t="str">
        <f t="shared" si="75"/>
        <v>0.4–0.6 hours</v>
      </c>
      <c r="P2425" t="s">
        <v>30</v>
      </c>
    </row>
    <row r="2426" spans="1:16" x14ac:dyDescent="0.4">
      <c r="A2426" t="s">
        <v>2467</v>
      </c>
      <c r="B2426">
        <v>39</v>
      </c>
      <c r="C2426" t="s">
        <v>15</v>
      </c>
      <c r="D2426" t="s">
        <v>16</v>
      </c>
      <c r="E2426">
        <v>16.77</v>
      </c>
      <c r="F2426">
        <v>48</v>
      </c>
      <c r="G2426" t="s">
        <v>49</v>
      </c>
      <c r="H2426" t="s">
        <v>46</v>
      </c>
      <c r="I2426" s="2">
        <v>8.99</v>
      </c>
      <c r="J2426">
        <v>1</v>
      </c>
      <c r="K2426" s="2">
        <f t="shared" si="74"/>
        <v>8.99</v>
      </c>
      <c r="L2426" t="s">
        <v>61</v>
      </c>
      <c r="M2426">
        <v>1</v>
      </c>
      <c r="N2426">
        <v>0.34</v>
      </c>
      <c r="O2426" t="str">
        <f t="shared" si="75"/>
        <v>0.2–0.4 hours</v>
      </c>
      <c r="P2426" t="s">
        <v>39</v>
      </c>
    </row>
    <row r="2427" spans="1:16" x14ac:dyDescent="0.4">
      <c r="A2427" t="s">
        <v>2468</v>
      </c>
      <c r="B2427">
        <v>51</v>
      </c>
      <c r="C2427" t="s">
        <v>15</v>
      </c>
      <c r="D2427" t="s">
        <v>16</v>
      </c>
      <c r="E2427">
        <v>51.43</v>
      </c>
      <c r="F2427">
        <v>34</v>
      </c>
      <c r="G2427" t="s">
        <v>49</v>
      </c>
      <c r="H2427" t="s">
        <v>57</v>
      </c>
      <c r="I2427" s="2">
        <v>8.99</v>
      </c>
      <c r="J2427">
        <v>0</v>
      </c>
      <c r="K2427" s="2">
        <f t="shared" si="74"/>
        <v>0</v>
      </c>
      <c r="L2427" t="s">
        <v>19</v>
      </c>
      <c r="M2427">
        <v>5</v>
      </c>
      <c r="N2427">
        <v>1.47</v>
      </c>
      <c r="O2427" t="str">
        <f t="shared" si="75"/>
        <v>1+ hours</v>
      </c>
      <c r="P2427" t="s">
        <v>34</v>
      </c>
    </row>
    <row r="2428" spans="1:16" x14ac:dyDescent="0.4">
      <c r="A2428" t="s">
        <v>2469</v>
      </c>
      <c r="B2428">
        <v>52</v>
      </c>
      <c r="C2428" t="s">
        <v>41</v>
      </c>
      <c r="D2428" t="s">
        <v>22</v>
      </c>
      <c r="E2428">
        <v>21.89</v>
      </c>
      <c r="F2428">
        <v>3</v>
      </c>
      <c r="G2428" t="s">
        <v>23</v>
      </c>
      <c r="H2428" t="s">
        <v>24</v>
      </c>
      <c r="I2428" s="2">
        <v>13.99</v>
      </c>
      <c r="J2428">
        <v>0</v>
      </c>
      <c r="K2428" s="2">
        <f t="shared" si="74"/>
        <v>0</v>
      </c>
      <c r="L2428" t="s">
        <v>43</v>
      </c>
      <c r="M2428">
        <v>1</v>
      </c>
      <c r="N2428">
        <v>5.47</v>
      </c>
      <c r="O2428" t="str">
        <f t="shared" si="75"/>
        <v>1+ hours</v>
      </c>
      <c r="P2428" t="s">
        <v>34</v>
      </c>
    </row>
    <row r="2429" spans="1:16" x14ac:dyDescent="0.4">
      <c r="A2429" t="s">
        <v>2470</v>
      </c>
      <c r="B2429">
        <v>70</v>
      </c>
      <c r="C2429" t="s">
        <v>15</v>
      </c>
      <c r="D2429" t="s">
        <v>32</v>
      </c>
      <c r="E2429">
        <v>8.68</v>
      </c>
      <c r="F2429">
        <v>41</v>
      </c>
      <c r="G2429" t="s">
        <v>49</v>
      </c>
      <c r="H2429" t="s">
        <v>55</v>
      </c>
      <c r="I2429" s="2">
        <v>17.989999999999998</v>
      </c>
      <c r="J2429">
        <v>1</v>
      </c>
      <c r="K2429" s="2">
        <f t="shared" si="74"/>
        <v>17.989999999999998</v>
      </c>
      <c r="L2429" t="s">
        <v>43</v>
      </c>
      <c r="M2429">
        <v>1</v>
      </c>
      <c r="N2429">
        <v>0.21</v>
      </c>
      <c r="O2429" t="str">
        <f t="shared" si="75"/>
        <v>0.2–0.4 hours</v>
      </c>
      <c r="P2429" t="s">
        <v>34</v>
      </c>
    </row>
    <row r="2430" spans="1:16" x14ac:dyDescent="0.4">
      <c r="A2430" t="s">
        <v>2471</v>
      </c>
      <c r="B2430">
        <v>70</v>
      </c>
      <c r="C2430" t="s">
        <v>15</v>
      </c>
      <c r="D2430" t="s">
        <v>22</v>
      </c>
      <c r="E2430">
        <v>20.329999999999998</v>
      </c>
      <c r="F2430">
        <v>42</v>
      </c>
      <c r="G2430" t="s">
        <v>23</v>
      </c>
      <c r="H2430" t="s">
        <v>24</v>
      </c>
      <c r="I2430" s="2">
        <v>13.99</v>
      </c>
      <c r="J2430">
        <v>0</v>
      </c>
      <c r="K2430" s="2">
        <f t="shared" si="74"/>
        <v>0</v>
      </c>
      <c r="L2430" t="s">
        <v>29</v>
      </c>
      <c r="M2430">
        <v>4</v>
      </c>
      <c r="N2430">
        <v>0.47</v>
      </c>
      <c r="O2430" t="str">
        <f t="shared" si="75"/>
        <v>0.4–0.6 hours</v>
      </c>
      <c r="P2430" t="s">
        <v>52</v>
      </c>
    </row>
    <row r="2431" spans="1:16" x14ac:dyDescent="0.4">
      <c r="A2431" t="s">
        <v>2472</v>
      </c>
      <c r="B2431">
        <v>68</v>
      </c>
      <c r="C2431" t="s">
        <v>41</v>
      </c>
      <c r="D2431" t="s">
        <v>32</v>
      </c>
      <c r="E2431">
        <v>19.91</v>
      </c>
      <c r="F2431">
        <v>54</v>
      </c>
      <c r="G2431" t="s">
        <v>23</v>
      </c>
      <c r="H2431" t="s">
        <v>24</v>
      </c>
      <c r="I2431" s="2">
        <v>17.989999999999998</v>
      </c>
      <c r="J2431">
        <v>1</v>
      </c>
      <c r="K2431" s="2">
        <f t="shared" si="74"/>
        <v>17.989999999999998</v>
      </c>
      <c r="L2431" t="s">
        <v>19</v>
      </c>
      <c r="M2431">
        <v>3</v>
      </c>
      <c r="N2431">
        <v>0.36</v>
      </c>
      <c r="O2431" t="str">
        <f t="shared" si="75"/>
        <v>0.2–0.4 hours</v>
      </c>
      <c r="P2431" t="s">
        <v>34</v>
      </c>
    </row>
    <row r="2432" spans="1:16" x14ac:dyDescent="0.4">
      <c r="A2432" t="s">
        <v>2473</v>
      </c>
      <c r="B2432">
        <v>32</v>
      </c>
      <c r="C2432" t="s">
        <v>15</v>
      </c>
      <c r="D2432" t="s">
        <v>22</v>
      </c>
      <c r="E2432">
        <v>17.48</v>
      </c>
      <c r="F2432">
        <v>4</v>
      </c>
      <c r="G2432" t="s">
        <v>70</v>
      </c>
      <c r="H2432" t="s">
        <v>46</v>
      </c>
      <c r="I2432" s="2">
        <v>13.99</v>
      </c>
      <c r="J2432">
        <v>0</v>
      </c>
      <c r="K2432" s="2">
        <f t="shared" si="74"/>
        <v>0</v>
      </c>
      <c r="L2432" t="s">
        <v>29</v>
      </c>
      <c r="M2432">
        <v>4</v>
      </c>
      <c r="N2432">
        <v>3.5</v>
      </c>
      <c r="O2432" t="str">
        <f t="shared" si="75"/>
        <v>1+ hours</v>
      </c>
      <c r="P2432" t="s">
        <v>34</v>
      </c>
    </row>
    <row r="2433" spans="1:16" x14ac:dyDescent="0.4">
      <c r="A2433" t="s">
        <v>2474</v>
      </c>
      <c r="B2433">
        <v>43</v>
      </c>
      <c r="C2433" t="s">
        <v>27</v>
      </c>
      <c r="D2433" t="s">
        <v>16</v>
      </c>
      <c r="E2433">
        <v>17.899999999999999</v>
      </c>
      <c r="F2433">
        <v>48</v>
      </c>
      <c r="G2433" t="s">
        <v>28</v>
      </c>
      <c r="H2433" t="s">
        <v>55</v>
      </c>
      <c r="I2433" s="2">
        <v>8.99</v>
      </c>
      <c r="J2433">
        <v>1</v>
      </c>
      <c r="K2433" s="2">
        <f t="shared" si="74"/>
        <v>8.99</v>
      </c>
      <c r="L2433" t="s">
        <v>29</v>
      </c>
      <c r="M2433">
        <v>2</v>
      </c>
      <c r="N2433">
        <v>0.37</v>
      </c>
      <c r="O2433" t="str">
        <f t="shared" si="75"/>
        <v>0.2–0.4 hours</v>
      </c>
      <c r="P2433" t="s">
        <v>52</v>
      </c>
    </row>
    <row r="2434" spans="1:16" x14ac:dyDescent="0.4">
      <c r="A2434" t="s">
        <v>2475</v>
      </c>
      <c r="B2434">
        <v>28</v>
      </c>
      <c r="C2434" t="s">
        <v>15</v>
      </c>
      <c r="D2434" t="s">
        <v>22</v>
      </c>
      <c r="E2434">
        <v>50.73</v>
      </c>
      <c r="F2434">
        <v>12</v>
      </c>
      <c r="G2434" t="s">
        <v>70</v>
      </c>
      <c r="H2434" t="s">
        <v>55</v>
      </c>
      <c r="I2434" s="2">
        <v>13.99</v>
      </c>
      <c r="J2434">
        <v>0</v>
      </c>
      <c r="K2434" s="2">
        <f t="shared" si="74"/>
        <v>0</v>
      </c>
      <c r="L2434" t="s">
        <v>61</v>
      </c>
      <c r="M2434">
        <v>4</v>
      </c>
      <c r="N2434">
        <v>3.9</v>
      </c>
      <c r="O2434" t="str">
        <f t="shared" si="75"/>
        <v>1+ hours</v>
      </c>
      <c r="P2434" t="s">
        <v>52</v>
      </c>
    </row>
    <row r="2435" spans="1:16" x14ac:dyDescent="0.4">
      <c r="A2435" t="s">
        <v>2476</v>
      </c>
      <c r="B2435">
        <v>41</v>
      </c>
      <c r="C2435" t="s">
        <v>41</v>
      </c>
      <c r="D2435" t="s">
        <v>32</v>
      </c>
      <c r="E2435">
        <v>60.32</v>
      </c>
      <c r="F2435">
        <v>25</v>
      </c>
      <c r="G2435" t="s">
        <v>28</v>
      </c>
      <c r="H2435" t="s">
        <v>18</v>
      </c>
      <c r="I2435" s="2">
        <v>17.989999999999998</v>
      </c>
      <c r="J2435">
        <v>0</v>
      </c>
      <c r="K2435" s="2">
        <f t="shared" ref="K2435:K2498" si="76">SUMIF(J2435,1,I2435)</f>
        <v>0</v>
      </c>
      <c r="L2435" t="s">
        <v>43</v>
      </c>
      <c r="M2435">
        <v>5</v>
      </c>
      <c r="N2435">
        <v>2.3199999999999998</v>
      </c>
      <c r="O2435" t="str">
        <f t="shared" ref="O2435:O2498" si="77">IF(N2435&gt;1,"1+ hours",IF(N2435&lt;=0.2,"0–0.2 hours",IF(N2435&lt;=0.4,"0.2–0.4 hours",IF(N2435&lt;=0.6,"0.4–0.6 hours",IF(N2435&lt;=0.8,"0.6–0.8 hours","0.8–1 hour")))))</f>
        <v>1+ hours</v>
      </c>
      <c r="P2435" t="s">
        <v>47</v>
      </c>
    </row>
    <row r="2436" spans="1:16" x14ac:dyDescent="0.4">
      <c r="A2436" t="s">
        <v>2477</v>
      </c>
      <c r="B2436">
        <v>50</v>
      </c>
      <c r="C2436" t="s">
        <v>15</v>
      </c>
      <c r="D2436" t="s">
        <v>16</v>
      </c>
      <c r="E2436">
        <v>6.53</v>
      </c>
      <c r="F2436">
        <v>19</v>
      </c>
      <c r="G2436" t="s">
        <v>23</v>
      </c>
      <c r="H2436" t="s">
        <v>24</v>
      </c>
      <c r="I2436" s="2">
        <v>8.99</v>
      </c>
      <c r="J2436">
        <v>0</v>
      </c>
      <c r="K2436" s="2">
        <f t="shared" si="76"/>
        <v>0</v>
      </c>
      <c r="L2436" t="s">
        <v>29</v>
      </c>
      <c r="M2436">
        <v>5</v>
      </c>
      <c r="N2436">
        <v>0.33</v>
      </c>
      <c r="O2436" t="str">
        <f t="shared" si="77"/>
        <v>0.2–0.4 hours</v>
      </c>
      <c r="P2436" t="s">
        <v>25</v>
      </c>
    </row>
    <row r="2437" spans="1:16" x14ac:dyDescent="0.4">
      <c r="A2437" s="1" t="s">
        <v>2478</v>
      </c>
      <c r="B2437">
        <v>59</v>
      </c>
      <c r="C2437" t="s">
        <v>27</v>
      </c>
      <c r="D2437" t="s">
        <v>32</v>
      </c>
      <c r="E2437">
        <v>23.31</v>
      </c>
      <c r="F2437">
        <v>50</v>
      </c>
      <c r="G2437" t="s">
        <v>49</v>
      </c>
      <c r="H2437" t="s">
        <v>18</v>
      </c>
      <c r="I2437" s="2">
        <v>17.989999999999998</v>
      </c>
      <c r="J2437">
        <v>0</v>
      </c>
      <c r="K2437" s="2">
        <f t="shared" si="76"/>
        <v>0</v>
      </c>
      <c r="L2437" t="s">
        <v>19</v>
      </c>
      <c r="M2437">
        <v>3</v>
      </c>
      <c r="N2437">
        <v>0.46</v>
      </c>
      <c r="O2437" t="str">
        <f t="shared" si="77"/>
        <v>0.4–0.6 hours</v>
      </c>
      <c r="P2437" t="s">
        <v>47</v>
      </c>
    </row>
    <row r="2438" spans="1:16" x14ac:dyDescent="0.4">
      <c r="A2438" t="s">
        <v>2479</v>
      </c>
      <c r="B2438">
        <v>51</v>
      </c>
      <c r="C2438" t="s">
        <v>15</v>
      </c>
      <c r="D2438" t="s">
        <v>32</v>
      </c>
      <c r="E2438">
        <v>10.47</v>
      </c>
      <c r="F2438">
        <v>22</v>
      </c>
      <c r="G2438" t="s">
        <v>49</v>
      </c>
      <c r="H2438" t="s">
        <v>57</v>
      </c>
      <c r="I2438" s="2">
        <v>17.989999999999998</v>
      </c>
      <c r="J2438">
        <v>0</v>
      </c>
      <c r="K2438" s="2">
        <f t="shared" si="76"/>
        <v>0</v>
      </c>
      <c r="L2438" t="s">
        <v>61</v>
      </c>
      <c r="M2438">
        <v>2</v>
      </c>
      <c r="N2438">
        <v>0.46</v>
      </c>
      <c r="O2438" t="str">
        <f t="shared" si="77"/>
        <v>0.4–0.6 hours</v>
      </c>
      <c r="P2438" t="s">
        <v>34</v>
      </c>
    </row>
    <row r="2439" spans="1:16" x14ac:dyDescent="0.4">
      <c r="A2439" t="s">
        <v>2480</v>
      </c>
      <c r="B2439">
        <v>19</v>
      </c>
      <c r="C2439" t="s">
        <v>41</v>
      </c>
      <c r="D2439" t="s">
        <v>32</v>
      </c>
      <c r="E2439">
        <v>5.34</v>
      </c>
      <c r="F2439">
        <v>3</v>
      </c>
      <c r="G2439" t="s">
        <v>70</v>
      </c>
      <c r="H2439" t="s">
        <v>57</v>
      </c>
      <c r="I2439" s="2">
        <v>17.989999999999998</v>
      </c>
      <c r="J2439">
        <v>0</v>
      </c>
      <c r="K2439" s="2">
        <f t="shared" si="76"/>
        <v>0</v>
      </c>
      <c r="L2439" t="s">
        <v>37</v>
      </c>
      <c r="M2439">
        <v>1</v>
      </c>
      <c r="N2439">
        <v>1.33</v>
      </c>
      <c r="O2439" t="str">
        <f t="shared" si="77"/>
        <v>1+ hours</v>
      </c>
      <c r="P2439" t="s">
        <v>20</v>
      </c>
    </row>
    <row r="2440" spans="1:16" x14ac:dyDescent="0.4">
      <c r="A2440" t="s">
        <v>2481</v>
      </c>
      <c r="B2440">
        <v>25</v>
      </c>
      <c r="C2440" t="s">
        <v>15</v>
      </c>
      <c r="D2440" t="s">
        <v>22</v>
      </c>
      <c r="E2440">
        <v>5.36</v>
      </c>
      <c r="F2440">
        <v>23</v>
      </c>
      <c r="G2440" t="s">
        <v>17</v>
      </c>
      <c r="H2440" t="s">
        <v>24</v>
      </c>
      <c r="I2440" s="2">
        <v>13.99</v>
      </c>
      <c r="J2440">
        <v>0</v>
      </c>
      <c r="K2440" s="2">
        <f t="shared" si="76"/>
        <v>0</v>
      </c>
      <c r="L2440" t="s">
        <v>29</v>
      </c>
      <c r="M2440">
        <v>4</v>
      </c>
      <c r="N2440">
        <v>0.22</v>
      </c>
      <c r="O2440" t="str">
        <f t="shared" si="77"/>
        <v>0.2–0.4 hours</v>
      </c>
      <c r="P2440" t="s">
        <v>47</v>
      </c>
    </row>
    <row r="2441" spans="1:16" x14ac:dyDescent="0.4">
      <c r="A2441" t="s">
        <v>2482</v>
      </c>
      <c r="B2441">
        <v>61</v>
      </c>
      <c r="C2441" t="s">
        <v>15</v>
      </c>
      <c r="D2441" t="s">
        <v>22</v>
      </c>
      <c r="E2441">
        <v>19.489999999999998</v>
      </c>
      <c r="F2441">
        <v>9</v>
      </c>
      <c r="G2441" t="s">
        <v>28</v>
      </c>
      <c r="H2441" t="s">
        <v>18</v>
      </c>
      <c r="I2441" s="2">
        <v>13.99</v>
      </c>
      <c r="J2441">
        <v>0</v>
      </c>
      <c r="K2441" s="2">
        <f t="shared" si="76"/>
        <v>0</v>
      </c>
      <c r="L2441" t="s">
        <v>43</v>
      </c>
      <c r="M2441">
        <v>1</v>
      </c>
      <c r="N2441">
        <v>1.95</v>
      </c>
      <c r="O2441" t="str">
        <f t="shared" si="77"/>
        <v>1+ hours</v>
      </c>
      <c r="P2441" t="s">
        <v>30</v>
      </c>
    </row>
    <row r="2442" spans="1:16" x14ac:dyDescent="0.4">
      <c r="A2442" t="s">
        <v>2483</v>
      </c>
      <c r="B2442">
        <v>39</v>
      </c>
      <c r="C2442" t="s">
        <v>15</v>
      </c>
      <c r="D2442" t="s">
        <v>22</v>
      </c>
      <c r="E2442">
        <v>14.12</v>
      </c>
      <c r="F2442">
        <v>12</v>
      </c>
      <c r="G2442" t="s">
        <v>23</v>
      </c>
      <c r="H2442" t="s">
        <v>55</v>
      </c>
      <c r="I2442" s="2">
        <v>13.99</v>
      </c>
      <c r="J2442">
        <v>0</v>
      </c>
      <c r="K2442" s="2">
        <f t="shared" si="76"/>
        <v>0</v>
      </c>
      <c r="L2442" t="s">
        <v>61</v>
      </c>
      <c r="M2442">
        <v>5</v>
      </c>
      <c r="N2442">
        <v>1.0900000000000001</v>
      </c>
      <c r="O2442" t="str">
        <f t="shared" si="77"/>
        <v>1+ hours</v>
      </c>
      <c r="P2442" t="s">
        <v>52</v>
      </c>
    </row>
    <row r="2443" spans="1:16" x14ac:dyDescent="0.4">
      <c r="A2443" t="s">
        <v>2484</v>
      </c>
      <c r="B2443">
        <v>53</v>
      </c>
      <c r="C2443" t="s">
        <v>41</v>
      </c>
      <c r="D2443" t="s">
        <v>16</v>
      </c>
      <c r="E2443">
        <v>7.21</v>
      </c>
      <c r="F2443">
        <v>53</v>
      </c>
      <c r="G2443" t="s">
        <v>70</v>
      </c>
      <c r="H2443" t="s">
        <v>24</v>
      </c>
      <c r="I2443" s="2">
        <v>8.99</v>
      </c>
      <c r="J2443">
        <v>1</v>
      </c>
      <c r="K2443" s="2">
        <f t="shared" si="76"/>
        <v>8.99</v>
      </c>
      <c r="L2443" t="s">
        <v>61</v>
      </c>
      <c r="M2443">
        <v>3</v>
      </c>
      <c r="N2443">
        <v>0.13</v>
      </c>
      <c r="O2443" t="str">
        <f t="shared" si="77"/>
        <v>0–0.2 hours</v>
      </c>
      <c r="P2443" t="s">
        <v>47</v>
      </c>
    </row>
    <row r="2444" spans="1:16" x14ac:dyDescent="0.4">
      <c r="A2444" t="s">
        <v>2485</v>
      </c>
      <c r="B2444">
        <v>21</v>
      </c>
      <c r="C2444" t="s">
        <v>41</v>
      </c>
      <c r="D2444" t="s">
        <v>16</v>
      </c>
      <c r="E2444">
        <v>24.12</v>
      </c>
      <c r="F2444">
        <v>18</v>
      </c>
      <c r="G2444" t="s">
        <v>49</v>
      </c>
      <c r="H2444" t="s">
        <v>46</v>
      </c>
      <c r="I2444" s="2">
        <v>8.99</v>
      </c>
      <c r="J2444">
        <v>0</v>
      </c>
      <c r="K2444" s="2">
        <f t="shared" si="76"/>
        <v>0</v>
      </c>
      <c r="L2444" t="s">
        <v>29</v>
      </c>
      <c r="M2444">
        <v>1</v>
      </c>
      <c r="N2444">
        <v>1.27</v>
      </c>
      <c r="O2444" t="str">
        <f t="shared" si="77"/>
        <v>1+ hours</v>
      </c>
      <c r="P2444" t="s">
        <v>20</v>
      </c>
    </row>
    <row r="2445" spans="1:16" x14ac:dyDescent="0.4">
      <c r="A2445" t="s">
        <v>2486</v>
      </c>
      <c r="B2445">
        <v>42</v>
      </c>
      <c r="C2445" t="s">
        <v>15</v>
      </c>
      <c r="D2445" t="s">
        <v>32</v>
      </c>
      <c r="E2445">
        <v>13.25</v>
      </c>
      <c r="F2445">
        <v>29</v>
      </c>
      <c r="G2445" t="s">
        <v>17</v>
      </c>
      <c r="H2445" t="s">
        <v>55</v>
      </c>
      <c r="I2445" s="2">
        <v>17.989999999999998</v>
      </c>
      <c r="J2445">
        <v>0</v>
      </c>
      <c r="K2445" s="2">
        <f t="shared" si="76"/>
        <v>0</v>
      </c>
      <c r="L2445" t="s">
        <v>43</v>
      </c>
      <c r="M2445">
        <v>4</v>
      </c>
      <c r="N2445">
        <v>0.44</v>
      </c>
      <c r="O2445" t="str">
        <f t="shared" si="77"/>
        <v>0.4–0.6 hours</v>
      </c>
      <c r="P2445" t="s">
        <v>39</v>
      </c>
    </row>
    <row r="2446" spans="1:16" x14ac:dyDescent="0.4">
      <c r="A2446" t="s">
        <v>2487</v>
      </c>
      <c r="B2446">
        <v>65</v>
      </c>
      <c r="C2446" t="s">
        <v>15</v>
      </c>
      <c r="D2446" t="s">
        <v>16</v>
      </c>
      <c r="E2446">
        <v>0.39</v>
      </c>
      <c r="F2446">
        <v>3</v>
      </c>
      <c r="G2446" t="s">
        <v>33</v>
      </c>
      <c r="H2446" t="s">
        <v>55</v>
      </c>
      <c r="I2446" s="2">
        <v>8.99</v>
      </c>
      <c r="J2446">
        <v>1</v>
      </c>
      <c r="K2446" s="2">
        <f t="shared" si="76"/>
        <v>8.99</v>
      </c>
      <c r="L2446" t="s">
        <v>43</v>
      </c>
      <c r="M2446">
        <v>2</v>
      </c>
      <c r="N2446">
        <v>0.1</v>
      </c>
      <c r="O2446" t="str">
        <f t="shared" si="77"/>
        <v>0–0.2 hours</v>
      </c>
      <c r="P2446" t="s">
        <v>20</v>
      </c>
    </row>
    <row r="2447" spans="1:16" x14ac:dyDescent="0.4">
      <c r="A2447" t="s">
        <v>2488</v>
      </c>
      <c r="B2447">
        <v>18</v>
      </c>
      <c r="C2447" t="s">
        <v>41</v>
      </c>
      <c r="D2447" t="s">
        <v>16</v>
      </c>
      <c r="E2447">
        <v>32.68</v>
      </c>
      <c r="F2447">
        <v>58</v>
      </c>
      <c r="G2447" t="s">
        <v>17</v>
      </c>
      <c r="H2447" t="s">
        <v>18</v>
      </c>
      <c r="I2447" s="2">
        <v>8.99</v>
      </c>
      <c r="J2447">
        <v>0</v>
      </c>
      <c r="K2447" s="2">
        <f t="shared" si="76"/>
        <v>0</v>
      </c>
      <c r="L2447" t="s">
        <v>19</v>
      </c>
      <c r="M2447">
        <v>5</v>
      </c>
      <c r="N2447">
        <v>0.55000000000000004</v>
      </c>
      <c r="O2447" t="str">
        <f t="shared" si="77"/>
        <v>0.4–0.6 hours</v>
      </c>
      <c r="P2447" t="s">
        <v>39</v>
      </c>
    </row>
    <row r="2448" spans="1:16" x14ac:dyDescent="0.4">
      <c r="A2448" t="s">
        <v>2489</v>
      </c>
      <c r="B2448">
        <v>45</v>
      </c>
      <c r="C2448" t="s">
        <v>15</v>
      </c>
      <c r="D2448" t="s">
        <v>22</v>
      </c>
      <c r="E2448">
        <v>12.64</v>
      </c>
      <c r="F2448">
        <v>33</v>
      </c>
      <c r="G2448" t="s">
        <v>70</v>
      </c>
      <c r="H2448" t="s">
        <v>55</v>
      </c>
      <c r="I2448" s="2">
        <v>13.99</v>
      </c>
      <c r="J2448">
        <v>1</v>
      </c>
      <c r="K2448" s="2">
        <f t="shared" si="76"/>
        <v>13.99</v>
      </c>
      <c r="L2448" t="s">
        <v>29</v>
      </c>
      <c r="M2448">
        <v>4</v>
      </c>
      <c r="N2448">
        <v>0.37</v>
      </c>
      <c r="O2448" t="str">
        <f t="shared" si="77"/>
        <v>0.2–0.4 hours</v>
      </c>
      <c r="P2448" t="s">
        <v>39</v>
      </c>
    </row>
    <row r="2449" spans="1:16" x14ac:dyDescent="0.4">
      <c r="A2449" t="s">
        <v>2490</v>
      </c>
      <c r="B2449">
        <v>19</v>
      </c>
      <c r="C2449" t="s">
        <v>27</v>
      </c>
      <c r="D2449" t="s">
        <v>32</v>
      </c>
      <c r="E2449">
        <v>1.8</v>
      </c>
      <c r="F2449">
        <v>4</v>
      </c>
      <c r="G2449" t="s">
        <v>17</v>
      </c>
      <c r="H2449" t="s">
        <v>57</v>
      </c>
      <c r="I2449" s="2">
        <v>17.989999999999998</v>
      </c>
      <c r="J2449">
        <v>0</v>
      </c>
      <c r="K2449" s="2">
        <f t="shared" si="76"/>
        <v>0</v>
      </c>
      <c r="L2449" t="s">
        <v>37</v>
      </c>
      <c r="M2449">
        <v>2</v>
      </c>
      <c r="N2449">
        <v>0.36</v>
      </c>
      <c r="O2449" t="str">
        <f t="shared" si="77"/>
        <v>0.2–0.4 hours</v>
      </c>
      <c r="P2449" t="s">
        <v>52</v>
      </c>
    </row>
    <row r="2450" spans="1:16" x14ac:dyDescent="0.4">
      <c r="A2450" t="s">
        <v>2491</v>
      </c>
      <c r="B2450">
        <v>45</v>
      </c>
      <c r="C2450" t="s">
        <v>15</v>
      </c>
      <c r="D2450" t="s">
        <v>32</v>
      </c>
      <c r="E2450">
        <v>21.12</v>
      </c>
      <c r="F2450">
        <v>27</v>
      </c>
      <c r="G2450" t="s">
        <v>33</v>
      </c>
      <c r="H2450" t="s">
        <v>55</v>
      </c>
      <c r="I2450" s="2">
        <v>17.989999999999998</v>
      </c>
      <c r="J2450">
        <v>0</v>
      </c>
      <c r="K2450" s="2">
        <f t="shared" si="76"/>
        <v>0</v>
      </c>
      <c r="L2450" t="s">
        <v>61</v>
      </c>
      <c r="M2450">
        <v>5</v>
      </c>
      <c r="N2450">
        <v>0.75</v>
      </c>
      <c r="O2450" t="str">
        <f t="shared" si="77"/>
        <v>0.6–0.8 hours</v>
      </c>
      <c r="P2450" t="s">
        <v>30</v>
      </c>
    </row>
    <row r="2451" spans="1:16" x14ac:dyDescent="0.4">
      <c r="A2451" t="s">
        <v>2492</v>
      </c>
      <c r="B2451">
        <v>24</v>
      </c>
      <c r="C2451" t="s">
        <v>27</v>
      </c>
      <c r="D2451" t="s">
        <v>22</v>
      </c>
      <c r="E2451">
        <v>1.68</v>
      </c>
      <c r="F2451">
        <v>45</v>
      </c>
      <c r="G2451" t="s">
        <v>28</v>
      </c>
      <c r="H2451" t="s">
        <v>24</v>
      </c>
      <c r="I2451" s="2">
        <v>13.99</v>
      </c>
      <c r="J2451">
        <v>1</v>
      </c>
      <c r="K2451" s="2">
        <f t="shared" si="76"/>
        <v>13.99</v>
      </c>
      <c r="L2451" t="s">
        <v>61</v>
      </c>
      <c r="M2451">
        <v>3</v>
      </c>
      <c r="N2451">
        <v>0.04</v>
      </c>
      <c r="O2451" t="str">
        <f t="shared" si="77"/>
        <v>0–0.2 hours</v>
      </c>
      <c r="P2451" t="s">
        <v>47</v>
      </c>
    </row>
    <row r="2452" spans="1:16" x14ac:dyDescent="0.4">
      <c r="A2452" t="s">
        <v>2493</v>
      </c>
      <c r="B2452">
        <v>48</v>
      </c>
      <c r="C2452" t="s">
        <v>15</v>
      </c>
      <c r="D2452" t="s">
        <v>22</v>
      </c>
      <c r="E2452">
        <v>3.22</v>
      </c>
      <c r="F2452">
        <v>33</v>
      </c>
      <c r="G2452" t="s">
        <v>28</v>
      </c>
      <c r="H2452" t="s">
        <v>55</v>
      </c>
      <c r="I2452" s="2">
        <v>13.99</v>
      </c>
      <c r="J2452">
        <v>1</v>
      </c>
      <c r="K2452" s="2">
        <f t="shared" si="76"/>
        <v>13.99</v>
      </c>
      <c r="L2452" t="s">
        <v>43</v>
      </c>
      <c r="M2452">
        <v>1</v>
      </c>
      <c r="N2452">
        <v>0.09</v>
      </c>
      <c r="O2452" t="str">
        <f t="shared" si="77"/>
        <v>0–0.2 hours</v>
      </c>
      <c r="P2452" t="s">
        <v>47</v>
      </c>
    </row>
    <row r="2453" spans="1:16" x14ac:dyDescent="0.4">
      <c r="A2453" t="s">
        <v>2494</v>
      </c>
      <c r="B2453">
        <v>67</v>
      </c>
      <c r="C2453" t="s">
        <v>27</v>
      </c>
      <c r="D2453" t="s">
        <v>16</v>
      </c>
      <c r="E2453">
        <v>8.0299999999999994</v>
      </c>
      <c r="F2453">
        <v>34</v>
      </c>
      <c r="G2453" t="s">
        <v>28</v>
      </c>
      <c r="H2453" t="s">
        <v>55</v>
      </c>
      <c r="I2453" s="2">
        <v>8.99</v>
      </c>
      <c r="J2453">
        <v>1</v>
      </c>
      <c r="K2453" s="2">
        <f t="shared" si="76"/>
        <v>8.99</v>
      </c>
      <c r="L2453" t="s">
        <v>29</v>
      </c>
      <c r="M2453">
        <v>1</v>
      </c>
      <c r="N2453">
        <v>0.23</v>
      </c>
      <c r="O2453" t="str">
        <f t="shared" si="77"/>
        <v>0.2–0.4 hours</v>
      </c>
      <c r="P2453" t="s">
        <v>39</v>
      </c>
    </row>
    <row r="2454" spans="1:16" x14ac:dyDescent="0.4">
      <c r="A2454" t="s">
        <v>2495</v>
      </c>
      <c r="B2454">
        <v>41</v>
      </c>
      <c r="C2454" t="s">
        <v>27</v>
      </c>
      <c r="D2454" t="s">
        <v>16</v>
      </c>
      <c r="E2454">
        <v>7.36</v>
      </c>
      <c r="F2454">
        <v>30</v>
      </c>
      <c r="G2454" t="s">
        <v>49</v>
      </c>
      <c r="H2454" t="s">
        <v>18</v>
      </c>
      <c r="I2454" s="2">
        <v>8.99</v>
      </c>
      <c r="J2454">
        <v>0</v>
      </c>
      <c r="K2454" s="2">
        <f t="shared" si="76"/>
        <v>0</v>
      </c>
      <c r="L2454" t="s">
        <v>43</v>
      </c>
      <c r="M2454">
        <v>3</v>
      </c>
      <c r="N2454">
        <v>0.24</v>
      </c>
      <c r="O2454" t="str">
        <f t="shared" si="77"/>
        <v>0.2–0.4 hours</v>
      </c>
      <c r="P2454" t="s">
        <v>30</v>
      </c>
    </row>
    <row r="2455" spans="1:16" x14ac:dyDescent="0.4">
      <c r="A2455" t="s">
        <v>2496</v>
      </c>
      <c r="B2455">
        <v>35</v>
      </c>
      <c r="C2455" t="s">
        <v>27</v>
      </c>
      <c r="D2455" t="s">
        <v>32</v>
      </c>
      <c r="E2455">
        <v>1.84</v>
      </c>
      <c r="F2455">
        <v>30</v>
      </c>
      <c r="G2455" t="s">
        <v>28</v>
      </c>
      <c r="H2455" t="s">
        <v>55</v>
      </c>
      <c r="I2455" s="2">
        <v>17.989999999999998</v>
      </c>
      <c r="J2455">
        <v>1</v>
      </c>
      <c r="K2455" s="2">
        <f t="shared" si="76"/>
        <v>17.989999999999998</v>
      </c>
      <c r="L2455" t="s">
        <v>29</v>
      </c>
      <c r="M2455">
        <v>3</v>
      </c>
      <c r="N2455">
        <v>0.06</v>
      </c>
      <c r="O2455" t="str">
        <f t="shared" si="77"/>
        <v>0–0.2 hours</v>
      </c>
      <c r="P2455" t="s">
        <v>34</v>
      </c>
    </row>
    <row r="2456" spans="1:16" x14ac:dyDescent="0.4">
      <c r="A2456" t="s">
        <v>2497</v>
      </c>
      <c r="B2456">
        <v>50</v>
      </c>
      <c r="C2456" t="s">
        <v>27</v>
      </c>
      <c r="D2456" t="s">
        <v>22</v>
      </c>
      <c r="E2456">
        <v>19.48</v>
      </c>
      <c r="F2456">
        <v>49</v>
      </c>
      <c r="G2456" t="s">
        <v>23</v>
      </c>
      <c r="H2456" t="s">
        <v>46</v>
      </c>
      <c r="I2456" s="2">
        <v>13.99</v>
      </c>
      <c r="J2456">
        <v>1</v>
      </c>
      <c r="K2456" s="2">
        <f t="shared" si="76"/>
        <v>13.99</v>
      </c>
      <c r="L2456" t="s">
        <v>19</v>
      </c>
      <c r="M2456">
        <v>3</v>
      </c>
      <c r="N2456">
        <v>0.39</v>
      </c>
      <c r="O2456" t="str">
        <f t="shared" si="77"/>
        <v>0.2–0.4 hours</v>
      </c>
      <c r="P2456" t="s">
        <v>47</v>
      </c>
    </row>
    <row r="2457" spans="1:16" x14ac:dyDescent="0.4">
      <c r="A2457" t="s">
        <v>2498</v>
      </c>
      <c r="B2457">
        <v>24</v>
      </c>
      <c r="C2457" t="s">
        <v>41</v>
      </c>
      <c r="D2457" t="s">
        <v>32</v>
      </c>
      <c r="E2457">
        <v>33.35</v>
      </c>
      <c r="F2457">
        <v>38</v>
      </c>
      <c r="G2457" t="s">
        <v>17</v>
      </c>
      <c r="H2457" t="s">
        <v>18</v>
      </c>
      <c r="I2457" s="2">
        <v>17.989999999999998</v>
      </c>
      <c r="J2457">
        <v>0</v>
      </c>
      <c r="K2457" s="2">
        <f t="shared" si="76"/>
        <v>0</v>
      </c>
      <c r="L2457" t="s">
        <v>61</v>
      </c>
      <c r="M2457">
        <v>1</v>
      </c>
      <c r="N2457">
        <v>0.86</v>
      </c>
      <c r="O2457" t="str">
        <f t="shared" si="77"/>
        <v>0.8–1 hour</v>
      </c>
      <c r="P2457" t="s">
        <v>52</v>
      </c>
    </row>
    <row r="2458" spans="1:16" x14ac:dyDescent="0.4">
      <c r="A2458" t="s">
        <v>2499</v>
      </c>
      <c r="B2458">
        <v>30</v>
      </c>
      <c r="C2458" t="s">
        <v>27</v>
      </c>
      <c r="D2458" t="s">
        <v>32</v>
      </c>
      <c r="E2458">
        <v>3.63</v>
      </c>
      <c r="F2458">
        <v>35</v>
      </c>
      <c r="G2458" t="s">
        <v>23</v>
      </c>
      <c r="H2458" t="s">
        <v>55</v>
      </c>
      <c r="I2458" s="2">
        <v>17.989999999999998</v>
      </c>
      <c r="J2458">
        <v>1</v>
      </c>
      <c r="K2458" s="2">
        <f t="shared" si="76"/>
        <v>17.989999999999998</v>
      </c>
      <c r="L2458" t="s">
        <v>43</v>
      </c>
      <c r="M2458">
        <v>3</v>
      </c>
      <c r="N2458">
        <v>0.1</v>
      </c>
      <c r="O2458" t="str">
        <f t="shared" si="77"/>
        <v>0–0.2 hours</v>
      </c>
      <c r="P2458" t="s">
        <v>30</v>
      </c>
    </row>
    <row r="2459" spans="1:16" x14ac:dyDescent="0.4">
      <c r="A2459" t="s">
        <v>2500</v>
      </c>
      <c r="B2459">
        <v>44</v>
      </c>
      <c r="C2459" t="s">
        <v>27</v>
      </c>
      <c r="D2459" t="s">
        <v>32</v>
      </c>
      <c r="E2459">
        <v>15.31</v>
      </c>
      <c r="F2459">
        <v>26</v>
      </c>
      <c r="G2459" t="s">
        <v>70</v>
      </c>
      <c r="H2459" t="s">
        <v>18</v>
      </c>
      <c r="I2459" s="2">
        <v>17.989999999999998</v>
      </c>
      <c r="J2459">
        <v>0</v>
      </c>
      <c r="K2459" s="2">
        <f t="shared" si="76"/>
        <v>0</v>
      </c>
      <c r="L2459" t="s">
        <v>29</v>
      </c>
      <c r="M2459">
        <v>5</v>
      </c>
      <c r="N2459">
        <v>0.56999999999999995</v>
      </c>
      <c r="O2459" t="str">
        <f t="shared" si="77"/>
        <v>0.4–0.6 hours</v>
      </c>
      <c r="P2459" t="s">
        <v>25</v>
      </c>
    </row>
    <row r="2460" spans="1:16" x14ac:dyDescent="0.4">
      <c r="A2460" t="s">
        <v>2501</v>
      </c>
      <c r="B2460">
        <v>61</v>
      </c>
      <c r="C2460" t="s">
        <v>27</v>
      </c>
      <c r="D2460" t="s">
        <v>16</v>
      </c>
      <c r="E2460">
        <v>14.55</v>
      </c>
      <c r="F2460">
        <v>37</v>
      </c>
      <c r="G2460" t="s">
        <v>49</v>
      </c>
      <c r="H2460" t="s">
        <v>46</v>
      </c>
      <c r="I2460" s="2">
        <v>8.99</v>
      </c>
      <c r="J2460">
        <v>1</v>
      </c>
      <c r="K2460" s="2">
        <f t="shared" si="76"/>
        <v>8.99</v>
      </c>
      <c r="L2460" t="s">
        <v>19</v>
      </c>
      <c r="M2460">
        <v>2</v>
      </c>
      <c r="N2460">
        <v>0.38</v>
      </c>
      <c r="O2460" t="str">
        <f t="shared" si="77"/>
        <v>0.2–0.4 hours</v>
      </c>
      <c r="P2460" t="s">
        <v>52</v>
      </c>
    </row>
    <row r="2461" spans="1:16" x14ac:dyDescent="0.4">
      <c r="A2461" t="s">
        <v>2502</v>
      </c>
      <c r="B2461">
        <v>43</v>
      </c>
      <c r="C2461" t="s">
        <v>27</v>
      </c>
      <c r="D2461" t="s">
        <v>22</v>
      </c>
      <c r="E2461">
        <v>19.95</v>
      </c>
      <c r="F2461">
        <v>40</v>
      </c>
      <c r="G2461" t="s">
        <v>70</v>
      </c>
      <c r="H2461" t="s">
        <v>46</v>
      </c>
      <c r="I2461" s="2">
        <v>13.99</v>
      </c>
      <c r="J2461">
        <v>1</v>
      </c>
      <c r="K2461" s="2">
        <f t="shared" si="76"/>
        <v>13.99</v>
      </c>
      <c r="L2461" t="s">
        <v>43</v>
      </c>
      <c r="M2461">
        <v>1</v>
      </c>
      <c r="N2461">
        <v>0.49</v>
      </c>
      <c r="O2461" t="str">
        <f t="shared" si="77"/>
        <v>0.4–0.6 hours</v>
      </c>
      <c r="P2461" t="s">
        <v>34</v>
      </c>
    </row>
    <row r="2462" spans="1:16" x14ac:dyDescent="0.4">
      <c r="A2462" t="s">
        <v>2503</v>
      </c>
      <c r="B2462">
        <v>54</v>
      </c>
      <c r="C2462" t="s">
        <v>15</v>
      </c>
      <c r="D2462" t="s">
        <v>16</v>
      </c>
      <c r="E2462">
        <v>9.92</v>
      </c>
      <c r="F2462">
        <v>27</v>
      </c>
      <c r="G2462" t="s">
        <v>28</v>
      </c>
      <c r="H2462" t="s">
        <v>46</v>
      </c>
      <c r="I2462" s="2">
        <v>8.99</v>
      </c>
      <c r="J2462">
        <v>1</v>
      </c>
      <c r="K2462" s="2">
        <f t="shared" si="76"/>
        <v>8.99</v>
      </c>
      <c r="L2462" t="s">
        <v>61</v>
      </c>
      <c r="M2462">
        <v>1</v>
      </c>
      <c r="N2462">
        <v>0.35</v>
      </c>
      <c r="O2462" t="str">
        <f t="shared" si="77"/>
        <v>0.2–0.4 hours</v>
      </c>
      <c r="P2462" t="s">
        <v>30</v>
      </c>
    </row>
    <row r="2463" spans="1:16" x14ac:dyDescent="0.4">
      <c r="A2463" t="s">
        <v>2504</v>
      </c>
      <c r="B2463">
        <v>39</v>
      </c>
      <c r="C2463" t="s">
        <v>27</v>
      </c>
      <c r="D2463" t="s">
        <v>22</v>
      </c>
      <c r="E2463">
        <v>1.72</v>
      </c>
      <c r="F2463">
        <v>24</v>
      </c>
      <c r="G2463" t="s">
        <v>28</v>
      </c>
      <c r="H2463" t="s">
        <v>57</v>
      </c>
      <c r="I2463" s="2">
        <v>13.99</v>
      </c>
      <c r="J2463">
        <v>1</v>
      </c>
      <c r="K2463" s="2">
        <f t="shared" si="76"/>
        <v>13.99</v>
      </c>
      <c r="L2463" t="s">
        <v>19</v>
      </c>
      <c r="M2463">
        <v>5</v>
      </c>
      <c r="N2463">
        <v>7.0000000000000007E-2</v>
      </c>
      <c r="O2463" t="str">
        <f t="shared" si="77"/>
        <v>0–0.2 hours</v>
      </c>
      <c r="P2463" t="s">
        <v>30</v>
      </c>
    </row>
    <row r="2464" spans="1:16" x14ac:dyDescent="0.4">
      <c r="A2464" t="s">
        <v>2505</v>
      </c>
      <c r="B2464">
        <v>43</v>
      </c>
      <c r="C2464" t="s">
        <v>27</v>
      </c>
      <c r="D2464" t="s">
        <v>22</v>
      </c>
      <c r="E2464">
        <v>8.4499999999999993</v>
      </c>
      <c r="F2464">
        <v>20</v>
      </c>
      <c r="G2464" t="s">
        <v>17</v>
      </c>
      <c r="H2464" t="s">
        <v>46</v>
      </c>
      <c r="I2464" s="2">
        <v>13.99</v>
      </c>
      <c r="J2464">
        <v>0</v>
      </c>
      <c r="K2464" s="2">
        <f t="shared" si="76"/>
        <v>0</v>
      </c>
      <c r="L2464" t="s">
        <v>19</v>
      </c>
      <c r="M2464">
        <v>3</v>
      </c>
      <c r="N2464">
        <v>0.4</v>
      </c>
      <c r="O2464" t="str">
        <f t="shared" si="77"/>
        <v>0.2–0.4 hours</v>
      </c>
      <c r="P2464" t="s">
        <v>52</v>
      </c>
    </row>
    <row r="2465" spans="1:16" x14ac:dyDescent="0.4">
      <c r="A2465" t="s">
        <v>2506</v>
      </c>
      <c r="B2465">
        <v>26</v>
      </c>
      <c r="C2465" t="s">
        <v>15</v>
      </c>
      <c r="D2465" t="s">
        <v>22</v>
      </c>
      <c r="E2465">
        <v>13.02</v>
      </c>
      <c r="F2465">
        <v>41</v>
      </c>
      <c r="G2465" t="s">
        <v>70</v>
      </c>
      <c r="H2465" t="s">
        <v>57</v>
      </c>
      <c r="I2465" s="2">
        <v>13.99</v>
      </c>
      <c r="J2465">
        <v>1</v>
      </c>
      <c r="K2465" s="2">
        <f t="shared" si="76"/>
        <v>13.99</v>
      </c>
      <c r="L2465" t="s">
        <v>29</v>
      </c>
      <c r="M2465">
        <v>1</v>
      </c>
      <c r="N2465">
        <v>0.31</v>
      </c>
      <c r="O2465" t="str">
        <f t="shared" si="77"/>
        <v>0.2–0.4 hours</v>
      </c>
      <c r="P2465" t="s">
        <v>25</v>
      </c>
    </row>
    <row r="2466" spans="1:16" x14ac:dyDescent="0.4">
      <c r="A2466" t="s">
        <v>2507</v>
      </c>
      <c r="B2466">
        <v>22</v>
      </c>
      <c r="C2466" t="s">
        <v>41</v>
      </c>
      <c r="D2466" t="s">
        <v>22</v>
      </c>
      <c r="E2466">
        <v>0.12</v>
      </c>
      <c r="F2466">
        <v>4</v>
      </c>
      <c r="G2466" t="s">
        <v>28</v>
      </c>
      <c r="H2466" t="s">
        <v>46</v>
      </c>
      <c r="I2466" s="2">
        <v>13.99</v>
      </c>
      <c r="J2466">
        <v>0</v>
      </c>
      <c r="K2466" s="2">
        <f t="shared" si="76"/>
        <v>0</v>
      </c>
      <c r="L2466" t="s">
        <v>43</v>
      </c>
      <c r="M2466">
        <v>5</v>
      </c>
      <c r="N2466">
        <v>0.02</v>
      </c>
      <c r="O2466" t="str">
        <f t="shared" si="77"/>
        <v>0–0.2 hours</v>
      </c>
      <c r="P2466" t="s">
        <v>30</v>
      </c>
    </row>
    <row r="2467" spans="1:16" x14ac:dyDescent="0.4">
      <c r="A2467" t="s">
        <v>2508</v>
      </c>
      <c r="B2467">
        <v>32</v>
      </c>
      <c r="C2467" t="s">
        <v>41</v>
      </c>
      <c r="D2467" t="s">
        <v>22</v>
      </c>
      <c r="E2467">
        <v>5.6</v>
      </c>
      <c r="F2467">
        <v>44</v>
      </c>
      <c r="G2467" t="s">
        <v>23</v>
      </c>
      <c r="H2467" t="s">
        <v>24</v>
      </c>
      <c r="I2467" s="2">
        <v>13.99</v>
      </c>
      <c r="J2467">
        <v>1</v>
      </c>
      <c r="K2467" s="2">
        <f t="shared" si="76"/>
        <v>13.99</v>
      </c>
      <c r="L2467" t="s">
        <v>43</v>
      </c>
      <c r="M2467">
        <v>3</v>
      </c>
      <c r="N2467">
        <v>0.12</v>
      </c>
      <c r="O2467" t="str">
        <f t="shared" si="77"/>
        <v>0–0.2 hours</v>
      </c>
      <c r="P2467" t="s">
        <v>34</v>
      </c>
    </row>
    <row r="2468" spans="1:16" x14ac:dyDescent="0.4">
      <c r="A2468" t="s">
        <v>2509</v>
      </c>
      <c r="B2468">
        <v>28</v>
      </c>
      <c r="C2468" t="s">
        <v>15</v>
      </c>
      <c r="D2468" t="s">
        <v>32</v>
      </c>
      <c r="E2468">
        <v>0.68</v>
      </c>
      <c r="F2468">
        <v>53</v>
      </c>
      <c r="G2468" t="s">
        <v>70</v>
      </c>
      <c r="H2468" t="s">
        <v>46</v>
      </c>
      <c r="I2468" s="2">
        <v>17.989999999999998</v>
      </c>
      <c r="J2468">
        <v>1</v>
      </c>
      <c r="K2468" s="2">
        <f t="shared" si="76"/>
        <v>17.989999999999998</v>
      </c>
      <c r="L2468" t="s">
        <v>29</v>
      </c>
      <c r="M2468">
        <v>1</v>
      </c>
      <c r="N2468">
        <v>0.01</v>
      </c>
      <c r="O2468" t="str">
        <f t="shared" si="77"/>
        <v>0–0.2 hours</v>
      </c>
      <c r="P2468" t="s">
        <v>47</v>
      </c>
    </row>
    <row r="2469" spans="1:16" x14ac:dyDescent="0.4">
      <c r="A2469" t="s">
        <v>2510</v>
      </c>
      <c r="B2469">
        <v>50</v>
      </c>
      <c r="C2469" t="s">
        <v>41</v>
      </c>
      <c r="D2469" t="s">
        <v>22</v>
      </c>
      <c r="E2469">
        <v>1.96</v>
      </c>
      <c r="F2469">
        <v>60</v>
      </c>
      <c r="G2469" t="s">
        <v>33</v>
      </c>
      <c r="H2469" t="s">
        <v>46</v>
      </c>
      <c r="I2469" s="2">
        <v>13.99</v>
      </c>
      <c r="J2469">
        <v>1</v>
      </c>
      <c r="K2469" s="2">
        <f t="shared" si="76"/>
        <v>13.99</v>
      </c>
      <c r="L2469" t="s">
        <v>29</v>
      </c>
      <c r="M2469">
        <v>2</v>
      </c>
      <c r="N2469">
        <v>0.03</v>
      </c>
      <c r="O2469" t="str">
        <f t="shared" si="77"/>
        <v>0–0.2 hours</v>
      </c>
      <c r="P2469" t="s">
        <v>34</v>
      </c>
    </row>
    <row r="2470" spans="1:16" x14ac:dyDescent="0.4">
      <c r="A2470" t="s">
        <v>2511</v>
      </c>
      <c r="B2470">
        <v>25</v>
      </c>
      <c r="C2470" t="s">
        <v>15</v>
      </c>
      <c r="D2470" t="s">
        <v>16</v>
      </c>
      <c r="E2470">
        <v>6.38</v>
      </c>
      <c r="F2470">
        <v>58</v>
      </c>
      <c r="G2470" t="s">
        <v>23</v>
      </c>
      <c r="H2470" t="s">
        <v>55</v>
      </c>
      <c r="I2470" s="2">
        <v>8.99</v>
      </c>
      <c r="J2470">
        <v>1</v>
      </c>
      <c r="K2470" s="2">
        <f t="shared" si="76"/>
        <v>8.99</v>
      </c>
      <c r="L2470" t="s">
        <v>43</v>
      </c>
      <c r="M2470">
        <v>3</v>
      </c>
      <c r="N2470">
        <v>0.11</v>
      </c>
      <c r="O2470" t="str">
        <f t="shared" si="77"/>
        <v>0–0.2 hours</v>
      </c>
      <c r="P2470" t="s">
        <v>52</v>
      </c>
    </row>
    <row r="2471" spans="1:16" x14ac:dyDescent="0.4">
      <c r="A2471" t="s">
        <v>2512</v>
      </c>
      <c r="B2471">
        <v>46</v>
      </c>
      <c r="C2471" t="s">
        <v>27</v>
      </c>
      <c r="D2471" t="s">
        <v>32</v>
      </c>
      <c r="E2471">
        <v>0.5</v>
      </c>
      <c r="F2471">
        <v>51</v>
      </c>
      <c r="G2471" t="s">
        <v>49</v>
      </c>
      <c r="H2471" t="s">
        <v>57</v>
      </c>
      <c r="I2471" s="2">
        <v>17.989999999999998</v>
      </c>
      <c r="J2471">
        <v>1</v>
      </c>
      <c r="K2471" s="2">
        <f t="shared" si="76"/>
        <v>17.989999999999998</v>
      </c>
      <c r="L2471" t="s">
        <v>37</v>
      </c>
      <c r="M2471">
        <v>4</v>
      </c>
      <c r="N2471">
        <v>0.01</v>
      </c>
      <c r="O2471" t="str">
        <f t="shared" si="77"/>
        <v>0–0.2 hours</v>
      </c>
      <c r="P2471" t="s">
        <v>47</v>
      </c>
    </row>
    <row r="2472" spans="1:16" x14ac:dyDescent="0.4">
      <c r="A2472" t="s">
        <v>2513</v>
      </c>
      <c r="B2472">
        <v>69</v>
      </c>
      <c r="C2472" t="s">
        <v>15</v>
      </c>
      <c r="D2472" t="s">
        <v>32</v>
      </c>
      <c r="E2472">
        <v>15.94</v>
      </c>
      <c r="F2472">
        <v>36</v>
      </c>
      <c r="G2472" t="s">
        <v>49</v>
      </c>
      <c r="H2472" t="s">
        <v>46</v>
      </c>
      <c r="I2472" s="2">
        <v>17.989999999999998</v>
      </c>
      <c r="J2472">
        <v>1</v>
      </c>
      <c r="K2472" s="2">
        <f t="shared" si="76"/>
        <v>17.989999999999998</v>
      </c>
      <c r="L2472" t="s">
        <v>37</v>
      </c>
      <c r="M2472">
        <v>2</v>
      </c>
      <c r="N2472">
        <v>0.43</v>
      </c>
      <c r="O2472" t="str">
        <f t="shared" si="77"/>
        <v>0.4–0.6 hours</v>
      </c>
      <c r="P2472" t="s">
        <v>30</v>
      </c>
    </row>
    <row r="2473" spans="1:16" x14ac:dyDescent="0.4">
      <c r="A2473" t="s">
        <v>2514</v>
      </c>
      <c r="B2473">
        <v>57</v>
      </c>
      <c r="C2473" t="s">
        <v>27</v>
      </c>
      <c r="D2473" t="s">
        <v>16</v>
      </c>
      <c r="E2473">
        <v>0.71</v>
      </c>
      <c r="F2473">
        <v>42</v>
      </c>
      <c r="G2473" t="s">
        <v>70</v>
      </c>
      <c r="H2473" t="s">
        <v>18</v>
      </c>
      <c r="I2473" s="2">
        <v>8.99</v>
      </c>
      <c r="J2473">
        <v>1</v>
      </c>
      <c r="K2473" s="2">
        <f t="shared" si="76"/>
        <v>8.99</v>
      </c>
      <c r="L2473" t="s">
        <v>37</v>
      </c>
      <c r="M2473">
        <v>4</v>
      </c>
      <c r="N2473">
        <v>0.02</v>
      </c>
      <c r="O2473" t="str">
        <f t="shared" si="77"/>
        <v>0–0.2 hours</v>
      </c>
      <c r="P2473" t="s">
        <v>25</v>
      </c>
    </row>
    <row r="2474" spans="1:16" x14ac:dyDescent="0.4">
      <c r="A2474" t="s">
        <v>2515</v>
      </c>
      <c r="B2474">
        <v>37</v>
      </c>
      <c r="C2474" t="s">
        <v>15</v>
      </c>
      <c r="D2474" t="s">
        <v>32</v>
      </c>
      <c r="E2474">
        <v>1.32</v>
      </c>
      <c r="F2474">
        <v>47</v>
      </c>
      <c r="G2474" t="s">
        <v>70</v>
      </c>
      <c r="H2474" t="s">
        <v>55</v>
      </c>
      <c r="I2474" s="2">
        <v>17.989999999999998</v>
      </c>
      <c r="J2474">
        <v>1</v>
      </c>
      <c r="K2474" s="2">
        <f t="shared" si="76"/>
        <v>17.989999999999998</v>
      </c>
      <c r="L2474" t="s">
        <v>43</v>
      </c>
      <c r="M2474">
        <v>3</v>
      </c>
      <c r="N2474">
        <v>0.03</v>
      </c>
      <c r="O2474" t="str">
        <f t="shared" si="77"/>
        <v>0–0.2 hours</v>
      </c>
      <c r="P2474" t="s">
        <v>30</v>
      </c>
    </row>
    <row r="2475" spans="1:16" x14ac:dyDescent="0.4">
      <c r="A2475" t="s">
        <v>2516</v>
      </c>
      <c r="B2475">
        <v>66</v>
      </c>
      <c r="C2475" t="s">
        <v>27</v>
      </c>
      <c r="D2475" t="s">
        <v>16</v>
      </c>
      <c r="E2475">
        <v>37.6</v>
      </c>
      <c r="F2475">
        <v>35</v>
      </c>
      <c r="G2475" t="s">
        <v>49</v>
      </c>
      <c r="H2475" t="s">
        <v>24</v>
      </c>
      <c r="I2475" s="2">
        <v>8.99</v>
      </c>
      <c r="J2475">
        <v>0</v>
      </c>
      <c r="K2475" s="2">
        <f t="shared" si="76"/>
        <v>0</v>
      </c>
      <c r="L2475" t="s">
        <v>19</v>
      </c>
      <c r="M2475">
        <v>3</v>
      </c>
      <c r="N2475">
        <v>1.04</v>
      </c>
      <c r="O2475" t="str">
        <f t="shared" si="77"/>
        <v>1+ hours</v>
      </c>
      <c r="P2475" t="s">
        <v>47</v>
      </c>
    </row>
    <row r="2476" spans="1:16" x14ac:dyDescent="0.4">
      <c r="A2476" t="s">
        <v>2517</v>
      </c>
      <c r="B2476">
        <v>44</v>
      </c>
      <c r="C2476" t="s">
        <v>27</v>
      </c>
      <c r="D2476" t="s">
        <v>22</v>
      </c>
      <c r="E2476">
        <v>2.69</v>
      </c>
      <c r="F2476">
        <v>12</v>
      </c>
      <c r="G2476" t="s">
        <v>17</v>
      </c>
      <c r="H2476" t="s">
        <v>24</v>
      </c>
      <c r="I2476" s="2">
        <v>13.99</v>
      </c>
      <c r="J2476">
        <v>0</v>
      </c>
      <c r="K2476" s="2">
        <f t="shared" si="76"/>
        <v>0</v>
      </c>
      <c r="L2476" t="s">
        <v>61</v>
      </c>
      <c r="M2476">
        <v>5</v>
      </c>
      <c r="N2476">
        <v>0.21</v>
      </c>
      <c r="O2476" t="str">
        <f t="shared" si="77"/>
        <v>0.2–0.4 hours</v>
      </c>
      <c r="P2476" t="s">
        <v>25</v>
      </c>
    </row>
    <row r="2477" spans="1:16" x14ac:dyDescent="0.4">
      <c r="A2477" t="s">
        <v>2518</v>
      </c>
      <c r="B2477">
        <v>66</v>
      </c>
      <c r="C2477" t="s">
        <v>41</v>
      </c>
      <c r="D2477" t="s">
        <v>16</v>
      </c>
      <c r="E2477">
        <v>5.07</v>
      </c>
      <c r="F2477">
        <v>38</v>
      </c>
      <c r="G2477" t="s">
        <v>70</v>
      </c>
      <c r="H2477" t="s">
        <v>24</v>
      </c>
      <c r="I2477" s="2">
        <v>8.99</v>
      </c>
      <c r="J2477">
        <v>1</v>
      </c>
      <c r="K2477" s="2">
        <f t="shared" si="76"/>
        <v>8.99</v>
      </c>
      <c r="L2477" t="s">
        <v>43</v>
      </c>
      <c r="M2477">
        <v>5</v>
      </c>
      <c r="N2477">
        <v>0.13</v>
      </c>
      <c r="O2477" t="str">
        <f t="shared" si="77"/>
        <v>0–0.2 hours</v>
      </c>
      <c r="P2477" t="s">
        <v>25</v>
      </c>
    </row>
    <row r="2478" spans="1:16" x14ac:dyDescent="0.4">
      <c r="A2478" t="s">
        <v>2519</v>
      </c>
      <c r="B2478">
        <v>39</v>
      </c>
      <c r="C2478" t="s">
        <v>27</v>
      </c>
      <c r="D2478" t="s">
        <v>32</v>
      </c>
      <c r="E2478">
        <v>15.78</v>
      </c>
      <c r="F2478">
        <v>25</v>
      </c>
      <c r="G2478" t="s">
        <v>33</v>
      </c>
      <c r="H2478" t="s">
        <v>46</v>
      </c>
      <c r="I2478" s="2">
        <v>17.989999999999998</v>
      </c>
      <c r="J2478">
        <v>0</v>
      </c>
      <c r="K2478" s="2">
        <f t="shared" si="76"/>
        <v>0</v>
      </c>
      <c r="L2478" t="s">
        <v>19</v>
      </c>
      <c r="M2478">
        <v>4</v>
      </c>
      <c r="N2478">
        <v>0.61</v>
      </c>
      <c r="O2478" t="str">
        <f t="shared" si="77"/>
        <v>0.6–0.8 hours</v>
      </c>
      <c r="P2478" t="s">
        <v>39</v>
      </c>
    </row>
    <row r="2479" spans="1:16" x14ac:dyDescent="0.4">
      <c r="A2479" t="s">
        <v>2520</v>
      </c>
      <c r="B2479">
        <v>63</v>
      </c>
      <c r="C2479" t="s">
        <v>27</v>
      </c>
      <c r="D2479" t="s">
        <v>32</v>
      </c>
      <c r="E2479">
        <v>9.84</v>
      </c>
      <c r="F2479">
        <v>46</v>
      </c>
      <c r="G2479" t="s">
        <v>49</v>
      </c>
      <c r="H2479" t="s">
        <v>24</v>
      </c>
      <c r="I2479" s="2">
        <v>17.989999999999998</v>
      </c>
      <c r="J2479">
        <v>1</v>
      </c>
      <c r="K2479" s="2">
        <f t="shared" si="76"/>
        <v>17.989999999999998</v>
      </c>
      <c r="L2479" t="s">
        <v>43</v>
      </c>
      <c r="M2479">
        <v>2</v>
      </c>
      <c r="N2479">
        <v>0.21</v>
      </c>
      <c r="O2479" t="str">
        <f t="shared" si="77"/>
        <v>0.2–0.4 hours</v>
      </c>
      <c r="P2479" t="s">
        <v>39</v>
      </c>
    </row>
    <row r="2480" spans="1:16" x14ac:dyDescent="0.4">
      <c r="A2480" t="s">
        <v>2521</v>
      </c>
      <c r="B2480">
        <v>39</v>
      </c>
      <c r="C2480" t="s">
        <v>41</v>
      </c>
      <c r="D2480" t="s">
        <v>16</v>
      </c>
      <c r="E2480">
        <v>0.21</v>
      </c>
      <c r="F2480">
        <v>39</v>
      </c>
      <c r="G2480" t="s">
        <v>49</v>
      </c>
      <c r="H2480" t="s">
        <v>46</v>
      </c>
      <c r="I2480" s="2">
        <v>8.99</v>
      </c>
      <c r="J2480">
        <v>1</v>
      </c>
      <c r="K2480" s="2">
        <f t="shared" si="76"/>
        <v>8.99</v>
      </c>
      <c r="L2480" t="s">
        <v>43</v>
      </c>
      <c r="M2480">
        <v>3</v>
      </c>
      <c r="N2480">
        <v>0.01</v>
      </c>
      <c r="O2480" t="str">
        <f t="shared" si="77"/>
        <v>0–0.2 hours</v>
      </c>
      <c r="P2480" t="s">
        <v>20</v>
      </c>
    </row>
    <row r="2481" spans="1:16" x14ac:dyDescent="0.4">
      <c r="A2481" t="s">
        <v>2522</v>
      </c>
      <c r="B2481">
        <v>62</v>
      </c>
      <c r="C2481" t="s">
        <v>41</v>
      </c>
      <c r="D2481" t="s">
        <v>22</v>
      </c>
      <c r="E2481">
        <v>9.15</v>
      </c>
      <c r="F2481">
        <v>55</v>
      </c>
      <c r="G2481" t="s">
        <v>70</v>
      </c>
      <c r="H2481" t="s">
        <v>57</v>
      </c>
      <c r="I2481" s="2">
        <v>13.99</v>
      </c>
      <c r="J2481">
        <v>1</v>
      </c>
      <c r="K2481" s="2">
        <f t="shared" si="76"/>
        <v>13.99</v>
      </c>
      <c r="L2481" t="s">
        <v>19</v>
      </c>
      <c r="M2481">
        <v>5</v>
      </c>
      <c r="N2481">
        <v>0.16</v>
      </c>
      <c r="O2481" t="str">
        <f t="shared" si="77"/>
        <v>0–0.2 hours</v>
      </c>
      <c r="P2481" t="s">
        <v>25</v>
      </c>
    </row>
    <row r="2482" spans="1:16" x14ac:dyDescent="0.4">
      <c r="A2482" t="s">
        <v>2523</v>
      </c>
      <c r="B2482">
        <v>63</v>
      </c>
      <c r="C2482" t="s">
        <v>27</v>
      </c>
      <c r="D2482" t="s">
        <v>22</v>
      </c>
      <c r="E2482">
        <v>3.86</v>
      </c>
      <c r="F2482">
        <v>14</v>
      </c>
      <c r="G2482" t="s">
        <v>23</v>
      </c>
      <c r="H2482" t="s">
        <v>24</v>
      </c>
      <c r="I2482" s="2">
        <v>13.99</v>
      </c>
      <c r="J2482">
        <v>1</v>
      </c>
      <c r="K2482" s="2">
        <f t="shared" si="76"/>
        <v>13.99</v>
      </c>
      <c r="L2482" t="s">
        <v>29</v>
      </c>
      <c r="M2482">
        <v>5</v>
      </c>
      <c r="N2482">
        <v>0.26</v>
      </c>
      <c r="O2482" t="str">
        <f t="shared" si="77"/>
        <v>0.2–0.4 hours</v>
      </c>
      <c r="P2482" t="s">
        <v>52</v>
      </c>
    </row>
    <row r="2483" spans="1:16" x14ac:dyDescent="0.4">
      <c r="A2483" t="s">
        <v>2524</v>
      </c>
      <c r="B2483">
        <v>33</v>
      </c>
      <c r="C2483" t="s">
        <v>27</v>
      </c>
      <c r="D2483" t="s">
        <v>22</v>
      </c>
      <c r="E2483">
        <v>6.82</v>
      </c>
      <c r="F2483">
        <v>17</v>
      </c>
      <c r="G2483" t="s">
        <v>17</v>
      </c>
      <c r="H2483" t="s">
        <v>57</v>
      </c>
      <c r="I2483" s="2">
        <v>13.99</v>
      </c>
      <c r="J2483">
        <v>0</v>
      </c>
      <c r="K2483" s="2">
        <f t="shared" si="76"/>
        <v>0</v>
      </c>
      <c r="L2483" t="s">
        <v>43</v>
      </c>
      <c r="M2483">
        <v>3</v>
      </c>
      <c r="N2483">
        <v>0.38</v>
      </c>
      <c r="O2483" t="str">
        <f t="shared" si="77"/>
        <v>0.2–0.4 hours</v>
      </c>
      <c r="P2483" t="s">
        <v>25</v>
      </c>
    </row>
    <row r="2484" spans="1:16" x14ac:dyDescent="0.4">
      <c r="A2484" t="s">
        <v>2525</v>
      </c>
      <c r="B2484">
        <v>18</v>
      </c>
      <c r="C2484" t="s">
        <v>27</v>
      </c>
      <c r="D2484" t="s">
        <v>32</v>
      </c>
      <c r="E2484">
        <v>11.82</v>
      </c>
      <c r="F2484">
        <v>59</v>
      </c>
      <c r="G2484" t="s">
        <v>17</v>
      </c>
      <c r="H2484" t="s">
        <v>46</v>
      </c>
      <c r="I2484" s="2">
        <v>17.989999999999998</v>
      </c>
      <c r="J2484">
        <v>1</v>
      </c>
      <c r="K2484" s="2">
        <f t="shared" si="76"/>
        <v>17.989999999999998</v>
      </c>
      <c r="L2484" t="s">
        <v>61</v>
      </c>
      <c r="M2484">
        <v>2</v>
      </c>
      <c r="N2484">
        <v>0.2</v>
      </c>
      <c r="O2484" t="str">
        <f t="shared" si="77"/>
        <v>0–0.2 hours</v>
      </c>
      <c r="P2484" t="s">
        <v>30</v>
      </c>
    </row>
    <row r="2485" spans="1:16" x14ac:dyDescent="0.4">
      <c r="A2485" t="s">
        <v>2526</v>
      </c>
      <c r="B2485">
        <v>68</v>
      </c>
      <c r="C2485" t="s">
        <v>27</v>
      </c>
      <c r="D2485" t="s">
        <v>22</v>
      </c>
      <c r="E2485">
        <v>6.49</v>
      </c>
      <c r="F2485">
        <v>6</v>
      </c>
      <c r="G2485" t="s">
        <v>49</v>
      </c>
      <c r="H2485" t="s">
        <v>55</v>
      </c>
      <c r="I2485" s="2">
        <v>13.99</v>
      </c>
      <c r="J2485">
        <v>0</v>
      </c>
      <c r="K2485" s="2">
        <f t="shared" si="76"/>
        <v>0</v>
      </c>
      <c r="L2485" t="s">
        <v>61</v>
      </c>
      <c r="M2485">
        <v>1</v>
      </c>
      <c r="N2485">
        <v>0.93</v>
      </c>
      <c r="O2485" t="str">
        <f t="shared" si="77"/>
        <v>0.8–1 hour</v>
      </c>
      <c r="P2485" t="s">
        <v>30</v>
      </c>
    </row>
    <row r="2486" spans="1:16" x14ac:dyDescent="0.4">
      <c r="A2486" t="s">
        <v>2527</v>
      </c>
      <c r="B2486">
        <v>20</v>
      </c>
      <c r="C2486" t="s">
        <v>41</v>
      </c>
      <c r="D2486" t="s">
        <v>32</v>
      </c>
      <c r="E2486">
        <v>2.04</v>
      </c>
      <c r="F2486">
        <v>52</v>
      </c>
      <c r="G2486" t="s">
        <v>17</v>
      </c>
      <c r="H2486" t="s">
        <v>46</v>
      </c>
      <c r="I2486" s="2">
        <v>17.989999999999998</v>
      </c>
      <c r="J2486">
        <v>1</v>
      </c>
      <c r="K2486" s="2">
        <f t="shared" si="76"/>
        <v>17.989999999999998</v>
      </c>
      <c r="L2486" t="s">
        <v>37</v>
      </c>
      <c r="M2486">
        <v>5</v>
      </c>
      <c r="N2486">
        <v>0.04</v>
      </c>
      <c r="O2486" t="str">
        <f t="shared" si="77"/>
        <v>0–0.2 hours</v>
      </c>
      <c r="P2486" t="s">
        <v>20</v>
      </c>
    </row>
    <row r="2487" spans="1:16" x14ac:dyDescent="0.4">
      <c r="A2487" t="s">
        <v>2528</v>
      </c>
      <c r="B2487">
        <v>62</v>
      </c>
      <c r="C2487" t="s">
        <v>15</v>
      </c>
      <c r="D2487" t="s">
        <v>16</v>
      </c>
      <c r="E2487">
        <v>18.420000000000002</v>
      </c>
      <c r="F2487">
        <v>45</v>
      </c>
      <c r="G2487" t="s">
        <v>70</v>
      </c>
      <c r="H2487" t="s">
        <v>55</v>
      </c>
      <c r="I2487" s="2">
        <v>8.99</v>
      </c>
      <c r="J2487">
        <v>1</v>
      </c>
      <c r="K2487" s="2">
        <f t="shared" si="76"/>
        <v>8.99</v>
      </c>
      <c r="L2487" t="s">
        <v>37</v>
      </c>
      <c r="M2487">
        <v>3</v>
      </c>
      <c r="N2487">
        <v>0.4</v>
      </c>
      <c r="O2487" t="str">
        <f t="shared" si="77"/>
        <v>0.2–0.4 hours</v>
      </c>
      <c r="P2487" t="s">
        <v>52</v>
      </c>
    </row>
    <row r="2488" spans="1:16" x14ac:dyDescent="0.4">
      <c r="A2488" t="s">
        <v>2529</v>
      </c>
      <c r="B2488">
        <v>24</v>
      </c>
      <c r="C2488" t="s">
        <v>27</v>
      </c>
      <c r="D2488" t="s">
        <v>32</v>
      </c>
      <c r="E2488">
        <v>0.98</v>
      </c>
      <c r="F2488">
        <v>46</v>
      </c>
      <c r="G2488" t="s">
        <v>23</v>
      </c>
      <c r="H2488" t="s">
        <v>46</v>
      </c>
      <c r="I2488" s="2">
        <v>17.989999999999998</v>
      </c>
      <c r="J2488">
        <v>1</v>
      </c>
      <c r="K2488" s="2">
        <f t="shared" si="76"/>
        <v>17.989999999999998</v>
      </c>
      <c r="L2488" t="s">
        <v>37</v>
      </c>
      <c r="M2488">
        <v>4</v>
      </c>
      <c r="N2488">
        <v>0.02</v>
      </c>
      <c r="O2488" t="str">
        <f t="shared" si="77"/>
        <v>0–0.2 hours</v>
      </c>
      <c r="P2488" t="s">
        <v>39</v>
      </c>
    </row>
    <row r="2489" spans="1:16" x14ac:dyDescent="0.4">
      <c r="A2489" t="s">
        <v>2530</v>
      </c>
      <c r="B2489">
        <v>39</v>
      </c>
      <c r="C2489" t="s">
        <v>27</v>
      </c>
      <c r="D2489" t="s">
        <v>32</v>
      </c>
      <c r="E2489">
        <v>17.260000000000002</v>
      </c>
      <c r="F2489">
        <v>21</v>
      </c>
      <c r="G2489" t="s">
        <v>49</v>
      </c>
      <c r="H2489" t="s">
        <v>18</v>
      </c>
      <c r="I2489" s="2">
        <v>17.989999999999998</v>
      </c>
      <c r="J2489">
        <v>0</v>
      </c>
      <c r="K2489" s="2">
        <f t="shared" si="76"/>
        <v>0</v>
      </c>
      <c r="L2489" t="s">
        <v>37</v>
      </c>
      <c r="M2489">
        <v>5</v>
      </c>
      <c r="N2489">
        <v>0.78</v>
      </c>
      <c r="O2489" t="str">
        <f t="shared" si="77"/>
        <v>0.6–0.8 hours</v>
      </c>
      <c r="P2489" t="s">
        <v>52</v>
      </c>
    </row>
    <row r="2490" spans="1:16" x14ac:dyDescent="0.4">
      <c r="A2490" t="s">
        <v>2531</v>
      </c>
      <c r="B2490">
        <v>46</v>
      </c>
      <c r="C2490" t="s">
        <v>15</v>
      </c>
      <c r="D2490" t="s">
        <v>22</v>
      </c>
      <c r="E2490">
        <v>4</v>
      </c>
      <c r="F2490">
        <v>42</v>
      </c>
      <c r="G2490" t="s">
        <v>28</v>
      </c>
      <c r="H2490" t="s">
        <v>46</v>
      </c>
      <c r="I2490" s="2">
        <v>13.99</v>
      </c>
      <c r="J2490">
        <v>1</v>
      </c>
      <c r="K2490" s="2">
        <f t="shared" si="76"/>
        <v>13.99</v>
      </c>
      <c r="L2490" t="s">
        <v>61</v>
      </c>
      <c r="M2490">
        <v>3</v>
      </c>
      <c r="N2490">
        <v>0.09</v>
      </c>
      <c r="O2490" t="str">
        <f t="shared" si="77"/>
        <v>0–0.2 hours</v>
      </c>
      <c r="P2490" t="s">
        <v>47</v>
      </c>
    </row>
    <row r="2491" spans="1:16" x14ac:dyDescent="0.4">
      <c r="A2491" t="s">
        <v>2532</v>
      </c>
      <c r="B2491">
        <v>38</v>
      </c>
      <c r="C2491" t="s">
        <v>27</v>
      </c>
      <c r="D2491" t="s">
        <v>22</v>
      </c>
      <c r="E2491">
        <v>47.25</v>
      </c>
      <c r="F2491">
        <v>12</v>
      </c>
      <c r="G2491" t="s">
        <v>17</v>
      </c>
      <c r="H2491" t="s">
        <v>46</v>
      </c>
      <c r="I2491" s="2">
        <v>13.99</v>
      </c>
      <c r="J2491">
        <v>0</v>
      </c>
      <c r="K2491" s="2">
        <f t="shared" si="76"/>
        <v>0</v>
      </c>
      <c r="L2491" t="s">
        <v>19</v>
      </c>
      <c r="M2491">
        <v>1</v>
      </c>
      <c r="N2491">
        <v>3.63</v>
      </c>
      <c r="O2491" t="str">
        <f t="shared" si="77"/>
        <v>1+ hours</v>
      </c>
      <c r="P2491" t="s">
        <v>52</v>
      </c>
    </row>
    <row r="2492" spans="1:16" x14ac:dyDescent="0.4">
      <c r="A2492" t="s">
        <v>2533</v>
      </c>
      <c r="B2492">
        <v>30</v>
      </c>
      <c r="C2492" t="s">
        <v>41</v>
      </c>
      <c r="D2492" t="s">
        <v>32</v>
      </c>
      <c r="E2492">
        <v>2.19</v>
      </c>
      <c r="F2492">
        <v>24</v>
      </c>
      <c r="G2492" t="s">
        <v>28</v>
      </c>
      <c r="H2492" t="s">
        <v>46</v>
      </c>
      <c r="I2492" s="2">
        <v>17.989999999999998</v>
      </c>
      <c r="J2492">
        <v>1</v>
      </c>
      <c r="K2492" s="2">
        <f t="shared" si="76"/>
        <v>17.989999999999998</v>
      </c>
      <c r="L2492" t="s">
        <v>19</v>
      </c>
      <c r="M2492">
        <v>5</v>
      </c>
      <c r="N2492">
        <v>0.09</v>
      </c>
      <c r="O2492" t="str">
        <f t="shared" si="77"/>
        <v>0–0.2 hours</v>
      </c>
      <c r="P2492" t="s">
        <v>39</v>
      </c>
    </row>
    <row r="2493" spans="1:16" x14ac:dyDescent="0.4">
      <c r="A2493" t="s">
        <v>2534</v>
      </c>
      <c r="B2493">
        <v>29</v>
      </c>
      <c r="C2493" t="s">
        <v>15</v>
      </c>
      <c r="D2493" t="s">
        <v>16</v>
      </c>
      <c r="E2493">
        <v>7.83</v>
      </c>
      <c r="F2493">
        <v>39</v>
      </c>
      <c r="G2493" t="s">
        <v>33</v>
      </c>
      <c r="H2493" t="s">
        <v>24</v>
      </c>
      <c r="I2493" s="2">
        <v>8.99</v>
      </c>
      <c r="J2493">
        <v>1</v>
      </c>
      <c r="K2493" s="2">
        <f t="shared" si="76"/>
        <v>8.99</v>
      </c>
      <c r="L2493" t="s">
        <v>43</v>
      </c>
      <c r="M2493">
        <v>1</v>
      </c>
      <c r="N2493">
        <v>0.2</v>
      </c>
      <c r="O2493" t="str">
        <f t="shared" si="77"/>
        <v>0–0.2 hours</v>
      </c>
      <c r="P2493" t="s">
        <v>39</v>
      </c>
    </row>
    <row r="2494" spans="1:16" x14ac:dyDescent="0.4">
      <c r="A2494" t="s">
        <v>2535</v>
      </c>
      <c r="B2494">
        <v>66</v>
      </c>
      <c r="C2494" t="s">
        <v>15</v>
      </c>
      <c r="D2494" t="s">
        <v>32</v>
      </c>
      <c r="E2494">
        <v>8.07</v>
      </c>
      <c r="F2494">
        <v>20</v>
      </c>
      <c r="G2494" t="s">
        <v>17</v>
      </c>
      <c r="H2494" t="s">
        <v>55</v>
      </c>
      <c r="I2494" s="2">
        <v>17.989999999999998</v>
      </c>
      <c r="J2494">
        <v>0</v>
      </c>
      <c r="K2494" s="2">
        <f t="shared" si="76"/>
        <v>0</v>
      </c>
      <c r="L2494" t="s">
        <v>19</v>
      </c>
      <c r="M2494">
        <v>5</v>
      </c>
      <c r="N2494">
        <v>0.38</v>
      </c>
      <c r="O2494" t="str">
        <f t="shared" si="77"/>
        <v>0.2–0.4 hours</v>
      </c>
      <c r="P2494" t="s">
        <v>39</v>
      </c>
    </row>
    <row r="2495" spans="1:16" x14ac:dyDescent="0.4">
      <c r="A2495" t="s">
        <v>2536</v>
      </c>
      <c r="B2495">
        <v>54</v>
      </c>
      <c r="C2495" t="s">
        <v>27</v>
      </c>
      <c r="D2495" t="s">
        <v>22</v>
      </c>
      <c r="E2495">
        <v>9.9700000000000006</v>
      </c>
      <c r="F2495">
        <v>2</v>
      </c>
      <c r="G2495" t="s">
        <v>28</v>
      </c>
      <c r="H2495" t="s">
        <v>57</v>
      </c>
      <c r="I2495" s="2">
        <v>13.99</v>
      </c>
      <c r="J2495">
        <v>0</v>
      </c>
      <c r="K2495" s="2">
        <f t="shared" si="76"/>
        <v>0</v>
      </c>
      <c r="L2495" t="s">
        <v>37</v>
      </c>
      <c r="M2495">
        <v>2</v>
      </c>
      <c r="N2495">
        <v>3.32</v>
      </c>
      <c r="O2495" t="str">
        <f t="shared" si="77"/>
        <v>1+ hours</v>
      </c>
      <c r="P2495" t="s">
        <v>39</v>
      </c>
    </row>
    <row r="2496" spans="1:16" x14ac:dyDescent="0.4">
      <c r="A2496" t="s">
        <v>2537</v>
      </c>
      <c r="B2496">
        <v>37</v>
      </c>
      <c r="C2496" t="s">
        <v>41</v>
      </c>
      <c r="D2496" t="s">
        <v>22</v>
      </c>
      <c r="E2496">
        <v>5.47</v>
      </c>
      <c r="F2496">
        <v>39</v>
      </c>
      <c r="G2496" t="s">
        <v>28</v>
      </c>
      <c r="H2496" t="s">
        <v>18</v>
      </c>
      <c r="I2496" s="2">
        <v>13.99</v>
      </c>
      <c r="J2496">
        <v>1</v>
      </c>
      <c r="K2496" s="2">
        <f t="shared" si="76"/>
        <v>13.99</v>
      </c>
      <c r="L2496" t="s">
        <v>19</v>
      </c>
      <c r="M2496">
        <v>2</v>
      </c>
      <c r="N2496">
        <v>0.14000000000000001</v>
      </c>
      <c r="O2496" t="str">
        <f t="shared" si="77"/>
        <v>0–0.2 hours</v>
      </c>
      <c r="P2496" t="s">
        <v>34</v>
      </c>
    </row>
    <row r="2497" spans="1:16" x14ac:dyDescent="0.4">
      <c r="A2497" t="s">
        <v>2538</v>
      </c>
      <c r="B2497">
        <v>41</v>
      </c>
      <c r="C2497" t="s">
        <v>15</v>
      </c>
      <c r="D2497" t="s">
        <v>32</v>
      </c>
      <c r="E2497">
        <v>0.87</v>
      </c>
      <c r="F2497">
        <v>33</v>
      </c>
      <c r="G2497" t="s">
        <v>49</v>
      </c>
      <c r="H2497" t="s">
        <v>57</v>
      </c>
      <c r="I2497" s="2">
        <v>17.989999999999998</v>
      </c>
      <c r="J2497">
        <v>1</v>
      </c>
      <c r="K2497" s="2">
        <f t="shared" si="76"/>
        <v>17.989999999999998</v>
      </c>
      <c r="L2497" t="s">
        <v>43</v>
      </c>
      <c r="M2497">
        <v>4</v>
      </c>
      <c r="N2497">
        <v>0.03</v>
      </c>
      <c r="O2497" t="str">
        <f t="shared" si="77"/>
        <v>0–0.2 hours</v>
      </c>
      <c r="P2497" t="s">
        <v>52</v>
      </c>
    </row>
    <row r="2498" spans="1:16" x14ac:dyDescent="0.4">
      <c r="A2498" t="s">
        <v>2539</v>
      </c>
      <c r="B2498">
        <v>47</v>
      </c>
      <c r="C2498" t="s">
        <v>41</v>
      </c>
      <c r="D2498" t="s">
        <v>22</v>
      </c>
      <c r="E2498">
        <v>13.37</v>
      </c>
      <c r="F2498">
        <v>46</v>
      </c>
      <c r="G2498" t="s">
        <v>28</v>
      </c>
      <c r="H2498" t="s">
        <v>24</v>
      </c>
      <c r="I2498" s="2">
        <v>13.99</v>
      </c>
      <c r="J2498">
        <v>1</v>
      </c>
      <c r="K2498" s="2">
        <f t="shared" si="76"/>
        <v>13.99</v>
      </c>
      <c r="L2498" t="s">
        <v>29</v>
      </c>
      <c r="M2498">
        <v>3</v>
      </c>
      <c r="N2498">
        <v>0.28000000000000003</v>
      </c>
      <c r="O2498" t="str">
        <f t="shared" si="77"/>
        <v>0.2–0.4 hours</v>
      </c>
      <c r="P2498" t="s">
        <v>25</v>
      </c>
    </row>
    <row r="2499" spans="1:16" x14ac:dyDescent="0.4">
      <c r="A2499" t="s">
        <v>2540</v>
      </c>
      <c r="B2499">
        <v>41</v>
      </c>
      <c r="C2499" t="s">
        <v>27</v>
      </c>
      <c r="D2499" t="s">
        <v>32</v>
      </c>
      <c r="E2499">
        <v>0.43</v>
      </c>
      <c r="F2499">
        <v>60</v>
      </c>
      <c r="G2499" t="s">
        <v>23</v>
      </c>
      <c r="H2499" t="s">
        <v>46</v>
      </c>
      <c r="I2499" s="2">
        <v>17.989999999999998</v>
      </c>
      <c r="J2499">
        <v>1</v>
      </c>
      <c r="K2499" s="2">
        <f t="shared" ref="K2499:K2562" si="78">SUMIF(J2499,1,I2499)</f>
        <v>17.989999999999998</v>
      </c>
      <c r="L2499" t="s">
        <v>37</v>
      </c>
      <c r="M2499">
        <v>3</v>
      </c>
      <c r="N2499">
        <v>0.01</v>
      </c>
      <c r="O2499" t="str">
        <f t="shared" ref="O2499:O2562" si="79">IF(N2499&gt;1,"1+ hours",IF(N2499&lt;=0.2,"0–0.2 hours",IF(N2499&lt;=0.4,"0.2–0.4 hours",IF(N2499&lt;=0.6,"0.4–0.6 hours",IF(N2499&lt;=0.8,"0.6–0.8 hours","0.8–1 hour")))))</f>
        <v>0–0.2 hours</v>
      </c>
      <c r="P2499" t="s">
        <v>20</v>
      </c>
    </row>
    <row r="2500" spans="1:16" x14ac:dyDescent="0.4">
      <c r="A2500" t="s">
        <v>2541</v>
      </c>
      <c r="B2500">
        <v>18</v>
      </c>
      <c r="C2500" t="s">
        <v>15</v>
      </c>
      <c r="D2500" t="s">
        <v>32</v>
      </c>
      <c r="E2500">
        <v>8.3000000000000007</v>
      </c>
      <c r="F2500">
        <v>41</v>
      </c>
      <c r="G2500" t="s">
        <v>33</v>
      </c>
      <c r="H2500" t="s">
        <v>24</v>
      </c>
      <c r="I2500" s="2">
        <v>17.989999999999998</v>
      </c>
      <c r="J2500">
        <v>1</v>
      </c>
      <c r="K2500" s="2">
        <f t="shared" si="78"/>
        <v>17.989999999999998</v>
      </c>
      <c r="L2500" t="s">
        <v>29</v>
      </c>
      <c r="M2500">
        <v>5</v>
      </c>
      <c r="N2500">
        <v>0.2</v>
      </c>
      <c r="O2500" t="str">
        <f t="shared" si="79"/>
        <v>0–0.2 hours</v>
      </c>
      <c r="P2500" t="s">
        <v>39</v>
      </c>
    </row>
    <row r="2501" spans="1:16" x14ac:dyDescent="0.4">
      <c r="A2501" t="s">
        <v>2542</v>
      </c>
      <c r="B2501">
        <v>69</v>
      </c>
      <c r="C2501" t="s">
        <v>27</v>
      </c>
      <c r="D2501" t="s">
        <v>16</v>
      </c>
      <c r="E2501">
        <v>40.159999999999997</v>
      </c>
      <c r="F2501">
        <v>16</v>
      </c>
      <c r="G2501" t="s">
        <v>28</v>
      </c>
      <c r="H2501" t="s">
        <v>18</v>
      </c>
      <c r="I2501" s="2">
        <v>8.99</v>
      </c>
      <c r="J2501">
        <v>0</v>
      </c>
      <c r="K2501" s="2">
        <f t="shared" si="78"/>
        <v>0</v>
      </c>
      <c r="L2501" t="s">
        <v>37</v>
      </c>
      <c r="M2501">
        <v>4</v>
      </c>
      <c r="N2501">
        <v>2.36</v>
      </c>
      <c r="O2501" t="str">
        <f t="shared" si="79"/>
        <v>1+ hours</v>
      </c>
      <c r="P2501" t="s">
        <v>30</v>
      </c>
    </row>
    <row r="2502" spans="1:16" x14ac:dyDescent="0.4">
      <c r="A2502" t="s">
        <v>2543</v>
      </c>
      <c r="B2502">
        <v>58</v>
      </c>
      <c r="C2502" t="s">
        <v>27</v>
      </c>
      <c r="D2502" t="s">
        <v>32</v>
      </c>
      <c r="E2502">
        <v>0.45</v>
      </c>
      <c r="F2502">
        <v>7</v>
      </c>
      <c r="G2502" t="s">
        <v>33</v>
      </c>
      <c r="H2502" t="s">
        <v>18</v>
      </c>
      <c r="I2502" s="2">
        <v>17.989999999999998</v>
      </c>
      <c r="J2502">
        <v>1</v>
      </c>
      <c r="K2502" s="2">
        <f t="shared" si="78"/>
        <v>17.989999999999998</v>
      </c>
      <c r="L2502" t="s">
        <v>29</v>
      </c>
      <c r="M2502">
        <v>1</v>
      </c>
      <c r="N2502">
        <v>0.06</v>
      </c>
      <c r="O2502" t="str">
        <f t="shared" si="79"/>
        <v>0–0.2 hours</v>
      </c>
      <c r="P2502" t="s">
        <v>25</v>
      </c>
    </row>
    <row r="2503" spans="1:16" x14ac:dyDescent="0.4">
      <c r="A2503" t="s">
        <v>2544</v>
      </c>
      <c r="B2503">
        <v>65</v>
      </c>
      <c r="C2503" t="s">
        <v>27</v>
      </c>
      <c r="D2503" t="s">
        <v>22</v>
      </c>
      <c r="E2503">
        <v>45.1</v>
      </c>
      <c r="F2503">
        <v>58</v>
      </c>
      <c r="G2503" t="s">
        <v>17</v>
      </c>
      <c r="H2503" t="s">
        <v>57</v>
      </c>
      <c r="I2503" s="2">
        <v>13.99</v>
      </c>
      <c r="J2503">
        <v>0</v>
      </c>
      <c r="K2503" s="2">
        <f t="shared" si="78"/>
        <v>0</v>
      </c>
      <c r="L2503" t="s">
        <v>61</v>
      </c>
      <c r="M2503">
        <v>3</v>
      </c>
      <c r="N2503">
        <v>0.76</v>
      </c>
      <c r="O2503" t="str">
        <f t="shared" si="79"/>
        <v>0.6–0.8 hours</v>
      </c>
      <c r="P2503" t="s">
        <v>39</v>
      </c>
    </row>
    <row r="2504" spans="1:16" x14ac:dyDescent="0.4">
      <c r="A2504" t="s">
        <v>2545</v>
      </c>
      <c r="B2504">
        <v>24</v>
      </c>
      <c r="C2504" t="s">
        <v>15</v>
      </c>
      <c r="D2504" t="s">
        <v>32</v>
      </c>
      <c r="E2504">
        <v>15.55</v>
      </c>
      <c r="F2504">
        <v>30</v>
      </c>
      <c r="G2504" t="s">
        <v>17</v>
      </c>
      <c r="H2504" t="s">
        <v>57</v>
      </c>
      <c r="I2504" s="2">
        <v>17.989999999999998</v>
      </c>
      <c r="J2504">
        <v>0</v>
      </c>
      <c r="K2504" s="2">
        <f t="shared" si="78"/>
        <v>0</v>
      </c>
      <c r="L2504" t="s">
        <v>19</v>
      </c>
      <c r="M2504">
        <v>1</v>
      </c>
      <c r="N2504">
        <v>0.5</v>
      </c>
      <c r="O2504" t="str">
        <f t="shared" si="79"/>
        <v>0.4–0.6 hours</v>
      </c>
      <c r="P2504" t="s">
        <v>34</v>
      </c>
    </row>
    <row r="2505" spans="1:16" x14ac:dyDescent="0.4">
      <c r="A2505" t="s">
        <v>2546</v>
      </c>
      <c r="B2505">
        <v>65</v>
      </c>
      <c r="C2505" t="s">
        <v>15</v>
      </c>
      <c r="D2505" t="s">
        <v>22</v>
      </c>
      <c r="E2505">
        <v>1.64</v>
      </c>
      <c r="F2505">
        <v>15</v>
      </c>
      <c r="G2505" t="s">
        <v>49</v>
      </c>
      <c r="H2505" t="s">
        <v>57</v>
      </c>
      <c r="I2505" s="2">
        <v>13.99</v>
      </c>
      <c r="J2505">
        <v>1</v>
      </c>
      <c r="K2505" s="2">
        <f t="shared" si="78"/>
        <v>13.99</v>
      </c>
      <c r="L2505" t="s">
        <v>29</v>
      </c>
      <c r="M2505">
        <v>2</v>
      </c>
      <c r="N2505">
        <v>0.1</v>
      </c>
      <c r="O2505" t="str">
        <f t="shared" si="79"/>
        <v>0–0.2 hours</v>
      </c>
      <c r="P2505" t="s">
        <v>34</v>
      </c>
    </row>
    <row r="2506" spans="1:16" x14ac:dyDescent="0.4">
      <c r="A2506" t="s">
        <v>2547</v>
      </c>
      <c r="B2506">
        <v>27</v>
      </c>
      <c r="C2506" t="s">
        <v>15</v>
      </c>
      <c r="D2506" t="s">
        <v>32</v>
      </c>
      <c r="E2506">
        <v>2.2999999999999998</v>
      </c>
      <c r="F2506">
        <v>1</v>
      </c>
      <c r="G2506" t="s">
        <v>23</v>
      </c>
      <c r="H2506" t="s">
        <v>24</v>
      </c>
      <c r="I2506" s="2">
        <v>17.989999999999998</v>
      </c>
      <c r="J2506">
        <v>0</v>
      </c>
      <c r="K2506" s="2">
        <f t="shared" si="78"/>
        <v>0</v>
      </c>
      <c r="L2506" t="s">
        <v>61</v>
      </c>
      <c r="M2506">
        <v>5</v>
      </c>
      <c r="N2506">
        <v>1.1499999999999999</v>
      </c>
      <c r="O2506" t="str">
        <f t="shared" si="79"/>
        <v>1+ hours</v>
      </c>
      <c r="P2506" t="s">
        <v>39</v>
      </c>
    </row>
    <row r="2507" spans="1:16" x14ac:dyDescent="0.4">
      <c r="A2507" t="s">
        <v>2548</v>
      </c>
      <c r="B2507">
        <v>53</v>
      </c>
      <c r="C2507" t="s">
        <v>27</v>
      </c>
      <c r="D2507" t="s">
        <v>22</v>
      </c>
      <c r="E2507">
        <v>0.89</v>
      </c>
      <c r="F2507">
        <v>42</v>
      </c>
      <c r="G2507" t="s">
        <v>23</v>
      </c>
      <c r="H2507" t="s">
        <v>18</v>
      </c>
      <c r="I2507" s="2">
        <v>13.99</v>
      </c>
      <c r="J2507">
        <v>1</v>
      </c>
      <c r="K2507" s="2">
        <f t="shared" si="78"/>
        <v>13.99</v>
      </c>
      <c r="L2507" t="s">
        <v>61</v>
      </c>
      <c r="M2507">
        <v>3</v>
      </c>
      <c r="N2507">
        <v>0.02</v>
      </c>
      <c r="O2507" t="str">
        <f t="shared" si="79"/>
        <v>0–0.2 hours</v>
      </c>
      <c r="P2507" t="s">
        <v>39</v>
      </c>
    </row>
    <row r="2508" spans="1:16" x14ac:dyDescent="0.4">
      <c r="A2508" t="s">
        <v>2549</v>
      </c>
      <c r="B2508">
        <v>22</v>
      </c>
      <c r="C2508" t="s">
        <v>27</v>
      </c>
      <c r="D2508" t="s">
        <v>32</v>
      </c>
      <c r="E2508">
        <v>26.78</v>
      </c>
      <c r="F2508">
        <v>38</v>
      </c>
      <c r="G2508" t="s">
        <v>23</v>
      </c>
      <c r="H2508" t="s">
        <v>55</v>
      </c>
      <c r="I2508" s="2">
        <v>17.989999999999998</v>
      </c>
      <c r="J2508">
        <v>0</v>
      </c>
      <c r="K2508" s="2">
        <f t="shared" si="78"/>
        <v>0</v>
      </c>
      <c r="L2508" t="s">
        <v>43</v>
      </c>
      <c r="M2508">
        <v>4</v>
      </c>
      <c r="N2508">
        <v>0.69</v>
      </c>
      <c r="O2508" t="str">
        <f t="shared" si="79"/>
        <v>0.6–0.8 hours</v>
      </c>
      <c r="P2508" t="s">
        <v>47</v>
      </c>
    </row>
    <row r="2509" spans="1:16" x14ac:dyDescent="0.4">
      <c r="A2509" t="s">
        <v>2550</v>
      </c>
      <c r="B2509">
        <v>63</v>
      </c>
      <c r="C2509" t="s">
        <v>27</v>
      </c>
      <c r="D2509" t="s">
        <v>32</v>
      </c>
      <c r="E2509">
        <v>2.81</v>
      </c>
      <c r="F2509">
        <v>0</v>
      </c>
      <c r="G2509" t="s">
        <v>49</v>
      </c>
      <c r="H2509" t="s">
        <v>57</v>
      </c>
      <c r="I2509" s="2">
        <v>17.989999999999998</v>
      </c>
      <c r="J2509">
        <v>0</v>
      </c>
      <c r="K2509" s="2">
        <f t="shared" si="78"/>
        <v>0</v>
      </c>
      <c r="L2509" t="s">
        <v>19</v>
      </c>
      <c r="M2509">
        <v>5</v>
      </c>
      <c r="N2509">
        <v>2.81</v>
      </c>
      <c r="O2509" t="str">
        <f t="shared" si="79"/>
        <v>1+ hours</v>
      </c>
      <c r="P2509" t="s">
        <v>30</v>
      </c>
    </row>
    <row r="2510" spans="1:16" x14ac:dyDescent="0.4">
      <c r="A2510" t="s">
        <v>2551</v>
      </c>
      <c r="B2510">
        <v>29</v>
      </c>
      <c r="C2510" t="s">
        <v>27</v>
      </c>
      <c r="D2510" t="s">
        <v>22</v>
      </c>
      <c r="E2510">
        <v>3.69</v>
      </c>
      <c r="F2510">
        <v>1</v>
      </c>
      <c r="G2510" t="s">
        <v>70</v>
      </c>
      <c r="H2510" t="s">
        <v>57</v>
      </c>
      <c r="I2510" s="2">
        <v>13.99</v>
      </c>
      <c r="J2510">
        <v>0</v>
      </c>
      <c r="K2510" s="2">
        <f t="shared" si="78"/>
        <v>0</v>
      </c>
      <c r="L2510" t="s">
        <v>61</v>
      </c>
      <c r="M2510">
        <v>1</v>
      </c>
      <c r="N2510">
        <v>1.84</v>
      </c>
      <c r="O2510" t="str">
        <f t="shared" si="79"/>
        <v>1+ hours</v>
      </c>
      <c r="P2510" t="s">
        <v>52</v>
      </c>
    </row>
    <row r="2511" spans="1:16" x14ac:dyDescent="0.4">
      <c r="A2511" t="s">
        <v>2552</v>
      </c>
      <c r="B2511">
        <v>62</v>
      </c>
      <c r="C2511" t="s">
        <v>41</v>
      </c>
      <c r="D2511" t="s">
        <v>22</v>
      </c>
      <c r="E2511">
        <v>27.16</v>
      </c>
      <c r="F2511">
        <v>45</v>
      </c>
      <c r="G2511" t="s">
        <v>23</v>
      </c>
      <c r="H2511" t="s">
        <v>55</v>
      </c>
      <c r="I2511" s="2">
        <v>13.99</v>
      </c>
      <c r="J2511">
        <v>0</v>
      </c>
      <c r="K2511" s="2">
        <f t="shared" si="78"/>
        <v>0</v>
      </c>
      <c r="L2511" t="s">
        <v>61</v>
      </c>
      <c r="M2511">
        <v>2</v>
      </c>
      <c r="N2511">
        <v>0.59</v>
      </c>
      <c r="O2511" t="str">
        <f t="shared" si="79"/>
        <v>0.4–0.6 hours</v>
      </c>
      <c r="P2511" t="s">
        <v>47</v>
      </c>
    </row>
    <row r="2512" spans="1:16" x14ac:dyDescent="0.4">
      <c r="A2512" t="s">
        <v>2553</v>
      </c>
      <c r="B2512">
        <v>34</v>
      </c>
      <c r="C2512" t="s">
        <v>41</v>
      </c>
      <c r="D2512" t="s">
        <v>22</v>
      </c>
      <c r="E2512">
        <v>15.02</v>
      </c>
      <c r="F2512">
        <v>13</v>
      </c>
      <c r="G2512" t="s">
        <v>23</v>
      </c>
      <c r="H2512" t="s">
        <v>24</v>
      </c>
      <c r="I2512" s="2">
        <v>13.99</v>
      </c>
      <c r="J2512">
        <v>0</v>
      </c>
      <c r="K2512" s="2">
        <f t="shared" si="78"/>
        <v>0</v>
      </c>
      <c r="L2512" t="s">
        <v>43</v>
      </c>
      <c r="M2512">
        <v>2</v>
      </c>
      <c r="N2512">
        <v>1.07</v>
      </c>
      <c r="O2512" t="str">
        <f t="shared" si="79"/>
        <v>1+ hours</v>
      </c>
      <c r="P2512" t="s">
        <v>39</v>
      </c>
    </row>
    <row r="2513" spans="1:16" x14ac:dyDescent="0.4">
      <c r="A2513" t="s">
        <v>2554</v>
      </c>
      <c r="B2513">
        <v>21</v>
      </c>
      <c r="C2513" t="s">
        <v>15</v>
      </c>
      <c r="D2513" t="s">
        <v>22</v>
      </c>
      <c r="E2513">
        <v>3.18</v>
      </c>
      <c r="F2513">
        <v>41</v>
      </c>
      <c r="G2513" t="s">
        <v>23</v>
      </c>
      <c r="H2513" t="s">
        <v>46</v>
      </c>
      <c r="I2513" s="2">
        <v>13.99</v>
      </c>
      <c r="J2513">
        <v>1</v>
      </c>
      <c r="K2513" s="2">
        <f t="shared" si="78"/>
        <v>13.99</v>
      </c>
      <c r="L2513" t="s">
        <v>43</v>
      </c>
      <c r="M2513">
        <v>1</v>
      </c>
      <c r="N2513">
        <v>0.08</v>
      </c>
      <c r="O2513" t="str">
        <f t="shared" si="79"/>
        <v>0–0.2 hours</v>
      </c>
      <c r="P2513" t="s">
        <v>52</v>
      </c>
    </row>
    <row r="2514" spans="1:16" x14ac:dyDescent="0.4">
      <c r="A2514" t="s">
        <v>2555</v>
      </c>
      <c r="B2514">
        <v>53</v>
      </c>
      <c r="C2514" t="s">
        <v>41</v>
      </c>
      <c r="D2514" t="s">
        <v>16</v>
      </c>
      <c r="E2514">
        <v>79.83</v>
      </c>
      <c r="F2514">
        <v>27</v>
      </c>
      <c r="G2514" t="s">
        <v>33</v>
      </c>
      <c r="H2514" t="s">
        <v>18</v>
      </c>
      <c r="I2514" s="2">
        <v>8.99</v>
      </c>
      <c r="J2514">
        <v>0</v>
      </c>
      <c r="K2514" s="2">
        <f t="shared" si="78"/>
        <v>0</v>
      </c>
      <c r="L2514" t="s">
        <v>19</v>
      </c>
      <c r="M2514">
        <v>3</v>
      </c>
      <c r="N2514">
        <v>2.85</v>
      </c>
      <c r="O2514" t="str">
        <f t="shared" si="79"/>
        <v>1+ hours</v>
      </c>
      <c r="P2514" t="s">
        <v>25</v>
      </c>
    </row>
    <row r="2515" spans="1:16" x14ac:dyDescent="0.4">
      <c r="A2515" t="s">
        <v>2556</v>
      </c>
      <c r="B2515">
        <v>63</v>
      </c>
      <c r="C2515" t="s">
        <v>15</v>
      </c>
      <c r="D2515" t="s">
        <v>22</v>
      </c>
      <c r="E2515">
        <v>3.13</v>
      </c>
      <c r="F2515">
        <v>45</v>
      </c>
      <c r="G2515" t="s">
        <v>70</v>
      </c>
      <c r="H2515" t="s">
        <v>46</v>
      </c>
      <c r="I2515" s="2">
        <v>13.99</v>
      </c>
      <c r="J2515">
        <v>1</v>
      </c>
      <c r="K2515" s="2">
        <f t="shared" si="78"/>
        <v>13.99</v>
      </c>
      <c r="L2515" t="s">
        <v>19</v>
      </c>
      <c r="M2515">
        <v>2</v>
      </c>
      <c r="N2515">
        <v>7.0000000000000007E-2</v>
      </c>
      <c r="O2515" t="str">
        <f t="shared" si="79"/>
        <v>0–0.2 hours</v>
      </c>
      <c r="P2515" t="s">
        <v>25</v>
      </c>
    </row>
    <row r="2516" spans="1:16" x14ac:dyDescent="0.4">
      <c r="A2516" t="s">
        <v>2557</v>
      </c>
      <c r="B2516">
        <v>65</v>
      </c>
      <c r="C2516" t="s">
        <v>41</v>
      </c>
      <c r="D2516" t="s">
        <v>22</v>
      </c>
      <c r="E2516">
        <v>15.33</v>
      </c>
      <c r="F2516">
        <v>17</v>
      </c>
      <c r="G2516" t="s">
        <v>70</v>
      </c>
      <c r="H2516" t="s">
        <v>55</v>
      </c>
      <c r="I2516" s="2">
        <v>13.99</v>
      </c>
      <c r="J2516">
        <v>0</v>
      </c>
      <c r="K2516" s="2">
        <f t="shared" si="78"/>
        <v>0</v>
      </c>
      <c r="L2516" t="s">
        <v>19</v>
      </c>
      <c r="M2516">
        <v>1</v>
      </c>
      <c r="N2516">
        <v>0.85</v>
      </c>
      <c r="O2516" t="str">
        <f t="shared" si="79"/>
        <v>0.8–1 hour</v>
      </c>
      <c r="P2516" t="s">
        <v>25</v>
      </c>
    </row>
    <row r="2517" spans="1:16" x14ac:dyDescent="0.4">
      <c r="A2517" t="s">
        <v>2558</v>
      </c>
      <c r="B2517">
        <v>45</v>
      </c>
      <c r="C2517" t="s">
        <v>41</v>
      </c>
      <c r="D2517" t="s">
        <v>22</v>
      </c>
      <c r="E2517">
        <v>2.69</v>
      </c>
      <c r="F2517">
        <v>8</v>
      </c>
      <c r="G2517" t="s">
        <v>28</v>
      </c>
      <c r="H2517" t="s">
        <v>57</v>
      </c>
      <c r="I2517" s="2">
        <v>13.99</v>
      </c>
      <c r="J2517">
        <v>1</v>
      </c>
      <c r="K2517" s="2">
        <f t="shared" si="78"/>
        <v>13.99</v>
      </c>
      <c r="L2517" t="s">
        <v>29</v>
      </c>
      <c r="M2517">
        <v>3</v>
      </c>
      <c r="N2517">
        <v>0.3</v>
      </c>
      <c r="O2517" t="str">
        <f t="shared" si="79"/>
        <v>0.2–0.4 hours</v>
      </c>
      <c r="P2517" t="s">
        <v>30</v>
      </c>
    </row>
    <row r="2518" spans="1:16" x14ac:dyDescent="0.4">
      <c r="A2518" t="s">
        <v>2559</v>
      </c>
      <c r="B2518">
        <v>53</v>
      </c>
      <c r="C2518" t="s">
        <v>27</v>
      </c>
      <c r="D2518" t="s">
        <v>16</v>
      </c>
      <c r="E2518">
        <v>0.19</v>
      </c>
      <c r="F2518">
        <v>25</v>
      </c>
      <c r="G2518" t="s">
        <v>70</v>
      </c>
      <c r="H2518" t="s">
        <v>46</v>
      </c>
      <c r="I2518" s="2">
        <v>8.99</v>
      </c>
      <c r="J2518">
        <v>1</v>
      </c>
      <c r="K2518" s="2">
        <f t="shared" si="78"/>
        <v>8.99</v>
      </c>
      <c r="L2518" t="s">
        <v>43</v>
      </c>
      <c r="M2518">
        <v>4</v>
      </c>
      <c r="N2518">
        <v>0.01</v>
      </c>
      <c r="O2518" t="str">
        <f t="shared" si="79"/>
        <v>0–0.2 hours</v>
      </c>
      <c r="P2518" t="s">
        <v>39</v>
      </c>
    </row>
    <row r="2519" spans="1:16" x14ac:dyDescent="0.4">
      <c r="A2519" t="s">
        <v>2560</v>
      </c>
      <c r="B2519">
        <v>60</v>
      </c>
      <c r="C2519" t="s">
        <v>41</v>
      </c>
      <c r="D2519" t="s">
        <v>16</v>
      </c>
      <c r="E2519">
        <v>4.37</v>
      </c>
      <c r="F2519">
        <v>59</v>
      </c>
      <c r="G2519" t="s">
        <v>70</v>
      </c>
      <c r="H2519" t="s">
        <v>46</v>
      </c>
      <c r="I2519" s="2">
        <v>8.99</v>
      </c>
      <c r="J2519">
        <v>1</v>
      </c>
      <c r="K2519" s="2">
        <f t="shared" si="78"/>
        <v>8.99</v>
      </c>
      <c r="L2519" t="s">
        <v>29</v>
      </c>
      <c r="M2519">
        <v>2</v>
      </c>
      <c r="N2519">
        <v>7.0000000000000007E-2</v>
      </c>
      <c r="O2519" t="str">
        <f t="shared" si="79"/>
        <v>0–0.2 hours</v>
      </c>
      <c r="P2519" t="s">
        <v>25</v>
      </c>
    </row>
    <row r="2520" spans="1:16" x14ac:dyDescent="0.4">
      <c r="A2520" t="s">
        <v>2561</v>
      </c>
      <c r="B2520">
        <v>35</v>
      </c>
      <c r="C2520" t="s">
        <v>41</v>
      </c>
      <c r="D2520" t="s">
        <v>32</v>
      </c>
      <c r="E2520">
        <v>28.76</v>
      </c>
      <c r="F2520">
        <v>23</v>
      </c>
      <c r="G2520" t="s">
        <v>49</v>
      </c>
      <c r="H2520" t="s">
        <v>57</v>
      </c>
      <c r="I2520" s="2">
        <v>17.989999999999998</v>
      </c>
      <c r="J2520">
        <v>0</v>
      </c>
      <c r="K2520" s="2">
        <f t="shared" si="78"/>
        <v>0</v>
      </c>
      <c r="L2520" t="s">
        <v>19</v>
      </c>
      <c r="M2520">
        <v>1</v>
      </c>
      <c r="N2520">
        <v>1.2</v>
      </c>
      <c r="O2520" t="str">
        <f t="shared" si="79"/>
        <v>1+ hours</v>
      </c>
      <c r="P2520" t="s">
        <v>25</v>
      </c>
    </row>
    <row r="2521" spans="1:16" x14ac:dyDescent="0.4">
      <c r="A2521" t="s">
        <v>2562</v>
      </c>
      <c r="B2521">
        <v>51</v>
      </c>
      <c r="C2521" t="s">
        <v>27</v>
      </c>
      <c r="D2521" t="s">
        <v>22</v>
      </c>
      <c r="E2521">
        <v>1.91</v>
      </c>
      <c r="F2521">
        <v>8</v>
      </c>
      <c r="G2521" t="s">
        <v>23</v>
      </c>
      <c r="H2521" t="s">
        <v>46</v>
      </c>
      <c r="I2521" s="2">
        <v>13.99</v>
      </c>
      <c r="J2521">
        <v>1</v>
      </c>
      <c r="K2521" s="2">
        <f t="shared" si="78"/>
        <v>13.99</v>
      </c>
      <c r="L2521" t="s">
        <v>43</v>
      </c>
      <c r="M2521">
        <v>3</v>
      </c>
      <c r="N2521">
        <v>0.21</v>
      </c>
      <c r="O2521" t="str">
        <f t="shared" si="79"/>
        <v>0.2–0.4 hours</v>
      </c>
      <c r="P2521" t="s">
        <v>47</v>
      </c>
    </row>
    <row r="2522" spans="1:16" x14ac:dyDescent="0.4">
      <c r="A2522" t="s">
        <v>2563</v>
      </c>
      <c r="B2522">
        <v>27</v>
      </c>
      <c r="C2522" t="s">
        <v>27</v>
      </c>
      <c r="D2522" t="s">
        <v>16</v>
      </c>
      <c r="E2522">
        <v>5.3</v>
      </c>
      <c r="F2522">
        <v>1</v>
      </c>
      <c r="G2522" t="s">
        <v>17</v>
      </c>
      <c r="H2522" t="s">
        <v>24</v>
      </c>
      <c r="I2522" s="2">
        <v>8.99</v>
      </c>
      <c r="J2522">
        <v>0</v>
      </c>
      <c r="K2522" s="2">
        <f t="shared" si="78"/>
        <v>0</v>
      </c>
      <c r="L2522" t="s">
        <v>43</v>
      </c>
      <c r="M2522">
        <v>2</v>
      </c>
      <c r="N2522">
        <v>2.65</v>
      </c>
      <c r="O2522" t="str">
        <f t="shared" si="79"/>
        <v>1+ hours</v>
      </c>
      <c r="P2522" t="s">
        <v>52</v>
      </c>
    </row>
    <row r="2523" spans="1:16" x14ac:dyDescent="0.4">
      <c r="A2523" t="s">
        <v>2564</v>
      </c>
      <c r="B2523">
        <v>28</v>
      </c>
      <c r="C2523" t="s">
        <v>15</v>
      </c>
      <c r="D2523" t="s">
        <v>32</v>
      </c>
      <c r="E2523">
        <v>9.9</v>
      </c>
      <c r="F2523">
        <v>19</v>
      </c>
      <c r="G2523" t="s">
        <v>23</v>
      </c>
      <c r="H2523" t="s">
        <v>57</v>
      </c>
      <c r="I2523" s="2">
        <v>17.989999999999998</v>
      </c>
      <c r="J2523">
        <v>0</v>
      </c>
      <c r="K2523" s="2">
        <f t="shared" si="78"/>
        <v>0</v>
      </c>
      <c r="L2523" t="s">
        <v>19</v>
      </c>
      <c r="M2523">
        <v>5</v>
      </c>
      <c r="N2523">
        <v>0.49</v>
      </c>
      <c r="O2523" t="str">
        <f t="shared" si="79"/>
        <v>0.4–0.6 hours</v>
      </c>
      <c r="P2523" t="s">
        <v>25</v>
      </c>
    </row>
    <row r="2524" spans="1:16" x14ac:dyDescent="0.4">
      <c r="A2524" t="s">
        <v>2565</v>
      </c>
      <c r="B2524">
        <v>18</v>
      </c>
      <c r="C2524" t="s">
        <v>27</v>
      </c>
      <c r="D2524" t="s">
        <v>16</v>
      </c>
      <c r="E2524">
        <v>5.64</v>
      </c>
      <c r="F2524">
        <v>44</v>
      </c>
      <c r="G2524" t="s">
        <v>23</v>
      </c>
      <c r="H2524" t="s">
        <v>57</v>
      </c>
      <c r="I2524" s="2">
        <v>8.99</v>
      </c>
      <c r="J2524">
        <v>1</v>
      </c>
      <c r="K2524" s="2">
        <f t="shared" si="78"/>
        <v>8.99</v>
      </c>
      <c r="L2524" t="s">
        <v>19</v>
      </c>
      <c r="M2524">
        <v>4</v>
      </c>
      <c r="N2524">
        <v>0.13</v>
      </c>
      <c r="O2524" t="str">
        <f t="shared" si="79"/>
        <v>0–0.2 hours</v>
      </c>
      <c r="P2524" t="s">
        <v>34</v>
      </c>
    </row>
    <row r="2525" spans="1:16" x14ac:dyDescent="0.4">
      <c r="A2525" t="s">
        <v>2566</v>
      </c>
      <c r="B2525">
        <v>22</v>
      </c>
      <c r="C2525" t="s">
        <v>15</v>
      </c>
      <c r="D2525" t="s">
        <v>16</v>
      </c>
      <c r="E2525">
        <v>7.06</v>
      </c>
      <c r="F2525">
        <v>58</v>
      </c>
      <c r="G2525" t="s">
        <v>28</v>
      </c>
      <c r="H2525" t="s">
        <v>24</v>
      </c>
      <c r="I2525" s="2">
        <v>8.99</v>
      </c>
      <c r="J2525">
        <v>1</v>
      </c>
      <c r="K2525" s="2">
        <f t="shared" si="78"/>
        <v>8.99</v>
      </c>
      <c r="L2525" t="s">
        <v>61</v>
      </c>
      <c r="M2525">
        <v>3</v>
      </c>
      <c r="N2525">
        <v>0.12</v>
      </c>
      <c r="O2525" t="str">
        <f t="shared" si="79"/>
        <v>0–0.2 hours</v>
      </c>
      <c r="P2525" t="s">
        <v>52</v>
      </c>
    </row>
    <row r="2526" spans="1:16" x14ac:dyDescent="0.4">
      <c r="A2526" t="s">
        <v>2567</v>
      </c>
      <c r="B2526">
        <v>61</v>
      </c>
      <c r="C2526" t="s">
        <v>41</v>
      </c>
      <c r="D2526" t="s">
        <v>22</v>
      </c>
      <c r="E2526">
        <v>2.15</v>
      </c>
      <c r="F2526">
        <v>33</v>
      </c>
      <c r="G2526" t="s">
        <v>49</v>
      </c>
      <c r="H2526" t="s">
        <v>24</v>
      </c>
      <c r="I2526" s="2">
        <v>13.99</v>
      </c>
      <c r="J2526">
        <v>1</v>
      </c>
      <c r="K2526" s="2">
        <f t="shared" si="78"/>
        <v>13.99</v>
      </c>
      <c r="L2526" t="s">
        <v>29</v>
      </c>
      <c r="M2526">
        <v>1</v>
      </c>
      <c r="N2526">
        <v>0.06</v>
      </c>
      <c r="O2526" t="str">
        <f t="shared" si="79"/>
        <v>0–0.2 hours</v>
      </c>
      <c r="P2526" t="s">
        <v>25</v>
      </c>
    </row>
    <row r="2527" spans="1:16" x14ac:dyDescent="0.4">
      <c r="A2527" t="s">
        <v>2568</v>
      </c>
      <c r="B2527">
        <v>54</v>
      </c>
      <c r="C2527" t="s">
        <v>15</v>
      </c>
      <c r="D2527" t="s">
        <v>22</v>
      </c>
      <c r="E2527">
        <v>4.6900000000000004</v>
      </c>
      <c r="F2527">
        <v>6</v>
      </c>
      <c r="G2527" t="s">
        <v>49</v>
      </c>
      <c r="H2527" t="s">
        <v>46</v>
      </c>
      <c r="I2527" s="2">
        <v>13.99</v>
      </c>
      <c r="J2527">
        <v>0</v>
      </c>
      <c r="K2527" s="2">
        <f t="shared" si="78"/>
        <v>0</v>
      </c>
      <c r="L2527" t="s">
        <v>19</v>
      </c>
      <c r="M2527">
        <v>5</v>
      </c>
      <c r="N2527">
        <v>0.67</v>
      </c>
      <c r="O2527" t="str">
        <f t="shared" si="79"/>
        <v>0.6–0.8 hours</v>
      </c>
      <c r="P2527" t="s">
        <v>52</v>
      </c>
    </row>
    <row r="2528" spans="1:16" x14ac:dyDescent="0.4">
      <c r="A2528" t="s">
        <v>2569</v>
      </c>
      <c r="B2528">
        <v>52</v>
      </c>
      <c r="C2528" t="s">
        <v>27</v>
      </c>
      <c r="D2528" t="s">
        <v>32</v>
      </c>
      <c r="E2528">
        <v>2.0499999999999998</v>
      </c>
      <c r="F2528">
        <v>24</v>
      </c>
      <c r="G2528" t="s">
        <v>17</v>
      </c>
      <c r="H2528" t="s">
        <v>24</v>
      </c>
      <c r="I2528" s="2">
        <v>17.989999999999998</v>
      </c>
      <c r="J2528">
        <v>1</v>
      </c>
      <c r="K2528" s="2">
        <f t="shared" si="78"/>
        <v>17.989999999999998</v>
      </c>
      <c r="L2528" t="s">
        <v>19</v>
      </c>
      <c r="M2528">
        <v>2</v>
      </c>
      <c r="N2528">
        <v>0.08</v>
      </c>
      <c r="O2528" t="str">
        <f t="shared" si="79"/>
        <v>0–0.2 hours</v>
      </c>
      <c r="P2528" t="s">
        <v>39</v>
      </c>
    </row>
    <row r="2529" spans="1:16" x14ac:dyDescent="0.4">
      <c r="A2529" t="s">
        <v>2570</v>
      </c>
      <c r="B2529">
        <v>24</v>
      </c>
      <c r="C2529" t="s">
        <v>41</v>
      </c>
      <c r="D2529" t="s">
        <v>32</v>
      </c>
      <c r="E2529">
        <v>26.44</v>
      </c>
      <c r="F2529">
        <v>28</v>
      </c>
      <c r="G2529" t="s">
        <v>17</v>
      </c>
      <c r="H2529" t="s">
        <v>24</v>
      </c>
      <c r="I2529" s="2">
        <v>17.989999999999998</v>
      </c>
      <c r="J2529">
        <v>0</v>
      </c>
      <c r="K2529" s="2">
        <f t="shared" si="78"/>
        <v>0</v>
      </c>
      <c r="L2529" t="s">
        <v>19</v>
      </c>
      <c r="M2529">
        <v>1</v>
      </c>
      <c r="N2529">
        <v>0.91</v>
      </c>
      <c r="O2529" t="str">
        <f t="shared" si="79"/>
        <v>0.8–1 hour</v>
      </c>
      <c r="P2529" t="s">
        <v>52</v>
      </c>
    </row>
    <row r="2530" spans="1:16" x14ac:dyDescent="0.4">
      <c r="A2530" s="1" t="s">
        <v>2571</v>
      </c>
      <c r="B2530">
        <v>38</v>
      </c>
      <c r="C2530" t="s">
        <v>15</v>
      </c>
      <c r="D2530" t="s">
        <v>16</v>
      </c>
      <c r="E2530">
        <v>4.26</v>
      </c>
      <c r="F2530">
        <v>42</v>
      </c>
      <c r="G2530" t="s">
        <v>23</v>
      </c>
      <c r="H2530" t="s">
        <v>24</v>
      </c>
      <c r="I2530" s="2">
        <v>8.99</v>
      </c>
      <c r="J2530">
        <v>1</v>
      </c>
      <c r="K2530" s="2">
        <f t="shared" si="78"/>
        <v>8.99</v>
      </c>
      <c r="L2530" t="s">
        <v>19</v>
      </c>
      <c r="M2530">
        <v>5</v>
      </c>
      <c r="N2530">
        <v>0.1</v>
      </c>
      <c r="O2530" t="str">
        <f t="shared" si="79"/>
        <v>0–0.2 hours</v>
      </c>
      <c r="P2530" t="s">
        <v>20</v>
      </c>
    </row>
    <row r="2531" spans="1:16" x14ac:dyDescent="0.4">
      <c r="A2531" t="s">
        <v>2572</v>
      </c>
      <c r="B2531">
        <v>44</v>
      </c>
      <c r="C2531" t="s">
        <v>15</v>
      </c>
      <c r="D2531" t="s">
        <v>22</v>
      </c>
      <c r="E2531">
        <v>6.9</v>
      </c>
      <c r="F2531">
        <v>21</v>
      </c>
      <c r="G2531" t="s">
        <v>23</v>
      </c>
      <c r="H2531" t="s">
        <v>24</v>
      </c>
      <c r="I2531" s="2">
        <v>13.99</v>
      </c>
      <c r="J2531">
        <v>0</v>
      </c>
      <c r="K2531" s="2">
        <f t="shared" si="78"/>
        <v>0</v>
      </c>
      <c r="L2531" t="s">
        <v>19</v>
      </c>
      <c r="M2531">
        <v>4</v>
      </c>
      <c r="N2531">
        <v>0.31</v>
      </c>
      <c r="O2531" t="str">
        <f t="shared" si="79"/>
        <v>0.2–0.4 hours</v>
      </c>
      <c r="P2531" t="s">
        <v>34</v>
      </c>
    </row>
    <row r="2532" spans="1:16" x14ac:dyDescent="0.4">
      <c r="A2532" t="s">
        <v>2573</v>
      </c>
      <c r="B2532">
        <v>64</v>
      </c>
      <c r="C2532" t="s">
        <v>41</v>
      </c>
      <c r="D2532" t="s">
        <v>22</v>
      </c>
      <c r="E2532">
        <v>8.4</v>
      </c>
      <c r="F2532">
        <v>47</v>
      </c>
      <c r="G2532" t="s">
        <v>49</v>
      </c>
      <c r="H2532" t="s">
        <v>18</v>
      </c>
      <c r="I2532" s="2">
        <v>13.99</v>
      </c>
      <c r="J2532">
        <v>1</v>
      </c>
      <c r="K2532" s="2">
        <f t="shared" si="78"/>
        <v>13.99</v>
      </c>
      <c r="L2532" t="s">
        <v>29</v>
      </c>
      <c r="M2532">
        <v>4</v>
      </c>
      <c r="N2532">
        <v>0.18</v>
      </c>
      <c r="O2532" t="str">
        <f t="shared" si="79"/>
        <v>0–0.2 hours</v>
      </c>
      <c r="P2532" t="s">
        <v>52</v>
      </c>
    </row>
    <row r="2533" spans="1:16" x14ac:dyDescent="0.4">
      <c r="A2533" t="s">
        <v>2574</v>
      </c>
      <c r="B2533">
        <v>23</v>
      </c>
      <c r="C2533" t="s">
        <v>27</v>
      </c>
      <c r="D2533" t="s">
        <v>16</v>
      </c>
      <c r="E2533">
        <v>5.22</v>
      </c>
      <c r="F2533">
        <v>12</v>
      </c>
      <c r="G2533" t="s">
        <v>17</v>
      </c>
      <c r="H2533" t="s">
        <v>18</v>
      </c>
      <c r="I2533" s="2">
        <v>8.99</v>
      </c>
      <c r="J2533">
        <v>0</v>
      </c>
      <c r="K2533" s="2">
        <f t="shared" si="78"/>
        <v>0</v>
      </c>
      <c r="L2533" t="s">
        <v>43</v>
      </c>
      <c r="M2533">
        <v>2</v>
      </c>
      <c r="N2533">
        <v>0.4</v>
      </c>
      <c r="O2533" t="str">
        <f t="shared" si="79"/>
        <v>0.2–0.4 hours</v>
      </c>
      <c r="P2533" t="s">
        <v>34</v>
      </c>
    </row>
    <row r="2534" spans="1:16" x14ac:dyDescent="0.4">
      <c r="A2534" t="s">
        <v>2575</v>
      </c>
      <c r="B2534">
        <v>22</v>
      </c>
      <c r="C2534" t="s">
        <v>41</v>
      </c>
      <c r="D2534" t="s">
        <v>32</v>
      </c>
      <c r="E2534">
        <v>23.15</v>
      </c>
      <c r="F2534">
        <v>42</v>
      </c>
      <c r="G2534" t="s">
        <v>49</v>
      </c>
      <c r="H2534" t="s">
        <v>18</v>
      </c>
      <c r="I2534" s="2">
        <v>17.989999999999998</v>
      </c>
      <c r="J2534">
        <v>0</v>
      </c>
      <c r="K2534" s="2">
        <f t="shared" si="78"/>
        <v>0</v>
      </c>
      <c r="L2534" t="s">
        <v>19</v>
      </c>
      <c r="M2534">
        <v>1</v>
      </c>
      <c r="N2534">
        <v>0.54</v>
      </c>
      <c r="O2534" t="str">
        <f t="shared" si="79"/>
        <v>0.4–0.6 hours</v>
      </c>
      <c r="P2534" t="s">
        <v>25</v>
      </c>
    </row>
    <row r="2535" spans="1:16" x14ac:dyDescent="0.4">
      <c r="A2535" t="s">
        <v>2576</v>
      </c>
      <c r="B2535">
        <v>23</v>
      </c>
      <c r="C2535" t="s">
        <v>15</v>
      </c>
      <c r="D2535" t="s">
        <v>16</v>
      </c>
      <c r="E2535">
        <v>11.07</v>
      </c>
      <c r="F2535">
        <v>28</v>
      </c>
      <c r="G2535" t="s">
        <v>49</v>
      </c>
      <c r="H2535" t="s">
        <v>55</v>
      </c>
      <c r="I2535" s="2">
        <v>8.99</v>
      </c>
      <c r="J2535">
        <v>1</v>
      </c>
      <c r="K2535" s="2">
        <f t="shared" si="78"/>
        <v>8.99</v>
      </c>
      <c r="L2535" t="s">
        <v>43</v>
      </c>
      <c r="M2535">
        <v>1</v>
      </c>
      <c r="N2535">
        <v>0.38</v>
      </c>
      <c r="O2535" t="str">
        <f t="shared" si="79"/>
        <v>0.2–0.4 hours</v>
      </c>
      <c r="P2535" t="s">
        <v>25</v>
      </c>
    </row>
    <row r="2536" spans="1:16" x14ac:dyDescent="0.4">
      <c r="A2536" t="s">
        <v>2577</v>
      </c>
      <c r="B2536">
        <v>68</v>
      </c>
      <c r="C2536" t="s">
        <v>27</v>
      </c>
      <c r="D2536" t="s">
        <v>16</v>
      </c>
      <c r="E2536">
        <v>10.14</v>
      </c>
      <c r="F2536">
        <v>9</v>
      </c>
      <c r="G2536" t="s">
        <v>23</v>
      </c>
      <c r="H2536" t="s">
        <v>18</v>
      </c>
      <c r="I2536" s="2">
        <v>8.99</v>
      </c>
      <c r="J2536">
        <v>0</v>
      </c>
      <c r="K2536" s="2">
        <f t="shared" si="78"/>
        <v>0</v>
      </c>
      <c r="L2536" t="s">
        <v>19</v>
      </c>
      <c r="M2536">
        <v>1</v>
      </c>
      <c r="N2536">
        <v>1.01</v>
      </c>
      <c r="O2536" t="str">
        <f t="shared" si="79"/>
        <v>1+ hours</v>
      </c>
      <c r="P2536" t="s">
        <v>25</v>
      </c>
    </row>
    <row r="2537" spans="1:16" x14ac:dyDescent="0.4">
      <c r="A2537" t="s">
        <v>2578</v>
      </c>
      <c r="B2537">
        <v>18</v>
      </c>
      <c r="C2537" t="s">
        <v>15</v>
      </c>
      <c r="D2537" t="s">
        <v>16</v>
      </c>
      <c r="E2537">
        <v>20.149999999999999</v>
      </c>
      <c r="F2537">
        <v>4</v>
      </c>
      <c r="G2537" t="s">
        <v>49</v>
      </c>
      <c r="H2537" t="s">
        <v>18</v>
      </c>
      <c r="I2537" s="2">
        <v>8.99</v>
      </c>
      <c r="J2537">
        <v>0</v>
      </c>
      <c r="K2537" s="2">
        <f t="shared" si="78"/>
        <v>0</v>
      </c>
      <c r="L2537" t="s">
        <v>29</v>
      </c>
      <c r="M2537">
        <v>4</v>
      </c>
      <c r="N2537">
        <v>4.03</v>
      </c>
      <c r="O2537" t="str">
        <f t="shared" si="79"/>
        <v>1+ hours</v>
      </c>
      <c r="P2537" t="s">
        <v>34</v>
      </c>
    </row>
    <row r="2538" spans="1:16" x14ac:dyDescent="0.4">
      <c r="A2538" t="s">
        <v>2579</v>
      </c>
      <c r="B2538">
        <v>36</v>
      </c>
      <c r="C2538" t="s">
        <v>41</v>
      </c>
      <c r="D2538" t="s">
        <v>32</v>
      </c>
      <c r="E2538">
        <v>6.59</v>
      </c>
      <c r="F2538">
        <v>58</v>
      </c>
      <c r="G2538" t="s">
        <v>49</v>
      </c>
      <c r="H2538" t="s">
        <v>24</v>
      </c>
      <c r="I2538" s="2">
        <v>17.989999999999998</v>
      </c>
      <c r="J2538">
        <v>1</v>
      </c>
      <c r="K2538" s="2">
        <f t="shared" si="78"/>
        <v>17.989999999999998</v>
      </c>
      <c r="L2538" t="s">
        <v>19</v>
      </c>
      <c r="M2538">
        <v>5</v>
      </c>
      <c r="N2538">
        <v>0.11</v>
      </c>
      <c r="O2538" t="str">
        <f t="shared" si="79"/>
        <v>0–0.2 hours</v>
      </c>
      <c r="P2538" t="s">
        <v>25</v>
      </c>
    </row>
    <row r="2539" spans="1:16" x14ac:dyDescent="0.4">
      <c r="A2539" t="s">
        <v>2580</v>
      </c>
      <c r="B2539">
        <v>26</v>
      </c>
      <c r="C2539" t="s">
        <v>27</v>
      </c>
      <c r="D2539" t="s">
        <v>16</v>
      </c>
      <c r="E2539">
        <v>2.58</v>
      </c>
      <c r="F2539">
        <v>16</v>
      </c>
      <c r="G2539" t="s">
        <v>28</v>
      </c>
      <c r="H2539" t="s">
        <v>55</v>
      </c>
      <c r="I2539" s="2">
        <v>8.99</v>
      </c>
      <c r="J2539">
        <v>1</v>
      </c>
      <c r="K2539" s="2">
        <f t="shared" si="78"/>
        <v>8.99</v>
      </c>
      <c r="L2539" t="s">
        <v>61</v>
      </c>
      <c r="M2539">
        <v>5</v>
      </c>
      <c r="N2539">
        <v>0.15</v>
      </c>
      <c r="O2539" t="str">
        <f t="shared" si="79"/>
        <v>0–0.2 hours</v>
      </c>
      <c r="P2539" t="s">
        <v>34</v>
      </c>
    </row>
    <row r="2540" spans="1:16" x14ac:dyDescent="0.4">
      <c r="A2540" t="s">
        <v>2581</v>
      </c>
      <c r="B2540">
        <v>33</v>
      </c>
      <c r="C2540" t="s">
        <v>41</v>
      </c>
      <c r="D2540" t="s">
        <v>22</v>
      </c>
      <c r="E2540">
        <v>8.27</v>
      </c>
      <c r="F2540">
        <v>58</v>
      </c>
      <c r="G2540" t="s">
        <v>17</v>
      </c>
      <c r="H2540" t="s">
        <v>24</v>
      </c>
      <c r="I2540" s="2">
        <v>13.99</v>
      </c>
      <c r="J2540">
        <v>1</v>
      </c>
      <c r="K2540" s="2">
        <f t="shared" si="78"/>
        <v>13.99</v>
      </c>
      <c r="L2540" t="s">
        <v>19</v>
      </c>
      <c r="M2540">
        <v>4</v>
      </c>
      <c r="N2540">
        <v>0.14000000000000001</v>
      </c>
      <c r="O2540" t="str">
        <f t="shared" si="79"/>
        <v>0–0.2 hours</v>
      </c>
      <c r="P2540" t="s">
        <v>39</v>
      </c>
    </row>
    <row r="2541" spans="1:16" x14ac:dyDescent="0.4">
      <c r="A2541" t="s">
        <v>2582</v>
      </c>
      <c r="B2541">
        <v>50</v>
      </c>
      <c r="C2541" t="s">
        <v>15</v>
      </c>
      <c r="D2541" t="s">
        <v>22</v>
      </c>
      <c r="E2541">
        <v>6.11</v>
      </c>
      <c r="F2541">
        <v>12</v>
      </c>
      <c r="G2541" t="s">
        <v>17</v>
      </c>
      <c r="H2541" t="s">
        <v>18</v>
      </c>
      <c r="I2541" s="2">
        <v>13.99</v>
      </c>
      <c r="J2541">
        <v>0</v>
      </c>
      <c r="K2541" s="2">
        <f t="shared" si="78"/>
        <v>0</v>
      </c>
      <c r="L2541" t="s">
        <v>37</v>
      </c>
      <c r="M2541">
        <v>2</v>
      </c>
      <c r="N2541">
        <v>0.47</v>
      </c>
      <c r="O2541" t="str">
        <f t="shared" si="79"/>
        <v>0.4–0.6 hours</v>
      </c>
      <c r="P2541" t="s">
        <v>52</v>
      </c>
    </row>
    <row r="2542" spans="1:16" x14ac:dyDescent="0.4">
      <c r="A2542" t="s">
        <v>2583</v>
      </c>
      <c r="B2542">
        <v>34</v>
      </c>
      <c r="C2542" t="s">
        <v>41</v>
      </c>
      <c r="D2542" t="s">
        <v>16</v>
      </c>
      <c r="E2542">
        <v>31.66</v>
      </c>
      <c r="F2542">
        <v>60</v>
      </c>
      <c r="G2542" t="s">
        <v>17</v>
      </c>
      <c r="H2542" t="s">
        <v>18</v>
      </c>
      <c r="I2542" s="2">
        <v>8.99</v>
      </c>
      <c r="J2542">
        <v>0</v>
      </c>
      <c r="K2542" s="2">
        <f t="shared" si="78"/>
        <v>0</v>
      </c>
      <c r="L2542" t="s">
        <v>19</v>
      </c>
      <c r="M2542">
        <v>5</v>
      </c>
      <c r="N2542">
        <v>0.52</v>
      </c>
      <c r="O2542" t="str">
        <f t="shared" si="79"/>
        <v>0.4–0.6 hours</v>
      </c>
      <c r="P2542" t="s">
        <v>25</v>
      </c>
    </row>
    <row r="2543" spans="1:16" x14ac:dyDescent="0.4">
      <c r="A2543" t="s">
        <v>2584</v>
      </c>
      <c r="B2543">
        <v>22</v>
      </c>
      <c r="C2543" t="s">
        <v>15</v>
      </c>
      <c r="D2543" t="s">
        <v>32</v>
      </c>
      <c r="E2543">
        <v>0.76</v>
      </c>
      <c r="F2543">
        <v>52</v>
      </c>
      <c r="G2543" t="s">
        <v>49</v>
      </c>
      <c r="H2543" t="s">
        <v>18</v>
      </c>
      <c r="I2543" s="2">
        <v>17.989999999999998</v>
      </c>
      <c r="J2543">
        <v>1</v>
      </c>
      <c r="K2543" s="2">
        <f t="shared" si="78"/>
        <v>17.989999999999998</v>
      </c>
      <c r="L2543" t="s">
        <v>61</v>
      </c>
      <c r="M2543">
        <v>1</v>
      </c>
      <c r="N2543">
        <v>0.01</v>
      </c>
      <c r="O2543" t="str">
        <f t="shared" si="79"/>
        <v>0–0.2 hours</v>
      </c>
      <c r="P2543" t="s">
        <v>47</v>
      </c>
    </row>
    <row r="2544" spans="1:16" x14ac:dyDescent="0.4">
      <c r="A2544" t="s">
        <v>2585</v>
      </c>
      <c r="B2544">
        <v>61</v>
      </c>
      <c r="C2544" t="s">
        <v>27</v>
      </c>
      <c r="D2544" t="s">
        <v>16</v>
      </c>
      <c r="E2544">
        <v>4.18</v>
      </c>
      <c r="F2544">
        <v>47</v>
      </c>
      <c r="G2544" t="s">
        <v>49</v>
      </c>
      <c r="H2544" t="s">
        <v>46</v>
      </c>
      <c r="I2544" s="2">
        <v>8.99</v>
      </c>
      <c r="J2544">
        <v>1</v>
      </c>
      <c r="K2544" s="2">
        <f t="shared" si="78"/>
        <v>8.99</v>
      </c>
      <c r="L2544" t="s">
        <v>37</v>
      </c>
      <c r="M2544">
        <v>2</v>
      </c>
      <c r="N2544">
        <v>0.09</v>
      </c>
      <c r="O2544" t="str">
        <f t="shared" si="79"/>
        <v>0–0.2 hours</v>
      </c>
      <c r="P2544" t="s">
        <v>30</v>
      </c>
    </row>
    <row r="2545" spans="1:16" x14ac:dyDescent="0.4">
      <c r="A2545" t="s">
        <v>2586</v>
      </c>
      <c r="B2545">
        <v>30</v>
      </c>
      <c r="C2545" t="s">
        <v>27</v>
      </c>
      <c r="D2545" t="s">
        <v>16</v>
      </c>
      <c r="E2545">
        <v>2.56</v>
      </c>
      <c r="F2545">
        <v>32</v>
      </c>
      <c r="G2545" t="s">
        <v>33</v>
      </c>
      <c r="H2545" t="s">
        <v>57</v>
      </c>
      <c r="I2545" s="2">
        <v>8.99</v>
      </c>
      <c r="J2545">
        <v>1</v>
      </c>
      <c r="K2545" s="2">
        <f t="shared" si="78"/>
        <v>8.99</v>
      </c>
      <c r="L2545" t="s">
        <v>29</v>
      </c>
      <c r="M2545">
        <v>1</v>
      </c>
      <c r="N2545">
        <v>0.08</v>
      </c>
      <c r="O2545" t="str">
        <f t="shared" si="79"/>
        <v>0–0.2 hours</v>
      </c>
      <c r="P2545" t="s">
        <v>34</v>
      </c>
    </row>
    <row r="2546" spans="1:16" x14ac:dyDescent="0.4">
      <c r="A2546" t="s">
        <v>2587</v>
      </c>
      <c r="B2546">
        <v>32</v>
      </c>
      <c r="C2546" t="s">
        <v>27</v>
      </c>
      <c r="D2546" t="s">
        <v>16</v>
      </c>
      <c r="E2546">
        <v>17.670000000000002</v>
      </c>
      <c r="F2546">
        <v>14</v>
      </c>
      <c r="G2546" t="s">
        <v>28</v>
      </c>
      <c r="H2546" t="s">
        <v>18</v>
      </c>
      <c r="I2546" s="2">
        <v>8.99</v>
      </c>
      <c r="J2546">
        <v>0</v>
      </c>
      <c r="K2546" s="2">
        <f t="shared" si="78"/>
        <v>0</v>
      </c>
      <c r="L2546" t="s">
        <v>43</v>
      </c>
      <c r="M2546">
        <v>4</v>
      </c>
      <c r="N2546">
        <v>1.18</v>
      </c>
      <c r="O2546" t="str">
        <f t="shared" si="79"/>
        <v>1+ hours</v>
      </c>
      <c r="P2546" t="s">
        <v>39</v>
      </c>
    </row>
    <row r="2547" spans="1:16" x14ac:dyDescent="0.4">
      <c r="A2547" t="s">
        <v>2588</v>
      </c>
      <c r="B2547">
        <v>56</v>
      </c>
      <c r="C2547" t="s">
        <v>27</v>
      </c>
      <c r="D2547" t="s">
        <v>32</v>
      </c>
      <c r="E2547">
        <v>17.25</v>
      </c>
      <c r="F2547">
        <v>52</v>
      </c>
      <c r="G2547" t="s">
        <v>33</v>
      </c>
      <c r="H2547" t="s">
        <v>46</v>
      </c>
      <c r="I2547" s="2">
        <v>17.989999999999998</v>
      </c>
      <c r="J2547">
        <v>0</v>
      </c>
      <c r="K2547" s="2">
        <f t="shared" si="78"/>
        <v>0</v>
      </c>
      <c r="L2547" t="s">
        <v>43</v>
      </c>
      <c r="M2547">
        <v>5</v>
      </c>
      <c r="N2547">
        <v>0.33</v>
      </c>
      <c r="O2547" t="str">
        <f t="shared" si="79"/>
        <v>0.2–0.4 hours</v>
      </c>
      <c r="P2547" t="s">
        <v>25</v>
      </c>
    </row>
    <row r="2548" spans="1:16" x14ac:dyDescent="0.4">
      <c r="A2548" t="s">
        <v>2589</v>
      </c>
      <c r="B2548">
        <v>58</v>
      </c>
      <c r="C2548" t="s">
        <v>41</v>
      </c>
      <c r="D2548" t="s">
        <v>32</v>
      </c>
      <c r="E2548">
        <v>21.56</v>
      </c>
      <c r="F2548">
        <v>39</v>
      </c>
      <c r="G2548" t="s">
        <v>23</v>
      </c>
      <c r="H2548" t="s">
        <v>18</v>
      </c>
      <c r="I2548" s="2">
        <v>17.989999999999998</v>
      </c>
      <c r="J2548">
        <v>0</v>
      </c>
      <c r="K2548" s="2">
        <f t="shared" si="78"/>
        <v>0</v>
      </c>
      <c r="L2548" t="s">
        <v>29</v>
      </c>
      <c r="M2548">
        <v>4</v>
      </c>
      <c r="N2548">
        <v>0.54</v>
      </c>
      <c r="O2548" t="str">
        <f t="shared" si="79"/>
        <v>0.4–0.6 hours</v>
      </c>
      <c r="P2548" t="s">
        <v>30</v>
      </c>
    </row>
    <row r="2549" spans="1:16" x14ac:dyDescent="0.4">
      <c r="A2549" t="s">
        <v>2590</v>
      </c>
      <c r="B2549">
        <v>61</v>
      </c>
      <c r="C2549" t="s">
        <v>15</v>
      </c>
      <c r="D2549" t="s">
        <v>32</v>
      </c>
      <c r="E2549">
        <v>5.87</v>
      </c>
      <c r="F2549">
        <v>8</v>
      </c>
      <c r="G2549" t="s">
        <v>17</v>
      </c>
      <c r="H2549" t="s">
        <v>46</v>
      </c>
      <c r="I2549" s="2">
        <v>17.989999999999998</v>
      </c>
      <c r="J2549">
        <v>0</v>
      </c>
      <c r="K2549" s="2">
        <f t="shared" si="78"/>
        <v>0</v>
      </c>
      <c r="L2549" t="s">
        <v>29</v>
      </c>
      <c r="M2549">
        <v>5</v>
      </c>
      <c r="N2549">
        <v>0.65</v>
      </c>
      <c r="O2549" t="str">
        <f t="shared" si="79"/>
        <v>0.6–0.8 hours</v>
      </c>
      <c r="P2549" t="s">
        <v>34</v>
      </c>
    </row>
    <row r="2550" spans="1:16" x14ac:dyDescent="0.4">
      <c r="A2550" t="s">
        <v>2591</v>
      </c>
      <c r="B2550">
        <v>51</v>
      </c>
      <c r="C2550" t="s">
        <v>15</v>
      </c>
      <c r="D2550" t="s">
        <v>16</v>
      </c>
      <c r="E2550">
        <v>2.42</v>
      </c>
      <c r="F2550">
        <v>9</v>
      </c>
      <c r="G2550" t="s">
        <v>23</v>
      </c>
      <c r="H2550" t="s">
        <v>57</v>
      </c>
      <c r="I2550" s="2">
        <v>8.99</v>
      </c>
      <c r="J2550">
        <v>1</v>
      </c>
      <c r="K2550" s="2">
        <f t="shared" si="78"/>
        <v>8.99</v>
      </c>
      <c r="L2550" t="s">
        <v>29</v>
      </c>
      <c r="M2550">
        <v>5</v>
      </c>
      <c r="N2550">
        <v>0.24</v>
      </c>
      <c r="O2550" t="str">
        <f t="shared" si="79"/>
        <v>0.2–0.4 hours</v>
      </c>
      <c r="P2550" t="s">
        <v>52</v>
      </c>
    </row>
    <row r="2551" spans="1:16" x14ac:dyDescent="0.4">
      <c r="A2551" t="s">
        <v>2592</v>
      </c>
      <c r="B2551">
        <v>24</v>
      </c>
      <c r="C2551" t="s">
        <v>15</v>
      </c>
      <c r="D2551" t="s">
        <v>32</v>
      </c>
      <c r="E2551">
        <v>2.4300000000000002</v>
      </c>
      <c r="F2551">
        <v>32</v>
      </c>
      <c r="G2551" t="s">
        <v>33</v>
      </c>
      <c r="H2551" t="s">
        <v>18</v>
      </c>
      <c r="I2551" s="2">
        <v>17.989999999999998</v>
      </c>
      <c r="J2551">
        <v>1</v>
      </c>
      <c r="K2551" s="2">
        <f t="shared" si="78"/>
        <v>17.989999999999998</v>
      </c>
      <c r="L2551" t="s">
        <v>37</v>
      </c>
      <c r="M2551">
        <v>2</v>
      </c>
      <c r="N2551">
        <v>7.0000000000000007E-2</v>
      </c>
      <c r="O2551" t="str">
        <f t="shared" si="79"/>
        <v>0–0.2 hours</v>
      </c>
      <c r="P2551" t="s">
        <v>52</v>
      </c>
    </row>
    <row r="2552" spans="1:16" x14ac:dyDescent="0.4">
      <c r="A2552" t="s">
        <v>2593</v>
      </c>
      <c r="B2552">
        <v>40</v>
      </c>
      <c r="C2552" t="s">
        <v>41</v>
      </c>
      <c r="D2552" t="s">
        <v>32</v>
      </c>
      <c r="E2552">
        <v>18.059999999999999</v>
      </c>
      <c r="F2552">
        <v>21</v>
      </c>
      <c r="G2552" t="s">
        <v>33</v>
      </c>
      <c r="H2552" t="s">
        <v>55</v>
      </c>
      <c r="I2552" s="2">
        <v>17.989999999999998</v>
      </c>
      <c r="J2552">
        <v>0</v>
      </c>
      <c r="K2552" s="2">
        <f t="shared" si="78"/>
        <v>0</v>
      </c>
      <c r="L2552" t="s">
        <v>19</v>
      </c>
      <c r="M2552">
        <v>1</v>
      </c>
      <c r="N2552">
        <v>0.82</v>
      </c>
      <c r="O2552" t="str">
        <f t="shared" si="79"/>
        <v>0.8–1 hour</v>
      </c>
      <c r="P2552" t="s">
        <v>25</v>
      </c>
    </row>
    <row r="2553" spans="1:16" x14ac:dyDescent="0.4">
      <c r="A2553" t="s">
        <v>2594</v>
      </c>
      <c r="B2553">
        <v>51</v>
      </c>
      <c r="C2553" t="s">
        <v>15</v>
      </c>
      <c r="D2553" t="s">
        <v>32</v>
      </c>
      <c r="E2553">
        <v>7.64</v>
      </c>
      <c r="F2553">
        <v>13</v>
      </c>
      <c r="G2553" t="s">
        <v>17</v>
      </c>
      <c r="H2553" t="s">
        <v>46</v>
      </c>
      <c r="I2553" s="2">
        <v>17.989999999999998</v>
      </c>
      <c r="J2553">
        <v>0</v>
      </c>
      <c r="K2553" s="2">
        <f t="shared" si="78"/>
        <v>0</v>
      </c>
      <c r="L2553" t="s">
        <v>19</v>
      </c>
      <c r="M2553">
        <v>2</v>
      </c>
      <c r="N2553">
        <v>0.55000000000000004</v>
      </c>
      <c r="O2553" t="str">
        <f t="shared" si="79"/>
        <v>0.4–0.6 hours</v>
      </c>
      <c r="P2553" t="s">
        <v>39</v>
      </c>
    </row>
    <row r="2554" spans="1:16" x14ac:dyDescent="0.4">
      <c r="A2554" t="s">
        <v>2595</v>
      </c>
      <c r="B2554">
        <v>56</v>
      </c>
      <c r="C2554" t="s">
        <v>15</v>
      </c>
      <c r="D2554" t="s">
        <v>32</v>
      </c>
      <c r="E2554">
        <v>1.54</v>
      </c>
      <c r="F2554">
        <v>10</v>
      </c>
      <c r="G2554" t="s">
        <v>17</v>
      </c>
      <c r="H2554" t="s">
        <v>57</v>
      </c>
      <c r="I2554" s="2">
        <v>17.989999999999998</v>
      </c>
      <c r="J2554">
        <v>1</v>
      </c>
      <c r="K2554" s="2">
        <f t="shared" si="78"/>
        <v>17.989999999999998</v>
      </c>
      <c r="L2554" t="s">
        <v>61</v>
      </c>
      <c r="M2554">
        <v>3</v>
      </c>
      <c r="N2554">
        <v>0.14000000000000001</v>
      </c>
      <c r="O2554" t="str">
        <f t="shared" si="79"/>
        <v>0–0.2 hours</v>
      </c>
      <c r="P2554" t="s">
        <v>39</v>
      </c>
    </row>
    <row r="2555" spans="1:16" x14ac:dyDescent="0.4">
      <c r="A2555" t="s">
        <v>2596</v>
      </c>
      <c r="B2555">
        <v>53</v>
      </c>
      <c r="C2555" t="s">
        <v>15</v>
      </c>
      <c r="D2555" t="s">
        <v>32</v>
      </c>
      <c r="E2555">
        <v>21.9</v>
      </c>
      <c r="F2555">
        <v>28</v>
      </c>
      <c r="G2555" t="s">
        <v>17</v>
      </c>
      <c r="H2555" t="s">
        <v>55</v>
      </c>
      <c r="I2555" s="2">
        <v>17.989999999999998</v>
      </c>
      <c r="J2555">
        <v>0</v>
      </c>
      <c r="K2555" s="2">
        <f t="shared" si="78"/>
        <v>0</v>
      </c>
      <c r="L2555" t="s">
        <v>61</v>
      </c>
      <c r="M2555">
        <v>2</v>
      </c>
      <c r="N2555">
        <v>0.76</v>
      </c>
      <c r="O2555" t="str">
        <f t="shared" si="79"/>
        <v>0.6–0.8 hours</v>
      </c>
      <c r="P2555" t="s">
        <v>52</v>
      </c>
    </row>
    <row r="2556" spans="1:16" x14ac:dyDescent="0.4">
      <c r="A2556" s="1" t="s">
        <v>2597</v>
      </c>
      <c r="B2556">
        <v>20</v>
      </c>
      <c r="C2556" t="s">
        <v>15</v>
      </c>
      <c r="D2556" t="s">
        <v>22</v>
      </c>
      <c r="E2556">
        <v>2.13</v>
      </c>
      <c r="F2556">
        <v>8</v>
      </c>
      <c r="G2556" t="s">
        <v>33</v>
      </c>
      <c r="H2556" t="s">
        <v>55</v>
      </c>
      <c r="I2556" s="2">
        <v>13.99</v>
      </c>
      <c r="J2556">
        <v>1</v>
      </c>
      <c r="K2556" s="2">
        <f t="shared" si="78"/>
        <v>13.99</v>
      </c>
      <c r="L2556" t="s">
        <v>19</v>
      </c>
      <c r="M2556">
        <v>3</v>
      </c>
      <c r="N2556">
        <v>0.24</v>
      </c>
      <c r="O2556" t="str">
        <f t="shared" si="79"/>
        <v>0.2–0.4 hours</v>
      </c>
      <c r="P2556" t="s">
        <v>34</v>
      </c>
    </row>
    <row r="2557" spans="1:16" x14ac:dyDescent="0.4">
      <c r="A2557" t="s">
        <v>2598</v>
      </c>
      <c r="B2557">
        <v>43</v>
      </c>
      <c r="C2557" t="s">
        <v>15</v>
      </c>
      <c r="D2557" t="s">
        <v>16</v>
      </c>
      <c r="E2557">
        <v>4.07</v>
      </c>
      <c r="F2557">
        <v>19</v>
      </c>
      <c r="G2557" t="s">
        <v>28</v>
      </c>
      <c r="H2557" t="s">
        <v>55</v>
      </c>
      <c r="I2557" s="2">
        <v>8.99</v>
      </c>
      <c r="J2557">
        <v>1</v>
      </c>
      <c r="K2557" s="2">
        <f t="shared" si="78"/>
        <v>8.99</v>
      </c>
      <c r="L2557" t="s">
        <v>37</v>
      </c>
      <c r="M2557">
        <v>3</v>
      </c>
      <c r="N2557">
        <v>0.2</v>
      </c>
      <c r="O2557" t="str">
        <f t="shared" si="79"/>
        <v>0–0.2 hours</v>
      </c>
      <c r="P2557" t="s">
        <v>34</v>
      </c>
    </row>
    <row r="2558" spans="1:16" x14ac:dyDescent="0.4">
      <c r="A2558" t="s">
        <v>2599</v>
      </c>
      <c r="B2558">
        <v>64</v>
      </c>
      <c r="C2558" t="s">
        <v>27</v>
      </c>
      <c r="D2558" t="s">
        <v>16</v>
      </c>
      <c r="E2558">
        <v>0.65</v>
      </c>
      <c r="F2558">
        <v>43</v>
      </c>
      <c r="G2558" t="s">
        <v>28</v>
      </c>
      <c r="H2558" t="s">
        <v>46</v>
      </c>
      <c r="I2558" s="2">
        <v>8.99</v>
      </c>
      <c r="J2558">
        <v>1</v>
      </c>
      <c r="K2558" s="2">
        <f t="shared" si="78"/>
        <v>8.99</v>
      </c>
      <c r="L2558" t="s">
        <v>43</v>
      </c>
      <c r="M2558">
        <v>3</v>
      </c>
      <c r="N2558">
        <v>0.01</v>
      </c>
      <c r="O2558" t="str">
        <f t="shared" si="79"/>
        <v>0–0.2 hours</v>
      </c>
      <c r="P2558" t="s">
        <v>30</v>
      </c>
    </row>
    <row r="2559" spans="1:16" x14ac:dyDescent="0.4">
      <c r="A2559" t="s">
        <v>2600</v>
      </c>
      <c r="B2559">
        <v>40</v>
      </c>
      <c r="C2559" t="s">
        <v>27</v>
      </c>
      <c r="D2559" t="s">
        <v>32</v>
      </c>
      <c r="E2559">
        <v>6.11</v>
      </c>
      <c r="F2559">
        <v>28</v>
      </c>
      <c r="G2559" t="s">
        <v>70</v>
      </c>
      <c r="H2559" t="s">
        <v>55</v>
      </c>
      <c r="I2559" s="2">
        <v>17.989999999999998</v>
      </c>
      <c r="J2559">
        <v>0</v>
      </c>
      <c r="K2559" s="2">
        <f t="shared" si="78"/>
        <v>0</v>
      </c>
      <c r="L2559" t="s">
        <v>61</v>
      </c>
      <c r="M2559">
        <v>1</v>
      </c>
      <c r="N2559">
        <v>0.21</v>
      </c>
      <c r="O2559" t="str">
        <f t="shared" si="79"/>
        <v>0.2–0.4 hours</v>
      </c>
      <c r="P2559" t="s">
        <v>39</v>
      </c>
    </row>
    <row r="2560" spans="1:16" x14ac:dyDescent="0.4">
      <c r="A2560" t="s">
        <v>2601</v>
      </c>
      <c r="B2560">
        <v>29</v>
      </c>
      <c r="C2560" t="s">
        <v>27</v>
      </c>
      <c r="D2560" t="s">
        <v>32</v>
      </c>
      <c r="E2560">
        <v>4.53</v>
      </c>
      <c r="F2560">
        <v>15</v>
      </c>
      <c r="G2560" t="s">
        <v>70</v>
      </c>
      <c r="H2560" t="s">
        <v>24</v>
      </c>
      <c r="I2560" s="2">
        <v>17.989999999999998</v>
      </c>
      <c r="J2560">
        <v>0</v>
      </c>
      <c r="K2560" s="2">
        <f t="shared" si="78"/>
        <v>0</v>
      </c>
      <c r="L2560" t="s">
        <v>61</v>
      </c>
      <c r="M2560">
        <v>4</v>
      </c>
      <c r="N2560">
        <v>0.28000000000000003</v>
      </c>
      <c r="O2560" t="str">
        <f t="shared" si="79"/>
        <v>0.2–0.4 hours</v>
      </c>
      <c r="P2560" t="s">
        <v>34</v>
      </c>
    </row>
    <row r="2561" spans="1:16" x14ac:dyDescent="0.4">
      <c r="A2561" t="s">
        <v>2602</v>
      </c>
      <c r="B2561">
        <v>47</v>
      </c>
      <c r="C2561" t="s">
        <v>15</v>
      </c>
      <c r="D2561" t="s">
        <v>32</v>
      </c>
      <c r="E2561">
        <v>15.18</v>
      </c>
      <c r="F2561">
        <v>30</v>
      </c>
      <c r="G2561" t="s">
        <v>28</v>
      </c>
      <c r="H2561" t="s">
        <v>55</v>
      </c>
      <c r="I2561" s="2">
        <v>17.989999999999998</v>
      </c>
      <c r="J2561">
        <v>0</v>
      </c>
      <c r="K2561" s="2">
        <f t="shared" si="78"/>
        <v>0</v>
      </c>
      <c r="L2561" t="s">
        <v>29</v>
      </c>
      <c r="M2561">
        <v>4</v>
      </c>
      <c r="N2561">
        <v>0.49</v>
      </c>
      <c r="O2561" t="str">
        <f t="shared" si="79"/>
        <v>0.4–0.6 hours</v>
      </c>
      <c r="P2561" t="s">
        <v>34</v>
      </c>
    </row>
    <row r="2562" spans="1:16" x14ac:dyDescent="0.4">
      <c r="A2562" t="s">
        <v>2603</v>
      </c>
      <c r="B2562">
        <v>51</v>
      </c>
      <c r="C2562" t="s">
        <v>27</v>
      </c>
      <c r="D2562" t="s">
        <v>16</v>
      </c>
      <c r="E2562">
        <v>13.92</v>
      </c>
      <c r="F2562">
        <v>29</v>
      </c>
      <c r="G2562" t="s">
        <v>49</v>
      </c>
      <c r="H2562" t="s">
        <v>55</v>
      </c>
      <c r="I2562" s="2">
        <v>8.99</v>
      </c>
      <c r="J2562">
        <v>1</v>
      </c>
      <c r="K2562" s="2">
        <f t="shared" si="78"/>
        <v>8.99</v>
      </c>
      <c r="L2562" t="s">
        <v>19</v>
      </c>
      <c r="M2562">
        <v>1</v>
      </c>
      <c r="N2562">
        <v>0.46</v>
      </c>
      <c r="O2562" t="str">
        <f t="shared" si="79"/>
        <v>0.4–0.6 hours</v>
      </c>
      <c r="P2562" t="s">
        <v>30</v>
      </c>
    </row>
    <row r="2563" spans="1:16" x14ac:dyDescent="0.4">
      <c r="A2563" t="s">
        <v>2604</v>
      </c>
      <c r="B2563">
        <v>25</v>
      </c>
      <c r="C2563" t="s">
        <v>41</v>
      </c>
      <c r="D2563" t="s">
        <v>32</v>
      </c>
      <c r="E2563">
        <v>5.62</v>
      </c>
      <c r="F2563">
        <v>49</v>
      </c>
      <c r="G2563" t="s">
        <v>17</v>
      </c>
      <c r="H2563" t="s">
        <v>57</v>
      </c>
      <c r="I2563" s="2">
        <v>17.989999999999998</v>
      </c>
      <c r="J2563">
        <v>0</v>
      </c>
      <c r="K2563" s="2">
        <f t="shared" ref="K2563:K2626" si="80">SUMIF(J2563,1,I2563)</f>
        <v>0</v>
      </c>
      <c r="L2563" t="s">
        <v>61</v>
      </c>
      <c r="M2563">
        <v>5</v>
      </c>
      <c r="N2563">
        <v>0.11</v>
      </c>
      <c r="O2563" t="str">
        <f t="shared" ref="O2563:O2626" si="81">IF(N2563&gt;1,"1+ hours",IF(N2563&lt;=0.2,"0–0.2 hours",IF(N2563&lt;=0.4,"0.2–0.4 hours",IF(N2563&lt;=0.6,"0.4–0.6 hours",IF(N2563&lt;=0.8,"0.6–0.8 hours","0.8–1 hour")))))</f>
        <v>0–0.2 hours</v>
      </c>
      <c r="P2563" t="s">
        <v>34</v>
      </c>
    </row>
    <row r="2564" spans="1:16" x14ac:dyDescent="0.4">
      <c r="A2564" t="s">
        <v>2605</v>
      </c>
      <c r="B2564">
        <v>35</v>
      </c>
      <c r="C2564" t="s">
        <v>27</v>
      </c>
      <c r="D2564" t="s">
        <v>22</v>
      </c>
      <c r="E2564">
        <v>2.42</v>
      </c>
      <c r="F2564">
        <v>59</v>
      </c>
      <c r="G2564" t="s">
        <v>23</v>
      </c>
      <c r="H2564" t="s">
        <v>46</v>
      </c>
      <c r="I2564" s="2">
        <v>13.99</v>
      </c>
      <c r="J2564">
        <v>1</v>
      </c>
      <c r="K2564" s="2">
        <f t="shared" si="80"/>
        <v>13.99</v>
      </c>
      <c r="L2564" t="s">
        <v>43</v>
      </c>
      <c r="M2564">
        <v>3</v>
      </c>
      <c r="N2564">
        <v>0.04</v>
      </c>
      <c r="O2564" t="str">
        <f t="shared" si="81"/>
        <v>0–0.2 hours</v>
      </c>
      <c r="P2564" t="s">
        <v>30</v>
      </c>
    </row>
    <row r="2565" spans="1:16" x14ac:dyDescent="0.4">
      <c r="A2565" t="s">
        <v>2606</v>
      </c>
      <c r="B2565">
        <v>38</v>
      </c>
      <c r="C2565" t="s">
        <v>41</v>
      </c>
      <c r="D2565" t="s">
        <v>16</v>
      </c>
      <c r="E2565">
        <v>9.06</v>
      </c>
      <c r="F2565">
        <v>30</v>
      </c>
      <c r="G2565" t="s">
        <v>23</v>
      </c>
      <c r="H2565" t="s">
        <v>24</v>
      </c>
      <c r="I2565" s="2">
        <v>8.99</v>
      </c>
      <c r="J2565">
        <v>0</v>
      </c>
      <c r="K2565" s="2">
        <f t="shared" si="80"/>
        <v>0</v>
      </c>
      <c r="L2565" t="s">
        <v>61</v>
      </c>
      <c r="M2565">
        <v>2</v>
      </c>
      <c r="N2565">
        <v>0.28999999999999998</v>
      </c>
      <c r="O2565" t="str">
        <f t="shared" si="81"/>
        <v>0.2–0.4 hours</v>
      </c>
      <c r="P2565" t="s">
        <v>30</v>
      </c>
    </row>
    <row r="2566" spans="1:16" x14ac:dyDescent="0.4">
      <c r="A2566" t="s">
        <v>2607</v>
      </c>
      <c r="B2566">
        <v>58</v>
      </c>
      <c r="C2566" t="s">
        <v>27</v>
      </c>
      <c r="D2566" t="s">
        <v>16</v>
      </c>
      <c r="E2566">
        <v>34.53</v>
      </c>
      <c r="F2566">
        <v>0</v>
      </c>
      <c r="G2566" t="s">
        <v>28</v>
      </c>
      <c r="H2566" t="s">
        <v>18</v>
      </c>
      <c r="I2566" s="2">
        <v>8.99</v>
      </c>
      <c r="J2566">
        <v>0</v>
      </c>
      <c r="K2566" s="2">
        <f t="shared" si="80"/>
        <v>0</v>
      </c>
      <c r="L2566" t="s">
        <v>19</v>
      </c>
      <c r="M2566">
        <v>4</v>
      </c>
      <c r="N2566">
        <v>34.53</v>
      </c>
      <c r="O2566" t="str">
        <f t="shared" si="81"/>
        <v>1+ hours</v>
      </c>
      <c r="P2566" t="s">
        <v>39</v>
      </c>
    </row>
    <row r="2567" spans="1:16" x14ac:dyDescent="0.4">
      <c r="A2567" t="s">
        <v>2608</v>
      </c>
      <c r="B2567">
        <v>68</v>
      </c>
      <c r="C2567" t="s">
        <v>15</v>
      </c>
      <c r="D2567" t="s">
        <v>16</v>
      </c>
      <c r="E2567">
        <v>2.2799999999999998</v>
      </c>
      <c r="F2567">
        <v>6</v>
      </c>
      <c r="G2567" t="s">
        <v>28</v>
      </c>
      <c r="H2567" t="s">
        <v>55</v>
      </c>
      <c r="I2567" s="2">
        <v>8.99</v>
      </c>
      <c r="J2567">
        <v>1</v>
      </c>
      <c r="K2567" s="2">
        <f t="shared" si="80"/>
        <v>8.99</v>
      </c>
      <c r="L2567" t="s">
        <v>61</v>
      </c>
      <c r="M2567">
        <v>3</v>
      </c>
      <c r="N2567">
        <v>0.33</v>
      </c>
      <c r="O2567" t="str">
        <f t="shared" si="81"/>
        <v>0.2–0.4 hours</v>
      </c>
      <c r="P2567" t="s">
        <v>39</v>
      </c>
    </row>
    <row r="2568" spans="1:16" x14ac:dyDescent="0.4">
      <c r="A2568" t="s">
        <v>2609</v>
      </c>
      <c r="B2568">
        <v>28</v>
      </c>
      <c r="C2568" t="s">
        <v>27</v>
      </c>
      <c r="D2568" t="s">
        <v>22</v>
      </c>
      <c r="E2568">
        <v>28.8</v>
      </c>
      <c r="F2568">
        <v>49</v>
      </c>
      <c r="G2568" t="s">
        <v>49</v>
      </c>
      <c r="H2568" t="s">
        <v>46</v>
      </c>
      <c r="I2568" s="2">
        <v>13.99</v>
      </c>
      <c r="J2568">
        <v>0</v>
      </c>
      <c r="K2568" s="2">
        <f t="shared" si="80"/>
        <v>0</v>
      </c>
      <c r="L2568" t="s">
        <v>61</v>
      </c>
      <c r="M2568">
        <v>3</v>
      </c>
      <c r="N2568">
        <v>0.57999999999999996</v>
      </c>
      <c r="O2568" t="str">
        <f t="shared" si="81"/>
        <v>0.4–0.6 hours</v>
      </c>
      <c r="P2568" t="s">
        <v>52</v>
      </c>
    </row>
    <row r="2569" spans="1:16" x14ac:dyDescent="0.4">
      <c r="A2569" t="s">
        <v>2610</v>
      </c>
      <c r="B2569">
        <v>57</v>
      </c>
      <c r="C2569" t="s">
        <v>41</v>
      </c>
      <c r="D2569" t="s">
        <v>22</v>
      </c>
      <c r="E2569">
        <v>14.87</v>
      </c>
      <c r="F2569">
        <v>46</v>
      </c>
      <c r="G2569" t="s">
        <v>70</v>
      </c>
      <c r="H2569" t="s">
        <v>57</v>
      </c>
      <c r="I2569" s="2">
        <v>13.99</v>
      </c>
      <c r="J2569">
        <v>0</v>
      </c>
      <c r="K2569" s="2">
        <f t="shared" si="80"/>
        <v>0</v>
      </c>
      <c r="L2569" t="s">
        <v>37</v>
      </c>
      <c r="M2569">
        <v>4</v>
      </c>
      <c r="N2569">
        <v>0.32</v>
      </c>
      <c r="O2569" t="str">
        <f t="shared" si="81"/>
        <v>0.2–0.4 hours</v>
      </c>
      <c r="P2569" t="s">
        <v>39</v>
      </c>
    </row>
    <row r="2570" spans="1:16" x14ac:dyDescent="0.4">
      <c r="A2570" t="s">
        <v>2611</v>
      </c>
      <c r="B2570">
        <v>52</v>
      </c>
      <c r="C2570" t="s">
        <v>15</v>
      </c>
      <c r="D2570" t="s">
        <v>16</v>
      </c>
      <c r="E2570">
        <v>13.94</v>
      </c>
      <c r="F2570">
        <v>56</v>
      </c>
      <c r="G2570" t="s">
        <v>28</v>
      </c>
      <c r="H2570" t="s">
        <v>55</v>
      </c>
      <c r="I2570" s="2">
        <v>8.99</v>
      </c>
      <c r="J2570">
        <v>1</v>
      </c>
      <c r="K2570" s="2">
        <f t="shared" si="80"/>
        <v>8.99</v>
      </c>
      <c r="L2570" t="s">
        <v>43</v>
      </c>
      <c r="M2570">
        <v>3</v>
      </c>
      <c r="N2570">
        <v>0.24</v>
      </c>
      <c r="O2570" t="str">
        <f t="shared" si="81"/>
        <v>0.2–0.4 hours</v>
      </c>
      <c r="P2570" t="s">
        <v>52</v>
      </c>
    </row>
    <row r="2571" spans="1:16" x14ac:dyDescent="0.4">
      <c r="A2571" t="s">
        <v>2612</v>
      </c>
      <c r="B2571">
        <v>70</v>
      </c>
      <c r="C2571" t="s">
        <v>27</v>
      </c>
      <c r="D2571" t="s">
        <v>32</v>
      </c>
      <c r="E2571">
        <v>10.54</v>
      </c>
      <c r="F2571">
        <v>0</v>
      </c>
      <c r="G2571" t="s">
        <v>23</v>
      </c>
      <c r="H2571" t="s">
        <v>55</v>
      </c>
      <c r="I2571" s="2">
        <v>17.989999999999998</v>
      </c>
      <c r="J2571">
        <v>0</v>
      </c>
      <c r="K2571" s="2">
        <f t="shared" si="80"/>
        <v>0</v>
      </c>
      <c r="L2571" t="s">
        <v>29</v>
      </c>
      <c r="M2571">
        <v>4</v>
      </c>
      <c r="N2571">
        <v>10.54</v>
      </c>
      <c r="O2571" t="str">
        <f t="shared" si="81"/>
        <v>1+ hours</v>
      </c>
      <c r="P2571" t="s">
        <v>52</v>
      </c>
    </row>
    <row r="2572" spans="1:16" x14ac:dyDescent="0.4">
      <c r="A2572" t="s">
        <v>2613</v>
      </c>
      <c r="B2572">
        <v>68</v>
      </c>
      <c r="C2572" t="s">
        <v>27</v>
      </c>
      <c r="D2572" t="s">
        <v>22</v>
      </c>
      <c r="E2572">
        <v>56.43</v>
      </c>
      <c r="F2572">
        <v>18</v>
      </c>
      <c r="G2572" t="s">
        <v>28</v>
      </c>
      <c r="H2572" t="s">
        <v>57</v>
      </c>
      <c r="I2572" s="2">
        <v>13.99</v>
      </c>
      <c r="J2572">
        <v>0</v>
      </c>
      <c r="K2572" s="2">
        <f t="shared" si="80"/>
        <v>0</v>
      </c>
      <c r="L2572" t="s">
        <v>43</v>
      </c>
      <c r="M2572">
        <v>2</v>
      </c>
      <c r="N2572">
        <v>2.97</v>
      </c>
      <c r="O2572" t="str">
        <f t="shared" si="81"/>
        <v>1+ hours</v>
      </c>
      <c r="P2572" t="s">
        <v>39</v>
      </c>
    </row>
    <row r="2573" spans="1:16" x14ac:dyDescent="0.4">
      <c r="A2573" t="s">
        <v>2614</v>
      </c>
      <c r="B2573">
        <v>53</v>
      </c>
      <c r="C2573" t="s">
        <v>15</v>
      </c>
      <c r="D2573" t="s">
        <v>22</v>
      </c>
      <c r="E2573">
        <v>39.33</v>
      </c>
      <c r="F2573">
        <v>16</v>
      </c>
      <c r="G2573" t="s">
        <v>33</v>
      </c>
      <c r="H2573" t="s">
        <v>46</v>
      </c>
      <c r="I2573" s="2">
        <v>13.99</v>
      </c>
      <c r="J2573">
        <v>0</v>
      </c>
      <c r="K2573" s="2">
        <f t="shared" si="80"/>
        <v>0</v>
      </c>
      <c r="L2573" t="s">
        <v>37</v>
      </c>
      <c r="M2573">
        <v>4</v>
      </c>
      <c r="N2573">
        <v>2.31</v>
      </c>
      <c r="O2573" t="str">
        <f t="shared" si="81"/>
        <v>1+ hours</v>
      </c>
      <c r="P2573" t="s">
        <v>52</v>
      </c>
    </row>
    <row r="2574" spans="1:16" x14ac:dyDescent="0.4">
      <c r="A2574" t="s">
        <v>2615</v>
      </c>
      <c r="B2574">
        <v>44</v>
      </c>
      <c r="C2574" t="s">
        <v>41</v>
      </c>
      <c r="D2574" t="s">
        <v>16</v>
      </c>
      <c r="E2574">
        <v>15.61</v>
      </c>
      <c r="F2574">
        <v>30</v>
      </c>
      <c r="G2574" t="s">
        <v>70</v>
      </c>
      <c r="H2574" t="s">
        <v>55</v>
      </c>
      <c r="I2574" s="2">
        <v>8.99</v>
      </c>
      <c r="J2574">
        <v>0</v>
      </c>
      <c r="K2574" s="2">
        <f t="shared" si="80"/>
        <v>0</v>
      </c>
      <c r="L2574" t="s">
        <v>29</v>
      </c>
      <c r="M2574">
        <v>5</v>
      </c>
      <c r="N2574">
        <v>0.5</v>
      </c>
      <c r="O2574" t="str">
        <f t="shared" si="81"/>
        <v>0.4–0.6 hours</v>
      </c>
      <c r="P2574" t="s">
        <v>39</v>
      </c>
    </row>
    <row r="2575" spans="1:16" x14ac:dyDescent="0.4">
      <c r="A2575" t="s">
        <v>2616</v>
      </c>
      <c r="B2575">
        <v>68</v>
      </c>
      <c r="C2575" t="s">
        <v>27</v>
      </c>
      <c r="D2575" t="s">
        <v>22</v>
      </c>
      <c r="E2575">
        <v>0.22</v>
      </c>
      <c r="F2575">
        <v>51</v>
      </c>
      <c r="G2575" t="s">
        <v>28</v>
      </c>
      <c r="H2575" t="s">
        <v>55</v>
      </c>
      <c r="I2575" s="2">
        <v>13.99</v>
      </c>
      <c r="J2575">
        <v>1</v>
      </c>
      <c r="K2575" s="2">
        <f t="shared" si="80"/>
        <v>13.99</v>
      </c>
      <c r="L2575" t="s">
        <v>61</v>
      </c>
      <c r="M2575">
        <v>1</v>
      </c>
      <c r="N2575">
        <v>0</v>
      </c>
      <c r="O2575" t="str">
        <f t="shared" si="81"/>
        <v>0–0.2 hours</v>
      </c>
      <c r="P2575" t="s">
        <v>25</v>
      </c>
    </row>
    <row r="2576" spans="1:16" x14ac:dyDescent="0.4">
      <c r="A2576" t="s">
        <v>2617</v>
      </c>
      <c r="B2576">
        <v>64</v>
      </c>
      <c r="C2576" t="s">
        <v>27</v>
      </c>
      <c r="D2576" t="s">
        <v>22</v>
      </c>
      <c r="E2576">
        <v>3.92</v>
      </c>
      <c r="F2576">
        <v>17</v>
      </c>
      <c r="G2576" t="s">
        <v>33</v>
      </c>
      <c r="H2576" t="s">
        <v>55</v>
      </c>
      <c r="I2576" s="2">
        <v>13.99</v>
      </c>
      <c r="J2576">
        <v>0</v>
      </c>
      <c r="K2576" s="2">
        <f t="shared" si="80"/>
        <v>0</v>
      </c>
      <c r="L2576" t="s">
        <v>61</v>
      </c>
      <c r="M2576">
        <v>5</v>
      </c>
      <c r="N2576">
        <v>0.22</v>
      </c>
      <c r="O2576" t="str">
        <f t="shared" si="81"/>
        <v>0.2–0.4 hours</v>
      </c>
      <c r="P2576" t="s">
        <v>34</v>
      </c>
    </row>
    <row r="2577" spans="1:16" x14ac:dyDescent="0.4">
      <c r="A2577" t="s">
        <v>2618</v>
      </c>
      <c r="B2577">
        <v>65</v>
      </c>
      <c r="C2577" t="s">
        <v>27</v>
      </c>
      <c r="D2577" t="s">
        <v>22</v>
      </c>
      <c r="E2577">
        <v>2.2599999999999998</v>
      </c>
      <c r="F2577">
        <v>60</v>
      </c>
      <c r="G2577" t="s">
        <v>49</v>
      </c>
      <c r="H2577" t="s">
        <v>24</v>
      </c>
      <c r="I2577" s="2">
        <v>13.99</v>
      </c>
      <c r="J2577">
        <v>1</v>
      </c>
      <c r="K2577" s="2">
        <f t="shared" si="80"/>
        <v>13.99</v>
      </c>
      <c r="L2577" t="s">
        <v>61</v>
      </c>
      <c r="M2577">
        <v>2</v>
      </c>
      <c r="N2577">
        <v>0.04</v>
      </c>
      <c r="O2577" t="str">
        <f t="shared" si="81"/>
        <v>0–0.2 hours</v>
      </c>
      <c r="P2577" t="s">
        <v>34</v>
      </c>
    </row>
    <row r="2578" spans="1:16" x14ac:dyDescent="0.4">
      <c r="A2578" t="s">
        <v>2619</v>
      </c>
      <c r="B2578">
        <v>28</v>
      </c>
      <c r="C2578" t="s">
        <v>27</v>
      </c>
      <c r="D2578" t="s">
        <v>32</v>
      </c>
      <c r="E2578">
        <v>1.79</v>
      </c>
      <c r="F2578">
        <v>5</v>
      </c>
      <c r="G2578" t="s">
        <v>33</v>
      </c>
      <c r="H2578" t="s">
        <v>18</v>
      </c>
      <c r="I2578" s="2">
        <v>17.989999999999998</v>
      </c>
      <c r="J2578">
        <v>0</v>
      </c>
      <c r="K2578" s="2">
        <f t="shared" si="80"/>
        <v>0</v>
      </c>
      <c r="L2578" t="s">
        <v>19</v>
      </c>
      <c r="M2578">
        <v>5</v>
      </c>
      <c r="N2578">
        <v>0.3</v>
      </c>
      <c r="O2578" t="str">
        <f t="shared" si="81"/>
        <v>0.2–0.4 hours</v>
      </c>
      <c r="P2578" t="s">
        <v>30</v>
      </c>
    </row>
    <row r="2579" spans="1:16" x14ac:dyDescent="0.4">
      <c r="A2579" t="s">
        <v>2620</v>
      </c>
      <c r="B2579">
        <v>50</v>
      </c>
      <c r="C2579" t="s">
        <v>41</v>
      </c>
      <c r="D2579" t="s">
        <v>32</v>
      </c>
      <c r="E2579">
        <v>22.44</v>
      </c>
      <c r="F2579">
        <v>29</v>
      </c>
      <c r="G2579" t="s">
        <v>23</v>
      </c>
      <c r="H2579" t="s">
        <v>57</v>
      </c>
      <c r="I2579" s="2">
        <v>17.989999999999998</v>
      </c>
      <c r="J2579">
        <v>0</v>
      </c>
      <c r="K2579" s="2">
        <f t="shared" si="80"/>
        <v>0</v>
      </c>
      <c r="L2579" t="s">
        <v>61</v>
      </c>
      <c r="M2579">
        <v>2</v>
      </c>
      <c r="N2579">
        <v>0.75</v>
      </c>
      <c r="O2579" t="str">
        <f t="shared" si="81"/>
        <v>0.6–0.8 hours</v>
      </c>
      <c r="P2579" t="s">
        <v>20</v>
      </c>
    </row>
    <row r="2580" spans="1:16" x14ac:dyDescent="0.4">
      <c r="A2580" t="s">
        <v>2621</v>
      </c>
      <c r="B2580">
        <v>59</v>
      </c>
      <c r="C2580" t="s">
        <v>27</v>
      </c>
      <c r="D2580" t="s">
        <v>22</v>
      </c>
      <c r="E2580">
        <v>23.59</v>
      </c>
      <c r="F2580">
        <v>43</v>
      </c>
      <c r="G2580" t="s">
        <v>70</v>
      </c>
      <c r="H2580" t="s">
        <v>55</v>
      </c>
      <c r="I2580" s="2">
        <v>13.99</v>
      </c>
      <c r="J2580">
        <v>0</v>
      </c>
      <c r="K2580" s="2">
        <f t="shared" si="80"/>
        <v>0</v>
      </c>
      <c r="L2580" t="s">
        <v>37</v>
      </c>
      <c r="M2580">
        <v>1</v>
      </c>
      <c r="N2580">
        <v>0.54</v>
      </c>
      <c r="O2580" t="str">
        <f t="shared" si="81"/>
        <v>0.4–0.6 hours</v>
      </c>
      <c r="P2580" t="s">
        <v>39</v>
      </c>
    </row>
    <row r="2581" spans="1:16" x14ac:dyDescent="0.4">
      <c r="A2581" t="s">
        <v>2622</v>
      </c>
      <c r="B2581">
        <v>38</v>
      </c>
      <c r="C2581" t="s">
        <v>15</v>
      </c>
      <c r="D2581" t="s">
        <v>32</v>
      </c>
      <c r="E2581">
        <v>24.19</v>
      </c>
      <c r="F2581">
        <v>22</v>
      </c>
      <c r="G2581" t="s">
        <v>33</v>
      </c>
      <c r="H2581" t="s">
        <v>24</v>
      </c>
      <c r="I2581" s="2">
        <v>17.989999999999998</v>
      </c>
      <c r="J2581">
        <v>0</v>
      </c>
      <c r="K2581" s="2">
        <f t="shared" si="80"/>
        <v>0</v>
      </c>
      <c r="L2581" t="s">
        <v>19</v>
      </c>
      <c r="M2581">
        <v>2</v>
      </c>
      <c r="N2581">
        <v>1.05</v>
      </c>
      <c r="O2581" t="str">
        <f t="shared" si="81"/>
        <v>1+ hours</v>
      </c>
      <c r="P2581" t="s">
        <v>39</v>
      </c>
    </row>
    <row r="2582" spans="1:16" x14ac:dyDescent="0.4">
      <c r="A2582" t="s">
        <v>2623</v>
      </c>
      <c r="B2582">
        <v>49</v>
      </c>
      <c r="C2582" t="s">
        <v>27</v>
      </c>
      <c r="D2582" t="s">
        <v>16</v>
      </c>
      <c r="E2582">
        <v>6.56</v>
      </c>
      <c r="F2582">
        <v>10</v>
      </c>
      <c r="G2582" t="s">
        <v>17</v>
      </c>
      <c r="H2582" t="s">
        <v>18</v>
      </c>
      <c r="I2582" s="2">
        <v>8.99</v>
      </c>
      <c r="J2582">
        <v>0</v>
      </c>
      <c r="K2582" s="2">
        <f t="shared" si="80"/>
        <v>0</v>
      </c>
      <c r="L2582" t="s">
        <v>37</v>
      </c>
      <c r="M2582">
        <v>5</v>
      </c>
      <c r="N2582">
        <v>0.6</v>
      </c>
      <c r="O2582" t="str">
        <f t="shared" si="81"/>
        <v>0.4–0.6 hours</v>
      </c>
      <c r="P2582" t="s">
        <v>47</v>
      </c>
    </row>
    <row r="2583" spans="1:16" x14ac:dyDescent="0.4">
      <c r="A2583" t="s">
        <v>2624</v>
      </c>
      <c r="B2583">
        <v>40</v>
      </c>
      <c r="C2583" t="s">
        <v>41</v>
      </c>
      <c r="D2583" t="s">
        <v>22</v>
      </c>
      <c r="E2583">
        <v>16.13</v>
      </c>
      <c r="F2583">
        <v>47</v>
      </c>
      <c r="G2583" t="s">
        <v>28</v>
      </c>
      <c r="H2583" t="s">
        <v>24</v>
      </c>
      <c r="I2583" s="2">
        <v>13.99</v>
      </c>
      <c r="J2583">
        <v>0</v>
      </c>
      <c r="K2583" s="2">
        <f t="shared" si="80"/>
        <v>0</v>
      </c>
      <c r="L2583" t="s">
        <v>37</v>
      </c>
      <c r="M2583">
        <v>5</v>
      </c>
      <c r="N2583">
        <v>0.34</v>
      </c>
      <c r="O2583" t="str">
        <f t="shared" si="81"/>
        <v>0.2–0.4 hours</v>
      </c>
      <c r="P2583" t="s">
        <v>47</v>
      </c>
    </row>
    <row r="2584" spans="1:16" x14ac:dyDescent="0.4">
      <c r="A2584" t="s">
        <v>2625</v>
      </c>
      <c r="B2584">
        <v>39</v>
      </c>
      <c r="C2584" t="s">
        <v>27</v>
      </c>
      <c r="D2584" t="s">
        <v>22</v>
      </c>
      <c r="E2584">
        <v>19.16</v>
      </c>
      <c r="F2584">
        <v>60</v>
      </c>
      <c r="G2584" t="s">
        <v>17</v>
      </c>
      <c r="H2584" t="s">
        <v>57</v>
      </c>
      <c r="I2584" s="2">
        <v>13.99</v>
      </c>
      <c r="J2584">
        <v>0</v>
      </c>
      <c r="K2584" s="2">
        <f t="shared" si="80"/>
        <v>0</v>
      </c>
      <c r="L2584" t="s">
        <v>37</v>
      </c>
      <c r="M2584">
        <v>5</v>
      </c>
      <c r="N2584">
        <v>0.31</v>
      </c>
      <c r="O2584" t="str">
        <f t="shared" si="81"/>
        <v>0.2–0.4 hours</v>
      </c>
      <c r="P2584" t="s">
        <v>34</v>
      </c>
    </row>
    <row r="2585" spans="1:16" x14ac:dyDescent="0.4">
      <c r="A2585" t="s">
        <v>2626</v>
      </c>
      <c r="B2585">
        <v>34</v>
      </c>
      <c r="C2585" t="s">
        <v>27</v>
      </c>
      <c r="D2585" t="s">
        <v>22</v>
      </c>
      <c r="E2585">
        <v>1.28</v>
      </c>
      <c r="F2585">
        <v>57</v>
      </c>
      <c r="G2585" t="s">
        <v>17</v>
      </c>
      <c r="H2585" t="s">
        <v>57</v>
      </c>
      <c r="I2585" s="2">
        <v>13.99</v>
      </c>
      <c r="J2585">
        <v>1</v>
      </c>
      <c r="K2585" s="2">
        <f t="shared" si="80"/>
        <v>13.99</v>
      </c>
      <c r="L2585" t="s">
        <v>29</v>
      </c>
      <c r="M2585">
        <v>4</v>
      </c>
      <c r="N2585">
        <v>0.02</v>
      </c>
      <c r="O2585" t="str">
        <f t="shared" si="81"/>
        <v>0–0.2 hours</v>
      </c>
      <c r="P2585" t="s">
        <v>39</v>
      </c>
    </row>
    <row r="2586" spans="1:16" x14ac:dyDescent="0.4">
      <c r="A2586" t="s">
        <v>2627</v>
      </c>
      <c r="B2586">
        <v>20</v>
      </c>
      <c r="C2586" t="s">
        <v>41</v>
      </c>
      <c r="D2586" t="s">
        <v>32</v>
      </c>
      <c r="E2586">
        <v>32.04</v>
      </c>
      <c r="F2586">
        <v>26</v>
      </c>
      <c r="G2586" t="s">
        <v>23</v>
      </c>
      <c r="H2586" t="s">
        <v>57</v>
      </c>
      <c r="I2586" s="2">
        <v>17.989999999999998</v>
      </c>
      <c r="J2586">
        <v>0</v>
      </c>
      <c r="K2586" s="2">
        <f t="shared" si="80"/>
        <v>0</v>
      </c>
      <c r="L2586" t="s">
        <v>43</v>
      </c>
      <c r="M2586">
        <v>3</v>
      </c>
      <c r="N2586">
        <v>1.19</v>
      </c>
      <c r="O2586" t="str">
        <f t="shared" si="81"/>
        <v>1+ hours</v>
      </c>
      <c r="P2586" t="s">
        <v>20</v>
      </c>
    </row>
    <row r="2587" spans="1:16" x14ac:dyDescent="0.4">
      <c r="A2587" t="s">
        <v>2628</v>
      </c>
      <c r="B2587">
        <v>28</v>
      </c>
      <c r="C2587" t="s">
        <v>27</v>
      </c>
      <c r="D2587" t="s">
        <v>32</v>
      </c>
      <c r="E2587">
        <v>0.12</v>
      </c>
      <c r="F2587">
        <v>2</v>
      </c>
      <c r="G2587" t="s">
        <v>70</v>
      </c>
      <c r="H2587" t="s">
        <v>46</v>
      </c>
      <c r="I2587" s="2">
        <v>17.989999999999998</v>
      </c>
      <c r="J2587">
        <v>0</v>
      </c>
      <c r="K2587" s="2">
        <f t="shared" si="80"/>
        <v>0</v>
      </c>
      <c r="L2587" t="s">
        <v>43</v>
      </c>
      <c r="M2587">
        <v>5</v>
      </c>
      <c r="N2587">
        <v>0.04</v>
      </c>
      <c r="O2587" t="str">
        <f t="shared" si="81"/>
        <v>0–0.2 hours</v>
      </c>
      <c r="P2587" t="s">
        <v>47</v>
      </c>
    </row>
    <row r="2588" spans="1:16" x14ac:dyDescent="0.4">
      <c r="A2588" t="s">
        <v>2629</v>
      </c>
      <c r="B2588">
        <v>18</v>
      </c>
      <c r="C2588" t="s">
        <v>27</v>
      </c>
      <c r="D2588" t="s">
        <v>22</v>
      </c>
      <c r="E2588">
        <v>0.25</v>
      </c>
      <c r="F2588">
        <v>37</v>
      </c>
      <c r="G2588" t="s">
        <v>17</v>
      </c>
      <c r="H2588" t="s">
        <v>46</v>
      </c>
      <c r="I2588" s="2">
        <v>13.99</v>
      </c>
      <c r="J2588">
        <v>1</v>
      </c>
      <c r="K2588" s="2">
        <f t="shared" si="80"/>
        <v>13.99</v>
      </c>
      <c r="L2588" t="s">
        <v>37</v>
      </c>
      <c r="M2588">
        <v>5</v>
      </c>
      <c r="N2588">
        <v>0.01</v>
      </c>
      <c r="O2588" t="str">
        <f t="shared" si="81"/>
        <v>0–0.2 hours</v>
      </c>
      <c r="P2588" t="s">
        <v>25</v>
      </c>
    </row>
    <row r="2589" spans="1:16" x14ac:dyDescent="0.4">
      <c r="A2589" t="s">
        <v>2630</v>
      </c>
      <c r="B2589">
        <v>19</v>
      </c>
      <c r="C2589" t="s">
        <v>41</v>
      </c>
      <c r="D2589" t="s">
        <v>16</v>
      </c>
      <c r="E2589">
        <v>4.46</v>
      </c>
      <c r="F2589">
        <v>50</v>
      </c>
      <c r="G2589" t="s">
        <v>17</v>
      </c>
      <c r="H2589" t="s">
        <v>55</v>
      </c>
      <c r="I2589" s="2">
        <v>8.99</v>
      </c>
      <c r="J2589">
        <v>1</v>
      </c>
      <c r="K2589" s="2">
        <f t="shared" si="80"/>
        <v>8.99</v>
      </c>
      <c r="L2589" t="s">
        <v>61</v>
      </c>
      <c r="M2589">
        <v>3</v>
      </c>
      <c r="N2589">
        <v>0.09</v>
      </c>
      <c r="O2589" t="str">
        <f t="shared" si="81"/>
        <v>0–0.2 hours</v>
      </c>
      <c r="P2589" t="s">
        <v>52</v>
      </c>
    </row>
    <row r="2590" spans="1:16" x14ac:dyDescent="0.4">
      <c r="A2590" t="s">
        <v>2631</v>
      </c>
      <c r="B2590">
        <v>32</v>
      </c>
      <c r="C2590" t="s">
        <v>15</v>
      </c>
      <c r="D2590" t="s">
        <v>32</v>
      </c>
      <c r="E2590">
        <v>4.24</v>
      </c>
      <c r="F2590">
        <v>14</v>
      </c>
      <c r="G2590" t="s">
        <v>17</v>
      </c>
      <c r="H2590" t="s">
        <v>18</v>
      </c>
      <c r="I2590" s="2">
        <v>17.989999999999998</v>
      </c>
      <c r="J2590">
        <v>1</v>
      </c>
      <c r="K2590" s="2">
        <f t="shared" si="80"/>
        <v>17.989999999999998</v>
      </c>
      <c r="L2590" t="s">
        <v>19</v>
      </c>
      <c r="M2590">
        <v>2</v>
      </c>
      <c r="N2590">
        <v>0.28000000000000003</v>
      </c>
      <c r="O2590" t="str">
        <f t="shared" si="81"/>
        <v>0.2–0.4 hours</v>
      </c>
      <c r="P2590" t="s">
        <v>30</v>
      </c>
    </row>
    <row r="2591" spans="1:16" x14ac:dyDescent="0.4">
      <c r="A2591" t="s">
        <v>2632</v>
      </c>
      <c r="B2591">
        <v>19</v>
      </c>
      <c r="C2591" t="s">
        <v>27</v>
      </c>
      <c r="D2591" t="s">
        <v>22</v>
      </c>
      <c r="E2591">
        <v>8.6199999999999992</v>
      </c>
      <c r="F2591">
        <v>57</v>
      </c>
      <c r="G2591" t="s">
        <v>28</v>
      </c>
      <c r="H2591" t="s">
        <v>46</v>
      </c>
      <c r="I2591" s="2">
        <v>13.99</v>
      </c>
      <c r="J2591">
        <v>1</v>
      </c>
      <c r="K2591" s="2">
        <f t="shared" si="80"/>
        <v>13.99</v>
      </c>
      <c r="L2591" t="s">
        <v>43</v>
      </c>
      <c r="M2591">
        <v>3</v>
      </c>
      <c r="N2591">
        <v>0.15</v>
      </c>
      <c r="O2591" t="str">
        <f t="shared" si="81"/>
        <v>0–0.2 hours</v>
      </c>
      <c r="P2591" t="s">
        <v>20</v>
      </c>
    </row>
    <row r="2592" spans="1:16" x14ac:dyDescent="0.4">
      <c r="A2592" t="s">
        <v>2633</v>
      </c>
      <c r="B2592">
        <v>22</v>
      </c>
      <c r="C2592" t="s">
        <v>27</v>
      </c>
      <c r="D2592" t="s">
        <v>16</v>
      </c>
      <c r="E2592">
        <v>11.96</v>
      </c>
      <c r="F2592">
        <v>45</v>
      </c>
      <c r="G2592" t="s">
        <v>23</v>
      </c>
      <c r="H2592" t="s">
        <v>24</v>
      </c>
      <c r="I2592" s="2">
        <v>8.99</v>
      </c>
      <c r="J2592">
        <v>1</v>
      </c>
      <c r="K2592" s="2">
        <f t="shared" si="80"/>
        <v>8.99</v>
      </c>
      <c r="L2592" t="s">
        <v>43</v>
      </c>
      <c r="M2592">
        <v>2</v>
      </c>
      <c r="N2592">
        <v>0.26</v>
      </c>
      <c r="O2592" t="str">
        <f t="shared" si="81"/>
        <v>0.2–0.4 hours</v>
      </c>
      <c r="P2592" t="s">
        <v>20</v>
      </c>
    </row>
    <row r="2593" spans="1:16" x14ac:dyDescent="0.4">
      <c r="A2593" t="s">
        <v>2634</v>
      </c>
      <c r="B2593">
        <v>55</v>
      </c>
      <c r="C2593" t="s">
        <v>41</v>
      </c>
      <c r="D2593" t="s">
        <v>22</v>
      </c>
      <c r="E2593">
        <v>10.1</v>
      </c>
      <c r="F2593">
        <v>4</v>
      </c>
      <c r="G2593" t="s">
        <v>28</v>
      </c>
      <c r="H2593" t="s">
        <v>55</v>
      </c>
      <c r="I2593" s="2">
        <v>13.99</v>
      </c>
      <c r="J2593">
        <v>0</v>
      </c>
      <c r="K2593" s="2">
        <f t="shared" si="80"/>
        <v>0</v>
      </c>
      <c r="L2593" t="s">
        <v>37</v>
      </c>
      <c r="M2593">
        <v>4</v>
      </c>
      <c r="N2593">
        <v>2.02</v>
      </c>
      <c r="O2593" t="str">
        <f t="shared" si="81"/>
        <v>1+ hours</v>
      </c>
      <c r="P2593" t="s">
        <v>25</v>
      </c>
    </row>
    <row r="2594" spans="1:16" x14ac:dyDescent="0.4">
      <c r="A2594" t="s">
        <v>2635</v>
      </c>
      <c r="B2594">
        <v>21</v>
      </c>
      <c r="C2594" t="s">
        <v>27</v>
      </c>
      <c r="D2594" t="s">
        <v>22</v>
      </c>
      <c r="E2594">
        <v>0.44</v>
      </c>
      <c r="F2594">
        <v>1</v>
      </c>
      <c r="G2594" t="s">
        <v>28</v>
      </c>
      <c r="H2594" t="s">
        <v>57</v>
      </c>
      <c r="I2594" s="2">
        <v>13.99</v>
      </c>
      <c r="J2594">
        <v>1</v>
      </c>
      <c r="K2594" s="2">
        <f t="shared" si="80"/>
        <v>13.99</v>
      </c>
      <c r="L2594" t="s">
        <v>43</v>
      </c>
      <c r="M2594">
        <v>1</v>
      </c>
      <c r="N2594">
        <v>0.22</v>
      </c>
      <c r="O2594" t="str">
        <f t="shared" si="81"/>
        <v>0.2–0.4 hours</v>
      </c>
      <c r="P2594" t="s">
        <v>39</v>
      </c>
    </row>
    <row r="2595" spans="1:16" x14ac:dyDescent="0.4">
      <c r="A2595" t="s">
        <v>2636</v>
      </c>
      <c r="B2595">
        <v>39</v>
      </c>
      <c r="C2595" t="s">
        <v>15</v>
      </c>
      <c r="D2595" t="s">
        <v>32</v>
      </c>
      <c r="E2595">
        <v>1.1200000000000001</v>
      </c>
      <c r="F2595">
        <v>27</v>
      </c>
      <c r="G2595" t="s">
        <v>70</v>
      </c>
      <c r="H2595" t="s">
        <v>24</v>
      </c>
      <c r="I2595" s="2">
        <v>17.989999999999998</v>
      </c>
      <c r="J2595">
        <v>1</v>
      </c>
      <c r="K2595" s="2">
        <f t="shared" si="80"/>
        <v>17.989999999999998</v>
      </c>
      <c r="L2595" t="s">
        <v>19</v>
      </c>
      <c r="M2595">
        <v>5</v>
      </c>
      <c r="N2595">
        <v>0.04</v>
      </c>
      <c r="O2595" t="str">
        <f t="shared" si="81"/>
        <v>0–0.2 hours</v>
      </c>
      <c r="P2595" t="s">
        <v>25</v>
      </c>
    </row>
    <row r="2596" spans="1:16" x14ac:dyDescent="0.4">
      <c r="A2596" t="s">
        <v>2637</v>
      </c>
      <c r="B2596">
        <v>53</v>
      </c>
      <c r="C2596" t="s">
        <v>15</v>
      </c>
      <c r="D2596" t="s">
        <v>16</v>
      </c>
      <c r="E2596">
        <v>14.1</v>
      </c>
      <c r="F2596">
        <v>42</v>
      </c>
      <c r="G2596" t="s">
        <v>70</v>
      </c>
      <c r="H2596" t="s">
        <v>46</v>
      </c>
      <c r="I2596" s="2">
        <v>8.99</v>
      </c>
      <c r="J2596">
        <v>1</v>
      </c>
      <c r="K2596" s="2">
        <f t="shared" si="80"/>
        <v>8.99</v>
      </c>
      <c r="L2596" t="s">
        <v>43</v>
      </c>
      <c r="M2596">
        <v>5</v>
      </c>
      <c r="N2596">
        <v>0.33</v>
      </c>
      <c r="O2596" t="str">
        <f t="shared" si="81"/>
        <v>0.2–0.4 hours</v>
      </c>
      <c r="P2596" t="s">
        <v>34</v>
      </c>
    </row>
    <row r="2597" spans="1:16" x14ac:dyDescent="0.4">
      <c r="A2597" t="s">
        <v>2638</v>
      </c>
      <c r="B2597">
        <v>27</v>
      </c>
      <c r="C2597" t="s">
        <v>15</v>
      </c>
      <c r="D2597" t="s">
        <v>32</v>
      </c>
      <c r="E2597">
        <v>30.8</v>
      </c>
      <c r="F2597">
        <v>16</v>
      </c>
      <c r="G2597" t="s">
        <v>23</v>
      </c>
      <c r="H2597" t="s">
        <v>55</v>
      </c>
      <c r="I2597" s="2">
        <v>17.989999999999998</v>
      </c>
      <c r="J2597">
        <v>0</v>
      </c>
      <c r="K2597" s="2">
        <f t="shared" si="80"/>
        <v>0</v>
      </c>
      <c r="L2597" t="s">
        <v>43</v>
      </c>
      <c r="M2597">
        <v>2</v>
      </c>
      <c r="N2597">
        <v>1.81</v>
      </c>
      <c r="O2597" t="str">
        <f t="shared" si="81"/>
        <v>1+ hours</v>
      </c>
      <c r="P2597" t="s">
        <v>20</v>
      </c>
    </row>
    <row r="2598" spans="1:16" x14ac:dyDescent="0.4">
      <c r="A2598" t="s">
        <v>2639</v>
      </c>
      <c r="B2598">
        <v>29</v>
      </c>
      <c r="C2598" t="s">
        <v>15</v>
      </c>
      <c r="D2598" t="s">
        <v>22</v>
      </c>
      <c r="E2598">
        <v>10.74</v>
      </c>
      <c r="F2598">
        <v>27</v>
      </c>
      <c r="G2598" t="s">
        <v>49</v>
      </c>
      <c r="H2598" t="s">
        <v>57</v>
      </c>
      <c r="I2598" s="2">
        <v>13.99</v>
      </c>
      <c r="J2598">
        <v>0</v>
      </c>
      <c r="K2598" s="2">
        <f t="shared" si="80"/>
        <v>0</v>
      </c>
      <c r="L2598" t="s">
        <v>43</v>
      </c>
      <c r="M2598">
        <v>5</v>
      </c>
      <c r="N2598">
        <v>0.38</v>
      </c>
      <c r="O2598" t="str">
        <f t="shared" si="81"/>
        <v>0.2–0.4 hours</v>
      </c>
      <c r="P2598" t="s">
        <v>30</v>
      </c>
    </row>
    <row r="2599" spans="1:16" x14ac:dyDescent="0.4">
      <c r="A2599" t="s">
        <v>2640</v>
      </c>
      <c r="B2599">
        <v>70</v>
      </c>
      <c r="C2599" t="s">
        <v>27</v>
      </c>
      <c r="D2599" t="s">
        <v>22</v>
      </c>
      <c r="E2599">
        <v>8.27</v>
      </c>
      <c r="F2599">
        <v>60</v>
      </c>
      <c r="G2599" t="s">
        <v>23</v>
      </c>
      <c r="H2599" t="s">
        <v>57</v>
      </c>
      <c r="I2599" s="2">
        <v>13.99</v>
      </c>
      <c r="J2599">
        <v>1</v>
      </c>
      <c r="K2599" s="2">
        <f t="shared" si="80"/>
        <v>13.99</v>
      </c>
      <c r="L2599" t="s">
        <v>19</v>
      </c>
      <c r="M2599">
        <v>3</v>
      </c>
      <c r="N2599">
        <v>0.14000000000000001</v>
      </c>
      <c r="O2599" t="str">
        <f t="shared" si="81"/>
        <v>0–0.2 hours</v>
      </c>
      <c r="P2599" t="s">
        <v>47</v>
      </c>
    </row>
    <row r="2600" spans="1:16" x14ac:dyDescent="0.4">
      <c r="A2600" t="s">
        <v>2641</v>
      </c>
      <c r="B2600">
        <v>51</v>
      </c>
      <c r="C2600" t="s">
        <v>41</v>
      </c>
      <c r="D2600" t="s">
        <v>22</v>
      </c>
      <c r="E2600">
        <v>12.91</v>
      </c>
      <c r="F2600">
        <v>42</v>
      </c>
      <c r="G2600" t="s">
        <v>70</v>
      </c>
      <c r="H2600" t="s">
        <v>57</v>
      </c>
      <c r="I2600" s="2">
        <v>13.99</v>
      </c>
      <c r="J2600">
        <v>1</v>
      </c>
      <c r="K2600" s="2">
        <f t="shared" si="80"/>
        <v>13.99</v>
      </c>
      <c r="L2600" t="s">
        <v>37</v>
      </c>
      <c r="M2600">
        <v>1</v>
      </c>
      <c r="N2600">
        <v>0.3</v>
      </c>
      <c r="O2600" t="str">
        <f t="shared" si="81"/>
        <v>0.2–0.4 hours</v>
      </c>
      <c r="P2600" t="s">
        <v>47</v>
      </c>
    </row>
    <row r="2601" spans="1:16" x14ac:dyDescent="0.4">
      <c r="A2601" t="s">
        <v>2642</v>
      </c>
      <c r="B2601">
        <v>26</v>
      </c>
      <c r="C2601" t="s">
        <v>15</v>
      </c>
      <c r="D2601" t="s">
        <v>32</v>
      </c>
      <c r="E2601">
        <v>9.23</v>
      </c>
      <c r="F2601">
        <v>10</v>
      </c>
      <c r="G2601" t="s">
        <v>70</v>
      </c>
      <c r="H2601" t="s">
        <v>55</v>
      </c>
      <c r="I2601" s="2">
        <v>17.989999999999998</v>
      </c>
      <c r="J2601">
        <v>0</v>
      </c>
      <c r="K2601" s="2">
        <f t="shared" si="80"/>
        <v>0</v>
      </c>
      <c r="L2601" t="s">
        <v>19</v>
      </c>
      <c r="M2601">
        <v>3</v>
      </c>
      <c r="N2601">
        <v>0.84</v>
      </c>
      <c r="O2601" t="str">
        <f t="shared" si="81"/>
        <v>0.8–1 hour</v>
      </c>
      <c r="P2601" t="s">
        <v>52</v>
      </c>
    </row>
    <row r="2602" spans="1:16" x14ac:dyDescent="0.4">
      <c r="A2602" t="s">
        <v>2643</v>
      </c>
      <c r="B2602">
        <v>63</v>
      </c>
      <c r="C2602" t="s">
        <v>27</v>
      </c>
      <c r="D2602" t="s">
        <v>16</v>
      </c>
      <c r="E2602">
        <v>0.52</v>
      </c>
      <c r="F2602">
        <v>1</v>
      </c>
      <c r="G2602" t="s">
        <v>17</v>
      </c>
      <c r="H2602" t="s">
        <v>57</v>
      </c>
      <c r="I2602" s="2">
        <v>8.99</v>
      </c>
      <c r="J2602">
        <v>1</v>
      </c>
      <c r="K2602" s="2">
        <f t="shared" si="80"/>
        <v>8.99</v>
      </c>
      <c r="L2602" t="s">
        <v>43</v>
      </c>
      <c r="M2602">
        <v>4</v>
      </c>
      <c r="N2602">
        <v>0.26</v>
      </c>
      <c r="O2602" t="str">
        <f t="shared" si="81"/>
        <v>0.2–0.4 hours</v>
      </c>
      <c r="P2602" t="s">
        <v>47</v>
      </c>
    </row>
    <row r="2603" spans="1:16" x14ac:dyDescent="0.4">
      <c r="A2603" t="s">
        <v>2644</v>
      </c>
      <c r="B2603">
        <v>66</v>
      </c>
      <c r="C2603" t="s">
        <v>41</v>
      </c>
      <c r="D2603" t="s">
        <v>16</v>
      </c>
      <c r="E2603">
        <v>2.1800000000000002</v>
      </c>
      <c r="F2603">
        <v>15</v>
      </c>
      <c r="G2603" t="s">
        <v>49</v>
      </c>
      <c r="H2603" t="s">
        <v>46</v>
      </c>
      <c r="I2603" s="2">
        <v>8.99</v>
      </c>
      <c r="J2603">
        <v>1</v>
      </c>
      <c r="K2603" s="2">
        <f t="shared" si="80"/>
        <v>8.99</v>
      </c>
      <c r="L2603" t="s">
        <v>37</v>
      </c>
      <c r="M2603">
        <v>5</v>
      </c>
      <c r="N2603">
        <v>0.14000000000000001</v>
      </c>
      <c r="O2603" t="str">
        <f t="shared" si="81"/>
        <v>0–0.2 hours</v>
      </c>
      <c r="P2603" t="s">
        <v>34</v>
      </c>
    </row>
    <row r="2604" spans="1:16" x14ac:dyDescent="0.4">
      <c r="A2604" t="s">
        <v>2645</v>
      </c>
      <c r="B2604">
        <v>57</v>
      </c>
      <c r="C2604" t="s">
        <v>15</v>
      </c>
      <c r="D2604" t="s">
        <v>32</v>
      </c>
      <c r="E2604">
        <v>29.23</v>
      </c>
      <c r="F2604">
        <v>3</v>
      </c>
      <c r="G2604" t="s">
        <v>49</v>
      </c>
      <c r="H2604" t="s">
        <v>46</v>
      </c>
      <c r="I2604" s="2">
        <v>17.989999999999998</v>
      </c>
      <c r="J2604">
        <v>0</v>
      </c>
      <c r="K2604" s="2">
        <f t="shared" si="80"/>
        <v>0</v>
      </c>
      <c r="L2604" t="s">
        <v>61</v>
      </c>
      <c r="M2604">
        <v>1</v>
      </c>
      <c r="N2604">
        <v>7.31</v>
      </c>
      <c r="O2604" t="str">
        <f t="shared" si="81"/>
        <v>1+ hours</v>
      </c>
      <c r="P2604" t="s">
        <v>39</v>
      </c>
    </row>
    <row r="2605" spans="1:16" x14ac:dyDescent="0.4">
      <c r="A2605" t="s">
        <v>2646</v>
      </c>
      <c r="B2605">
        <v>53</v>
      </c>
      <c r="C2605" t="s">
        <v>15</v>
      </c>
      <c r="D2605" t="s">
        <v>32</v>
      </c>
      <c r="E2605">
        <v>1.64</v>
      </c>
      <c r="F2605">
        <v>5</v>
      </c>
      <c r="G2605" t="s">
        <v>70</v>
      </c>
      <c r="H2605" t="s">
        <v>46</v>
      </c>
      <c r="I2605" s="2">
        <v>17.989999999999998</v>
      </c>
      <c r="J2605">
        <v>1</v>
      </c>
      <c r="K2605" s="2">
        <f t="shared" si="80"/>
        <v>17.989999999999998</v>
      </c>
      <c r="L2605" t="s">
        <v>29</v>
      </c>
      <c r="M2605">
        <v>1</v>
      </c>
      <c r="N2605">
        <v>0.27</v>
      </c>
      <c r="O2605" t="str">
        <f t="shared" si="81"/>
        <v>0.2–0.4 hours</v>
      </c>
      <c r="P2605" t="s">
        <v>34</v>
      </c>
    </row>
    <row r="2606" spans="1:16" x14ac:dyDescent="0.4">
      <c r="A2606" t="s">
        <v>2647</v>
      </c>
      <c r="B2606">
        <v>47</v>
      </c>
      <c r="C2606" t="s">
        <v>15</v>
      </c>
      <c r="D2606" t="s">
        <v>16</v>
      </c>
      <c r="E2606">
        <v>5.53</v>
      </c>
      <c r="F2606">
        <v>17</v>
      </c>
      <c r="G2606" t="s">
        <v>70</v>
      </c>
      <c r="H2606" t="s">
        <v>46</v>
      </c>
      <c r="I2606" s="2">
        <v>8.99</v>
      </c>
      <c r="J2606">
        <v>0</v>
      </c>
      <c r="K2606" s="2">
        <f t="shared" si="80"/>
        <v>0</v>
      </c>
      <c r="L2606" t="s">
        <v>37</v>
      </c>
      <c r="M2606">
        <v>2</v>
      </c>
      <c r="N2606">
        <v>0.31</v>
      </c>
      <c r="O2606" t="str">
        <f t="shared" si="81"/>
        <v>0.2–0.4 hours</v>
      </c>
      <c r="P2606" t="s">
        <v>39</v>
      </c>
    </row>
    <row r="2607" spans="1:16" x14ac:dyDescent="0.4">
      <c r="A2607" t="s">
        <v>2648</v>
      </c>
      <c r="B2607">
        <v>34</v>
      </c>
      <c r="C2607" t="s">
        <v>41</v>
      </c>
      <c r="D2607" t="s">
        <v>16</v>
      </c>
      <c r="E2607">
        <v>9.9600000000000009</v>
      </c>
      <c r="F2607">
        <v>8</v>
      </c>
      <c r="G2607" t="s">
        <v>70</v>
      </c>
      <c r="H2607" t="s">
        <v>57</v>
      </c>
      <c r="I2607" s="2">
        <v>8.99</v>
      </c>
      <c r="J2607">
        <v>0</v>
      </c>
      <c r="K2607" s="2">
        <f t="shared" si="80"/>
        <v>0</v>
      </c>
      <c r="L2607" t="s">
        <v>61</v>
      </c>
      <c r="M2607">
        <v>2</v>
      </c>
      <c r="N2607">
        <v>1.1100000000000001</v>
      </c>
      <c r="O2607" t="str">
        <f t="shared" si="81"/>
        <v>1+ hours</v>
      </c>
      <c r="P2607" t="s">
        <v>20</v>
      </c>
    </row>
    <row r="2608" spans="1:16" x14ac:dyDescent="0.4">
      <c r="A2608" t="s">
        <v>2649</v>
      </c>
      <c r="B2608">
        <v>26</v>
      </c>
      <c r="C2608" t="s">
        <v>41</v>
      </c>
      <c r="D2608" t="s">
        <v>16</v>
      </c>
      <c r="E2608">
        <v>4.2699999999999996</v>
      </c>
      <c r="F2608">
        <v>36</v>
      </c>
      <c r="G2608" t="s">
        <v>33</v>
      </c>
      <c r="H2608" t="s">
        <v>46</v>
      </c>
      <c r="I2608" s="2">
        <v>8.99</v>
      </c>
      <c r="J2608">
        <v>1</v>
      </c>
      <c r="K2608" s="2">
        <f t="shared" si="80"/>
        <v>8.99</v>
      </c>
      <c r="L2608" t="s">
        <v>43</v>
      </c>
      <c r="M2608">
        <v>3</v>
      </c>
      <c r="N2608">
        <v>0.12</v>
      </c>
      <c r="O2608" t="str">
        <f t="shared" si="81"/>
        <v>0–0.2 hours</v>
      </c>
      <c r="P2608" t="s">
        <v>20</v>
      </c>
    </row>
    <row r="2609" spans="1:16" x14ac:dyDescent="0.4">
      <c r="A2609" t="s">
        <v>2650</v>
      </c>
      <c r="B2609">
        <v>67</v>
      </c>
      <c r="C2609" t="s">
        <v>27</v>
      </c>
      <c r="D2609" t="s">
        <v>22</v>
      </c>
      <c r="E2609">
        <v>43.24</v>
      </c>
      <c r="F2609">
        <v>34</v>
      </c>
      <c r="G2609" t="s">
        <v>17</v>
      </c>
      <c r="H2609" t="s">
        <v>57</v>
      </c>
      <c r="I2609" s="2">
        <v>13.99</v>
      </c>
      <c r="J2609">
        <v>0</v>
      </c>
      <c r="K2609" s="2">
        <f t="shared" si="80"/>
        <v>0</v>
      </c>
      <c r="L2609" t="s">
        <v>61</v>
      </c>
      <c r="M2609">
        <v>3</v>
      </c>
      <c r="N2609">
        <v>1.24</v>
      </c>
      <c r="O2609" t="str">
        <f t="shared" si="81"/>
        <v>1+ hours</v>
      </c>
      <c r="P2609" t="s">
        <v>25</v>
      </c>
    </row>
    <row r="2610" spans="1:16" x14ac:dyDescent="0.4">
      <c r="A2610" t="s">
        <v>2651</v>
      </c>
      <c r="B2610">
        <v>32</v>
      </c>
      <c r="C2610" t="s">
        <v>15</v>
      </c>
      <c r="D2610" t="s">
        <v>22</v>
      </c>
      <c r="E2610">
        <v>27.77</v>
      </c>
      <c r="F2610">
        <v>2</v>
      </c>
      <c r="G2610" t="s">
        <v>33</v>
      </c>
      <c r="H2610" t="s">
        <v>57</v>
      </c>
      <c r="I2610" s="2">
        <v>13.99</v>
      </c>
      <c r="J2610">
        <v>0</v>
      </c>
      <c r="K2610" s="2">
        <f t="shared" si="80"/>
        <v>0</v>
      </c>
      <c r="L2610" t="s">
        <v>29</v>
      </c>
      <c r="M2610">
        <v>3</v>
      </c>
      <c r="N2610">
        <v>9.26</v>
      </c>
      <c r="O2610" t="str">
        <f t="shared" si="81"/>
        <v>1+ hours</v>
      </c>
      <c r="P2610" t="s">
        <v>25</v>
      </c>
    </row>
    <row r="2611" spans="1:16" x14ac:dyDescent="0.4">
      <c r="A2611" t="s">
        <v>2652</v>
      </c>
      <c r="B2611">
        <v>24</v>
      </c>
      <c r="C2611" t="s">
        <v>15</v>
      </c>
      <c r="D2611" t="s">
        <v>22</v>
      </c>
      <c r="E2611">
        <v>1.57</v>
      </c>
      <c r="F2611">
        <v>16</v>
      </c>
      <c r="G2611" t="s">
        <v>17</v>
      </c>
      <c r="H2611" t="s">
        <v>46</v>
      </c>
      <c r="I2611" s="2">
        <v>13.99</v>
      </c>
      <c r="J2611">
        <v>0</v>
      </c>
      <c r="K2611" s="2">
        <f t="shared" si="80"/>
        <v>0</v>
      </c>
      <c r="L2611" t="s">
        <v>43</v>
      </c>
      <c r="M2611">
        <v>5</v>
      </c>
      <c r="N2611">
        <v>0.09</v>
      </c>
      <c r="O2611" t="str">
        <f t="shared" si="81"/>
        <v>0–0.2 hours</v>
      </c>
      <c r="P2611" t="s">
        <v>52</v>
      </c>
    </row>
    <row r="2612" spans="1:16" x14ac:dyDescent="0.4">
      <c r="A2612" t="s">
        <v>2653</v>
      </c>
      <c r="B2612">
        <v>24</v>
      </c>
      <c r="C2612" t="s">
        <v>15</v>
      </c>
      <c r="D2612" t="s">
        <v>22</v>
      </c>
      <c r="E2612">
        <v>5.4</v>
      </c>
      <c r="F2612">
        <v>7</v>
      </c>
      <c r="G2612" t="s">
        <v>28</v>
      </c>
      <c r="H2612" t="s">
        <v>46</v>
      </c>
      <c r="I2612" s="2">
        <v>13.99</v>
      </c>
      <c r="J2612">
        <v>0</v>
      </c>
      <c r="K2612" s="2">
        <f t="shared" si="80"/>
        <v>0</v>
      </c>
      <c r="L2612" t="s">
        <v>19</v>
      </c>
      <c r="M2612">
        <v>5</v>
      </c>
      <c r="N2612">
        <v>0.68</v>
      </c>
      <c r="O2612" t="str">
        <f t="shared" si="81"/>
        <v>0.6–0.8 hours</v>
      </c>
      <c r="P2612" t="s">
        <v>25</v>
      </c>
    </row>
    <row r="2613" spans="1:16" x14ac:dyDescent="0.4">
      <c r="A2613" t="s">
        <v>2654</v>
      </c>
      <c r="B2613">
        <v>31</v>
      </c>
      <c r="C2613" t="s">
        <v>41</v>
      </c>
      <c r="D2613" t="s">
        <v>16</v>
      </c>
      <c r="E2613">
        <v>3.86</v>
      </c>
      <c r="F2613">
        <v>8</v>
      </c>
      <c r="G2613" t="s">
        <v>23</v>
      </c>
      <c r="H2613" t="s">
        <v>18</v>
      </c>
      <c r="I2613" s="2">
        <v>8.99</v>
      </c>
      <c r="J2613">
        <v>1</v>
      </c>
      <c r="K2613" s="2">
        <f t="shared" si="80"/>
        <v>8.99</v>
      </c>
      <c r="L2613" t="s">
        <v>43</v>
      </c>
      <c r="M2613">
        <v>4</v>
      </c>
      <c r="N2613">
        <v>0.43</v>
      </c>
      <c r="O2613" t="str">
        <f t="shared" si="81"/>
        <v>0.4–0.6 hours</v>
      </c>
      <c r="P2613" t="s">
        <v>20</v>
      </c>
    </row>
    <row r="2614" spans="1:16" x14ac:dyDescent="0.4">
      <c r="A2614" t="s">
        <v>2655</v>
      </c>
      <c r="B2614">
        <v>34</v>
      </c>
      <c r="C2614" t="s">
        <v>15</v>
      </c>
      <c r="D2614" t="s">
        <v>32</v>
      </c>
      <c r="E2614">
        <v>10.51</v>
      </c>
      <c r="F2614">
        <v>13</v>
      </c>
      <c r="G2614" t="s">
        <v>23</v>
      </c>
      <c r="H2614" t="s">
        <v>55</v>
      </c>
      <c r="I2614" s="2">
        <v>17.989999999999998</v>
      </c>
      <c r="J2614">
        <v>0</v>
      </c>
      <c r="K2614" s="2">
        <f t="shared" si="80"/>
        <v>0</v>
      </c>
      <c r="L2614" t="s">
        <v>61</v>
      </c>
      <c r="M2614">
        <v>5</v>
      </c>
      <c r="N2614">
        <v>0.75</v>
      </c>
      <c r="O2614" t="str">
        <f t="shared" si="81"/>
        <v>0.6–0.8 hours</v>
      </c>
      <c r="P2614" t="s">
        <v>34</v>
      </c>
    </row>
    <row r="2615" spans="1:16" x14ac:dyDescent="0.4">
      <c r="A2615" t="s">
        <v>2656</v>
      </c>
      <c r="B2615">
        <v>70</v>
      </c>
      <c r="C2615" t="s">
        <v>27</v>
      </c>
      <c r="D2615" t="s">
        <v>16</v>
      </c>
      <c r="E2615">
        <v>7.47</v>
      </c>
      <c r="F2615">
        <v>58</v>
      </c>
      <c r="G2615" t="s">
        <v>70</v>
      </c>
      <c r="H2615" t="s">
        <v>55</v>
      </c>
      <c r="I2615" s="2">
        <v>8.99</v>
      </c>
      <c r="J2615">
        <v>1</v>
      </c>
      <c r="K2615" s="2">
        <f t="shared" si="80"/>
        <v>8.99</v>
      </c>
      <c r="L2615" t="s">
        <v>19</v>
      </c>
      <c r="M2615">
        <v>2</v>
      </c>
      <c r="N2615">
        <v>0.13</v>
      </c>
      <c r="O2615" t="str">
        <f t="shared" si="81"/>
        <v>0–0.2 hours</v>
      </c>
      <c r="P2615" t="s">
        <v>39</v>
      </c>
    </row>
    <row r="2616" spans="1:16" x14ac:dyDescent="0.4">
      <c r="A2616" t="s">
        <v>2657</v>
      </c>
      <c r="B2616">
        <v>18</v>
      </c>
      <c r="C2616" t="s">
        <v>41</v>
      </c>
      <c r="D2616" t="s">
        <v>32</v>
      </c>
      <c r="E2616">
        <v>0.72</v>
      </c>
      <c r="F2616">
        <v>47</v>
      </c>
      <c r="G2616" t="s">
        <v>33</v>
      </c>
      <c r="H2616" t="s">
        <v>18</v>
      </c>
      <c r="I2616" s="2">
        <v>17.989999999999998</v>
      </c>
      <c r="J2616">
        <v>1</v>
      </c>
      <c r="K2616" s="2">
        <f t="shared" si="80"/>
        <v>17.989999999999998</v>
      </c>
      <c r="L2616" t="s">
        <v>29</v>
      </c>
      <c r="M2616">
        <v>3</v>
      </c>
      <c r="N2616">
        <v>0.01</v>
      </c>
      <c r="O2616" t="str">
        <f t="shared" si="81"/>
        <v>0–0.2 hours</v>
      </c>
      <c r="P2616" t="s">
        <v>52</v>
      </c>
    </row>
    <row r="2617" spans="1:16" x14ac:dyDescent="0.4">
      <c r="A2617" t="s">
        <v>2658</v>
      </c>
      <c r="B2617">
        <v>49</v>
      </c>
      <c r="C2617" t="s">
        <v>41</v>
      </c>
      <c r="D2617" t="s">
        <v>16</v>
      </c>
      <c r="E2617">
        <v>18.97</v>
      </c>
      <c r="F2617">
        <v>60</v>
      </c>
      <c r="G2617" t="s">
        <v>33</v>
      </c>
      <c r="H2617" t="s">
        <v>24</v>
      </c>
      <c r="I2617" s="2">
        <v>8.99</v>
      </c>
      <c r="J2617">
        <v>1</v>
      </c>
      <c r="K2617" s="2">
        <f t="shared" si="80"/>
        <v>8.99</v>
      </c>
      <c r="L2617" t="s">
        <v>19</v>
      </c>
      <c r="M2617">
        <v>3</v>
      </c>
      <c r="N2617">
        <v>0.31</v>
      </c>
      <c r="O2617" t="str">
        <f t="shared" si="81"/>
        <v>0.2–0.4 hours</v>
      </c>
      <c r="P2617" t="s">
        <v>20</v>
      </c>
    </row>
    <row r="2618" spans="1:16" x14ac:dyDescent="0.4">
      <c r="A2618" t="s">
        <v>2659</v>
      </c>
      <c r="B2618">
        <v>25</v>
      </c>
      <c r="C2618" t="s">
        <v>27</v>
      </c>
      <c r="D2618" t="s">
        <v>16</v>
      </c>
      <c r="E2618">
        <v>4.0199999999999996</v>
      </c>
      <c r="F2618">
        <v>48</v>
      </c>
      <c r="G2618" t="s">
        <v>70</v>
      </c>
      <c r="H2618" t="s">
        <v>55</v>
      </c>
      <c r="I2618" s="2">
        <v>8.99</v>
      </c>
      <c r="J2618">
        <v>1</v>
      </c>
      <c r="K2618" s="2">
        <f t="shared" si="80"/>
        <v>8.99</v>
      </c>
      <c r="L2618" t="s">
        <v>61</v>
      </c>
      <c r="M2618">
        <v>4</v>
      </c>
      <c r="N2618">
        <v>0.08</v>
      </c>
      <c r="O2618" t="str">
        <f t="shared" si="81"/>
        <v>0–0.2 hours</v>
      </c>
      <c r="P2618" t="s">
        <v>25</v>
      </c>
    </row>
    <row r="2619" spans="1:16" x14ac:dyDescent="0.4">
      <c r="A2619" t="s">
        <v>2660</v>
      </c>
      <c r="B2619">
        <v>23</v>
      </c>
      <c r="C2619" t="s">
        <v>27</v>
      </c>
      <c r="D2619" t="s">
        <v>16</v>
      </c>
      <c r="E2619">
        <v>13.62</v>
      </c>
      <c r="F2619">
        <v>33</v>
      </c>
      <c r="G2619" t="s">
        <v>33</v>
      </c>
      <c r="H2619" t="s">
        <v>55</v>
      </c>
      <c r="I2619" s="2">
        <v>8.99</v>
      </c>
      <c r="J2619">
        <v>1</v>
      </c>
      <c r="K2619" s="2">
        <f t="shared" si="80"/>
        <v>8.99</v>
      </c>
      <c r="L2619" t="s">
        <v>19</v>
      </c>
      <c r="M2619">
        <v>2</v>
      </c>
      <c r="N2619">
        <v>0.4</v>
      </c>
      <c r="O2619" t="str">
        <f t="shared" si="81"/>
        <v>0.2–0.4 hours</v>
      </c>
      <c r="P2619" t="s">
        <v>47</v>
      </c>
    </row>
    <row r="2620" spans="1:16" x14ac:dyDescent="0.4">
      <c r="A2620" t="s">
        <v>2661</v>
      </c>
      <c r="B2620">
        <v>32</v>
      </c>
      <c r="C2620" t="s">
        <v>27</v>
      </c>
      <c r="D2620" t="s">
        <v>22</v>
      </c>
      <c r="E2620">
        <v>4.6900000000000004</v>
      </c>
      <c r="F2620">
        <v>48</v>
      </c>
      <c r="G2620" t="s">
        <v>49</v>
      </c>
      <c r="H2620" t="s">
        <v>46</v>
      </c>
      <c r="I2620" s="2">
        <v>13.99</v>
      </c>
      <c r="J2620">
        <v>1</v>
      </c>
      <c r="K2620" s="2">
        <f t="shared" si="80"/>
        <v>13.99</v>
      </c>
      <c r="L2620" t="s">
        <v>61</v>
      </c>
      <c r="M2620">
        <v>4</v>
      </c>
      <c r="N2620">
        <v>0.1</v>
      </c>
      <c r="O2620" t="str">
        <f t="shared" si="81"/>
        <v>0–0.2 hours</v>
      </c>
      <c r="P2620" t="s">
        <v>25</v>
      </c>
    </row>
    <row r="2621" spans="1:16" x14ac:dyDescent="0.4">
      <c r="A2621" t="s">
        <v>2662</v>
      </c>
      <c r="B2621">
        <v>19</v>
      </c>
      <c r="C2621" t="s">
        <v>27</v>
      </c>
      <c r="D2621" t="s">
        <v>22</v>
      </c>
      <c r="E2621">
        <v>1.68</v>
      </c>
      <c r="F2621">
        <v>6</v>
      </c>
      <c r="G2621" t="s">
        <v>70</v>
      </c>
      <c r="H2621" t="s">
        <v>46</v>
      </c>
      <c r="I2621" s="2">
        <v>13.99</v>
      </c>
      <c r="J2621">
        <v>0</v>
      </c>
      <c r="K2621" s="2">
        <f t="shared" si="80"/>
        <v>0</v>
      </c>
      <c r="L2621" t="s">
        <v>61</v>
      </c>
      <c r="M2621">
        <v>3</v>
      </c>
      <c r="N2621">
        <v>0.24</v>
      </c>
      <c r="O2621" t="str">
        <f t="shared" si="81"/>
        <v>0.2–0.4 hours</v>
      </c>
      <c r="P2621" t="s">
        <v>52</v>
      </c>
    </row>
    <row r="2622" spans="1:16" x14ac:dyDescent="0.4">
      <c r="A2622" t="s">
        <v>2663</v>
      </c>
      <c r="B2622">
        <v>21</v>
      </c>
      <c r="C2622" t="s">
        <v>41</v>
      </c>
      <c r="D2622" t="s">
        <v>22</v>
      </c>
      <c r="E2622">
        <v>8.69</v>
      </c>
      <c r="F2622">
        <v>22</v>
      </c>
      <c r="G2622" t="s">
        <v>49</v>
      </c>
      <c r="H2622" t="s">
        <v>55</v>
      </c>
      <c r="I2622" s="2">
        <v>13.99</v>
      </c>
      <c r="J2622">
        <v>0</v>
      </c>
      <c r="K2622" s="2">
        <f t="shared" si="80"/>
        <v>0</v>
      </c>
      <c r="L2622" t="s">
        <v>61</v>
      </c>
      <c r="M2622">
        <v>2</v>
      </c>
      <c r="N2622">
        <v>0.38</v>
      </c>
      <c r="O2622" t="str">
        <f t="shared" si="81"/>
        <v>0.2–0.4 hours</v>
      </c>
      <c r="P2622" t="s">
        <v>34</v>
      </c>
    </row>
    <row r="2623" spans="1:16" x14ac:dyDescent="0.4">
      <c r="A2623" t="s">
        <v>2664</v>
      </c>
      <c r="B2623">
        <v>57</v>
      </c>
      <c r="C2623" t="s">
        <v>41</v>
      </c>
      <c r="D2623" t="s">
        <v>22</v>
      </c>
      <c r="E2623">
        <v>12.67</v>
      </c>
      <c r="F2623">
        <v>50</v>
      </c>
      <c r="G2623" t="s">
        <v>70</v>
      </c>
      <c r="H2623" t="s">
        <v>18</v>
      </c>
      <c r="I2623" s="2">
        <v>13.99</v>
      </c>
      <c r="J2623">
        <v>1</v>
      </c>
      <c r="K2623" s="2">
        <f t="shared" si="80"/>
        <v>13.99</v>
      </c>
      <c r="L2623" t="s">
        <v>29</v>
      </c>
      <c r="M2623">
        <v>2</v>
      </c>
      <c r="N2623">
        <v>0.25</v>
      </c>
      <c r="O2623" t="str">
        <f t="shared" si="81"/>
        <v>0.2–0.4 hours</v>
      </c>
      <c r="P2623" t="s">
        <v>52</v>
      </c>
    </row>
    <row r="2624" spans="1:16" x14ac:dyDescent="0.4">
      <c r="A2624" t="s">
        <v>2665</v>
      </c>
      <c r="B2624">
        <v>53</v>
      </c>
      <c r="C2624" t="s">
        <v>41</v>
      </c>
      <c r="D2624" t="s">
        <v>22</v>
      </c>
      <c r="E2624">
        <v>13.02</v>
      </c>
      <c r="F2624">
        <v>41</v>
      </c>
      <c r="G2624" t="s">
        <v>17</v>
      </c>
      <c r="H2624" t="s">
        <v>18</v>
      </c>
      <c r="I2624" s="2">
        <v>13.99</v>
      </c>
      <c r="J2624">
        <v>1</v>
      </c>
      <c r="K2624" s="2">
        <f t="shared" si="80"/>
        <v>13.99</v>
      </c>
      <c r="L2624" t="s">
        <v>19</v>
      </c>
      <c r="M2624">
        <v>3</v>
      </c>
      <c r="N2624">
        <v>0.31</v>
      </c>
      <c r="O2624" t="str">
        <f t="shared" si="81"/>
        <v>0.2–0.4 hours</v>
      </c>
      <c r="P2624" t="s">
        <v>39</v>
      </c>
    </row>
    <row r="2625" spans="1:16" x14ac:dyDescent="0.4">
      <c r="A2625" t="s">
        <v>2666</v>
      </c>
      <c r="B2625">
        <v>67</v>
      </c>
      <c r="C2625" t="s">
        <v>15</v>
      </c>
      <c r="D2625" t="s">
        <v>32</v>
      </c>
      <c r="E2625">
        <v>53.67</v>
      </c>
      <c r="F2625">
        <v>47</v>
      </c>
      <c r="G2625" t="s">
        <v>17</v>
      </c>
      <c r="H2625" t="s">
        <v>46</v>
      </c>
      <c r="I2625" s="2">
        <v>17.989999999999998</v>
      </c>
      <c r="J2625">
        <v>0</v>
      </c>
      <c r="K2625" s="2">
        <f t="shared" si="80"/>
        <v>0</v>
      </c>
      <c r="L2625" t="s">
        <v>43</v>
      </c>
      <c r="M2625">
        <v>2</v>
      </c>
      <c r="N2625">
        <v>1.1200000000000001</v>
      </c>
      <c r="O2625" t="str">
        <f t="shared" si="81"/>
        <v>1+ hours</v>
      </c>
      <c r="P2625" t="s">
        <v>39</v>
      </c>
    </row>
    <row r="2626" spans="1:16" x14ac:dyDescent="0.4">
      <c r="A2626" t="s">
        <v>2667</v>
      </c>
      <c r="B2626">
        <v>66</v>
      </c>
      <c r="C2626" t="s">
        <v>41</v>
      </c>
      <c r="D2626" t="s">
        <v>32</v>
      </c>
      <c r="E2626">
        <v>11.94</v>
      </c>
      <c r="F2626">
        <v>43</v>
      </c>
      <c r="G2626" t="s">
        <v>28</v>
      </c>
      <c r="H2626" t="s">
        <v>57</v>
      </c>
      <c r="I2626" s="2">
        <v>17.989999999999998</v>
      </c>
      <c r="J2626">
        <v>0</v>
      </c>
      <c r="K2626" s="2">
        <f t="shared" si="80"/>
        <v>0</v>
      </c>
      <c r="L2626" t="s">
        <v>61</v>
      </c>
      <c r="M2626">
        <v>4</v>
      </c>
      <c r="N2626">
        <v>0.27</v>
      </c>
      <c r="O2626" t="str">
        <f t="shared" si="81"/>
        <v>0.2–0.4 hours</v>
      </c>
      <c r="P2626" t="s">
        <v>52</v>
      </c>
    </row>
    <row r="2627" spans="1:16" x14ac:dyDescent="0.4">
      <c r="A2627" t="s">
        <v>2668</v>
      </c>
      <c r="B2627">
        <v>33</v>
      </c>
      <c r="C2627" t="s">
        <v>41</v>
      </c>
      <c r="D2627" t="s">
        <v>16</v>
      </c>
      <c r="E2627">
        <v>24.4</v>
      </c>
      <c r="F2627">
        <v>35</v>
      </c>
      <c r="G2627" t="s">
        <v>23</v>
      </c>
      <c r="H2627" t="s">
        <v>18</v>
      </c>
      <c r="I2627" s="2">
        <v>8.99</v>
      </c>
      <c r="J2627">
        <v>0</v>
      </c>
      <c r="K2627" s="2">
        <f t="shared" ref="K2627:K2690" si="82">SUMIF(J2627,1,I2627)</f>
        <v>0</v>
      </c>
      <c r="L2627" t="s">
        <v>43</v>
      </c>
      <c r="M2627">
        <v>2</v>
      </c>
      <c r="N2627">
        <v>0.68</v>
      </c>
      <c r="O2627" t="str">
        <f t="shared" ref="O2627:O2690" si="83">IF(N2627&gt;1,"1+ hours",IF(N2627&lt;=0.2,"0–0.2 hours",IF(N2627&lt;=0.4,"0.2–0.4 hours",IF(N2627&lt;=0.6,"0.4–0.6 hours",IF(N2627&lt;=0.8,"0.6–0.8 hours","0.8–1 hour")))))</f>
        <v>0.6–0.8 hours</v>
      </c>
      <c r="P2627" t="s">
        <v>30</v>
      </c>
    </row>
    <row r="2628" spans="1:16" x14ac:dyDescent="0.4">
      <c r="A2628" t="s">
        <v>2669</v>
      </c>
      <c r="B2628">
        <v>23</v>
      </c>
      <c r="C2628" t="s">
        <v>27</v>
      </c>
      <c r="D2628" t="s">
        <v>32</v>
      </c>
      <c r="E2628">
        <v>3</v>
      </c>
      <c r="F2628">
        <v>59</v>
      </c>
      <c r="G2628" t="s">
        <v>49</v>
      </c>
      <c r="H2628" t="s">
        <v>55</v>
      </c>
      <c r="I2628" s="2">
        <v>17.989999999999998</v>
      </c>
      <c r="J2628">
        <v>1</v>
      </c>
      <c r="K2628" s="2">
        <f t="shared" si="82"/>
        <v>17.989999999999998</v>
      </c>
      <c r="L2628" t="s">
        <v>29</v>
      </c>
      <c r="M2628">
        <v>5</v>
      </c>
      <c r="N2628">
        <v>0.05</v>
      </c>
      <c r="O2628" t="str">
        <f t="shared" si="83"/>
        <v>0–0.2 hours</v>
      </c>
      <c r="P2628" t="s">
        <v>25</v>
      </c>
    </row>
    <row r="2629" spans="1:16" x14ac:dyDescent="0.4">
      <c r="A2629" t="s">
        <v>2670</v>
      </c>
      <c r="B2629">
        <v>58</v>
      </c>
      <c r="C2629" t="s">
        <v>41</v>
      </c>
      <c r="D2629" t="s">
        <v>22</v>
      </c>
      <c r="E2629">
        <v>12.42</v>
      </c>
      <c r="F2629">
        <v>20</v>
      </c>
      <c r="G2629" t="s">
        <v>33</v>
      </c>
      <c r="H2629" t="s">
        <v>57</v>
      </c>
      <c r="I2629" s="2">
        <v>13.99</v>
      </c>
      <c r="J2629">
        <v>0</v>
      </c>
      <c r="K2629" s="2">
        <f t="shared" si="82"/>
        <v>0</v>
      </c>
      <c r="L2629" t="s">
        <v>61</v>
      </c>
      <c r="M2629">
        <v>5</v>
      </c>
      <c r="N2629">
        <v>0.59</v>
      </c>
      <c r="O2629" t="str">
        <f t="shared" si="83"/>
        <v>0.4–0.6 hours</v>
      </c>
      <c r="P2629" t="s">
        <v>39</v>
      </c>
    </row>
    <row r="2630" spans="1:16" x14ac:dyDescent="0.4">
      <c r="A2630" t="s">
        <v>2671</v>
      </c>
      <c r="B2630">
        <v>49</v>
      </c>
      <c r="C2630" t="s">
        <v>41</v>
      </c>
      <c r="D2630" t="s">
        <v>22</v>
      </c>
      <c r="E2630">
        <v>35.69</v>
      </c>
      <c r="F2630">
        <v>42</v>
      </c>
      <c r="G2630" t="s">
        <v>70</v>
      </c>
      <c r="H2630" t="s">
        <v>18</v>
      </c>
      <c r="I2630" s="2">
        <v>13.99</v>
      </c>
      <c r="J2630">
        <v>0</v>
      </c>
      <c r="K2630" s="2">
        <f t="shared" si="82"/>
        <v>0</v>
      </c>
      <c r="L2630" t="s">
        <v>61</v>
      </c>
      <c r="M2630">
        <v>2</v>
      </c>
      <c r="N2630">
        <v>0.83</v>
      </c>
      <c r="O2630" t="str">
        <f t="shared" si="83"/>
        <v>0.8–1 hour</v>
      </c>
      <c r="P2630" t="s">
        <v>30</v>
      </c>
    </row>
    <row r="2631" spans="1:16" x14ac:dyDescent="0.4">
      <c r="A2631" t="s">
        <v>2672</v>
      </c>
      <c r="B2631">
        <v>24</v>
      </c>
      <c r="C2631" t="s">
        <v>27</v>
      </c>
      <c r="D2631" t="s">
        <v>22</v>
      </c>
      <c r="E2631">
        <v>12.3</v>
      </c>
      <c r="F2631">
        <v>32</v>
      </c>
      <c r="G2631" t="s">
        <v>28</v>
      </c>
      <c r="H2631" t="s">
        <v>46</v>
      </c>
      <c r="I2631" s="2">
        <v>13.99</v>
      </c>
      <c r="J2631">
        <v>1</v>
      </c>
      <c r="K2631" s="2">
        <f t="shared" si="82"/>
        <v>13.99</v>
      </c>
      <c r="L2631" t="s">
        <v>19</v>
      </c>
      <c r="M2631">
        <v>4</v>
      </c>
      <c r="N2631">
        <v>0.37</v>
      </c>
      <c r="O2631" t="str">
        <f t="shared" si="83"/>
        <v>0.2–0.4 hours</v>
      </c>
      <c r="P2631" t="s">
        <v>47</v>
      </c>
    </row>
    <row r="2632" spans="1:16" x14ac:dyDescent="0.4">
      <c r="A2632" t="s">
        <v>2673</v>
      </c>
      <c r="B2632">
        <v>57</v>
      </c>
      <c r="C2632" t="s">
        <v>27</v>
      </c>
      <c r="D2632" t="s">
        <v>32</v>
      </c>
      <c r="E2632">
        <v>23.63</v>
      </c>
      <c r="F2632">
        <v>34</v>
      </c>
      <c r="G2632" t="s">
        <v>17</v>
      </c>
      <c r="H2632" t="s">
        <v>46</v>
      </c>
      <c r="I2632" s="2">
        <v>17.989999999999998</v>
      </c>
      <c r="J2632">
        <v>0</v>
      </c>
      <c r="K2632" s="2">
        <f t="shared" si="82"/>
        <v>0</v>
      </c>
      <c r="L2632" t="s">
        <v>61</v>
      </c>
      <c r="M2632">
        <v>5</v>
      </c>
      <c r="N2632">
        <v>0.68</v>
      </c>
      <c r="O2632" t="str">
        <f t="shared" si="83"/>
        <v>0.6–0.8 hours</v>
      </c>
      <c r="P2632" t="s">
        <v>30</v>
      </c>
    </row>
    <row r="2633" spans="1:16" x14ac:dyDescent="0.4">
      <c r="A2633" t="s">
        <v>2674</v>
      </c>
      <c r="B2633">
        <v>61</v>
      </c>
      <c r="C2633" t="s">
        <v>27</v>
      </c>
      <c r="D2633" t="s">
        <v>16</v>
      </c>
      <c r="E2633">
        <v>4.4800000000000004</v>
      </c>
      <c r="F2633">
        <v>28</v>
      </c>
      <c r="G2633" t="s">
        <v>70</v>
      </c>
      <c r="H2633" t="s">
        <v>46</v>
      </c>
      <c r="I2633" s="2">
        <v>8.99</v>
      </c>
      <c r="J2633">
        <v>1</v>
      </c>
      <c r="K2633" s="2">
        <f t="shared" si="82"/>
        <v>8.99</v>
      </c>
      <c r="L2633" t="s">
        <v>19</v>
      </c>
      <c r="M2633">
        <v>5</v>
      </c>
      <c r="N2633">
        <v>0.15</v>
      </c>
      <c r="O2633" t="str">
        <f t="shared" si="83"/>
        <v>0–0.2 hours</v>
      </c>
      <c r="P2633" t="s">
        <v>20</v>
      </c>
    </row>
    <row r="2634" spans="1:16" x14ac:dyDescent="0.4">
      <c r="A2634" t="s">
        <v>2675</v>
      </c>
      <c r="B2634">
        <v>38</v>
      </c>
      <c r="C2634" t="s">
        <v>27</v>
      </c>
      <c r="D2634" t="s">
        <v>22</v>
      </c>
      <c r="E2634">
        <v>3.26</v>
      </c>
      <c r="F2634">
        <v>20</v>
      </c>
      <c r="G2634" t="s">
        <v>33</v>
      </c>
      <c r="H2634" t="s">
        <v>46</v>
      </c>
      <c r="I2634" s="2">
        <v>13.99</v>
      </c>
      <c r="J2634">
        <v>0</v>
      </c>
      <c r="K2634" s="2">
        <f t="shared" si="82"/>
        <v>0</v>
      </c>
      <c r="L2634" t="s">
        <v>43</v>
      </c>
      <c r="M2634">
        <v>4</v>
      </c>
      <c r="N2634">
        <v>0.16</v>
      </c>
      <c r="O2634" t="str">
        <f t="shared" si="83"/>
        <v>0–0.2 hours</v>
      </c>
      <c r="P2634" t="s">
        <v>25</v>
      </c>
    </row>
    <row r="2635" spans="1:16" x14ac:dyDescent="0.4">
      <c r="A2635" t="s">
        <v>2676</v>
      </c>
      <c r="B2635">
        <v>67</v>
      </c>
      <c r="C2635" t="s">
        <v>15</v>
      </c>
      <c r="D2635" t="s">
        <v>16</v>
      </c>
      <c r="E2635">
        <v>4.3099999999999996</v>
      </c>
      <c r="F2635">
        <v>37</v>
      </c>
      <c r="G2635" t="s">
        <v>17</v>
      </c>
      <c r="H2635" t="s">
        <v>46</v>
      </c>
      <c r="I2635" s="2">
        <v>8.99</v>
      </c>
      <c r="J2635">
        <v>1</v>
      </c>
      <c r="K2635" s="2">
        <f t="shared" si="82"/>
        <v>8.99</v>
      </c>
      <c r="L2635" t="s">
        <v>37</v>
      </c>
      <c r="M2635">
        <v>5</v>
      </c>
      <c r="N2635">
        <v>0.11</v>
      </c>
      <c r="O2635" t="str">
        <f t="shared" si="83"/>
        <v>0–0.2 hours</v>
      </c>
      <c r="P2635" t="s">
        <v>25</v>
      </c>
    </row>
    <row r="2636" spans="1:16" x14ac:dyDescent="0.4">
      <c r="A2636" t="s">
        <v>2677</v>
      </c>
      <c r="B2636">
        <v>64</v>
      </c>
      <c r="C2636" t="s">
        <v>27</v>
      </c>
      <c r="D2636" t="s">
        <v>32</v>
      </c>
      <c r="E2636">
        <v>6.41</v>
      </c>
      <c r="F2636">
        <v>4</v>
      </c>
      <c r="G2636" t="s">
        <v>70</v>
      </c>
      <c r="H2636" t="s">
        <v>57</v>
      </c>
      <c r="I2636" s="2">
        <v>17.989999999999998</v>
      </c>
      <c r="J2636">
        <v>0</v>
      </c>
      <c r="K2636" s="2">
        <f t="shared" si="82"/>
        <v>0</v>
      </c>
      <c r="L2636" t="s">
        <v>61</v>
      </c>
      <c r="M2636">
        <v>1</v>
      </c>
      <c r="N2636">
        <v>1.28</v>
      </c>
      <c r="O2636" t="str">
        <f t="shared" si="83"/>
        <v>1+ hours</v>
      </c>
      <c r="P2636" t="s">
        <v>25</v>
      </c>
    </row>
    <row r="2637" spans="1:16" x14ac:dyDescent="0.4">
      <c r="A2637" t="s">
        <v>2678</v>
      </c>
      <c r="B2637">
        <v>26</v>
      </c>
      <c r="C2637" t="s">
        <v>41</v>
      </c>
      <c r="D2637" t="s">
        <v>22</v>
      </c>
      <c r="E2637">
        <v>24.88</v>
      </c>
      <c r="F2637">
        <v>15</v>
      </c>
      <c r="G2637" t="s">
        <v>28</v>
      </c>
      <c r="H2637" t="s">
        <v>57</v>
      </c>
      <c r="I2637" s="2">
        <v>13.99</v>
      </c>
      <c r="J2637">
        <v>0</v>
      </c>
      <c r="K2637" s="2">
        <f t="shared" si="82"/>
        <v>0</v>
      </c>
      <c r="L2637" t="s">
        <v>19</v>
      </c>
      <c r="M2637">
        <v>1</v>
      </c>
      <c r="N2637">
        <v>1.55</v>
      </c>
      <c r="O2637" t="str">
        <f t="shared" si="83"/>
        <v>1+ hours</v>
      </c>
      <c r="P2637" t="s">
        <v>20</v>
      </c>
    </row>
    <row r="2638" spans="1:16" x14ac:dyDescent="0.4">
      <c r="A2638" t="s">
        <v>2679</v>
      </c>
      <c r="B2638">
        <v>68</v>
      </c>
      <c r="C2638" t="s">
        <v>27</v>
      </c>
      <c r="D2638" t="s">
        <v>16</v>
      </c>
      <c r="E2638">
        <v>9.48</v>
      </c>
      <c r="F2638">
        <v>4</v>
      </c>
      <c r="G2638" t="s">
        <v>33</v>
      </c>
      <c r="H2638" t="s">
        <v>57</v>
      </c>
      <c r="I2638" s="2">
        <v>8.99</v>
      </c>
      <c r="J2638">
        <v>0</v>
      </c>
      <c r="K2638" s="2">
        <f t="shared" si="82"/>
        <v>0</v>
      </c>
      <c r="L2638" t="s">
        <v>61</v>
      </c>
      <c r="M2638">
        <v>2</v>
      </c>
      <c r="N2638">
        <v>1.9</v>
      </c>
      <c r="O2638" t="str">
        <f t="shared" si="83"/>
        <v>1+ hours</v>
      </c>
      <c r="P2638" t="s">
        <v>30</v>
      </c>
    </row>
    <row r="2639" spans="1:16" x14ac:dyDescent="0.4">
      <c r="A2639" t="s">
        <v>2680</v>
      </c>
      <c r="B2639">
        <v>27</v>
      </c>
      <c r="C2639" t="s">
        <v>27</v>
      </c>
      <c r="D2639" t="s">
        <v>16</v>
      </c>
      <c r="E2639">
        <v>7.52</v>
      </c>
      <c r="F2639">
        <v>34</v>
      </c>
      <c r="G2639" t="s">
        <v>33</v>
      </c>
      <c r="H2639" t="s">
        <v>24</v>
      </c>
      <c r="I2639" s="2">
        <v>8.99</v>
      </c>
      <c r="J2639">
        <v>1</v>
      </c>
      <c r="K2639" s="2">
        <f t="shared" si="82"/>
        <v>8.99</v>
      </c>
      <c r="L2639" t="s">
        <v>29</v>
      </c>
      <c r="M2639">
        <v>5</v>
      </c>
      <c r="N2639">
        <v>0.21</v>
      </c>
      <c r="O2639" t="str">
        <f t="shared" si="83"/>
        <v>0.2–0.4 hours</v>
      </c>
      <c r="P2639" t="s">
        <v>39</v>
      </c>
    </row>
    <row r="2640" spans="1:16" x14ac:dyDescent="0.4">
      <c r="A2640" t="s">
        <v>2681</v>
      </c>
      <c r="B2640">
        <v>24</v>
      </c>
      <c r="C2640" t="s">
        <v>15</v>
      </c>
      <c r="D2640" t="s">
        <v>22</v>
      </c>
      <c r="E2640">
        <v>17.37</v>
      </c>
      <c r="F2640">
        <v>17</v>
      </c>
      <c r="G2640" t="s">
        <v>17</v>
      </c>
      <c r="H2640" t="s">
        <v>55</v>
      </c>
      <c r="I2640" s="2">
        <v>13.99</v>
      </c>
      <c r="J2640">
        <v>0</v>
      </c>
      <c r="K2640" s="2">
        <f t="shared" si="82"/>
        <v>0</v>
      </c>
      <c r="L2640" t="s">
        <v>37</v>
      </c>
      <c r="M2640">
        <v>1</v>
      </c>
      <c r="N2640">
        <v>0.97</v>
      </c>
      <c r="O2640" t="str">
        <f t="shared" si="83"/>
        <v>0.8–1 hour</v>
      </c>
      <c r="P2640" t="s">
        <v>34</v>
      </c>
    </row>
    <row r="2641" spans="1:16" x14ac:dyDescent="0.4">
      <c r="A2641" t="s">
        <v>2682</v>
      </c>
      <c r="B2641">
        <v>28</v>
      </c>
      <c r="C2641" t="s">
        <v>41</v>
      </c>
      <c r="D2641" t="s">
        <v>16</v>
      </c>
      <c r="E2641">
        <v>25.3</v>
      </c>
      <c r="F2641">
        <v>8</v>
      </c>
      <c r="G2641" t="s">
        <v>70</v>
      </c>
      <c r="H2641" t="s">
        <v>57</v>
      </c>
      <c r="I2641" s="2">
        <v>8.99</v>
      </c>
      <c r="J2641">
        <v>0</v>
      </c>
      <c r="K2641" s="2">
        <f t="shared" si="82"/>
        <v>0</v>
      </c>
      <c r="L2641" t="s">
        <v>19</v>
      </c>
      <c r="M2641">
        <v>5</v>
      </c>
      <c r="N2641">
        <v>2.81</v>
      </c>
      <c r="O2641" t="str">
        <f t="shared" si="83"/>
        <v>1+ hours</v>
      </c>
      <c r="P2641" t="s">
        <v>34</v>
      </c>
    </row>
    <row r="2642" spans="1:16" x14ac:dyDescent="0.4">
      <c r="A2642" t="s">
        <v>2683</v>
      </c>
      <c r="B2642">
        <v>35</v>
      </c>
      <c r="C2642" t="s">
        <v>15</v>
      </c>
      <c r="D2642" t="s">
        <v>16</v>
      </c>
      <c r="E2642">
        <v>29.26</v>
      </c>
      <c r="F2642">
        <v>36</v>
      </c>
      <c r="G2642" t="s">
        <v>17</v>
      </c>
      <c r="H2642" t="s">
        <v>46</v>
      </c>
      <c r="I2642" s="2">
        <v>8.99</v>
      </c>
      <c r="J2642">
        <v>0</v>
      </c>
      <c r="K2642" s="2">
        <f t="shared" si="82"/>
        <v>0</v>
      </c>
      <c r="L2642" t="s">
        <v>37</v>
      </c>
      <c r="M2642">
        <v>1</v>
      </c>
      <c r="N2642">
        <v>0.79</v>
      </c>
      <c r="O2642" t="str">
        <f t="shared" si="83"/>
        <v>0.6–0.8 hours</v>
      </c>
      <c r="P2642" t="s">
        <v>47</v>
      </c>
    </row>
    <row r="2643" spans="1:16" x14ac:dyDescent="0.4">
      <c r="A2643" t="s">
        <v>2684</v>
      </c>
      <c r="B2643">
        <v>54</v>
      </c>
      <c r="C2643" t="s">
        <v>15</v>
      </c>
      <c r="D2643" t="s">
        <v>22</v>
      </c>
      <c r="E2643">
        <v>27.56</v>
      </c>
      <c r="F2643">
        <v>28</v>
      </c>
      <c r="G2643" t="s">
        <v>28</v>
      </c>
      <c r="H2643" t="s">
        <v>46</v>
      </c>
      <c r="I2643" s="2">
        <v>13.99</v>
      </c>
      <c r="J2643">
        <v>0</v>
      </c>
      <c r="K2643" s="2">
        <f t="shared" si="82"/>
        <v>0</v>
      </c>
      <c r="L2643" t="s">
        <v>43</v>
      </c>
      <c r="M2643">
        <v>5</v>
      </c>
      <c r="N2643">
        <v>0.95</v>
      </c>
      <c r="O2643" t="str">
        <f t="shared" si="83"/>
        <v>0.8–1 hour</v>
      </c>
      <c r="P2643" t="s">
        <v>34</v>
      </c>
    </row>
    <row r="2644" spans="1:16" x14ac:dyDescent="0.4">
      <c r="A2644" t="s">
        <v>2685</v>
      </c>
      <c r="B2644">
        <v>22</v>
      </c>
      <c r="C2644" t="s">
        <v>15</v>
      </c>
      <c r="D2644" t="s">
        <v>16</v>
      </c>
      <c r="E2644">
        <v>11.74</v>
      </c>
      <c r="F2644">
        <v>33</v>
      </c>
      <c r="G2644" t="s">
        <v>17</v>
      </c>
      <c r="H2644" t="s">
        <v>55</v>
      </c>
      <c r="I2644" s="2">
        <v>8.99</v>
      </c>
      <c r="J2644">
        <v>1</v>
      </c>
      <c r="K2644" s="2">
        <f t="shared" si="82"/>
        <v>8.99</v>
      </c>
      <c r="L2644" t="s">
        <v>29</v>
      </c>
      <c r="M2644">
        <v>2</v>
      </c>
      <c r="N2644">
        <v>0.35</v>
      </c>
      <c r="O2644" t="str">
        <f t="shared" si="83"/>
        <v>0.2–0.4 hours</v>
      </c>
      <c r="P2644" t="s">
        <v>52</v>
      </c>
    </row>
    <row r="2645" spans="1:16" x14ac:dyDescent="0.4">
      <c r="A2645" t="s">
        <v>2686</v>
      </c>
      <c r="B2645">
        <v>60</v>
      </c>
      <c r="C2645" t="s">
        <v>41</v>
      </c>
      <c r="D2645" t="s">
        <v>22</v>
      </c>
      <c r="E2645">
        <v>12.22</v>
      </c>
      <c r="F2645">
        <v>17</v>
      </c>
      <c r="G2645" t="s">
        <v>17</v>
      </c>
      <c r="H2645" t="s">
        <v>18</v>
      </c>
      <c r="I2645" s="2">
        <v>13.99</v>
      </c>
      <c r="J2645">
        <v>0</v>
      </c>
      <c r="K2645" s="2">
        <f t="shared" si="82"/>
        <v>0</v>
      </c>
      <c r="L2645" t="s">
        <v>37</v>
      </c>
      <c r="M2645">
        <v>2</v>
      </c>
      <c r="N2645">
        <v>0.68</v>
      </c>
      <c r="O2645" t="str">
        <f t="shared" si="83"/>
        <v>0.6–0.8 hours</v>
      </c>
      <c r="P2645" t="s">
        <v>30</v>
      </c>
    </row>
    <row r="2646" spans="1:16" x14ac:dyDescent="0.4">
      <c r="A2646" t="s">
        <v>2687</v>
      </c>
      <c r="B2646">
        <v>37</v>
      </c>
      <c r="C2646" t="s">
        <v>27</v>
      </c>
      <c r="D2646" t="s">
        <v>22</v>
      </c>
      <c r="E2646">
        <v>1.64</v>
      </c>
      <c r="F2646">
        <v>8</v>
      </c>
      <c r="G2646" t="s">
        <v>28</v>
      </c>
      <c r="H2646" t="s">
        <v>46</v>
      </c>
      <c r="I2646" s="2">
        <v>13.99</v>
      </c>
      <c r="J2646">
        <v>1</v>
      </c>
      <c r="K2646" s="2">
        <f t="shared" si="82"/>
        <v>13.99</v>
      </c>
      <c r="L2646" t="s">
        <v>61</v>
      </c>
      <c r="M2646">
        <v>1</v>
      </c>
      <c r="N2646">
        <v>0.18</v>
      </c>
      <c r="O2646" t="str">
        <f t="shared" si="83"/>
        <v>0–0.2 hours</v>
      </c>
      <c r="P2646" t="s">
        <v>20</v>
      </c>
    </row>
    <row r="2647" spans="1:16" x14ac:dyDescent="0.4">
      <c r="A2647" t="s">
        <v>2688</v>
      </c>
      <c r="B2647">
        <v>30</v>
      </c>
      <c r="C2647" t="s">
        <v>41</v>
      </c>
      <c r="D2647" t="s">
        <v>16</v>
      </c>
      <c r="E2647">
        <v>1.3</v>
      </c>
      <c r="F2647">
        <v>56</v>
      </c>
      <c r="G2647" t="s">
        <v>17</v>
      </c>
      <c r="H2647" t="s">
        <v>18</v>
      </c>
      <c r="I2647" s="2">
        <v>8.99</v>
      </c>
      <c r="J2647">
        <v>1</v>
      </c>
      <c r="K2647" s="2">
        <f t="shared" si="82"/>
        <v>8.99</v>
      </c>
      <c r="L2647" t="s">
        <v>61</v>
      </c>
      <c r="M2647">
        <v>1</v>
      </c>
      <c r="N2647">
        <v>0.02</v>
      </c>
      <c r="O2647" t="str">
        <f t="shared" si="83"/>
        <v>0–0.2 hours</v>
      </c>
      <c r="P2647" t="s">
        <v>52</v>
      </c>
    </row>
    <row r="2648" spans="1:16" x14ac:dyDescent="0.4">
      <c r="A2648" t="s">
        <v>2689</v>
      </c>
      <c r="B2648">
        <v>21</v>
      </c>
      <c r="C2648" t="s">
        <v>41</v>
      </c>
      <c r="D2648" t="s">
        <v>22</v>
      </c>
      <c r="E2648">
        <v>51.45</v>
      </c>
      <c r="F2648">
        <v>24</v>
      </c>
      <c r="G2648" t="s">
        <v>28</v>
      </c>
      <c r="H2648" t="s">
        <v>46</v>
      </c>
      <c r="I2648" s="2">
        <v>13.99</v>
      </c>
      <c r="J2648">
        <v>0</v>
      </c>
      <c r="K2648" s="2">
        <f t="shared" si="82"/>
        <v>0</v>
      </c>
      <c r="L2648" t="s">
        <v>61</v>
      </c>
      <c r="M2648">
        <v>1</v>
      </c>
      <c r="N2648">
        <v>2.06</v>
      </c>
      <c r="O2648" t="str">
        <f t="shared" si="83"/>
        <v>1+ hours</v>
      </c>
      <c r="P2648" t="s">
        <v>39</v>
      </c>
    </row>
    <row r="2649" spans="1:16" x14ac:dyDescent="0.4">
      <c r="A2649" t="s">
        <v>2690</v>
      </c>
      <c r="B2649">
        <v>40</v>
      </c>
      <c r="C2649" t="s">
        <v>15</v>
      </c>
      <c r="D2649" t="s">
        <v>32</v>
      </c>
      <c r="E2649">
        <v>3.41</v>
      </c>
      <c r="F2649">
        <v>26</v>
      </c>
      <c r="G2649" t="s">
        <v>70</v>
      </c>
      <c r="H2649" t="s">
        <v>18</v>
      </c>
      <c r="I2649" s="2">
        <v>17.989999999999998</v>
      </c>
      <c r="J2649">
        <v>0</v>
      </c>
      <c r="K2649" s="2">
        <f t="shared" si="82"/>
        <v>0</v>
      </c>
      <c r="L2649" t="s">
        <v>61</v>
      </c>
      <c r="M2649">
        <v>5</v>
      </c>
      <c r="N2649">
        <v>0.13</v>
      </c>
      <c r="O2649" t="str">
        <f t="shared" si="83"/>
        <v>0–0.2 hours</v>
      </c>
      <c r="P2649" t="s">
        <v>20</v>
      </c>
    </row>
    <row r="2650" spans="1:16" x14ac:dyDescent="0.4">
      <c r="A2650" t="s">
        <v>2691</v>
      </c>
      <c r="B2650">
        <v>69</v>
      </c>
      <c r="C2650" t="s">
        <v>41</v>
      </c>
      <c r="D2650" t="s">
        <v>22</v>
      </c>
      <c r="E2650">
        <v>32.200000000000003</v>
      </c>
      <c r="F2650">
        <v>13</v>
      </c>
      <c r="G2650" t="s">
        <v>28</v>
      </c>
      <c r="H2650" t="s">
        <v>24</v>
      </c>
      <c r="I2650" s="2">
        <v>13.99</v>
      </c>
      <c r="J2650">
        <v>0</v>
      </c>
      <c r="K2650" s="2">
        <f t="shared" si="82"/>
        <v>0</v>
      </c>
      <c r="L2650" t="s">
        <v>37</v>
      </c>
      <c r="M2650">
        <v>1</v>
      </c>
      <c r="N2650">
        <v>2.2999999999999998</v>
      </c>
      <c r="O2650" t="str">
        <f t="shared" si="83"/>
        <v>1+ hours</v>
      </c>
      <c r="P2650" t="s">
        <v>52</v>
      </c>
    </row>
    <row r="2651" spans="1:16" x14ac:dyDescent="0.4">
      <c r="A2651" t="s">
        <v>2692</v>
      </c>
      <c r="B2651">
        <v>29</v>
      </c>
      <c r="C2651" t="s">
        <v>15</v>
      </c>
      <c r="D2651" t="s">
        <v>16</v>
      </c>
      <c r="E2651">
        <v>15.49</v>
      </c>
      <c r="F2651">
        <v>31</v>
      </c>
      <c r="G2651" t="s">
        <v>17</v>
      </c>
      <c r="H2651" t="s">
        <v>46</v>
      </c>
      <c r="I2651" s="2">
        <v>8.99</v>
      </c>
      <c r="J2651">
        <v>1</v>
      </c>
      <c r="K2651" s="2">
        <f t="shared" si="82"/>
        <v>8.99</v>
      </c>
      <c r="L2651" t="s">
        <v>19</v>
      </c>
      <c r="M2651">
        <v>3</v>
      </c>
      <c r="N2651">
        <v>0.48</v>
      </c>
      <c r="O2651" t="str">
        <f t="shared" si="83"/>
        <v>0.4–0.6 hours</v>
      </c>
      <c r="P2651" t="s">
        <v>52</v>
      </c>
    </row>
    <row r="2652" spans="1:16" x14ac:dyDescent="0.4">
      <c r="A2652" t="s">
        <v>2693</v>
      </c>
      <c r="B2652">
        <v>60</v>
      </c>
      <c r="C2652" t="s">
        <v>27</v>
      </c>
      <c r="D2652" t="s">
        <v>32</v>
      </c>
      <c r="E2652">
        <v>16.05</v>
      </c>
      <c r="F2652">
        <v>56</v>
      </c>
      <c r="G2652" t="s">
        <v>70</v>
      </c>
      <c r="H2652" t="s">
        <v>46</v>
      </c>
      <c r="I2652" s="2">
        <v>17.989999999999998</v>
      </c>
      <c r="J2652">
        <v>0</v>
      </c>
      <c r="K2652" s="2">
        <f t="shared" si="82"/>
        <v>0</v>
      </c>
      <c r="L2652" t="s">
        <v>43</v>
      </c>
      <c r="M2652">
        <v>4</v>
      </c>
      <c r="N2652">
        <v>0.28000000000000003</v>
      </c>
      <c r="O2652" t="str">
        <f t="shared" si="83"/>
        <v>0.2–0.4 hours</v>
      </c>
      <c r="P2652" t="s">
        <v>52</v>
      </c>
    </row>
    <row r="2653" spans="1:16" x14ac:dyDescent="0.4">
      <c r="A2653" t="s">
        <v>2694</v>
      </c>
      <c r="B2653">
        <v>36</v>
      </c>
      <c r="C2653" t="s">
        <v>41</v>
      </c>
      <c r="D2653" t="s">
        <v>32</v>
      </c>
      <c r="E2653">
        <v>5.72</v>
      </c>
      <c r="F2653">
        <v>21</v>
      </c>
      <c r="G2653" t="s">
        <v>33</v>
      </c>
      <c r="H2653" t="s">
        <v>57</v>
      </c>
      <c r="I2653" s="2">
        <v>17.989999999999998</v>
      </c>
      <c r="J2653">
        <v>0</v>
      </c>
      <c r="K2653" s="2">
        <f t="shared" si="82"/>
        <v>0</v>
      </c>
      <c r="L2653" t="s">
        <v>37</v>
      </c>
      <c r="M2653">
        <v>1</v>
      </c>
      <c r="N2653">
        <v>0.26</v>
      </c>
      <c r="O2653" t="str">
        <f t="shared" si="83"/>
        <v>0.2–0.4 hours</v>
      </c>
      <c r="P2653" t="s">
        <v>47</v>
      </c>
    </row>
    <row r="2654" spans="1:16" x14ac:dyDescent="0.4">
      <c r="A2654" t="s">
        <v>2695</v>
      </c>
      <c r="B2654">
        <v>57</v>
      </c>
      <c r="C2654" t="s">
        <v>27</v>
      </c>
      <c r="D2654" t="s">
        <v>16</v>
      </c>
      <c r="E2654">
        <v>3.81</v>
      </c>
      <c r="F2654">
        <v>1</v>
      </c>
      <c r="G2654" t="s">
        <v>17</v>
      </c>
      <c r="H2654" t="s">
        <v>55</v>
      </c>
      <c r="I2654" s="2">
        <v>8.99</v>
      </c>
      <c r="J2654">
        <v>1</v>
      </c>
      <c r="K2654" s="2">
        <f t="shared" si="82"/>
        <v>8.99</v>
      </c>
      <c r="L2654" t="s">
        <v>19</v>
      </c>
      <c r="M2654">
        <v>2</v>
      </c>
      <c r="N2654">
        <v>1.91</v>
      </c>
      <c r="O2654" t="str">
        <f t="shared" si="83"/>
        <v>1+ hours</v>
      </c>
      <c r="P2654" t="s">
        <v>30</v>
      </c>
    </row>
    <row r="2655" spans="1:16" x14ac:dyDescent="0.4">
      <c r="A2655" t="s">
        <v>2696</v>
      </c>
      <c r="B2655">
        <v>19</v>
      </c>
      <c r="C2655" t="s">
        <v>27</v>
      </c>
      <c r="D2655" t="s">
        <v>22</v>
      </c>
      <c r="E2655">
        <v>8.5399999999999991</v>
      </c>
      <c r="F2655">
        <v>6</v>
      </c>
      <c r="G2655" t="s">
        <v>17</v>
      </c>
      <c r="H2655" t="s">
        <v>18</v>
      </c>
      <c r="I2655" s="2">
        <v>13.99</v>
      </c>
      <c r="J2655">
        <v>0</v>
      </c>
      <c r="K2655" s="2">
        <f t="shared" si="82"/>
        <v>0</v>
      </c>
      <c r="L2655" t="s">
        <v>61</v>
      </c>
      <c r="M2655">
        <v>3</v>
      </c>
      <c r="N2655">
        <v>1.22</v>
      </c>
      <c r="O2655" t="str">
        <f t="shared" si="83"/>
        <v>1+ hours</v>
      </c>
      <c r="P2655" t="s">
        <v>39</v>
      </c>
    </row>
    <row r="2656" spans="1:16" x14ac:dyDescent="0.4">
      <c r="A2656" t="s">
        <v>2697</v>
      </c>
      <c r="B2656">
        <v>43</v>
      </c>
      <c r="C2656" t="s">
        <v>27</v>
      </c>
      <c r="D2656" t="s">
        <v>32</v>
      </c>
      <c r="E2656">
        <v>16.600000000000001</v>
      </c>
      <c r="F2656">
        <v>17</v>
      </c>
      <c r="G2656" t="s">
        <v>70</v>
      </c>
      <c r="H2656" t="s">
        <v>46</v>
      </c>
      <c r="I2656" s="2">
        <v>17.989999999999998</v>
      </c>
      <c r="J2656">
        <v>0</v>
      </c>
      <c r="K2656" s="2">
        <f t="shared" si="82"/>
        <v>0</v>
      </c>
      <c r="L2656" t="s">
        <v>19</v>
      </c>
      <c r="M2656">
        <v>3</v>
      </c>
      <c r="N2656">
        <v>0.92</v>
      </c>
      <c r="O2656" t="str">
        <f t="shared" si="83"/>
        <v>0.8–1 hour</v>
      </c>
      <c r="P2656" t="s">
        <v>30</v>
      </c>
    </row>
    <row r="2657" spans="1:16" x14ac:dyDescent="0.4">
      <c r="A2657" t="s">
        <v>2698</v>
      </c>
      <c r="B2657">
        <v>45</v>
      </c>
      <c r="C2657" t="s">
        <v>15</v>
      </c>
      <c r="D2657" t="s">
        <v>32</v>
      </c>
      <c r="E2657">
        <v>19.18</v>
      </c>
      <c r="F2657">
        <v>49</v>
      </c>
      <c r="G2657" t="s">
        <v>70</v>
      </c>
      <c r="H2657" t="s">
        <v>24</v>
      </c>
      <c r="I2657" s="2">
        <v>17.989999999999998</v>
      </c>
      <c r="J2657">
        <v>1</v>
      </c>
      <c r="K2657" s="2">
        <f t="shared" si="82"/>
        <v>17.989999999999998</v>
      </c>
      <c r="L2657" t="s">
        <v>19</v>
      </c>
      <c r="M2657">
        <v>5</v>
      </c>
      <c r="N2657">
        <v>0.38</v>
      </c>
      <c r="O2657" t="str">
        <f t="shared" si="83"/>
        <v>0.2–0.4 hours</v>
      </c>
      <c r="P2657" t="s">
        <v>52</v>
      </c>
    </row>
    <row r="2658" spans="1:16" x14ac:dyDescent="0.4">
      <c r="A2658" t="s">
        <v>2699</v>
      </c>
      <c r="B2658">
        <v>31</v>
      </c>
      <c r="C2658" t="s">
        <v>15</v>
      </c>
      <c r="D2658" t="s">
        <v>22</v>
      </c>
      <c r="E2658">
        <v>4.1100000000000003</v>
      </c>
      <c r="F2658">
        <v>33</v>
      </c>
      <c r="G2658" t="s">
        <v>70</v>
      </c>
      <c r="H2658" t="s">
        <v>18</v>
      </c>
      <c r="I2658" s="2">
        <v>13.99</v>
      </c>
      <c r="J2658">
        <v>1</v>
      </c>
      <c r="K2658" s="2">
        <f t="shared" si="82"/>
        <v>13.99</v>
      </c>
      <c r="L2658" t="s">
        <v>29</v>
      </c>
      <c r="M2658">
        <v>5</v>
      </c>
      <c r="N2658">
        <v>0.12</v>
      </c>
      <c r="O2658" t="str">
        <f t="shared" si="83"/>
        <v>0–0.2 hours</v>
      </c>
      <c r="P2658" t="s">
        <v>30</v>
      </c>
    </row>
    <row r="2659" spans="1:16" x14ac:dyDescent="0.4">
      <c r="A2659" t="s">
        <v>2700</v>
      </c>
      <c r="B2659">
        <v>38</v>
      </c>
      <c r="C2659" t="s">
        <v>27</v>
      </c>
      <c r="D2659" t="s">
        <v>32</v>
      </c>
      <c r="E2659">
        <v>3.26</v>
      </c>
      <c r="F2659">
        <v>36</v>
      </c>
      <c r="G2659" t="s">
        <v>17</v>
      </c>
      <c r="H2659" t="s">
        <v>57</v>
      </c>
      <c r="I2659" s="2">
        <v>17.989999999999998</v>
      </c>
      <c r="J2659">
        <v>1</v>
      </c>
      <c r="K2659" s="2">
        <f t="shared" si="82"/>
        <v>17.989999999999998</v>
      </c>
      <c r="L2659" t="s">
        <v>19</v>
      </c>
      <c r="M2659">
        <v>1</v>
      </c>
      <c r="N2659">
        <v>0.09</v>
      </c>
      <c r="O2659" t="str">
        <f t="shared" si="83"/>
        <v>0–0.2 hours</v>
      </c>
      <c r="P2659" t="s">
        <v>52</v>
      </c>
    </row>
    <row r="2660" spans="1:16" x14ac:dyDescent="0.4">
      <c r="A2660" t="s">
        <v>2701</v>
      </c>
      <c r="B2660">
        <v>59</v>
      </c>
      <c r="C2660" t="s">
        <v>41</v>
      </c>
      <c r="D2660" t="s">
        <v>16</v>
      </c>
      <c r="E2660">
        <v>14.13</v>
      </c>
      <c r="F2660">
        <v>4</v>
      </c>
      <c r="G2660" t="s">
        <v>28</v>
      </c>
      <c r="H2660" t="s">
        <v>24</v>
      </c>
      <c r="I2660" s="2">
        <v>8.99</v>
      </c>
      <c r="J2660">
        <v>0</v>
      </c>
      <c r="K2660" s="2">
        <f t="shared" si="82"/>
        <v>0</v>
      </c>
      <c r="L2660" t="s">
        <v>43</v>
      </c>
      <c r="M2660">
        <v>2</v>
      </c>
      <c r="N2660">
        <v>2.83</v>
      </c>
      <c r="O2660" t="str">
        <f t="shared" si="83"/>
        <v>1+ hours</v>
      </c>
      <c r="P2660" t="s">
        <v>34</v>
      </c>
    </row>
    <row r="2661" spans="1:16" x14ac:dyDescent="0.4">
      <c r="A2661" t="s">
        <v>2702</v>
      </c>
      <c r="B2661">
        <v>42</v>
      </c>
      <c r="C2661" t="s">
        <v>41</v>
      </c>
      <c r="D2661" t="s">
        <v>32</v>
      </c>
      <c r="E2661">
        <v>3.39</v>
      </c>
      <c r="F2661">
        <v>30</v>
      </c>
      <c r="G2661" t="s">
        <v>49</v>
      </c>
      <c r="H2661" t="s">
        <v>24</v>
      </c>
      <c r="I2661" s="2">
        <v>17.989999999999998</v>
      </c>
      <c r="J2661">
        <v>0</v>
      </c>
      <c r="K2661" s="2">
        <f t="shared" si="82"/>
        <v>0</v>
      </c>
      <c r="L2661" t="s">
        <v>37</v>
      </c>
      <c r="M2661">
        <v>5</v>
      </c>
      <c r="N2661">
        <v>0.11</v>
      </c>
      <c r="O2661" t="str">
        <f t="shared" si="83"/>
        <v>0–0.2 hours</v>
      </c>
      <c r="P2661" t="s">
        <v>30</v>
      </c>
    </row>
    <row r="2662" spans="1:16" x14ac:dyDescent="0.4">
      <c r="A2662" t="s">
        <v>2703</v>
      </c>
      <c r="B2662">
        <v>47</v>
      </c>
      <c r="C2662" t="s">
        <v>15</v>
      </c>
      <c r="D2662" t="s">
        <v>16</v>
      </c>
      <c r="E2662">
        <v>14.58</v>
      </c>
      <c r="F2662">
        <v>56</v>
      </c>
      <c r="G2662" t="s">
        <v>28</v>
      </c>
      <c r="H2662" t="s">
        <v>55</v>
      </c>
      <c r="I2662" s="2">
        <v>8.99</v>
      </c>
      <c r="J2662">
        <v>1</v>
      </c>
      <c r="K2662" s="2">
        <f t="shared" si="82"/>
        <v>8.99</v>
      </c>
      <c r="L2662" t="s">
        <v>61</v>
      </c>
      <c r="M2662">
        <v>3</v>
      </c>
      <c r="N2662">
        <v>0.26</v>
      </c>
      <c r="O2662" t="str">
        <f t="shared" si="83"/>
        <v>0.2–0.4 hours</v>
      </c>
      <c r="P2662" t="s">
        <v>52</v>
      </c>
    </row>
    <row r="2663" spans="1:16" x14ac:dyDescent="0.4">
      <c r="A2663" t="s">
        <v>2704</v>
      </c>
      <c r="B2663">
        <v>58</v>
      </c>
      <c r="C2663" t="s">
        <v>41</v>
      </c>
      <c r="D2663" t="s">
        <v>32</v>
      </c>
      <c r="E2663">
        <v>23.87</v>
      </c>
      <c r="F2663">
        <v>47</v>
      </c>
      <c r="G2663" t="s">
        <v>33</v>
      </c>
      <c r="H2663" t="s">
        <v>55</v>
      </c>
      <c r="I2663" s="2">
        <v>17.989999999999998</v>
      </c>
      <c r="J2663">
        <v>0</v>
      </c>
      <c r="K2663" s="2">
        <f t="shared" si="82"/>
        <v>0</v>
      </c>
      <c r="L2663" t="s">
        <v>29</v>
      </c>
      <c r="M2663">
        <v>2</v>
      </c>
      <c r="N2663">
        <v>0.5</v>
      </c>
      <c r="O2663" t="str">
        <f t="shared" si="83"/>
        <v>0.4–0.6 hours</v>
      </c>
      <c r="P2663" t="s">
        <v>30</v>
      </c>
    </row>
    <row r="2664" spans="1:16" x14ac:dyDescent="0.4">
      <c r="A2664" t="s">
        <v>2705</v>
      </c>
      <c r="B2664">
        <v>41</v>
      </c>
      <c r="C2664" t="s">
        <v>41</v>
      </c>
      <c r="D2664" t="s">
        <v>32</v>
      </c>
      <c r="E2664">
        <v>11.91</v>
      </c>
      <c r="F2664">
        <v>18</v>
      </c>
      <c r="G2664" t="s">
        <v>49</v>
      </c>
      <c r="H2664" t="s">
        <v>57</v>
      </c>
      <c r="I2664" s="2">
        <v>17.989999999999998</v>
      </c>
      <c r="J2664">
        <v>0</v>
      </c>
      <c r="K2664" s="2">
        <f t="shared" si="82"/>
        <v>0</v>
      </c>
      <c r="L2664" t="s">
        <v>61</v>
      </c>
      <c r="M2664">
        <v>3</v>
      </c>
      <c r="N2664">
        <v>0.63</v>
      </c>
      <c r="O2664" t="str">
        <f t="shared" si="83"/>
        <v>0.6–0.8 hours</v>
      </c>
      <c r="P2664" t="s">
        <v>20</v>
      </c>
    </row>
    <row r="2665" spans="1:16" x14ac:dyDescent="0.4">
      <c r="A2665" t="s">
        <v>2706</v>
      </c>
      <c r="B2665">
        <v>40</v>
      </c>
      <c r="C2665" t="s">
        <v>15</v>
      </c>
      <c r="D2665" t="s">
        <v>22</v>
      </c>
      <c r="E2665">
        <v>0.65</v>
      </c>
      <c r="F2665">
        <v>16</v>
      </c>
      <c r="G2665" t="s">
        <v>28</v>
      </c>
      <c r="H2665" t="s">
        <v>57</v>
      </c>
      <c r="I2665" s="2">
        <v>13.99</v>
      </c>
      <c r="J2665">
        <v>1</v>
      </c>
      <c r="K2665" s="2">
        <f t="shared" si="82"/>
        <v>13.99</v>
      </c>
      <c r="L2665" t="s">
        <v>19</v>
      </c>
      <c r="M2665">
        <v>5</v>
      </c>
      <c r="N2665">
        <v>0.04</v>
      </c>
      <c r="O2665" t="str">
        <f t="shared" si="83"/>
        <v>0–0.2 hours</v>
      </c>
      <c r="P2665" t="s">
        <v>34</v>
      </c>
    </row>
    <row r="2666" spans="1:16" x14ac:dyDescent="0.4">
      <c r="A2666" t="s">
        <v>2707</v>
      </c>
      <c r="B2666">
        <v>59</v>
      </c>
      <c r="C2666" t="s">
        <v>41</v>
      </c>
      <c r="D2666" t="s">
        <v>22</v>
      </c>
      <c r="E2666">
        <v>6.99</v>
      </c>
      <c r="F2666">
        <v>28</v>
      </c>
      <c r="G2666" t="s">
        <v>28</v>
      </c>
      <c r="H2666" t="s">
        <v>24</v>
      </c>
      <c r="I2666" s="2">
        <v>13.99</v>
      </c>
      <c r="J2666">
        <v>0</v>
      </c>
      <c r="K2666" s="2">
        <f t="shared" si="82"/>
        <v>0</v>
      </c>
      <c r="L2666" t="s">
        <v>61</v>
      </c>
      <c r="M2666">
        <v>3</v>
      </c>
      <c r="N2666">
        <v>0.24</v>
      </c>
      <c r="O2666" t="str">
        <f t="shared" si="83"/>
        <v>0.2–0.4 hours</v>
      </c>
      <c r="P2666" t="s">
        <v>39</v>
      </c>
    </row>
    <row r="2667" spans="1:16" x14ac:dyDescent="0.4">
      <c r="A2667" t="s">
        <v>2708</v>
      </c>
      <c r="B2667">
        <v>52</v>
      </c>
      <c r="C2667" t="s">
        <v>27</v>
      </c>
      <c r="D2667" t="s">
        <v>32</v>
      </c>
      <c r="E2667">
        <v>2.69</v>
      </c>
      <c r="F2667">
        <v>54</v>
      </c>
      <c r="G2667" t="s">
        <v>49</v>
      </c>
      <c r="H2667" t="s">
        <v>24</v>
      </c>
      <c r="I2667" s="2">
        <v>17.989999999999998</v>
      </c>
      <c r="J2667">
        <v>1</v>
      </c>
      <c r="K2667" s="2">
        <f t="shared" si="82"/>
        <v>17.989999999999998</v>
      </c>
      <c r="L2667" t="s">
        <v>29</v>
      </c>
      <c r="M2667">
        <v>3</v>
      </c>
      <c r="N2667">
        <v>0.05</v>
      </c>
      <c r="O2667" t="str">
        <f t="shared" si="83"/>
        <v>0–0.2 hours</v>
      </c>
      <c r="P2667" t="s">
        <v>25</v>
      </c>
    </row>
    <row r="2668" spans="1:16" x14ac:dyDescent="0.4">
      <c r="A2668" t="s">
        <v>2709</v>
      </c>
      <c r="B2668">
        <v>61</v>
      </c>
      <c r="C2668" t="s">
        <v>27</v>
      </c>
      <c r="D2668" t="s">
        <v>22</v>
      </c>
      <c r="E2668">
        <v>38.549999999999997</v>
      </c>
      <c r="F2668">
        <v>11</v>
      </c>
      <c r="G2668" t="s">
        <v>23</v>
      </c>
      <c r="H2668" t="s">
        <v>55</v>
      </c>
      <c r="I2668" s="2">
        <v>13.99</v>
      </c>
      <c r="J2668">
        <v>0</v>
      </c>
      <c r="K2668" s="2">
        <f t="shared" si="82"/>
        <v>0</v>
      </c>
      <c r="L2668" t="s">
        <v>37</v>
      </c>
      <c r="M2668">
        <v>4</v>
      </c>
      <c r="N2668">
        <v>3.21</v>
      </c>
      <c r="O2668" t="str">
        <f t="shared" si="83"/>
        <v>1+ hours</v>
      </c>
      <c r="P2668" t="s">
        <v>47</v>
      </c>
    </row>
    <row r="2669" spans="1:16" x14ac:dyDescent="0.4">
      <c r="A2669" t="s">
        <v>2710</v>
      </c>
      <c r="B2669">
        <v>52</v>
      </c>
      <c r="C2669" t="s">
        <v>15</v>
      </c>
      <c r="D2669" t="s">
        <v>16</v>
      </c>
      <c r="E2669">
        <v>33.99</v>
      </c>
      <c r="F2669">
        <v>30</v>
      </c>
      <c r="G2669" t="s">
        <v>28</v>
      </c>
      <c r="H2669" t="s">
        <v>46</v>
      </c>
      <c r="I2669" s="2">
        <v>8.99</v>
      </c>
      <c r="J2669">
        <v>0</v>
      </c>
      <c r="K2669" s="2">
        <f t="shared" si="82"/>
        <v>0</v>
      </c>
      <c r="L2669" t="s">
        <v>61</v>
      </c>
      <c r="M2669">
        <v>2</v>
      </c>
      <c r="N2669">
        <v>1.1000000000000001</v>
      </c>
      <c r="O2669" t="str">
        <f t="shared" si="83"/>
        <v>1+ hours</v>
      </c>
      <c r="P2669" t="s">
        <v>30</v>
      </c>
    </row>
    <row r="2670" spans="1:16" x14ac:dyDescent="0.4">
      <c r="A2670" t="s">
        <v>2711</v>
      </c>
      <c r="B2670">
        <v>39</v>
      </c>
      <c r="C2670" t="s">
        <v>15</v>
      </c>
      <c r="D2670" t="s">
        <v>22</v>
      </c>
      <c r="E2670">
        <v>6.67</v>
      </c>
      <c r="F2670">
        <v>49</v>
      </c>
      <c r="G2670" t="s">
        <v>33</v>
      </c>
      <c r="H2670" t="s">
        <v>55</v>
      </c>
      <c r="I2670" s="2">
        <v>13.99</v>
      </c>
      <c r="J2670">
        <v>1</v>
      </c>
      <c r="K2670" s="2">
        <f t="shared" si="82"/>
        <v>13.99</v>
      </c>
      <c r="L2670" t="s">
        <v>29</v>
      </c>
      <c r="M2670">
        <v>1</v>
      </c>
      <c r="N2670">
        <v>0.13</v>
      </c>
      <c r="O2670" t="str">
        <f t="shared" si="83"/>
        <v>0–0.2 hours</v>
      </c>
      <c r="P2670" t="s">
        <v>52</v>
      </c>
    </row>
    <row r="2671" spans="1:16" x14ac:dyDescent="0.4">
      <c r="A2671" t="s">
        <v>2712</v>
      </c>
      <c r="B2671">
        <v>33</v>
      </c>
      <c r="C2671" t="s">
        <v>27</v>
      </c>
      <c r="D2671" t="s">
        <v>16</v>
      </c>
      <c r="E2671">
        <v>1.96</v>
      </c>
      <c r="F2671">
        <v>18</v>
      </c>
      <c r="G2671" t="s">
        <v>23</v>
      </c>
      <c r="H2671" t="s">
        <v>57</v>
      </c>
      <c r="I2671" s="2">
        <v>8.99</v>
      </c>
      <c r="J2671">
        <v>1</v>
      </c>
      <c r="K2671" s="2">
        <f t="shared" si="82"/>
        <v>8.99</v>
      </c>
      <c r="L2671" t="s">
        <v>37</v>
      </c>
      <c r="M2671">
        <v>2</v>
      </c>
      <c r="N2671">
        <v>0.1</v>
      </c>
      <c r="O2671" t="str">
        <f t="shared" si="83"/>
        <v>0–0.2 hours</v>
      </c>
      <c r="P2671" t="s">
        <v>20</v>
      </c>
    </row>
    <row r="2672" spans="1:16" x14ac:dyDescent="0.4">
      <c r="A2672" t="s">
        <v>2713</v>
      </c>
      <c r="B2672">
        <v>24</v>
      </c>
      <c r="C2672" t="s">
        <v>15</v>
      </c>
      <c r="D2672" t="s">
        <v>16</v>
      </c>
      <c r="E2672">
        <v>1.97</v>
      </c>
      <c r="F2672">
        <v>39</v>
      </c>
      <c r="G2672" t="s">
        <v>33</v>
      </c>
      <c r="H2672" t="s">
        <v>24</v>
      </c>
      <c r="I2672" s="2">
        <v>8.99</v>
      </c>
      <c r="J2672">
        <v>1</v>
      </c>
      <c r="K2672" s="2">
        <f t="shared" si="82"/>
        <v>8.99</v>
      </c>
      <c r="L2672" t="s">
        <v>61</v>
      </c>
      <c r="M2672">
        <v>3</v>
      </c>
      <c r="N2672">
        <v>0.05</v>
      </c>
      <c r="O2672" t="str">
        <f t="shared" si="83"/>
        <v>0–0.2 hours</v>
      </c>
      <c r="P2672" t="s">
        <v>34</v>
      </c>
    </row>
    <row r="2673" spans="1:16" x14ac:dyDescent="0.4">
      <c r="A2673" t="s">
        <v>2714</v>
      </c>
      <c r="B2673">
        <v>53</v>
      </c>
      <c r="C2673" t="s">
        <v>41</v>
      </c>
      <c r="D2673" t="s">
        <v>16</v>
      </c>
      <c r="E2673">
        <v>25.23</v>
      </c>
      <c r="F2673">
        <v>5</v>
      </c>
      <c r="G2673" t="s">
        <v>23</v>
      </c>
      <c r="H2673" t="s">
        <v>55</v>
      </c>
      <c r="I2673" s="2">
        <v>8.99</v>
      </c>
      <c r="J2673">
        <v>0</v>
      </c>
      <c r="K2673" s="2">
        <f t="shared" si="82"/>
        <v>0</v>
      </c>
      <c r="L2673" t="s">
        <v>61</v>
      </c>
      <c r="M2673">
        <v>1</v>
      </c>
      <c r="N2673">
        <v>4.21</v>
      </c>
      <c r="O2673" t="str">
        <f t="shared" si="83"/>
        <v>1+ hours</v>
      </c>
      <c r="P2673" t="s">
        <v>52</v>
      </c>
    </row>
    <row r="2674" spans="1:16" x14ac:dyDescent="0.4">
      <c r="A2674" t="s">
        <v>2715</v>
      </c>
      <c r="B2674">
        <v>25</v>
      </c>
      <c r="C2674" t="s">
        <v>27</v>
      </c>
      <c r="D2674" t="s">
        <v>22</v>
      </c>
      <c r="E2674">
        <v>0.09</v>
      </c>
      <c r="F2674">
        <v>40</v>
      </c>
      <c r="G2674" t="s">
        <v>70</v>
      </c>
      <c r="H2674" t="s">
        <v>18</v>
      </c>
      <c r="I2674" s="2">
        <v>13.99</v>
      </c>
      <c r="J2674">
        <v>1</v>
      </c>
      <c r="K2674" s="2">
        <f t="shared" si="82"/>
        <v>13.99</v>
      </c>
      <c r="L2674" t="s">
        <v>61</v>
      </c>
      <c r="M2674">
        <v>1</v>
      </c>
      <c r="N2674">
        <v>0</v>
      </c>
      <c r="O2674" t="str">
        <f t="shared" si="83"/>
        <v>0–0.2 hours</v>
      </c>
      <c r="P2674" t="s">
        <v>34</v>
      </c>
    </row>
    <row r="2675" spans="1:16" x14ac:dyDescent="0.4">
      <c r="A2675" t="s">
        <v>2716</v>
      </c>
      <c r="B2675">
        <v>40</v>
      </c>
      <c r="C2675" t="s">
        <v>27</v>
      </c>
      <c r="D2675" t="s">
        <v>22</v>
      </c>
      <c r="E2675">
        <v>12.53</v>
      </c>
      <c r="F2675">
        <v>30</v>
      </c>
      <c r="G2675" t="s">
        <v>70</v>
      </c>
      <c r="H2675" t="s">
        <v>24</v>
      </c>
      <c r="I2675" s="2">
        <v>13.99</v>
      </c>
      <c r="J2675">
        <v>0</v>
      </c>
      <c r="K2675" s="2">
        <f t="shared" si="82"/>
        <v>0</v>
      </c>
      <c r="L2675" t="s">
        <v>29</v>
      </c>
      <c r="M2675">
        <v>4</v>
      </c>
      <c r="N2675">
        <v>0.4</v>
      </c>
      <c r="O2675" t="str">
        <f t="shared" si="83"/>
        <v>0.2–0.4 hours</v>
      </c>
      <c r="P2675" t="s">
        <v>52</v>
      </c>
    </row>
    <row r="2676" spans="1:16" x14ac:dyDescent="0.4">
      <c r="A2676" t="s">
        <v>2717</v>
      </c>
      <c r="B2676">
        <v>46</v>
      </c>
      <c r="C2676" t="s">
        <v>41</v>
      </c>
      <c r="D2676" t="s">
        <v>32</v>
      </c>
      <c r="E2676">
        <v>4.4000000000000004</v>
      </c>
      <c r="F2676">
        <v>24</v>
      </c>
      <c r="G2676" t="s">
        <v>49</v>
      </c>
      <c r="H2676" t="s">
        <v>57</v>
      </c>
      <c r="I2676" s="2">
        <v>17.989999999999998</v>
      </c>
      <c r="J2676">
        <v>0</v>
      </c>
      <c r="K2676" s="2">
        <f t="shared" si="82"/>
        <v>0</v>
      </c>
      <c r="L2676" t="s">
        <v>43</v>
      </c>
      <c r="M2676">
        <v>4</v>
      </c>
      <c r="N2676">
        <v>0.18</v>
      </c>
      <c r="O2676" t="str">
        <f t="shared" si="83"/>
        <v>0–0.2 hours</v>
      </c>
      <c r="P2676" t="s">
        <v>52</v>
      </c>
    </row>
    <row r="2677" spans="1:16" x14ac:dyDescent="0.4">
      <c r="A2677" t="s">
        <v>2718</v>
      </c>
      <c r="B2677">
        <v>67</v>
      </c>
      <c r="C2677" t="s">
        <v>15</v>
      </c>
      <c r="D2677" t="s">
        <v>32</v>
      </c>
      <c r="E2677">
        <v>1.54</v>
      </c>
      <c r="F2677">
        <v>27</v>
      </c>
      <c r="G2677" t="s">
        <v>28</v>
      </c>
      <c r="H2677" t="s">
        <v>55</v>
      </c>
      <c r="I2677" s="2">
        <v>17.989999999999998</v>
      </c>
      <c r="J2677">
        <v>1</v>
      </c>
      <c r="K2677" s="2">
        <f t="shared" si="82"/>
        <v>17.989999999999998</v>
      </c>
      <c r="L2677" t="s">
        <v>29</v>
      </c>
      <c r="M2677">
        <v>2</v>
      </c>
      <c r="N2677">
        <v>0.06</v>
      </c>
      <c r="O2677" t="str">
        <f t="shared" si="83"/>
        <v>0–0.2 hours</v>
      </c>
      <c r="P2677" t="s">
        <v>34</v>
      </c>
    </row>
    <row r="2678" spans="1:16" x14ac:dyDescent="0.4">
      <c r="A2678" t="s">
        <v>2719</v>
      </c>
      <c r="B2678">
        <v>20</v>
      </c>
      <c r="C2678" t="s">
        <v>41</v>
      </c>
      <c r="D2678" t="s">
        <v>22</v>
      </c>
      <c r="E2678">
        <v>17.28</v>
      </c>
      <c r="F2678">
        <v>50</v>
      </c>
      <c r="G2678" t="s">
        <v>49</v>
      </c>
      <c r="H2678" t="s">
        <v>55</v>
      </c>
      <c r="I2678" s="2">
        <v>13.99</v>
      </c>
      <c r="J2678">
        <v>0</v>
      </c>
      <c r="K2678" s="2">
        <f t="shared" si="82"/>
        <v>0</v>
      </c>
      <c r="L2678" t="s">
        <v>43</v>
      </c>
      <c r="M2678">
        <v>5</v>
      </c>
      <c r="N2678">
        <v>0.34</v>
      </c>
      <c r="O2678" t="str">
        <f t="shared" si="83"/>
        <v>0.2–0.4 hours</v>
      </c>
      <c r="P2678" t="s">
        <v>47</v>
      </c>
    </row>
    <row r="2679" spans="1:16" x14ac:dyDescent="0.4">
      <c r="A2679" t="s">
        <v>2720</v>
      </c>
      <c r="B2679">
        <v>22</v>
      </c>
      <c r="C2679" t="s">
        <v>41</v>
      </c>
      <c r="D2679" t="s">
        <v>32</v>
      </c>
      <c r="E2679">
        <v>13.87</v>
      </c>
      <c r="F2679">
        <v>24</v>
      </c>
      <c r="G2679" t="s">
        <v>70</v>
      </c>
      <c r="H2679" t="s">
        <v>55</v>
      </c>
      <c r="I2679" s="2">
        <v>17.989999999999998</v>
      </c>
      <c r="J2679">
        <v>0</v>
      </c>
      <c r="K2679" s="2">
        <f t="shared" si="82"/>
        <v>0</v>
      </c>
      <c r="L2679" t="s">
        <v>61</v>
      </c>
      <c r="M2679">
        <v>5</v>
      </c>
      <c r="N2679">
        <v>0.55000000000000004</v>
      </c>
      <c r="O2679" t="str">
        <f t="shared" si="83"/>
        <v>0.4–0.6 hours</v>
      </c>
      <c r="P2679" t="s">
        <v>47</v>
      </c>
    </row>
    <row r="2680" spans="1:16" x14ac:dyDescent="0.4">
      <c r="A2680" t="s">
        <v>2721</v>
      </c>
      <c r="B2680">
        <v>39</v>
      </c>
      <c r="C2680" t="s">
        <v>27</v>
      </c>
      <c r="D2680" t="s">
        <v>32</v>
      </c>
      <c r="E2680">
        <v>4.25</v>
      </c>
      <c r="F2680">
        <v>21</v>
      </c>
      <c r="G2680" t="s">
        <v>49</v>
      </c>
      <c r="H2680" t="s">
        <v>46</v>
      </c>
      <c r="I2680" s="2">
        <v>17.989999999999998</v>
      </c>
      <c r="J2680">
        <v>1</v>
      </c>
      <c r="K2680" s="2">
        <f t="shared" si="82"/>
        <v>17.989999999999998</v>
      </c>
      <c r="L2680" t="s">
        <v>43</v>
      </c>
      <c r="M2680">
        <v>3</v>
      </c>
      <c r="N2680">
        <v>0.19</v>
      </c>
      <c r="O2680" t="str">
        <f t="shared" si="83"/>
        <v>0–0.2 hours</v>
      </c>
      <c r="P2680" t="s">
        <v>25</v>
      </c>
    </row>
    <row r="2681" spans="1:16" x14ac:dyDescent="0.4">
      <c r="A2681" t="s">
        <v>2722</v>
      </c>
      <c r="B2681">
        <v>53</v>
      </c>
      <c r="C2681" t="s">
        <v>41</v>
      </c>
      <c r="D2681" t="s">
        <v>16</v>
      </c>
      <c r="E2681">
        <v>15.01</v>
      </c>
      <c r="F2681">
        <v>25</v>
      </c>
      <c r="G2681" t="s">
        <v>28</v>
      </c>
      <c r="H2681" t="s">
        <v>57</v>
      </c>
      <c r="I2681" s="2">
        <v>8.99</v>
      </c>
      <c r="J2681">
        <v>0</v>
      </c>
      <c r="K2681" s="2">
        <f t="shared" si="82"/>
        <v>0</v>
      </c>
      <c r="L2681" t="s">
        <v>37</v>
      </c>
      <c r="M2681">
        <v>2</v>
      </c>
      <c r="N2681">
        <v>0.57999999999999996</v>
      </c>
      <c r="O2681" t="str">
        <f t="shared" si="83"/>
        <v>0.4–0.6 hours</v>
      </c>
      <c r="P2681" t="s">
        <v>39</v>
      </c>
    </row>
    <row r="2682" spans="1:16" x14ac:dyDescent="0.4">
      <c r="A2682" t="s">
        <v>2723</v>
      </c>
      <c r="B2682">
        <v>53</v>
      </c>
      <c r="C2682" t="s">
        <v>15</v>
      </c>
      <c r="D2682" t="s">
        <v>16</v>
      </c>
      <c r="E2682">
        <v>16.649999999999999</v>
      </c>
      <c r="F2682">
        <v>0</v>
      </c>
      <c r="G2682" t="s">
        <v>23</v>
      </c>
      <c r="H2682" t="s">
        <v>55</v>
      </c>
      <c r="I2682" s="2">
        <v>8.99</v>
      </c>
      <c r="J2682">
        <v>0</v>
      </c>
      <c r="K2682" s="2">
        <f t="shared" si="82"/>
        <v>0</v>
      </c>
      <c r="L2682" t="s">
        <v>37</v>
      </c>
      <c r="M2682">
        <v>4</v>
      </c>
      <c r="N2682">
        <v>16.649999999999999</v>
      </c>
      <c r="O2682" t="str">
        <f t="shared" si="83"/>
        <v>1+ hours</v>
      </c>
      <c r="P2682" t="s">
        <v>25</v>
      </c>
    </row>
    <row r="2683" spans="1:16" x14ac:dyDescent="0.4">
      <c r="A2683" t="s">
        <v>2724</v>
      </c>
      <c r="B2683">
        <v>20</v>
      </c>
      <c r="C2683" t="s">
        <v>41</v>
      </c>
      <c r="D2683" t="s">
        <v>16</v>
      </c>
      <c r="E2683">
        <v>6.06</v>
      </c>
      <c r="F2683">
        <v>37</v>
      </c>
      <c r="G2683" t="s">
        <v>70</v>
      </c>
      <c r="H2683" t="s">
        <v>18</v>
      </c>
      <c r="I2683" s="2">
        <v>8.99</v>
      </c>
      <c r="J2683">
        <v>1</v>
      </c>
      <c r="K2683" s="2">
        <f t="shared" si="82"/>
        <v>8.99</v>
      </c>
      <c r="L2683" t="s">
        <v>37</v>
      </c>
      <c r="M2683">
        <v>5</v>
      </c>
      <c r="N2683">
        <v>0.16</v>
      </c>
      <c r="O2683" t="str">
        <f t="shared" si="83"/>
        <v>0–0.2 hours</v>
      </c>
      <c r="P2683" t="s">
        <v>47</v>
      </c>
    </row>
    <row r="2684" spans="1:16" x14ac:dyDescent="0.4">
      <c r="A2684" t="s">
        <v>2725</v>
      </c>
      <c r="B2684">
        <v>62</v>
      </c>
      <c r="C2684" t="s">
        <v>27</v>
      </c>
      <c r="D2684" t="s">
        <v>16</v>
      </c>
      <c r="E2684">
        <v>26.62</v>
      </c>
      <c r="F2684">
        <v>55</v>
      </c>
      <c r="G2684" t="s">
        <v>23</v>
      </c>
      <c r="H2684" t="s">
        <v>18</v>
      </c>
      <c r="I2684" s="2">
        <v>8.99</v>
      </c>
      <c r="J2684">
        <v>0</v>
      </c>
      <c r="K2684" s="2">
        <f t="shared" si="82"/>
        <v>0</v>
      </c>
      <c r="L2684" t="s">
        <v>37</v>
      </c>
      <c r="M2684">
        <v>4</v>
      </c>
      <c r="N2684">
        <v>0.48</v>
      </c>
      <c r="O2684" t="str">
        <f t="shared" si="83"/>
        <v>0.4–0.6 hours</v>
      </c>
      <c r="P2684" t="s">
        <v>20</v>
      </c>
    </row>
    <row r="2685" spans="1:16" x14ac:dyDescent="0.4">
      <c r="A2685" t="s">
        <v>2726</v>
      </c>
      <c r="B2685">
        <v>62</v>
      </c>
      <c r="C2685" t="s">
        <v>27</v>
      </c>
      <c r="D2685" t="s">
        <v>32</v>
      </c>
      <c r="E2685">
        <v>1.26</v>
      </c>
      <c r="F2685">
        <v>34</v>
      </c>
      <c r="G2685" t="s">
        <v>17</v>
      </c>
      <c r="H2685" t="s">
        <v>18</v>
      </c>
      <c r="I2685" s="2">
        <v>17.989999999999998</v>
      </c>
      <c r="J2685">
        <v>1</v>
      </c>
      <c r="K2685" s="2">
        <f t="shared" si="82"/>
        <v>17.989999999999998</v>
      </c>
      <c r="L2685" t="s">
        <v>61</v>
      </c>
      <c r="M2685">
        <v>2</v>
      </c>
      <c r="N2685">
        <v>0.04</v>
      </c>
      <c r="O2685" t="str">
        <f t="shared" si="83"/>
        <v>0–0.2 hours</v>
      </c>
      <c r="P2685" t="s">
        <v>52</v>
      </c>
    </row>
    <row r="2686" spans="1:16" x14ac:dyDescent="0.4">
      <c r="A2686" t="s">
        <v>2727</v>
      </c>
      <c r="B2686">
        <v>41</v>
      </c>
      <c r="C2686" t="s">
        <v>27</v>
      </c>
      <c r="D2686" t="s">
        <v>22</v>
      </c>
      <c r="E2686">
        <v>1.21</v>
      </c>
      <c r="F2686">
        <v>20</v>
      </c>
      <c r="G2686" t="s">
        <v>49</v>
      </c>
      <c r="H2686" t="s">
        <v>57</v>
      </c>
      <c r="I2686" s="2">
        <v>13.99</v>
      </c>
      <c r="J2686">
        <v>1</v>
      </c>
      <c r="K2686" s="2">
        <f t="shared" si="82"/>
        <v>13.99</v>
      </c>
      <c r="L2686" t="s">
        <v>19</v>
      </c>
      <c r="M2686">
        <v>5</v>
      </c>
      <c r="N2686">
        <v>0.06</v>
      </c>
      <c r="O2686" t="str">
        <f t="shared" si="83"/>
        <v>0–0.2 hours</v>
      </c>
      <c r="P2686" t="s">
        <v>25</v>
      </c>
    </row>
    <row r="2687" spans="1:16" x14ac:dyDescent="0.4">
      <c r="A2687" t="s">
        <v>2728</v>
      </c>
      <c r="B2687">
        <v>30</v>
      </c>
      <c r="C2687" t="s">
        <v>27</v>
      </c>
      <c r="D2687" t="s">
        <v>16</v>
      </c>
      <c r="E2687">
        <v>6.53</v>
      </c>
      <c r="F2687">
        <v>49</v>
      </c>
      <c r="G2687" t="s">
        <v>17</v>
      </c>
      <c r="H2687" t="s">
        <v>57</v>
      </c>
      <c r="I2687" s="2">
        <v>8.99</v>
      </c>
      <c r="J2687">
        <v>1</v>
      </c>
      <c r="K2687" s="2">
        <f t="shared" si="82"/>
        <v>8.99</v>
      </c>
      <c r="L2687" t="s">
        <v>19</v>
      </c>
      <c r="M2687">
        <v>5</v>
      </c>
      <c r="N2687">
        <v>0.13</v>
      </c>
      <c r="O2687" t="str">
        <f t="shared" si="83"/>
        <v>0–0.2 hours</v>
      </c>
      <c r="P2687" t="s">
        <v>25</v>
      </c>
    </row>
    <row r="2688" spans="1:16" x14ac:dyDescent="0.4">
      <c r="A2688" t="s">
        <v>2729</v>
      </c>
      <c r="B2688">
        <v>48</v>
      </c>
      <c r="C2688" t="s">
        <v>41</v>
      </c>
      <c r="D2688" t="s">
        <v>16</v>
      </c>
      <c r="E2688">
        <v>15.91</v>
      </c>
      <c r="F2688">
        <v>21</v>
      </c>
      <c r="G2688" t="s">
        <v>23</v>
      </c>
      <c r="H2688" t="s">
        <v>18</v>
      </c>
      <c r="I2688" s="2">
        <v>8.99</v>
      </c>
      <c r="J2688">
        <v>0</v>
      </c>
      <c r="K2688" s="2">
        <f t="shared" si="82"/>
        <v>0</v>
      </c>
      <c r="L2688" t="s">
        <v>19</v>
      </c>
      <c r="M2688">
        <v>2</v>
      </c>
      <c r="N2688">
        <v>0.72</v>
      </c>
      <c r="O2688" t="str">
        <f t="shared" si="83"/>
        <v>0.6–0.8 hours</v>
      </c>
      <c r="P2688" t="s">
        <v>52</v>
      </c>
    </row>
    <row r="2689" spans="1:16" x14ac:dyDescent="0.4">
      <c r="A2689" t="s">
        <v>2730</v>
      </c>
      <c r="B2689">
        <v>18</v>
      </c>
      <c r="C2689" t="s">
        <v>15</v>
      </c>
      <c r="D2689" t="s">
        <v>16</v>
      </c>
      <c r="E2689">
        <v>2.02</v>
      </c>
      <c r="F2689">
        <v>2</v>
      </c>
      <c r="G2689" t="s">
        <v>33</v>
      </c>
      <c r="H2689" t="s">
        <v>24</v>
      </c>
      <c r="I2689" s="2">
        <v>8.99</v>
      </c>
      <c r="J2689">
        <v>0</v>
      </c>
      <c r="K2689" s="2">
        <f t="shared" si="82"/>
        <v>0</v>
      </c>
      <c r="L2689" t="s">
        <v>29</v>
      </c>
      <c r="M2689">
        <v>5</v>
      </c>
      <c r="N2689">
        <v>0.67</v>
      </c>
      <c r="O2689" t="str">
        <f t="shared" si="83"/>
        <v>0.6–0.8 hours</v>
      </c>
      <c r="P2689" t="s">
        <v>52</v>
      </c>
    </row>
    <row r="2690" spans="1:16" x14ac:dyDescent="0.4">
      <c r="A2690" t="s">
        <v>2731</v>
      </c>
      <c r="B2690">
        <v>23</v>
      </c>
      <c r="C2690" t="s">
        <v>15</v>
      </c>
      <c r="D2690" t="s">
        <v>32</v>
      </c>
      <c r="E2690">
        <v>11.18</v>
      </c>
      <c r="F2690">
        <v>46</v>
      </c>
      <c r="G2690" t="s">
        <v>28</v>
      </c>
      <c r="H2690" t="s">
        <v>57</v>
      </c>
      <c r="I2690" s="2">
        <v>17.989999999999998</v>
      </c>
      <c r="J2690">
        <v>0</v>
      </c>
      <c r="K2690" s="2">
        <f t="shared" si="82"/>
        <v>0</v>
      </c>
      <c r="L2690" t="s">
        <v>37</v>
      </c>
      <c r="M2690">
        <v>4</v>
      </c>
      <c r="N2690">
        <v>0.24</v>
      </c>
      <c r="O2690" t="str">
        <f t="shared" si="83"/>
        <v>0.2–0.4 hours</v>
      </c>
      <c r="P2690" t="s">
        <v>20</v>
      </c>
    </row>
    <row r="2691" spans="1:16" x14ac:dyDescent="0.4">
      <c r="A2691" t="s">
        <v>2732</v>
      </c>
      <c r="B2691">
        <v>68</v>
      </c>
      <c r="C2691" t="s">
        <v>15</v>
      </c>
      <c r="D2691" t="s">
        <v>16</v>
      </c>
      <c r="E2691">
        <v>0.12</v>
      </c>
      <c r="F2691">
        <v>26</v>
      </c>
      <c r="G2691" t="s">
        <v>49</v>
      </c>
      <c r="H2691" t="s">
        <v>18</v>
      </c>
      <c r="I2691" s="2">
        <v>8.99</v>
      </c>
      <c r="J2691">
        <v>1</v>
      </c>
      <c r="K2691" s="2">
        <f t="shared" ref="K2691:K2754" si="84">SUMIF(J2691,1,I2691)</f>
        <v>8.99</v>
      </c>
      <c r="L2691" t="s">
        <v>29</v>
      </c>
      <c r="M2691">
        <v>2</v>
      </c>
      <c r="N2691">
        <v>0</v>
      </c>
      <c r="O2691" t="str">
        <f t="shared" ref="O2691:O2754" si="85">IF(N2691&gt;1,"1+ hours",IF(N2691&lt;=0.2,"0–0.2 hours",IF(N2691&lt;=0.4,"0.2–0.4 hours",IF(N2691&lt;=0.6,"0.4–0.6 hours",IF(N2691&lt;=0.8,"0.6–0.8 hours","0.8–1 hour")))))</f>
        <v>0–0.2 hours</v>
      </c>
      <c r="P2691" t="s">
        <v>52</v>
      </c>
    </row>
    <row r="2692" spans="1:16" x14ac:dyDescent="0.4">
      <c r="A2692" t="s">
        <v>2733</v>
      </c>
      <c r="B2692">
        <v>30</v>
      </c>
      <c r="C2692" t="s">
        <v>41</v>
      </c>
      <c r="D2692" t="s">
        <v>32</v>
      </c>
      <c r="E2692">
        <v>24.6</v>
      </c>
      <c r="F2692">
        <v>9</v>
      </c>
      <c r="G2692" t="s">
        <v>70</v>
      </c>
      <c r="H2692" t="s">
        <v>57</v>
      </c>
      <c r="I2692" s="2">
        <v>17.989999999999998</v>
      </c>
      <c r="J2692">
        <v>0</v>
      </c>
      <c r="K2692" s="2">
        <f t="shared" si="84"/>
        <v>0</v>
      </c>
      <c r="L2692" t="s">
        <v>61</v>
      </c>
      <c r="M2692">
        <v>4</v>
      </c>
      <c r="N2692">
        <v>2.46</v>
      </c>
      <c r="O2692" t="str">
        <f t="shared" si="85"/>
        <v>1+ hours</v>
      </c>
      <c r="P2692" t="s">
        <v>52</v>
      </c>
    </row>
    <row r="2693" spans="1:16" x14ac:dyDescent="0.4">
      <c r="A2693" t="s">
        <v>2734</v>
      </c>
      <c r="B2693">
        <v>61</v>
      </c>
      <c r="C2693" t="s">
        <v>41</v>
      </c>
      <c r="D2693" t="s">
        <v>22</v>
      </c>
      <c r="E2693">
        <v>27.06</v>
      </c>
      <c r="F2693">
        <v>32</v>
      </c>
      <c r="G2693" t="s">
        <v>17</v>
      </c>
      <c r="H2693" t="s">
        <v>46</v>
      </c>
      <c r="I2693" s="2">
        <v>13.99</v>
      </c>
      <c r="J2693">
        <v>0</v>
      </c>
      <c r="K2693" s="2">
        <f t="shared" si="84"/>
        <v>0</v>
      </c>
      <c r="L2693" t="s">
        <v>37</v>
      </c>
      <c r="M2693">
        <v>3</v>
      </c>
      <c r="N2693">
        <v>0.82</v>
      </c>
      <c r="O2693" t="str">
        <f t="shared" si="85"/>
        <v>0.8–1 hour</v>
      </c>
      <c r="P2693" t="s">
        <v>30</v>
      </c>
    </row>
    <row r="2694" spans="1:16" x14ac:dyDescent="0.4">
      <c r="A2694" t="s">
        <v>2735</v>
      </c>
      <c r="B2694">
        <v>31</v>
      </c>
      <c r="C2694" t="s">
        <v>15</v>
      </c>
      <c r="D2694" t="s">
        <v>32</v>
      </c>
      <c r="E2694">
        <v>0.62</v>
      </c>
      <c r="F2694">
        <v>39</v>
      </c>
      <c r="G2694" t="s">
        <v>23</v>
      </c>
      <c r="H2694" t="s">
        <v>57</v>
      </c>
      <c r="I2694" s="2">
        <v>17.989999999999998</v>
      </c>
      <c r="J2694">
        <v>1</v>
      </c>
      <c r="K2694" s="2">
        <f t="shared" si="84"/>
        <v>17.989999999999998</v>
      </c>
      <c r="L2694" t="s">
        <v>19</v>
      </c>
      <c r="M2694">
        <v>2</v>
      </c>
      <c r="N2694">
        <v>0.02</v>
      </c>
      <c r="O2694" t="str">
        <f t="shared" si="85"/>
        <v>0–0.2 hours</v>
      </c>
      <c r="P2694" t="s">
        <v>20</v>
      </c>
    </row>
    <row r="2695" spans="1:16" x14ac:dyDescent="0.4">
      <c r="A2695" t="s">
        <v>2736</v>
      </c>
      <c r="B2695">
        <v>44</v>
      </c>
      <c r="C2695" t="s">
        <v>15</v>
      </c>
      <c r="D2695" t="s">
        <v>22</v>
      </c>
      <c r="E2695">
        <v>10.18</v>
      </c>
      <c r="F2695">
        <v>56</v>
      </c>
      <c r="G2695" t="s">
        <v>70</v>
      </c>
      <c r="H2695" t="s">
        <v>46</v>
      </c>
      <c r="I2695" s="2">
        <v>13.99</v>
      </c>
      <c r="J2695">
        <v>1</v>
      </c>
      <c r="K2695" s="2">
        <f t="shared" si="84"/>
        <v>13.99</v>
      </c>
      <c r="L2695" t="s">
        <v>37</v>
      </c>
      <c r="M2695">
        <v>3</v>
      </c>
      <c r="N2695">
        <v>0.18</v>
      </c>
      <c r="O2695" t="str">
        <f t="shared" si="85"/>
        <v>0–0.2 hours</v>
      </c>
      <c r="P2695" t="s">
        <v>39</v>
      </c>
    </row>
    <row r="2696" spans="1:16" x14ac:dyDescent="0.4">
      <c r="A2696" t="s">
        <v>2737</v>
      </c>
      <c r="B2696">
        <v>26</v>
      </c>
      <c r="C2696" t="s">
        <v>41</v>
      </c>
      <c r="D2696" t="s">
        <v>22</v>
      </c>
      <c r="E2696">
        <v>6.52</v>
      </c>
      <c r="F2696">
        <v>23</v>
      </c>
      <c r="G2696" t="s">
        <v>49</v>
      </c>
      <c r="H2696" t="s">
        <v>55</v>
      </c>
      <c r="I2696" s="2">
        <v>13.99</v>
      </c>
      <c r="J2696">
        <v>0</v>
      </c>
      <c r="K2696" s="2">
        <f t="shared" si="84"/>
        <v>0</v>
      </c>
      <c r="L2696" t="s">
        <v>43</v>
      </c>
      <c r="M2696">
        <v>2</v>
      </c>
      <c r="N2696">
        <v>0.27</v>
      </c>
      <c r="O2696" t="str">
        <f t="shared" si="85"/>
        <v>0.2–0.4 hours</v>
      </c>
      <c r="P2696" t="s">
        <v>47</v>
      </c>
    </row>
    <row r="2697" spans="1:16" x14ac:dyDescent="0.4">
      <c r="A2697" t="s">
        <v>2738</v>
      </c>
      <c r="B2697">
        <v>55</v>
      </c>
      <c r="C2697" t="s">
        <v>41</v>
      </c>
      <c r="D2697" t="s">
        <v>32</v>
      </c>
      <c r="E2697">
        <v>2.4700000000000002</v>
      </c>
      <c r="F2697">
        <v>7</v>
      </c>
      <c r="G2697" t="s">
        <v>17</v>
      </c>
      <c r="H2697" t="s">
        <v>55</v>
      </c>
      <c r="I2697" s="2">
        <v>17.989999999999998</v>
      </c>
      <c r="J2697">
        <v>0</v>
      </c>
      <c r="K2697" s="2">
        <f t="shared" si="84"/>
        <v>0</v>
      </c>
      <c r="L2697" t="s">
        <v>37</v>
      </c>
      <c r="M2697">
        <v>4</v>
      </c>
      <c r="N2697">
        <v>0.31</v>
      </c>
      <c r="O2697" t="str">
        <f t="shared" si="85"/>
        <v>0.2–0.4 hours</v>
      </c>
      <c r="P2697" t="s">
        <v>39</v>
      </c>
    </row>
    <row r="2698" spans="1:16" x14ac:dyDescent="0.4">
      <c r="A2698" t="s">
        <v>2739</v>
      </c>
      <c r="B2698">
        <v>40</v>
      </c>
      <c r="C2698" t="s">
        <v>41</v>
      </c>
      <c r="D2698" t="s">
        <v>22</v>
      </c>
      <c r="E2698">
        <v>3.48</v>
      </c>
      <c r="F2698">
        <v>29</v>
      </c>
      <c r="G2698" t="s">
        <v>33</v>
      </c>
      <c r="H2698" t="s">
        <v>46</v>
      </c>
      <c r="I2698" s="2">
        <v>13.99</v>
      </c>
      <c r="J2698">
        <v>0</v>
      </c>
      <c r="K2698" s="2">
        <f t="shared" si="84"/>
        <v>0</v>
      </c>
      <c r="L2698" t="s">
        <v>37</v>
      </c>
      <c r="M2698">
        <v>4</v>
      </c>
      <c r="N2698">
        <v>0.12</v>
      </c>
      <c r="O2698" t="str">
        <f t="shared" si="85"/>
        <v>0–0.2 hours</v>
      </c>
      <c r="P2698" t="s">
        <v>30</v>
      </c>
    </row>
    <row r="2699" spans="1:16" x14ac:dyDescent="0.4">
      <c r="A2699" t="s">
        <v>2740</v>
      </c>
      <c r="B2699">
        <v>59</v>
      </c>
      <c r="C2699" t="s">
        <v>15</v>
      </c>
      <c r="D2699" t="s">
        <v>16</v>
      </c>
      <c r="E2699">
        <v>20.49</v>
      </c>
      <c r="F2699">
        <v>26</v>
      </c>
      <c r="G2699" t="s">
        <v>28</v>
      </c>
      <c r="H2699" t="s">
        <v>57</v>
      </c>
      <c r="I2699" s="2">
        <v>8.99</v>
      </c>
      <c r="J2699">
        <v>0</v>
      </c>
      <c r="K2699" s="2">
        <f t="shared" si="84"/>
        <v>0</v>
      </c>
      <c r="L2699" t="s">
        <v>37</v>
      </c>
      <c r="M2699">
        <v>1</v>
      </c>
      <c r="N2699">
        <v>0.76</v>
      </c>
      <c r="O2699" t="str">
        <f t="shared" si="85"/>
        <v>0.6–0.8 hours</v>
      </c>
      <c r="P2699" t="s">
        <v>34</v>
      </c>
    </row>
    <row r="2700" spans="1:16" x14ac:dyDescent="0.4">
      <c r="A2700" t="s">
        <v>2741</v>
      </c>
      <c r="B2700">
        <v>51</v>
      </c>
      <c r="C2700" t="s">
        <v>15</v>
      </c>
      <c r="D2700" t="s">
        <v>32</v>
      </c>
      <c r="E2700">
        <v>20.55</v>
      </c>
      <c r="F2700">
        <v>20</v>
      </c>
      <c r="G2700" t="s">
        <v>49</v>
      </c>
      <c r="H2700" t="s">
        <v>18</v>
      </c>
      <c r="I2700" s="2">
        <v>17.989999999999998</v>
      </c>
      <c r="J2700">
        <v>0</v>
      </c>
      <c r="K2700" s="2">
        <f t="shared" si="84"/>
        <v>0</v>
      </c>
      <c r="L2700" t="s">
        <v>61</v>
      </c>
      <c r="M2700">
        <v>5</v>
      </c>
      <c r="N2700">
        <v>0.98</v>
      </c>
      <c r="O2700" t="str">
        <f t="shared" si="85"/>
        <v>0.8–1 hour</v>
      </c>
      <c r="P2700" t="s">
        <v>25</v>
      </c>
    </row>
    <row r="2701" spans="1:16" x14ac:dyDescent="0.4">
      <c r="A2701" t="s">
        <v>2742</v>
      </c>
      <c r="B2701">
        <v>26</v>
      </c>
      <c r="C2701" t="s">
        <v>15</v>
      </c>
      <c r="D2701" t="s">
        <v>16</v>
      </c>
      <c r="E2701">
        <v>0.94</v>
      </c>
      <c r="F2701">
        <v>30</v>
      </c>
      <c r="G2701" t="s">
        <v>23</v>
      </c>
      <c r="H2701" t="s">
        <v>55</v>
      </c>
      <c r="I2701" s="2">
        <v>8.99</v>
      </c>
      <c r="J2701">
        <v>1</v>
      </c>
      <c r="K2701" s="2">
        <f t="shared" si="84"/>
        <v>8.99</v>
      </c>
      <c r="L2701" t="s">
        <v>61</v>
      </c>
      <c r="M2701">
        <v>4</v>
      </c>
      <c r="N2701">
        <v>0.03</v>
      </c>
      <c r="O2701" t="str">
        <f t="shared" si="85"/>
        <v>0–0.2 hours</v>
      </c>
      <c r="P2701" t="s">
        <v>30</v>
      </c>
    </row>
    <row r="2702" spans="1:16" x14ac:dyDescent="0.4">
      <c r="A2702" t="s">
        <v>2743</v>
      </c>
      <c r="B2702">
        <v>56</v>
      </c>
      <c r="C2702" t="s">
        <v>27</v>
      </c>
      <c r="D2702" t="s">
        <v>16</v>
      </c>
      <c r="E2702">
        <v>0.4</v>
      </c>
      <c r="F2702">
        <v>38</v>
      </c>
      <c r="G2702" t="s">
        <v>33</v>
      </c>
      <c r="H2702" t="s">
        <v>24</v>
      </c>
      <c r="I2702" s="2">
        <v>8.99</v>
      </c>
      <c r="J2702">
        <v>1</v>
      </c>
      <c r="K2702" s="2">
        <f t="shared" si="84"/>
        <v>8.99</v>
      </c>
      <c r="L2702" t="s">
        <v>37</v>
      </c>
      <c r="M2702">
        <v>5</v>
      </c>
      <c r="N2702">
        <v>0.01</v>
      </c>
      <c r="O2702" t="str">
        <f t="shared" si="85"/>
        <v>0–0.2 hours</v>
      </c>
      <c r="P2702" t="s">
        <v>20</v>
      </c>
    </row>
    <row r="2703" spans="1:16" x14ac:dyDescent="0.4">
      <c r="A2703" t="s">
        <v>2744</v>
      </c>
      <c r="B2703">
        <v>66</v>
      </c>
      <c r="C2703" t="s">
        <v>41</v>
      </c>
      <c r="D2703" t="s">
        <v>22</v>
      </c>
      <c r="E2703">
        <v>1.97</v>
      </c>
      <c r="F2703">
        <v>2</v>
      </c>
      <c r="G2703" t="s">
        <v>23</v>
      </c>
      <c r="H2703" t="s">
        <v>46</v>
      </c>
      <c r="I2703" s="2">
        <v>13.99</v>
      </c>
      <c r="J2703">
        <v>0</v>
      </c>
      <c r="K2703" s="2">
        <f t="shared" si="84"/>
        <v>0</v>
      </c>
      <c r="L2703" t="s">
        <v>61</v>
      </c>
      <c r="M2703">
        <v>4</v>
      </c>
      <c r="N2703">
        <v>0.66</v>
      </c>
      <c r="O2703" t="str">
        <f t="shared" si="85"/>
        <v>0.6–0.8 hours</v>
      </c>
      <c r="P2703" t="s">
        <v>25</v>
      </c>
    </row>
    <row r="2704" spans="1:16" x14ac:dyDescent="0.4">
      <c r="A2704" t="s">
        <v>2745</v>
      </c>
      <c r="B2704">
        <v>35</v>
      </c>
      <c r="C2704" t="s">
        <v>27</v>
      </c>
      <c r="D2704" t="s">
        <v>22</v>
      </c>
      <c r="E2704">
        <v>58.33</v>
      </c>
      <c r="F2704">
        <v>42</v>
      </c>
      <c r="G2704" t="s">
        <v>33</v>
      </c>
      <c r="H2704" t="s">
        <v>46</v>
      </c>
      <c r="I2704" s="2">
        <v>13.99</v>
      </c>
      <c r="J2704">
        <v>0</v>
      </c>
      <c r="K2704" s="2">
        <f t="shared" si="84"/>
        <v>0</v>
      </c>
      <c r="L2704" t="s">
        <v>29</v>
      </c>
      <c r="M2704">
        <v>4</v>
      </c>
      <c r="N2704">
        <v>1.36</v>
      </c>
      <c r="O2704" t="str">
        <f t="shared" si="85"/>
        <v>1+ hours</v>
      </c>
      <c r="P2704" t="s">
        <v>34</v>
      </c>
    </row>
    <row r="2705" spans="1:16" x14ac:dyDescent="0.4">
      <c r="A2705" t="s">
        <v>2746</v>
      </c>
      <c r="B2705">
        <v>28</v>
      </c>
      <c r="C2705" t="s">
        <v>41</v>
      </c>
      <c r="D2705" t="s">
        <v>32</v>
      </c>
      <c r="E2705">
        <v>16.88</v>
      </c>
      <c r="F2705">
        <v>20</v>
      </c>
      <c r="G2705" t="s">
        <v>33</v>
      </c>
      <c r="H2705" t="s">
        <v>24</v>
      </c>
      <c r="I2705" s="2">
        <v>17.989999999999998</v>
      </c>
      <c r="J2705">
        <v>0</v>
      </c>
      <c r="K2705" s="2">
        <f t="shared" si="84"/>
        <v>0</v>
      </c>
      <c r="L2705" t="s">
        <v>43</v>
      </c>
      <c r="M2705">
        <v>2</v>
      </c>
      <c r="N2705">
        <v>0.8</v>
      </c>
      <c r="O2705" t="str">
        <f t="shared" si="85"/>
        <v>0.6–0.8 hours</v>
      </c>
      <c r="P2705" t="s">
        <v>25</v>
      </c>
    </row>
    <row r="2706" spans="1:16" x14ac:dyDescent="0.4">
      <c r="A2706" t="s">
        <v>2747</v>
      </c>
      <c r="B2706">
        <v>66</v>
      </c>
      <c r="C2706" t="s">
        <v>41</v>
      </c>
      <c r="D2706" t="s">
        <v>22</v>
      </c>
      <c r="E2706">
        <v>0.8</v>
      </c>
      <c r="F2706">
        <v>32</v>
      </c>
      <c r="G2706" t="s">
        <v>33</v>
      </c>
      <c r="H2706" t="s">
        <v>18</v>
      </c>
      <c r="I2706" s="2">
        <v>13.99</v>
      </c>
      <c r="J2706">
        <v>1</v>
      </c>
      <c r="K2706" s="2">
        <f t="shared" si="84"/>
        <v>13.99</v>
      </c>
      <c r="L2706" t="s">
        <v>37</v>
      </c>
      <c r="M2706">
        <v>1</v>
      </c>
      <c r="N2706">
        <v>0.02</v>
      </c>
      <c r="O2706" t="str">
        <f t="shared" si="85"/>
        <v>0–0.2 hours</v>
      </c>
      <c r="P2706" t="s">
        <v>30</v>
      </c>
    </row>
    <row r="2707" spans="1:16" x14ac:dyDescent="0.4">
      <c r="A2707" t="s">
        <v>2748</v>
      </c>
      <c r="B2707">
        <v>19</v>
      </c>
      <c r="C2707" t="s">
        <v>41</v>
      </c>
      <c r="D2707" t="s">
        <v>16</v>
      </c>
      <c r="E2707">
        <v>23.08</v>
      </c>
      <c r="F2707">
        <v>15</v>
      </c>
      <c r="G2707" t="s">
        <v>17</v>
      </c>
      <c r="H2707" t="s">
        <v>55</v>
      </c>
      <c r="I2707" s="2">
        <v>8.99</v>
      </c>
      <c r="J2707">
        <v>0</v>
      </c>
      <c r="K2707" s="2">
        <f t="shared" si="84"/>
        <v>0</v>
      </c>
      <c r="L2707" t="s">
        <v>19</v>
      </c>
      <c r="M2707">
        <v>3</v>
      </c>
      <c r="N2707">
        <v>1.44</v>
      </c>
      <c r="O2707" t="str">
        <f t="shared" si="85"/>
        <v>1+ hours</v>
      </c>
      <c r="P2707" t="s">
        <v>47</v>
      </c>
    </row>
    <row r="2708" spans="1:16" x14ac:dyDescent="0.4">
      <c r="A2708" s="1" t="s">
        <v>2749</v>
      </c>
      <c r="B2708">
        <v>32</v>
      </c>
      <c r="C2708" t="s">
        <v>15</v>
      </c>
      <c r="D2708" t="s">
        <v>16</v>
      </c>
      <c r="E2708">
        <v>14.84</v>
      </c>
      <c r="F2708">
        <v>10</v>
      </c>
      <c r="G2708" t="s">
        <v>23</v>
      </c>
      <c r="H2708" t="s">
        <v>55</v>
      </c>
      <c r="I2708" s="2">
        <v>8.99</v>
      </c>
      <c r="J2708">
        <v>0</v>
      </c>
      <c r="K2708" s="2">
        <f t="shared" si="84"/>
        <v>0</v>
      </c>
      <c r="L2708" t="s">
        <v>29</v>
      </c>
      <c r="M2708">
        <v>2</v>
      </c>
      <c r="N2708">
        <v>1.35</v>
      </c>
      <c r="O2708" t="str">
        <f t="shared" si="85"/>
        <v>1+ hours</v>
      </c>
      <c r="P2708" t="s">
        <v>25</v>
      </c>
    </row>
    <row r="2709" spans="1:16" x14ac:dyDescent="0.4">
      <c r="A2709" t="s">
        <v>2750</v>
      </c>
      <c r="B2709">
        <v>63</v>
      </c>
      <c r="C2709" t="s">
        <v>41</v>
      </c>
      <c r="D2709" t="s">
        <v>32</v>
      </c>
      <c r="E2709">
        <v>9.84</v>
      </c>
      <c r="F2709">
        <v>3</v>
      </c>
      <c r="G2709" t="s">
        <v>70</v>
      </c>
      <c r="H2709" t="s">
        <v>46</v>
      </c>
      <c r="I2709" s="2">
        <v>17.989999999999998</v>
      </c>
      <c r="J2709">
        <v>0</v>
      </c>
      <c r="K2709" s="2">
        <f t="shared" si="84"/>
        <v>0</v>
      </c>
      <c r="L2709" t="s">
        <v>43</v>
      </c>
      <c r="M2709">
        <v>4</v>
      </c>
      <c r="N2709">
        <v>2.46</v>
      </c>
      <c r="O2709" t="str">
        <f t="shared" si="85"/>
        <v>1+ hours</v>
      </c>
      <c r="P2709" t="s">
        <v>47</v>
      </c>
    </row>
    <row r="2710" spans="1:16" x14ac:dyDescent="0.4">
      <c r="A2710" t="s">
        <v>2751</v>
      </c>
      <c r="B2710">
        <v>69</v>
      </c>
      <c r="C2710" t="s">
        <v>15</v>
      </c>
      <c r="D2710" t="s">
        <v>22</v>
      </c>
      <c r="E2710">
        <v>31.16</v>
      </c>
      <c r="F2710">
        <v>47</v>
      </c>
      <c r="G2710" t="s">
        <v>28</v>
      </c>
      <c r="H2710" t="s">
        <v>24</v>
      </c>
      <c r="I2710" s="2">
        <v>13.99</v>
      </c>
      <c r="J2710">
        <v>0</v>
      </c>
      <c r="K2710" s="2">
        <f t="shared" si="84"/>
        <v>0</v>
      </c>
      <c r="L2710" t="s">
        <v>37</v>
      </c>
      <c r="M2710">
        <v>5</v>
      </c>
      <c r="N2710">
        <v>0.65</v>
      </c>
      <c r="O2710" t="str">
        <f t="shared" si="85"/>
        <v>0.6–0.8 hours</v>
      </c>
      <c r="P2710" t="s">
        <v>52</v>
      </c>
    </row>
    <row r="2711" spans="1:16" x14ac:dyDescent="0.4">
      <c r="A2711" t="s">
        <v>2752</v>
      </c>
      <c r="B2711">
        <v>24</v>
      </c>
      <c r="C2711" t="s">
        <v>27</v>
      </c>
      <c r="D2711" t="s">
        <v>16</v>
      </c>
      <c r="E2711">
        <v>1.42</v>
      </c>
      <c r="F2711">
        <v>40</v>
      </c>
      <c r="G2711" t="s">
        <v>33</v>
      </c>
      <c r="H2711" t="s">
        <v>24</v>
      </c>
      <c r="I2711" s="2">
        <v>8.99</v>
      </c>
      <c r="J2711">
        <v>1</v>
      </c>
      <c r="K2711" s="2">
        <f t="shared" si="84"/>
        <v>8.99</v>
      </c>
      <c r="L2711" t="s">
        <v>37</v>
      </c>
      <c r="M2711">
        <v>4</v>
      </c>
      <c r="N2711">
        <v>0.03</v>
      </c>
      <c r="O2711" t="str">
        <f t="shared" si="85"/>
        <v>0–0.2 hours</v>
      </c>
      <c r="P2711" t="s">
        <v>39</v>
      </c>
    </row>
    <row r="2712" spans="1:16" x14ac:dyDescent="0.4">
      <c r="A2712" t="s">
        <v>2753</v>
      </c>
      <c r="B2712">
        <v>24</v>
      </c>
      <c r="C2712" t="s">
        <v>41</v>
      </c>
      <c r="D2712" t="s">
        <v>16</v>
      </c>
      <c r="E2712">
        <v>0.9</v>
      </c>
      <c r="F2712">
        <v>40</v>
      </c>
      <c r="G2712" t="s">
        <v>23</v>
      </c>
      <c r="H2712" t="s">
        <v>46</v>
      </c>
      <c r="I2712" s="2">
        <v>8.99</v>
      </c>
      <c r="J2712">
        <v>1</v>
      </c>
      <c r="K2712" s="2">
        <f t="shared" si="84"/>
        <v>8.99</v>
      </c>
      <c r="L2712" t="s">
        <v>19</v>
      </c>
      <c r="M2712">
        <v>5</v>
      </c>
      <c r="N2712">
        <v>0.02</v>
      </c>
      <c r="O2712" t="str">
        <f t="shared" si="85"/>
        <v>0–0.2 hours</v>
      </c>
      <c r="P2712" t="s">
        <v>52</v>
      </c>
    </row>
    <row r="2713" spans="1:16" x14ac:dyDescent="0.4">
      <c r="A2713" t="s">
        <v>2754</v>
      </c>
      <c r="B2713">
        <v>62</v>
      </c>
      <c r="C2713" t="s">
        <v>27</v>
      </c>
      <c r="D2713" t="s">
        <v>32</v>
      </c>
      <c r="E2713">
        <v>6.48</v>
      </c>
      <c r="F2713">
        <v>25</v>
      </c>
      <c r="G2713" t="s">
        <v>23</v>
      </c>
      <c r="H2713" t="s">
        <v>55</v>
      </c>
      <c r="I2713" s="2">
        <v>17.989999999999998</v>
      </c>
      <c r="J2713">
        <v>0</v>
      </c>
      <c r="K2713" s="2">
        <f t="shared" si="84"/>
        <v>0</v>
      </c>
      <c r="L2713" t="s">
        <v>29</v>
      </c>
      <c r="M2713">
        <v>4</v>
      </c>
      <c r="N2713">
        <v>0.25</v>
      </c>
      <c r="O2713" t="str">
        <f t="shared" si="85"/>
        <v>0.2–0.4 hours</v>
      </c>
      <c r="P2713" t="s">
        <v>52</v>
      </c>
    </row>
    <row r="2714" spans="1:16" x14ac:dyDescent="0.4">
      <c r="A2714" t="s">
        <v>2755</v>
      </c>
      <c r="B2714">
        <v>64</v>
      </c>
      <c r="C2714" t="s">
        <v>41</v>
      </c>
      <c r="D2714" t="s">
        <v>22</v>
      </c>
      <c r="E2714">
        <v>1.42</v>
      </c>
      <c r="F2714">
        <v>42</v>
      </c>
      <c r="G2714" t="s">
        <v>33</v>
      </c>
      <c r="H2714" t="s">
        <v>46</v>
      </c>
      <c r="I2714" s="2">
        <v>13.99</v>
      </c>
      <c r="J2714">
        <v>1</v>
      </c>
      <c r="K2714" s="2">
        <f t="shared" si="84"/>
        <v>13.99</v>
      </c>
      <c r="L2714" t="s">
        <v>43</v>
      </c>
      <c r="M2714">
        <v>3</v>
      </c>
      <c r="N2714">
        <v>0.03</v>
      </c>
      <c r="O2714" t="str">
        <f t="shared" si="85"/>
        <v>0–0.2 hours</v>
      </c>
      <c r="P2714" t="s">
        <v>34</v>
      </c>
    </row>
    <row r="2715" spans="1:16" x14ac:dyDescent="0.4">
      <c r="A2715" t="s">
        <v>2756</v>
      </c>
      <c r="B2715">
        <v>69</v>
      </c>
      <c r="C2715" t="s">
        <v>27</v>
      </c>
      <c r="D2715" t="s">
        <v>16</v>
      </c>
      <c r="E2715">
        <v>10.1</v>
      </c>
      <c r="F2715">
        <v>24</v>
      </c>
      <c r="G2715" t="s">
        <v>17</v>
      </c>
      <c r="H2715" t="s">
        <v>18</v>
      </c>
      <c r="I2715" s="2">
        <v>8.99</v>
      </c>
      <c r="J2715">
        <v>0</v>
      </c>
      <c r="K2715" s="2">
        <f t="shared" si="84"/>
        <v>0</v>
      </c>
      <c r="L2715" t="s">
        <v>61</v>
      </c>
      <c r="M2715">
        <v>2</v>
      </c>
      <c r="N2715">
        <v>0.4</v>
      </c>
      <c r="O2715" t="str">
        <f t="shared" si="85"/>
        <v>0.2–0.4 hours</v>
      </c>
      <c r="P2715" t="s">
        <v>25</v>
      </c>
    </row>
    <row r="2716" spans="1:16" x14ac:dyDescent="0.4">
      <c r="A2716" t="s">
        <v>2757</v>
      </c>
      <c r="B2716">
        <v>32</v>
      </c>
      <c r="C2716" t="s">
        <v>15</v>
      </c>
      <c r="D2716" t="s">
        <v>32</v>
      </c>
      <c r="E2716">
        <v>4.6900000000000004</v>
      </c>
      <c r="F2716">
        <v>12</v>
      </c>
      <c r="G2716" t="s">
        <v>28</v>
      </c>
      <c r="H2716" t="s">
        <v>24</v>
      </c>
      <c r="I2716" s="2">
        <v>17.989999999999998</v>
      </c>
      <c r="J2716">
        <v>1</v>
      </c>
      <c r="K2716" s="2">
        <f t="shared" si="84"/>
        <v>17.989999999999998</v>
      </c>
      <c r="L2716" t="s">
        <v>61</v>
      </c>
      <c r="M2716">
        <v>3</v>
      </c>
      <c r="N2716">
        <v>0.36</v>
      </c>
      <c r="O2716" t="str">
        <f t="shared" si="85"/>
        <v>0.2–0.4 hours</v>
      </c>
      <c r="P2716" t="s">
        <v>52</v>
      </c>
    </row>
    <row r="2717" spans="1:16" x14ac:dyDescent="0.4">
      <c r="A2717" t="s">
        <v>2758</v>
      </c>
      <c r="B2717">
        <v>67</v>
      </c>
      <c r="C2717" t="s">
        <v>27</v>
      </c>
      <c r="D2717" t="s">
        <v>32</v>
      </c>
      <c r="E2717">
        <v>0.61</v>
      </c>
      <c r="F2717">
        <v>12</v>
      </c>
      <c r="G2717" t="s">
        <v>33</v>
      </c>
      <c r="H2717" t="s">
        <v>57</v>
      </c>
      <c r="I2717" s="2">
        <v>17.989999999999998</v>
      </c>
      <c r="J2717">
        <v>1</v>
      </c>
      <c r="K2717" s="2">
        <f t="shared" si="84"/>
        <v>17.989999999999998</v>
      </c>
      <c r="L2717" t="s">
        <v>29</v>
      </c>
      <c r="M2717">
        <v>3</v>
      </c>
      <c r="N2717">
        <v>0.05</v>
      </c>
      <c r="O2717" t="str">
        <f t="shared" si="85"/>
        <v>0–0.2 hours</v>
      </c>
      <c r="P2717" t="s">
        <v>52</v>
      </c>
    </row>
    <row r="2718" spans="1:16" x14ac:dyDescent="0.4">
      <c r="A2718" t="s">
        <v>2759</v>
      </c>
      <c r="B2718">
        <v>37</v>
      </c>
      <c r="C2718" t="s">
        <v>15</v>
      </c>
      <c r="D2718" t="s">
        <v>16</v>
      </c>
      <c r="E2718">
        <v>18.149999999999999</v>
      </c>
      <c r="F2718">
        <v>54</v>
      </c>
      <c r="G2718" t="s">
        <v>70</v>
      </c>
      <c r="H2718" t="s">
        <v>55</v>
      </c>
      <c r="I2718" s="2">
        <v>8.99</v>
      </c>
      <c r="J2718">
        <v>1</v>
      </c>
      <c r="K2718" s="2">
        <f t="shared" si="84"/>
        <v>8.99</v>
      </c>
      <c r="L2718" t="s">
        <v>37</v>
      </c>
      <c r="M2718">
        <v>1</v>
      </c>
      <c r="N2718">
        <v>0.33</v>
      </c>
      <c r="O2718" t="str">
        <f t="shared" si="85"/>
        <v>0.2–0.4 hours</v>
      </c>
      <c r="P2718" t="s">
        <v>25</v>
      </c>
    </row>
    <row r="2719" spans="1:16" x14ac:dyDescent="0.4">
      <c r="A2719" t="s">
        <v>2760</v>
      </c>
      <c r="B2719">
        <v>34</v>
      </c>
      <c r="C2719" t="s">
        <v>41</v>
      </c>
      <c r="D2719" t="s">
        <v>22</v>
      </c>
      <c r="E2719">
        <v>2.89</v>
      </c>
      <c r="F2719">
        <v>36</v>
      </c>
      <c r="G2719" t="s">
        <v>70</v>
      </c>
      <c r="H2719" t="s">
        <v>18</v>
      </c>
      <c r="I2719" s="2">
        <v>13.99</v>
      </c>
      <c r="J2719">
        <v>1</v>
      </c>
      <c r="K2719" s="2">
        <f t="shared" si="84"/>
        <v>13.99</v>
      </c>
      <c r="L2719" t="s">
        <v>37</v>
      </c>
      <c r="M2719">
        <v>3</v>
      </c>
      <c r="N2719">
        <v>0.08</v>
      </c>
      <c r="O2719" t="str">
        <f t="shared" si="85"/>
        <v>0–0.2 hours</v>
      </c>
      <c r="P2719" t="s">
        <v>25</v>
      </c>
    </row>
    <row r="2720" spans="1:16" x14ac:dyDescent="0.4">
      <c r="A2720" t="s">
        <v>2761</v>
      </c>
      <c r="B2720">
        <v>21</v>
      </c>
      <c r="C2720" t="s">
        <v>27</v>
      </c>
      <c r="D2720" t="s">
        <v>16</v>
      </c>
      <c r="E2720">
        <v>23.78</v>
      </c>
      <c r="F2720">
        <v>9</v>
      </c>
      <c r="G2720" t="s">
        <v>33</v>
      </c>
      <c r="H2720" t="s">
        <v>46</v>
      </c>
      <c r="I2720" s="2">
        <v>8.99</v>
      </c>
      <c r="J2720">
        <v>0</v>
      </c>
      <c r="K2720" s="2">
        <f t="shared" si="84"/>
        <v>0</v>
      </c>
      <c r="L2720" t="s">
        <v>61</v>
      </c>
      <c r="M2720">
        <v>3</v>
      </c>
      <c r="N2720">
        <v>2.38</v>
      </c>
      <c r="O2720" t="str">
        <f t="shared" si="85"/>
        <v>1+ hours</v>
      </c>
      <c r="P2720" t="s">
        <v>39</v>
      </c>
    </row>
    <row r="2721" spans="1:16" x14ac:dyDescent="0.4">
      <c r="A2721" t="s">
        <v>2762</v>
      </c>
      <c r="B2721">
        <v>50</v>
      </c>
      <c r="C2721" t="s">
        <v>41</v>
      </c>
      <c r="D2721" t="s">
        <v>32</v>
      </c>
      <c r="E2721">
        <v>8.48</v>
      </c>
      <c r="F2721">
        <v>13</v>
      </c>
      <c r="G2721" t="s">
        <v>28</v>
      </c>
      <c r="H2721" t="s">
        <v>57</v>
      </c>
      <c r="I2721" s="2">
        <v>17.989999999999998</v>
      </c>
      <c r="J2721">
        <v>0</v>
      </c>
      <c r="K2721" s="2">
        <f t="shared" si="84"/>
        <v>0</v>
      </c>
      <c r="L2721" t="s">
        <v>43</v>
      </c>
      <c r="M2721">
        <v>3</v>
      </c>
      <c r="N2721">
        <v>0.61</v>
      </c>
      <c r="O2721" t="str">
        <f t="shared" si="85"/>
        <v>0.6–0.8 hours</v>
      </c>
      <c r="P2721" t="s">
        <v>25</v>
      </c>
    </row>
    <row r="2722" spans="1:16" x14ac:dyDescent="0.4">
      <c r="A2722" t="s">
        <v>2763</v>
      </c>
      <c r="B2722">
        <v>56</v>
      </c>
      <c r="C2722" t="s">
        <v>41</v>
      </c>
      <c r="D2722" t="s">
        <v>16</v>
      </c>
      <c r="E2722">
        <v>27.15</v>
      </c>
      <c r="F2722">
        <v>15</v>
      </c>
      <c r="G2722" t="s">
        <v>23</v>
      </c>
      <c r="H2722" t="s">
        <v>18</v>
      </c>
      <c r="I2722" s="2">
        <v>8.99</v>
      </c>
      <c r="J2722">
        <v>0</v>
      </c>
      <c r="K2722" s="2">
        <f t="shared" si="84"/>
        <v>0</v>
      </c>
      <c r="L2722" t="s">
        <v>61</v>
      </c>
      <c r="M2722">
        <v>1</v>
      </c>
      <c r="N2722">
        <v>1.7</v>
      </c>
      <c r="O2722" t="str">
        <f t="shared" si="85"/>
        <v>1+ hours</v>
      </c>
      <c r="P2722" t="s">
        <v>20</v>
      </c>
    </row>
    <row r="2723" spans="1:16" x14ac:dyDescent="0.4">
      <c r="A2723" t="s">
        <v>2764</v>
      </c>
      <c r="B2723">
        <v>52</v>
      </c>
      <c r="C2723" t="s">
        <v>41</v>
      </c>
      <c r="D2723" t="s">
        <v>16</v>
      </c>
      <c r="E2723">
        <v>6.78</v>
      </c>
      <c r="F2723">
        <v>2</v>
      </c>
      <c r="G2723" t="s">
        <v>28</v>
      </c>
      <c r="H2723" t="s">
        <v>24</v>
      </c>
      <c r="I2723" s="2">
        <v>8.99</v>
      </c>
      <c r="J2723">
        <v>0</v>
      </c>
      <c r="K2723" s="2">
        <f t="shared" si="84"/>
        <v>0</v>
      </c>
      <c r="L2723" t="s">
        <v>19</v>
      </c>
      <c r="M2723">
        <v>1</v>
      </c>
      <c r="N2723">
        <v>2.2599999999999998</v>
      </c>
      <c r="O2723" t="str">
        <f t="shared" si="85"/>
        <v>1+ hours</v>
      </c>
      <c r="P2723" t="s">
        <v>39</v>
      </c>
    </row>
    <row r="2724" spans="1:16" x14ac:dyDescent="0.4">
      <c r="A2724" t="s">
        <v>2765</v>
      </c>
      <c r="B2724">
        <v>62</v>
      </c>
      <c r="C2724" t="s">
        <v>41</v>
      </c>
      <c r="D2724" t="s">
        <v>32</v>
      </c>
      <c r="E2724">
        <v>0.62</v>
      </c>
      <c r="F2724">
        <v>8</v>
      </c>
      <c r="G2724" t="s">
        <v>28</v>
      </c>
      <c r="H2724" t="s">
        <v>24</v>
      </c>
      <c r="I2724" s="2">
        <v>17.989999999999998</v>
      </c>
      <c r="J2724">
        <v>1</v>
      </c>
      <c r="K2724" s="2">
        <f t="shared" si="84"/>
        <v>17.989999999999998</v>
      </c>
      <c r="L2724" t="s">
        <v>43</v>
      </c>
      <c r="M2724">
        <v>1</v>
      </c>
      <c r="N2724">
        <v>7.0000000000000007E-2</v>
      </c>
      <c r="O2724" t="str">
        <f t="shared" si="85"/>
        <v>0–0.2 hours</v>
      </c>
      <c r="P2724" t="s">
        <v>34</v>
      </c>
    </row>
    <row r="2725" spans="1:16" x14ac:dyDescent="0.4">
      <c r="A2725" t="s">
        <v>2766</v>
      </c>
      <c r="B2725">
        <v>53</v>
      </c>
      <c r="C2725" t="s">
        <v>27</v>
      </c>
      <c r="D2725" t="s">
        <v>16</v>
      </c>
      <c r="E2725">
        <v>0.01</v>
      </c>
      <c r="F2725">
        <v>55</v>
      </c>
      <c r="G2725" t="s">
        <v>17</v>
      </c>
      <c r="H2725" t="s">
        <v>24</v>
      </c>
      <c r="I2725" s="2">
        <v>8.99</v>
      </c>
      <c r="J2725">
        <v>1</v>
      </c>
      <c r="K2725" s="2">
        <f t="shared" si="84"/>
        <v>8.99</v>
      </c>
      <c r="L2725" t="s">
        <v>43</v>
      </c>
      <c r="M2725">
        <v>3</v>
      </c>
      <c r="N2725">
        <v>0</v>
      </c>
      <c r="O2725" t="str">
        <f t="shared" si="85"/>
        <v>0–0.2 hours</v>
      </c>
      <c r="P2725" t="s">
        <v>52</v>
      </c>
    </row>
    <row r="2726" spans="1:16" x14ac:dyDescent="0.4">
      <c r="A2726" t="s">
        <v>2767</v>
      </c>
      <c r="B2726">
        <v>46</v>
      </c>
      <c r="C2726" t="s">
        <v>27</v>
      </c>
      <c r="D2726" t="s">
        <v>16</v>
      </c>
      <c r="E2726">
        <v>4.1500000000000004</v>
      </c>
      <c r="F2726">
        <v>50</v>
      </c>
      <c r="G2726" t="s">
        <v>70</v>
      </c>
      <c r="H2726" t="s">
        <v>18</v>
      </c>
      <c r="I2726" s="2">
        <v>8.99</v>
      </c>
      <c r="J2726">
        <v>1</v>
      </c>
      <c r="K2726" s="2">
        <f t="shared" si="84"/>
        <v>8.99</v>
      </c>
      <c r="L2726" t="s">
        <v>37</v>
      </c>
      <c r="M2726">
        <v>2</v>
      </c>
      <c r="N2726">
        <v>0.08</v>
      </c>
      <c r="O2726" t="str">
        <f t="shared" si="85"/>
        <v>0–0.2 hours</v>
      </c>
      <c r="P2726" t="s">
        <v>52</v>
      </c>
    </row>
    <row r="2727" spans="1:16" x14ac:dyDescent="0.4">
      <c r="A2727" t="s">
        <v>2768</v>
      </c>
      <c r="B2727">
        <v>65</v>
      </c>
      <c r="C2727" t="s">
        <v>27</v>
      </c>
      <c r="D2727" t="s">
        <v>22</v>
      </c>
      <c r="E2727">
        <v>16.100000000000001</v>
      </c>
      <c r="F2727">
        <v>9</v>
      </c>
      <c r="G2727" t="s">
        <v>17</v>
      </c>
      <c r="H2727" t="s">
        <v>18</v>
      </c>
      <c r="I2727" s="2">
        <v>13.99</v>
      </c>
      <c r="J2727">
        <v>0</v>
      </c>
      <c r="K2727" s="2">
        <f t="shared" si="84"/>
        <v>0</v>
      </c>
      <c r="L2727" t="s">
        <v>43</v>
      </c>
      <c r="M2727">
        <v>4</v>
      </c>
      <c r="N2727">
        <v>1.61</v>
      </c>
      <c r="O2727" t="str">
        <f t="shared" si="85"/>
        <v>1+ hours</v>
      </c>
      <c r="P2727" t="s">
        <v>52</v>
      </c>
    </row>
    <row r="2728" spans="1:16" x14ac:dyDescent="0.4">
      <c r="A2728" t="s">
        <v>2769</v>
      </c>
      <c r="B2728">
        <v>33</v>
      </c>
      <c r="C2728" t="s">
        <v>27</v>
      </c>
      <c r="D2728" t="s">
        <v>22</v>
      </c>
      <c r="E2728">
        <v>26.73</v>
      </c>
      <c r="F2728">
        <v>28</v>
      </c>
      <c r="G2728" t="s">
        <v>28</v>
      </c>
      <c r="H2728" t="s">
        <v>55</v>
      </c>
      <c r="I2728" s="2">
        <v>13.99</v>
      </c>
      <c r="J2728">
        <v>0</v>
      </c>
      <c r="K2728" s="2">
        <f t="shared" si="84"/>
        <v>0</v>
      </c>
      <c r="L2728" t="s">
        <v>19</v>
      </c>
      <c r="M2728">
        <v>3</v>
      </c>
      <c r="N2728">
        <v>0.92</v>
      </c>
      <c r="O2728" t="str">
        <f t="shared" si="85"/>
        <v>0.8–1 hour</v>
      </c>
      <c r="P2728" t="s">
        <v>34</v>
      </c>
    </row>
    <row r="2729" spans="1:16" x14ac:dyDescent="0.4">
      <c r="A2729" t="s">
        <v>2770</v>
      </c>
      <c r="B2729">
        <v>37</v>
      </c>
      <c r="C2729" t="s">
        <v>15</v>
      </c>
      <c r="D2729" t="s">
        <v>16</v>
      </c>
      <c r="E2729">
        <v>1.32</v>
      </c>
      <c r="F2729">
        <v>11</v>
      </c>
      <c r="G2729" t="s">
        <v>49</v>
      </c>
      <c r="H2729" t="s">
        <v>18</v>
      </c>
      <c r="I2729" s="2">
        <v>8.99</v>
      </c>
      <c r="J2729">
        <v>1</v>
      </c>
      <c r="K2729" s="2">
        <f t="shared" si="84"/>
        <v>8.99</v>
      </c>
      <c r="L2729" t="s">
        <v>19</v>
      </c>
      <c r="M2729">
        <v>5</v>
      </c>
      <c r="N2729">
        <v>0.11</v>
      </c>
      <c r="O2729" t="str">
        <f t="shared" si="85"/>
        <v>0–0.2 hours</v>
      </c>
      <c r="P2729" t="s">
        <v>34</v>
      </c>
    </row>
    <row r="2730" spans="1:16" x14ac:dyDescent="0.4">
      <c r="A2730" t="s">
        <v>2771</v>
      </c>
      <c r="B2730">
        <v>52</v>
      </c>
      <c r="C2730" t="s">
        <v>41</v>
      </c>
      <c r="D2730" t="s">
        <v>32</v>
      </c>
      <c r="E2730">
        <v>27.41</v>
      </c>
      <c r="F2730">
        <v>1</v>
      </c>
      <c r="G2730" t="s">
        <v>17</v>
      </c>
      <c r="H2730" t="s">
        <v>46</v>
      </c>
      <c r="I2730" s="2">
        <v>17.989999999999998</v>
      </c>
      <c r="J2730">
        <v>0</v>
      </c>
      <c r="K2730" s="2">
        <f t="shared" si="84"/>
        <v>0</v>
      </c>
      <c r="L2730" t="s">
        <v>29</v>
      </c>
      <c r="M2730">
        <v>2</v>
      </c>
      <c r="N2730">
        <v>13.71</v>
      </c>
      <c r="O2730" t="str">
        <f t="shared" si="85"/>
        <v>1+ hours</v>
      </c>
      <c r="P2730" t="s">
        <v>20</v>
      </c>
    </row>
    <row r="2731" spans="1:16" x14ac:dyDescent="0.4">
      <c r="A2731" t="s">
        <v>2772</v>
      </c>
      <c r="B2731">
        <v>30</v>
      </c>
      <c r="C2731" t="s">
        <v>27</v>
      </c>
      <c r="D2731" t="s">
        <v>22</v>
      </c>
      <c r="E2731">
        <v>19.84</v>
      </c>
      <c r="F2731">
        <v>29</v>
      </c>
      <c r="G2731" t="s">
        <v>17</v>
      </c>
      <c r="H2731" t="s">
        <v>18</v>
      </c>
      <c r="I2731" s="2">
        <v>13.99</v>
      </c>
      <c r="J2731">
        <v>0</v>
      </c>
      <c r="K2731" s="2">
        <f t="shared" si="84"/>
        <v>0</v>
      </c>
      <c r="L2731" t="s">
        <v>37</v>
      </c>
      <c r="M2731">
        <v>1</v>
      </c>
      <c r="N2731">
        <v>0.66</v>
      </c>
      <c r="O2731" t="str">
        <f t="shared" si="85"/>
        <v>0.6–0.8 hours</v>
      </c>
      <c r="P2731" t="s">
        <v>30</v>
      </c>
    </row>
    <row r="2732" spans="1:16" x14ac:dyDescent="0.4">
      <c r="A2732" t="s">
        <v>2773</v>
      </c>
      <c r="B2732">
        <v>38</v>
      </c>
      <c r="C2732" t="s">
        <v>15</v>
      </c>
      <c r="D2732" t="s">
        <v>32</v>
      </c>
      <c r="E2732">
        <v>3.64</v>
      </c>
      <c r="F2732">
        <v>39</v>
      </c>
      <c r="G2732" t="s">
        <v>17</v>
      </c>
      <c r="H2732" t="s">
        <v>55</v>
      </c>
      <c r="I2732" s="2">
        <v>17.989999999999998</v>
      </c>
      <c r="J2732">
        <v>1</v>
      </c>
      <c r="K2732" s="2">
        <f t="shared" si="84"/>
        <v>17.989999999999998</v>
      </c>
      <c r="L2732" t="s">
        <v>19</v>
      </c>
      <c r="M2732">
        <v>5</v>
      </c>
      <c r="N2732">
        <v>0.09</v>
      </c>
      <c r="O2732" t="str">
        <f t="shared" si="85"/>
        <v>0–0.2 hours</v>
      </c>
      <c r="P2732" t="s">
        <v>30</v>
      </c>
    </row>
    <row r="2733" spans="1:16" x14ac:dyDescent="0.4">
      <c r="A2733" t="s">
        <v>2774</v>
      </c>
      <c r="B2733">
        <v>62</v>
      </c>
      <c r="C2733" t="s">
        <v>27</v>
      </c>
      <c r="D2733" t="s">
        <v>32</v>
      </c>
      <c r="E2733">
        <v>10.68</v>
      </c>
      <c r="F2733">
        <v>46</v>
      </c>
      <c r="G2733" t="s">
        <v>49</v>
      </c>
      <c r="H2733" t="s">
        <v>57</v>
      </c>
      <c r="I2733" s="2">
        <v>17.989999999999998</v>
      </c>
      <c r="J2733">
        <v>1</v>
      </c>
      <c r="K2733" s="2">
        <f t="shared" si="84"/>
        <v>17.989999999999998</v>
      </c>
      <c r="L2733" t="s">
        <v>29</v>
      </c>
      <c r="M2733">
        <v>1</v>
      </c>
      <c r="N2733">
        <v>0.23</v>
      </c>
      <c r="O2733" t="str">
        <f t="shared" si="85"/>
        <v>0.2–0.4 hours</v>
      </c>
      <c r="P2733" t="s">
        <v>52</v>
      </c>
    </row>
    <row r="2734" spans="1:16" x14ac:dyDescent="0.4">
      <c r="A2734" t="s">
        <v>2775</v>
      </c>
      <c r="B2734">
        <v>22</v>
      </c>
      <c r="C2734" t="s">
        <v>15</v>
      </c>
      <c r="D2734" t="s">
        <v>16</v>
      </c>
      <c r="E2734">
        <v>29.96</v>
      </c>
      <c r="F2734">
        <v>43</v>
      </c>
      <c r="G2734" t="s">
        <v>70</v>
      </c>
      <c r="H2734" t="s">
        <v>18</v>
      </c>
      <c r="I2734" s="2">
        <v>8.99</v>
      </c>
      <c r="J2734">
        <v>0</v>
      </c>
      <c r="K2734" s="2">
        <f t="shared" si="84"/>
        <v>0</v>
      </c>
      <c r="L2734" t="s">
        <v>29</v>
      </c>
      <c r="M2734">
        <v>5</v>
      </c>
      <c r="N2734">
        <v>0.68</v>
      </c>
      <c r="O2734" t="str">
        <f t="shared" si="85"/>
        <v>0.6–0.8 hours</v>
      </c>
      <c r="P2734" t="s">
        <v>39</v>
      </c>
    </row>
    <row r="2735" spans="1:16" x14ac:dyDescent="0.4">
      <c r="A2735" t="s">
        <v>2776</v>
      </c>
      <c r="B2735">
        <v>55</v>
      </c>
      <c r="C2735" t="s">
        <v>15</v>
      </c>
      <c r="D2735" t="s">
        <v>32</v>
      </c>
      <c r="E2735">
        <v>38.31</v>
      </c>
      <c r="F2735">
        <v>32</v>
      </c>
      <c r="G2735" t="s">
        <v>28</v>
      </c>
      <c r="H2735" t="s">
        <v>24</v>
      </c>
      <c r="I2735" s="2">
        <v>17.989999999999998</v>
      </c>
      <c r="J2735">
        <v>0</v>
      </c>
      <c r="K2735" s="2">
        <f t="shared" si="84"/>
        <v>0</v>
      </c>
      <c r="L2735" t="s">
        <v>29</v>
      </c>
      <c r="M2735">
        <v>1</v>
      </c>
      <c r="N2735">
        <v>1.1599999999999999</v>
      </c>
      <c r="O2735" t="str">
        <f t="shared" si="85"/>
        <v>1+ hours</v>
      </c>
      <c r="P2735" t="s">
        <v>25</v>
      </c>
    </row>
    <row r="2736" spans="1:16" x14ac:dyDescent="0.4">
      <c r="A2736" t="s">
        <v>2777</v>
      </c>
      <c r="B2736">
        <v>48</v>
      </c>
      <c r="C2736" t="s">
        <v>41</v>
      </c>
      <c r="D2736" t="s">
        <v>32</v>
      </c>
      <c r="E2736">
        <v>1.64</v>
      </c>
      <c r="F2736">
        <v>11</v>
      </c>
      <c r="G2736" t="s">
        <v>70</v>
      </c>
      <c r="H2736" t="s">
        <v>24</v>
      </c>
      <c r="I2736" s="2">
        <v>17.989999999999998</v>
      </c>
      <c r="J2736">
        <v>1</v>
      </c>
      <c r="K2736" s="2">
        <f t="shared" si="84"/>
        <v>17.989999999999998</v>
      </c>
      <c r="L2736" t="s">
        <v>19</v>
      </c>
      <c r="M2736">
        <v>1</v>
      </c>
      <c r="N2736">
        <v>0.14000000000000001</v>
      </c>
      <c r="O2736" t="str">
        <f t="shared" si="85"/>
        <v>0–0.2 hours</v>
      </c>
      <c r="P2736" t="s">
        <v>30</v>
      </c>
    </row>
    <row r="2737" spans="1:16" x14ac:dyDescent="0.4">
      <c r="A2737" t="s">
        <v>2778</v>
      </c>
      <c r="B2737">
        <v>54</v>
      </c>
      <c r="C2737" t="s">
        <v>15</v>
      </c>
      <c r="D2737" t="s">
        <v>22</v>
      </c>
      <c r="E2737">
        <v>8.5500000000000007</v>
      </c>
      <c r="F2737">
        <v>57</v>
      </c>
      <c r="G2737" t="s">
        <v>33</v>
      </c>
      <c r="H2737" t="s">
        <v>24</v>
      </c>
      <c r="I2737" s="2">
        <v>13.99</v>
      </c>
      <c r="J2737">
        <v>1</v>
      </c>
      <c r="K2737" s="2">
        <f t="shared" si="84"/>
        <v>13.99</v>
      </c>
      <c r="L2737" t="s">
        <v>43</v>
      </c>
      <c r="M2737">
        <v>1</v>
      </c>
      <c r="N2737">
        <v>0.15</v>
      </c>
      <c r="O2737" t="str">
        <f t="shared" si="85"/>
        <v>0–0.2 hours</v>
      </c>
      <c r="P2737" t="s">
        <v>34</v>
      </c>
    </row>
    <row r="2738" spans="1:16" x14ac:dyDescent="0.4">
      <c r="A2738" t="s">
        <v>2779</v>
      </c>
      <c r="B2738">
        <v>27</v>
      </c>
      <c r="C2738" t="s">
        <v>15</v>
      </c>
      <c r="D2738" t="s">
        <v>22</v>
      </c>
      <c r="E2738">
        <v>3.92</v>
      </c>
      <c r="F2738">
        <v>56</v>
      </c>
      <c r="G2738" t="s">
        <v>33</v>
      </c>
      <c r="H2738" t="s">
        <v>55</v>
      </c>
      <c r="I2738" s="2">
        <v>13.99</v>
      </c>
      <c r="J2738">
        <v>1</v>
      </c>
      <c r="K2738" s="2">
        <f t="shared" si="84"/>
        <v>13.99</v>
      </c>
      <c r="L2738" t="s">
        <v>37</v>
      </c>
      <c r="M2738">
        <v>1</v>
      </c>
      <c r="N2738">
        <v>7.0000000000000007E-2</v>
      </c>
      <c r="O2738" t="str">
        <f t="shared" si="85"/>
        <v>0–0.2 hours</v>
      </c>
      <c r="P2738" t="s">
        <v>30</v>
      </c>
    </row>
    <row r="2739" spans="1:16" x14ac:dyDescent="0.4">
      <c r="A2739" t="s">
        <v>2780</v>
      </c>
      <c r="B2739">
        <v>59</v>
      </c>
      <c r="C2739" t="s">
        <v>15</v>
      </c>
      <c r="D2739" t="s">
        <v>32</v>
      </c>
      <c r="E2739">
        <v>4.8</v>
      </c>
      <c r="F2739">
        <v>1</v>
      </c>
      <c r="G2739" t="s">
        <v>17</v>
      </c>
      <c r="H2739" t="s">
        <v>55</v>
      </c>
      <c r="I2739" s="2">
        <v>17.989999999999998</v>
      </c>
      <c r="J2739">
        <v>0</v>
      </c>
      <c r="K2739" s="2">
        <f t="shared" si="84"/>
        <v>0</v>
      </c>
      <c r="L2739" t="s">
        <v>43</v>
      </c>
      <c r="M2739">
        <v>1</v>
      </c>
      <c r="N2739">
        <v>2.4</v>
      </c>
      <c r="O2739" t="str">
        <f t="shared" si="85"/>
        <v>1+ hours</v>
      </c>
      <c r="P2739" t="s">
        <v>30</v>
      </c>
    </row>
    <row r="2740" spans="1:16" x14ac:dyDescent="0.4">
      <c r="A2740" t="s">
        <v>2781</v>
      </c>
      <c r="B2740">
        <v>39</v>
      </c>
      <c r="C2740" t="s">
        <v>15</v>
      </c>
      <c r="D2740" t="s">
        <v>32</v>
      </c>
      <c r="E2740">
        <v>11.29</v>
      </c>
      <c r="F2740">
        <v>7</v>
      </c>
      <c r="G2740" t="s">
        <v>23</v>
      </c>
      <c r="H2740" t="s">
        <v>57</v>
      </c>
      <c r="I2740" s="2">
        <v>17.989999999999998</v>
      </c>
      <c r="J2740">
        <v>0</v>
      </c>
      <c r="K2740" s="2">
        <f t="shared" si="84"/>
        <v>0</v>
      </c>
      <c r="L2740" t="s">
        <v>19</v>
      </c>
      <c r="M2740">
        <v>1</v>
      </c>
      <c r="N2740">
        <v>1.41</v>
      </c>
      <c r="O2740" t="str">
        <f t="shared" si="85"/>
        <v>1+ hours</v>
      </c>
      <c r="P2740" t="s">
        <v>52</v>
      </c>
    </row>
    <row r="2741" spans="1:16" x14ac:dyDescent="0.4">
      <c r="A2741" t="s">
        <v>2782</v>
      </c>
      <c r="B2741">
        <v>19</v>
      </c>
      <c r="C2741" t="s">
        <v>15</v>
      </c>
      <c r="D2741" t="s">
        <v>32</v>
      </c>
      <c r="E2741">
        <v>0.4</v>
      </c>
      <c r="F2741">
        <v>15</v>
      </c>
      <c r="G2741" t="s">
        <v>49</v>
      </c>
      <c r="H2741" t="s">
        <v>24</v>
      </c>
      <c r="I2741" s="2">
        <v>17.989999999999998</v>
      </c>
      <c r="J2741">
        <v>1</v>
      </c>
      <c r="K2741" s="2">
        <f t="shared" si="84"/>
        <v>17.989999999999998</v>
      </c>
      <c r="L2741" t="s">
        <v>19</v>
      </c>
      <c r="M2741">
        <v>1</v>
      </c>
      <c r="N2741">
        <v>0.03</v>
      </c>
      <c r="O2741" t="str">
        <f t="shared" si="85"/>
        <v>0–0.2 hours</v>
      </c>
      <c r="P2741" t="s">
        <v>25</v>
      </c>
    </row>
    <row r="2742" spans="1:16" x14ac:dyDescent="0.4">
      <c r="A2742" t="s">
        <v>2783</v>
      </c>
      <c r="B2742">
        <v>29</v>
      </c>
      <c r="C2742" t="s">
        <v>15</v>
      </c>
      <c r="D2742" t="s">
        <v>22</v>
      </c>
      <c r="E2742">
        <v>2.33</v>
      </c>
      <c r="F2742">
        <v>56</v>
      </c>
      <c r="G2742" t="s">
        <v>28</v>
      </c>
      <c r="H2742" t="s">
        <v>55</v>
      </c>
      <c r="I2742" s="2">
        <v>13.99</v>
      </c>
      <c r="J2742">
        <v>1</v>
      </c>
      <c r="K2742" s="2">
        <f t="shared" si="84"/>
        <v>13.99</v>
      </c>
      <c r="L2742" t="s">
        <v>29</v>
      </c>
      <c r="M2742">
        <v>2</v>
      </c>
      <c r="N2742">
        <v>0.04</v>
      </c>
      <c r="O2742" t="str">
        <f t="shared" si="85"/>
        <v>0–0.2 hours</v>
      </c>
      <c r="P2742" t="s">
        <v>25</v>
      </c>
    </row>
    <row r="2743" spans="1:16" x14ac:dyDescent="0.4">
      <c r="A2743" t="s">
        <v>2784</v>
      </c>
      <c r="B2743">
        <v>33</v>
      </c>
      <c r="C2743" t="s">
        <v>41</v>
      </c>
      <c r="D2743" t="s">
        <v>32</v>
      </c>
      <c r="E2743">
        <v>1.98</v>
      </c>
      <c r="F2743">
        <v>5</v>
      </c>
      <c r="G2743" t="s">
        <v>23</v>
      </c>
      <c r="H2743" t="s">
        <v>55</v>
      </c>
      <c r="I2743" s="2">
        <v>17.989999999999998</v>
      </c>
      <c r="J2743">
        <v>0</v>
      </c>
      <c r="K2743" s="2">
        <f t="shared" si="84"/>
        <v>0</v>
      </c>
      <c r="L2743" t="s">
        <v>61</v>
      </c>
      <c r="M2743">
        <v>2</v>
      </c>
      <c r="N2743">
        <v>0.33</v>
      </c>
      <c r="O2743" t="str">
        <f t="shared" si="85"/>
        <v>0.2–0.4 hours</v>
      </c>
      <c r="P2743" t="s">
        <v>25</v>
      </c>
    </row>
    <row r="2744" spans="1:16" x14ac:dyDescent="0.4">
      <c r="A2744" t="s">
        <v>2785</v>
      </c>
      <c r="B2744">
        <v>62</v>
      </c>
      <c r="C2744" t="s">
        <v>15</v>
      </c>
      <c r="D2744" t="s">
        <v>16</v>
      </c>
      <c r="E2744">
        <v>1.31</v>
      </c>
      <c r="F2744">
        <v>46</v>
      </c>
      <c r="G2744" t="s">
        <v>28</v>
      </c>
      <c r="H2744" t="s">
        <v>55</v>
      </c>
      <c r="I2744" s="2">
        <v>8.99</v>
      </c>
      <c r="J2744">
        <v>1</v>
      </c>
      <c r="K2744" s="2">
        <f t="shared" si="84"/>
        <v>8.99</v>
      </c>
      <c r="L2744" t="s">
        <v>29</v>
      </c>
      <c r="M2744">
        <v>2</v>
      </c>
      <c r="N2744">
        <v>0.03</v>
      </c>
      <c r="O2744" t="str">
        <f t="shared" si="85"/>
        <v>0–0.2 hours</v>
      </c>
      <c r="P2744" t="s">
        <v>25</v>
      </c>
    </row>
    <row r="2745" spans="1:16" x14ac:dyDescent="0.4">
      <c r="A2745" t="s">
        <v>2786</v>
      </c>
      <c r="B2745">
        <v>45</v>
      </c>
      <c r="C2745" t="s">
        <v>41</v>
      </c>
      <c r="D2745" t="s">
        <v>22</v>
      </c>
      <c r="E2745">
        <v>8.7100000000000009</v>
      </c>
      <c r="F2745">
        <v>23</v>
      </c>
      <c r="G2745" t="s">
        <v>49</v>
      </c>
      <c r="H2745" t="s">
        <v>57</v>
      </c>
      <c r="I2745" s="2">
        <v>13.99</v>
      </c>
      <c r="J2745">
        <v>0</v>
      </c>
      <c r="K2745" s="2">
        <f t="shared" si="84"/>
        <v>0</v>
      </c>
      <c r="L2745" t="s">
        <v>61</v>
      </c>
      <c r="M2745">
        <v>5</v>
      </c>
      <c r="N2745">
        <v>0.36</v>
      </c>
      <c r="O2745" t="str">
        <f t="shared" si="85"/>
        <v>0.2–0.4 hours</v>
      </c>
      <c r="P2745" t="s">
        <v>47</v>
      </c>
    </row>
    <row r="2746" spans="1:16" x14ac:dyDescent="0.4">
      <c r="A2746" t="s">
        <v>2787</v>
      </c>
      <c r="B2746">
        <v>48</v>
      </c>
      <c r="C2746" t="s">
        <v>15</v>
      </c>
      <c r="D2746" t="s">
        <v>22</v>
      </c>
      <c r="E2746">
        <v>4.6500000000000004</v>
      </c>
      <c r="F2746">
        <v>19</v>
      </c>
      <c r="G2746" t="s">
        <v>33</v>
      </c>
      <c r="H2746" t="s">
        <v>46</v>
      </c>
      <c r="I2746" s="2">
        <v>13.99</v>
      </c>
      <c r="J2746">
        <v>0</v>
      </c>
      <c r="K2746" s="2">
        <f t="shared" si="84"/>
        <v>0</v>
      </c>
      <c r="L2746" t="s">
        <v>37</v>
      </c>
      <c r="M2746">
        <v>4</v>
      </c>
      <c r="N2746">
        <v>0.23</v>
      </c>
      <c r="O2746" t="str">
        <f t="shared" si="85"/>
        <v>0.2–0.4 hours</v>
      </c>
      <c r="P2746" t="s">
        <v>39</v>
      </c>
    </row>
    <row r="2747" spans="1:16" x14ac:dyDescent="0.4">
      <c r="A2747" t="s">
        <v>2788</v>
      </c>
      <c r="B2747">
        <v>19</v>
      </c>
      <c r="C2747" t="s">
        <v>41</v>
      </c>
      <c r="D2747" t="s">
        <v>16</v>
      </c>
      <c r="E2747">
        <v>15.61</v>
      </c>
      <c r="F2747">
        <v>8</v>
      </c>
      <c r="G2747" t="s">
        <v>17</v>
      </c>
      <c r="H2747" t="s">
        <v>57</v>
      </c>
      <c r="I2747" s="2">
        <v>8.99</v>
      </c>
      <c r="J2747">
        <v>0</v>
      </c>
      <c r="K2747" s="2">
        <f t="shared" si="84"/>
        <v>0</v>
      </c>
      <c r="L2747" t="s">
        <v>29</v>
      </c>
      <c r="M2747">
        <v>2</v>
      </c>
      <c r="N2747">
        <v>1.73</v>
      </c>
      <c r="O2747" t="str">
        <f t="shared" si="85"/>
        <v>1+ hours</v>
      </c>
      <c r="P2747" t="s">
        <v>34</v>
      </c>
    </row>
    <row r="2748" spans="1:16" x14ac:dyDescent="0.4">
      <c r="A2748" t="s">
        <v>2789</v>
      </c>
      <c r="B2748">
        <v>20</v>
      </c>
      <c r="C2748" t="s">
        <v>27</v>
      </c>
      <c r="D2748" t="s">
        <v>32</v>
      </c>
      <c r="E2748">
        <v>27.16</v>
      </c>
      <c r="F2748">
        <v>53</v>
      </c>
      <c r="G2748" t="s">
        <v>49</v>
      </c>
      <c r="H2748" t="s">
        <v>57</v>
      </c>
      <c r="I2748" s="2">
        <v>17.989999999999998</v>
      </c>
      <c r="J2748">
        <v>0</v>
      </c>
      <c r="K2748" s="2">
        <f t="shared" si="84"/>
        <v>0</v>
      </c>
      <c r="L2748" t="s">
        <v>61</v>
      </c>
      <c r="M2748">
        <v>1</v>
      </c>
      <c r="N2748">
        <v>0.5</v>
      </c>
      <c r="O2748" t="str">
        <f t="shared" si="85"/>
        <v>0.4–0.6 hours</v>
      </c>
      <c r="P2748" t="s">
        <v>52</v>
      </c>
    </row>
    <row r="2749" spans="1:16" x14ac:dyDescent="0.4">
      <c r="A2749" t="s">
        <v>2790</v>
      </c>
      <c r="B2749">
        <v>59</v>
      </c>
      <c r="C2749" t="s">
        <v>27</v>
      </c>
      <c r="D2749" t="s">
        <v>16</v>
      </c>
      <c r="E2749">
        <v>10.220000000000001</v>
      </c>
      <c r="F2749">
        <v>53</v>
      </c>
      <c r="G2749" t="s">
        <v>33</v>
      </c>
      <c r="H2749" t="s">
        <v>24</v>
      </c>
      <c r="I2749" s="2">
        <v>8.99</v>
      </c>
      <c r="J2749">
        <v>1</v>
      </c>
      <c r="K2749" s="2">
        <f t="shared" si="84"/>
        <v>8.99</v>
      </c>
      <c r="L2749" t="s">
        <v>61</v>
      </c>
      <c r="M2749">
        <v>4</v>
      </c>
      <c r="N2749">
        <v>0.19</v>
      </c>
      <c r="O2749" t="str">
        <f t="shared" si="85"/>
        <v>0–0.2 hours</v>
      </c>
      <c r="P2749" t="s">
        <v>25</v>
      </c>
    </row>
    <row r="2750" spans="1:16" x14ac:dyDescent="0.4">
      <c r="A2750" t="s">
        <v>2791</v>
      </c>
      <c r="B2750">
        <v>41</v>
      </c>
      <c r="C2750" t="s">
        <v>15</v>
      </c>
      <c r="D2750" t="s">
        <v>16</v>
      </c>
      <c r="E2750">
        <v>11.39</v>
      </c>
      <c r="F2750">
        <v>44</v>
      </c>
      <c r="G2750" t="s">
        <v>49</v>
      </c>
      <c r="H2750" t="s">
        <v>24</v>
      </c>
      <c r="I2750" s="2">
        <v>8.99</v>
      </c>
      <c r="J2750">
        <v>1</v>
      </c>
      <c r="K2750" s="2">
        <f t="shared" si="84"/>
        <v>8.99</v>
      </c>
      <c r="L2750" t="s">
        <v>19</v>
      </c>
      <c r="M2750">
        <v>3</v>
      </c>
      <c r="N2750">
        <v>0.25</v>
      </c>
      <c r="O2750" t="str">
        <f t="shared" si="85"/>
        <v>0.2–0.4 hours</v>
      </c>
      <c r="P2750" t="s">
        <v>39</v>
      </c>
    </row>
    <row r="2751" spans="1:16" x14ac:dyDescent="0.4">
      <c r="A2751" t="s">
        <v>2792</v>
      </c>
      <c r="B2751">
        <v>41</v>
      </c>
      <c r="C2751" t="s">
        <v>27</v>
      </c>
      <c r="D2751" t="s">
        <v>32</v>
      </c>
      <c r="E2751">
        <v>1.5</v>
      </c>
      <c r="F2751">
        <v>60</v>
      </c>
      <c r="G2751" t="s">
        <v>49</v>
      </c>
      <c r="H2751" t="s">
        <v>55</v>
      </c>
      <c r="I2751" s="2">
        <v>17.989999999999998</v>
      </c>
      <c r="J2751">
        <v>1</v>
      </c>
      <c r="K2751" s="2">
        <f t="shared" si="84"/>
        <v>17.989999999999998</v>
      </c>
      <c r="L2751" t="s">
        <v>19</v>
      </c>
      <c r="M2751">
        <v>5</v>
      </c>
      <c r="N2751">
        <v>0.02</v>
      </c>
      <c r="O2751" t="str">
        <f t="shared" si="85"/>
        <v>0–0.2 hours</v>
      </c>
      <c r="P2751" t="s">
        <v>34</v>
      </c>
    </row>
    <row r="2752" spans="1:16" x14ac:dyDescent="0.4">
      <c r="A2752" t="s">
        <v>2793</v>
      </c>
      <c r="B2752">
        <v>47</v>
      </c>
      <c r="C2752" t="s">
        <v>27</v>
      </c>
      <c r="D2752" t="s">
        <v>22</v>
      </c>
      <c r="E2752">
        <v>13.28</v>
      </c>
      <c r="F2752">
        <v>20</v>
      </c>
      <c r="G2752" t="s">
        <v>23</v>
      </c>
      <c r="H2752" t="s">
        <v>24</v>
      </c>
      <c r="I2752" s="2">
        <v>13.99</v>
      </c>
      <c r="J2752">
        <v>0</v>
      </c>
      <c r="K2752" s="2">
        <f t="shared" si="84"/>
        <v>0</v>
      </c>
      <c r="L2752" t="s">
        <v>43</v>
      </c>
      <c r="M2752">
        <v>3</v>
      </c>
      <c r="N2752">
        <v>0.63</v>
      </c>
      <c r="O2752" t="str">
        <f t="shared" si="85"/>
        <v>0.6–0.8 hours</v>
      </c>
      <c r="P2752" t="s">
        <v>52</v>
      </c>
    </row>
    <row r="2753" spans="1:16" x14ac:dyDescent="0.4">
      <c r="A2753" t="s">
        <v>2794</v>
      </c>
      <c r="B2753">
        <v>46</v>
      </c>
      <c r="C2753" t="s">
        <v>41</v>
      </c>
      <c r="D2753" t="s">
        <v>32</v>
      </c>
      <c r="E2753">
        <v>4.67</v>
      </c>
      <c r="F2753">
        <v>58</v>
      </c>
      <c r="G2753" t="s">
        <v>28</v>
      </c>
      <c r="H2753" t="s">
        <v>18</v>
      </c>
      <c r="I2753" s="2">
        <v>17.989999999999998</v>
      </c>
      <c r="J2753">
        <v>1</v>
      </c>
      <c r="K2753" s="2">
        <f t="shared" si="84"/>
        <v>17.989999999999998</v>
      </c>
      <c r="L2753" t="s">
        <v>43</v>
      </c>
      <c r="M2753">
        <v>1</v>
      </c>
      <c r="N2753">
        <v>0.08</v>
      </c>
      <c r="O2753" t="str">
        <f t="shared" si="85"/>
        <v>0–0.2 hours</v>
      </c>
      <c r="P2753" t="s">
        <v>52</v>
      </c>
    </row>
    <row r="2754" spans="1:16" x14ac:dyDescent="0.4">
      <c r="A2754" t="s">
        <v>2795</v>
      </c>
      <c r="B2754">
        <v>33</v>
      </c>
      <c r="C2754" t="s">
        <v>27</v>
      </c>
      <c r="D2754" t="s">
        <v>16</v>
      </c>
      <c r="E2754">
        <v>1.18</v>
      </c>
      <c r="F2754">
        <v>42</v>
      </c>
      <c r="G2754" t="s">
        <v>28</v>
      </c>
      <c r="H2754" t="s">
        <v>18</v>
      </c>
      <c r="I2754" s="2">
        <v>8.99</v>
      </c>
      <c r="J2754">
        <v>1</v>
      </c>
      <c r="K2754" s="2">
        <f t="shared" si="84"/>
        <v>8.99</v>
      </c>
      <c r="L2754" t="s">
        <v>37</v>
      </c>
      <c r="M2754">
        <v>5</v>
      </c>
      <c r="N2754">
        <v>0.03</v>
      </c>
      <c r="O2754" t="str">
        <f t="shared" si="85"/>
        <v>0–0.2 hours</v>
      </c>
      <c r="P2754" t="s">
        <v>34</v>
      </c>
    </row>
    <row r="2755" spans="1:16" x14ac:dyDescent="0.4">
      <c r="A2755" t="s">
        <v>2796</v>
      </c>
      <c r="B2755">
        <v>21</v>
      </c>
      <c r="C2755" t="s">
        <v>41</v>
      </c>
      <c r="D2755" t="s">
        <v>32</v>
      </c>
      <c r="E2755">
        <v>11.78</v>
      </c>
      <c r="F2755">
        <v>4</v>
      </c>
      <c r="G2755" t="s">
        <v>33</v>
      </c>
      <c r="H2755" t="s">
        <v>46</v>
      </c>
      <c r="I2755" s="2">
        <v>17.989999999999998</v>
      </c>
      <c r="J2755">
        <v>0</v>
      </c>
      <c r="K2755" s="2">
        <f t="shared" ref="K2755:K2818" si="86">SUMIF(J2755,1,I2755)</f>
        <v>0</v>
      </c>
      <c r="L2755" t="s">
        <v>29</v>
      </c>
      <c r="M2755">
        <v>3</v>
      </c>
      <c r="N2755">
        <v>2.36</v>
      </c>
      <c r="O2755" t="str">
        <f t="shared" ref="O2755:O2818" si="87">IF(N2755&gt;1,"1+ hours",IF(N2755&lt;=0.2,"0–0.2 hours",IF(N2755&lt;=0.4,"0.2–0.4 hours",IF(N2755&lt;=0.6,"0.4–0.6 hours",IF(N2755&lt;=0.8,"0.6–0.8 hours","0.8–1 hour")))))</f>
        <v>1+ hours</v>
      </c>
      <c r="P2755" t="s">
        <v>30</v>
      </c>
    </row>
    <row r="2756" spans="1:16" x14ac:dyDescent="0.4">
      <c r="A2756" t="s">
        <v>2797</v>
      </c>
      <c r="B2756">
        <v>66</v>
      </c>
      <c r="C2756" t="s">
        <v>41</v>
      </c>
      <c r="D2756" t="s">
        <v>16</v>
      </c>
      <c r="E2756">
        <v>1.92</v>
      </c>
      <c r="F2756">
        <v>27</v>
      </c>
      <c r="G2756" t="s">
        <v>49</v>
      </c>
      <c r="H2756" t="s">
        <v>46</v>
      </c>
      <c r="I2756" s="2">
        <v>8.99</v>
      </c>
      <c r="J2756">
        <v>1</v>
      </c>
      <c r="K2756" s="2">
        <f t="shared" si="86"/>
        <v>8.99</v>
      </c>
      <c r="L2756" t="s">
        <v>19</v>
      </c>
      <c r="M2756">
        <v>5</v>
      </c>
      <c r="N2756">
        <v>7.0000000000000007E-2</v>
      </c>
      <c r="O2756" t="str">
        <f t="shared" si="87"/>
        <v>0–0.2 hours</v>
      </c>
      <c r="P2756" t="s">
        <v>34</v>
      </c>
    </row>
    <row r="2757" spans="1:16" x14ac:dyDescent="0.4">
      <c r="A2757" t="s">
        <v>2798</v>
      </c>
      <c r="B2757">
        <v>37</v>
      </c>
      <c r="C2757" t="s">
        <v>41</v>
      </c>
      <c r="D2757" t="s">
        <v>32</v>
      </c>
      <c r="E2757">
        <v>3.73</v>
      </c>
      <c r="F2757">
        <v>31</v>
      </c>
      <c r="G2757" t="s">
        <v>28</v>
      </c>
      <c r="H2757" t="s">
        <v>18</v>
      </c>
      <c r="I2757" s="2">
        <v>17.989999999999998</v>
      </c>
      <c r="J2757">
        <v>1</v>
      </c>
      <c r="K2757" s="2">
        <f t="shared" si="86"/>
        <v>17.989999999999998</v>
      </c>
      <c r="L2757" t="s">
        <v>43</v>
      </c>
      <c r="M2757">
        <v>5</v>
      </c>
      <c r="N2757">
        <v>0.12</v>
      </c>
      <c r="O2757" t="str">
        <f t="shared" si="87"/>
        <v>0–0.2 hours</v>
      </c>
      <c r="P2757" t="s">
        <v>52</v>
      </c>
    </row>
    <row r="2758" spans="1:16" x14ac:dyDescent="0.4">
      <c r="A2758" t="s">
        <v>2799</v>
      </c>
      <c r="B2758">
        <v>49</v>
      </c>
      <c r="C2758" t="s">
        <v>41</v>
      </c>
      <c r="D2758" t="s">
        <v>22</v>
      </c>
      <c r="E2758">
        <v>9.39</v>
      </c>
      <c r="F2758">
        <v>22</v>
      </c>
      <c r="G2758" t="s">
        <v>23</v>
      </c>
      <c r="H2758" t="s">
        <v>46</v>
      </c>
      <c r="I2758" s="2">
        <v>13.99</v>
      </c>
      <c r="J2758">
        <v>0</v>
      </c>
      <c r="K2758" s="2">
        <f t="shared" si="86"/>
        <v>0</v>
      </c>
      <c r="L2758" t="s">
        <v>19</v>
      </c>
      <c r="M2758">
        <v>1</v>
      </c>
      <c r="N2758">
        <v>0.41</v>
      </c>
      <c r="O2758" t="str">
        <f t="shared" si="87"/>
        <v>0.4–0.6 hours</v>
      </c>
      <c r="P2758" t="s">
        <v>20</v>
      </c>
    </row>
    <row r="2759" spans="1:16" x14ac:dyDescent="0.4">
      <c r="A2759" t="s">
        <v>2800</v>
      </c>
      <c r="B2759">
        <v>66</v>
      </c>
      <c r="C2759" t="s">
        <v>27</v>
      </c>
      <c r="D2759" t="s">
        <v>22</v>
      </c>
      <c r="E2759">
        <v>7.74</v>
      </c>
      <c r="F2759">
        <v>6</v>
      </c>
      <c r="G2759" t="s">
        <v>49</v>
      </c>
      <c r="H2759" t="s">
        <v>46</v>
      </c>
      <c r="I2759" s="2">
        <v>13.99</v>
      </c>
      <c r="J2759">
        <v>0</v>
      </c>
      <c r="K2759" s="2">
        <f t="shared" si="86"/>
        <v>0</v>
      </c>
      <c r="L2759" t="s">
        <v>61</v>
      </c>
      <c r="M2759">
        <v>4</v>
      </c>
      <c r="N2759">
        <v>1.1100000000000001</v>
      </c>
      <c r="O2759" t="str">
        <f t="shared" si="87"/>
        <v>1+ hours</v>
      </c>
      <c r="P2759" t="s">
        <v>34</v>
      </c>
    </row>
    <row r="2760" spans="1:16" x14ac:dyDescent="0.4">
      <c r="A2760" t="s">
        <v>2801</v>
      </c>
      <c r="B2760">
        <v>35</v>
      </c>
      <c r="C2760" t="s">
        <v>15</v>
      </c>
      <c r="D2760" t="s">
        <v>16</v>
      </c>
      <c r="E2760">
        <v>0.56999999999999995</v>
      </c>
      <c r="F2760">
        <v>56</v>
      </c>
      <c r="G2760" t="s">
        <v>49</v>
      </c>
      <c r="H2760" t="s">
        <v>24</v>
      </c>
      <c r="I2760" s="2">
        <v>8.99</v>
      </c>
      <c r="J2760">
        <v>1</v>
      </c>
      <c r="K2760" s="2">
        <f t="shared" si="86"/>
        <v>8.99</v>
      </c>
      <c r="L2760" t="s">
        <v>43</v>
      </c>
      <c r="M2760">
        <v>2</v>
      </c>
      <c r="N2760">
        <v>0.01</v>
      </c>
      <c r="O2760" t="str">
        <f t="shared" si="87"/>
        <v>0–0.2 hours</v>
      </c>
      <c r="P2760" t="s">
        <v>47</v>
      </c>
    </row>
    <row r="2761" spans="1:16" x14ac:dyDescent="0.4">
      <c r="A2761" t="s">
        <v>2802</v>
      </c>
      <c r="B2761">
        <v>65</v>
      </c>
      <c r="C2761" t="s">
        <v>41</v>
      </c>
      <c r="D2761" t="s">
        <v>22</v>
      </c>
      <c r="E2761">
        <v>4.3</v>
      </c>
      <c r="F2761">
        <v>46</v>
      </c>
      <c r="G2761" t="s">
        <v>17</v>
      </c>
      <c r="H2761" t="s">
        <v>24</v>
      </c>
      <c r="I2761" s="2">
        <v>13.99</v>
      </c>
      <c r="J2761">
        <v>1</v>
      </c>
      <c r="K2761" s="2">
        <f t="shared" si="86"/>
        <v>13.99</v>
      </c>
      <c r="L2761" t="s">
        <v>43</v>
      </c>
      <c r="M2761">
        <v>3</v>
      </c>
      <c r="N2761">
        <v>0.09</v>
      </c>
      <c r="O2761" t="str">
        <f t="shared" si="87"/>
        <v>0–0.2 hours</v>
      </c>
      <c r="P2761" t="s">
        <v>47</v>
      </c>
    </row>
    <row r="2762" spans="1:16" x14ac:dyDescent="0.4">
      <c r="A2762" t="s">
        <v>2803</v>
      </c>
      <c r="B2762">
        <v>20</v>
      </c>
      <c r="C2762" t="s">
        <v>15</v>
      </c>
      <c r="D2762" t="s">
        <v>22</v>
      </c>
      <c r="E2762">
        <v>22.07</v>
      </c>
      <c r="F2762">
        <v>59</v>
      </c>
      <c r="G2762" t="s">
        <v>33</v>
      </c>
      <c r="H2762" t="s">
        <v>55</v>
      </c>
      <c r="I2762" s="2">
        <v>13.99</v>
      </c>
      <c r="J2762">
        <v>0</v>
      </c>
      <c r="K2762" s="2">
        <f t="shared" si="86"/>
        <v>0</v>
      </c>
      <c r="L2762" t="s">
        <v>37</v>
      </c>
      <c r="M2762">
        <v>1</v>
      </c>
      <c r="N2762">
        <v>0.37</v>
      </c>
      <c r="O2762" t="str">
        <f t="shared" si="87"/>
        <v>0.2–0.4 hours</v>
      </c>
      <c r="P2762" t="s">
        <v>47</v>
      </c>
    </row>
    <row r="2763" spans="1:16" x14ac:dyDescent="0.4">
      <c r="A2763" t="s">
        <v>2804</v>
      </c>
      <c r="B2763">
        <v>25</v>
      </c>
      <c r="C2763" t="s">
        <v>27</v>
      </c>
      <c r="D2763" t="s">
        <v>22</v>
      </c>
      <c r="E2763">
        <v>10.7</v>
      </c>
      <c r="F2763">
        <v>39</v>
      </c>
      <c r="G2763" t="s">
        <v>23</v>
      </c>
      <c r="H2763" t="s">
        <v>18</v>
      </c>
      <c r="I2763" s="2">
        <v>13.99</v>
      </c>
      <c r="J2763">
        <v>1</v>
      </c>
      <c r="K2763" s="2">
        <f t="shared" si="86"/>
        <v>13.99</v>
      </c>
      <c r="L2763" t="s">
        <v>29</v>
      </c>
      <c r="M2763">
        <v>1</v>
      </c>
      <c r="N2763">
        <v>0.27</v>
      </c>
      <c r="O2763" t="str">
        <f t="shared" si="87"/>
        <v>0.2–0.4 hours</v>
      </c>
      <c r="P2763" t="s">
        <v>39</v>
      </c>
    </row>
    <row r="2764" spans="1:16" x14ac:dyDescent="0.4">
      <c r="A2764" t="s">
        <v>2805</v>
      </c>
      <c r="B2764">
        <v>32</v>
      </c>
      <c r="C2764" t="s">
        <v>41</v>
      </c>
      <c r="D2764" t="s">
        <v>22</v>
      </c>
      <c r="E2764">
        <v>1.88</v>
      </c>
      <c r="F2764">
        <v>40</v>
      </c>
      <c r="G2764" t="s">
        <v>70</v>
      </c>
      <c r="H2764" t="s">
        <v>57</v>
      </c>
      <c r="I2764" s="2">
        <v>13.99</v>
      </c>
      <c r="J2764">
        <v>1</v>
      </c>
      <c r="K2764" s="2">
        <f t="shared" si="86"/>
        <v>13.99</v>
      </c>
      <c r="L2764" t="s">
        <v>29</v>
      </c>
      <c r="M2764">
        <v>4</v>
      </c>
      <c r="N2764">
        <v>0.05</v>
      </c>
      <c r="O2764" t="str">
        <f t="shared" si="87"/>
        <v>0–0.2 hours</v>
      </c>
      <c r="P2764" t="s">
        <v>39</v>
      </c>
    </row>
    <row r="2765" spans="1:16" x14ac:dyDescent="0.4">
      <c r="A2765" t="s">
        <v>2806</v>
      </c>
      <c r="B2765">
        <v>59</v>
      </c>
      <c r="C2765" t="s">
        <v>15</v>
      </c>
      <c r="D2765" t="s">
        <v>32</v>
      </c>
      <c r="E2765">
        <v>0.95</v>
      </c>
      <c r="F2765">
        <v>55</v>
      </c>
      <c r="G2765" t="s">
        <v>49</v>
      </c>
      <c r="H2765" t="s">
        <v>55</v>
      </c>
      <c r="I2765" s="2">
        <v>17.989999999999998</v>
      </c>
      <c r="J2765">
        <v>1</v>
      </c>
      <c r="K2765" s="2">
        <f t="shared" si="86"/>
        <v>17.989999999999998</v>
      </c>
      <c r="L2765" t="s">
        <v>29</v>
      </c>
      <c r="M2765">
        <v>4</v>
      </c>
      <c r="N2765">
        <v>0.02</v>
      </c>
      <c r="O2765" t="str">
        <f t="shared" si="87"/>
        <v>0–0.2 hours</v>
      </c>
      <c r="P2765" t="s">
        <v>47</v>
      </c>
    </row>
    <row r="2766" spans="1:16" x14ac:dyDescent="0.4">
      <c r="A2766" t="s">
        <v>2807</v>
      </c>
      <c r="B2766">
        <v>34</v>
      </c>
      <c r="C2766" t="s">
        <v>27</v>
      </c>
      <c r="D2766" t="s">
        <v>16</v>
      </c>
      <c r="E2766">
        <v>16.43</v>
      </c>
      <c r="F2766">
        <v>56</v>
      </c>
      <c r="G2766" t="s">
        <v>23</v>
      </c>
      <c r="H2766" t="s">
        <v>18</v>
      </c>
      <c r="I2766" s="2">
        <v>8.99</v>
      </c>
      <c r="J2766">
        <v>1</v>
      </c>
      <c r="K2766" s="2">
        <f t="shared" si="86"/>
        <v>8.99</v>
      </c>
      <c r="L2766" t="s">
        <v>37</v>
      </c>
      <c r="M2766">
        <v>2</v>
      </c>
      <c r="N2766">
        <v>0.28999999999999998</v>
      </c>
      <c r="O2766" t="str">
        <f t="shared" si="87"/>
        <v>0.2–0.4 hours</v>
      </c>
      <c r="P2766" t="s">
        <v>39</v>
      </c>
    </row>
    <row r="2767" spans="1:16" x14ac:dyDescent="0.4">
      <c r="A2767" t="s">
        <v>2808</v>
      </c>
      <c r="B2767">
        <v>62</v>
      </c>
      <c r="C2767" t="s">
        <v>15</v>
      </c>
      <c r="D2767" t="s">
        <v>32</v>
      </c>
      <c r="E2767">
        <v>12.37</v>
      </c>
      <c r="F2767">
        <v>30</v>
      </c>
      <c r="G2767" t="s">
        <v>23</v>
      </c>
      <c r="H2767" t="s">
        <v>18</v>
      </c>
      <c r="I2767" s="2">
        <v>17.989999999999998</v>
      </c>
      <c r="J2767">
        <v>0</v>
      </c>
      <c r="K2767" s="2">
        <f t="shared" si="86"/>
        <v>0</v>
      </c>
      <c r="L2767" t="s">
        <v>61</v>
      </c>
      <c r="M2767">
        <v>2</v>
      </c>
      <c r="N2767">
        <v>0.4</v>
      </c>
      <c r="O2767" t="str">
        <f t="shared" si="87"/>
        <v>0.2–0.4 hours</v>
      </c>
      <c r="P2767" t="s">
        <v>20</v>
      </c>
    </row>
    <row r="2768" spans="1:16" x14ac:dyDescent="0.4">
      <c r="A2768" t="s">
        <v>2809</v>
      </c>
      <c r="B2768">
        <v>55</v>
      </c>
      <c r="C2768" t="s">
        <v>15</v>
      </c>
      <c r="D2768" t="s">
        <v>16</v>
      </c>
      <c r="E2768">
        <v>17.87</v>
      </c>
      <c r="F2768">
        <v>4</v>
      </c>
      <c r="G2768" t="s">
        <v>49</v>
      </c>
      <c r="H2768" t="s">
        <v>57</v>
      </c>
      <c r="I2768" s="2">
        <v>8.99</v>
      </c>
      <c r="J2768">
        <v>0</v>
      </c>
      <c r="K2768" s="2">
        <f t="shared" si="86"/>
        <v>0</v>
      </c>
      <c r="L2768" t="s">
        <v>61</v>
      </c>
      <c r="M2768">
        <v>1</v>
      </c>
      <c r="N2768">
        <v>3.57</v>
      </c>
      <c r="O2768" t="str">
        <f t="shared" si="87"/>
        <v>1+ hours</v>
      </c>
      <c r="P2768" t="s">
        <v>39</v>
      </c>
    </row>
    <row r="2769" spans="1:16" x14ac:dyDescent="0.4">
      <c r="A2769" t="s">
        <v>2810</v>
      </c>
      <c r="B2769">
        <v>40</v>
      </c>
      <c r="C2769" t="s">
        <v>15</v>
      </c>
      <c r="D2769" t="s">
        <v>22</v>
      </c>
      <c r="E2769">
        <v>12.82</v>
      </c>
      <c r="F2769">
        <v>36</v>
      </c>
      <c r="G2769" t="s">
        <v>28</v>
      </c>
      <c r="H2769" t="s">
        <v>18</v>
      </c>
      <c r="I2769" s="2">
        <v>13.99</v>
      </c>
      <c r="J2769">
        <v>1</v>
      </c>
      <c r="K2769" s="2">
        <f t="shared" si="86"/>
        <v>13.99</v>
      </c>
      <c r="L2769" t="s">
        <v>61</v>
      </c>
      <c r="M2769">
        <v>2</v>
      </c>
      <c r="N2769">
        <v>0.35</v>
      </c>
      <c r="O2769" t="str">
        <f t="shared" si="87"/>
        <v>0.2–0.4 hours</v>
      </c>
      <c r="P2769" t="s">
        <v>39</v>
      </c>
    </row>
    <row r="2770" spans="1:16" x14ac:dyDescent="0.4">
      <c r="A2770" t="s">
        <v>2811</v>
      </c>
      <c r="B2770">
        <v>51</v>
      </c>
      <c r="C2770" t="s">
        <v>41</v>
      </c>
      <c r="D2770" t="s">
        <v>32</v>
      </c>
      <c r="E2770">
        <v>10.86</v>
      </c>
      <c r="F2770">
        <v>46</v>
      </c>
      <c r="G2770" t="s">
        <v>23</v>
      </c>
      <c r="H2770" t="s">
        <v>24</v>
      </c>
      <c r="I2770" s="2">
        <v>17.989999999999998</v>
      </c>
      <c r="J2770">
        <v>0</v>
      </c>
      <c r="K2770" s="2">
        <f t="shared" si="86"/>
        <v>0</v>
      </c>
      <c r="L2770" t="s">
        <v>61</v>
      </c>
      <c r="M2770">
        <v>4</v>
      </c>
      <c r="N2770">
        <v>0.23</v>
      </c>
      <c r="O2770" t="str">
        <f t="shared" si="87"/>
        <v>0.2–0.4 hours</v>
      </c>
      <c r="P2770" t="s">
        <v>25</v>
      </c>
    </row>
    <row r="2771" spans="1:16" x14ac:dyDescent="0.4">
      <c r="A2771" t="s">
        <v>2812</v>
      </c>
      <c r="B2771">
        <v>29</v>
      </c>
      <c r="C2771" t="s">
        <v>15</v>
      </c>
      <c r="D2771" t="s">
        <v>32</v>
      </c>
      <c r="E2771">
        <v>1.78</v>
      </c>
      <c r="F2771">
        <v>51</v>
      </c>
      <c r="G2771" t="s">
        <v>33</v>
      </c>
      <c r="H2771" t="s">
        <v>24</v>
      </c>
      <c r="I2771" s="2">
        <v>17.989999999999998</v>
      </c>
      <c r="J2771">
        <v>1</v>
      </c>
      <c r="K2771" s="2">
        <f t="shared" si="86"/>
        <v>17.989999999999998</v>
      </c>
      <c r="L2771" t="s">
        <v>29</v>
      </c>
      <c r="M2771">
        <v>5</v>
      </c>
      <c r="N2771">
        <v>0.03</v>
      </c>
      <c r="O2771" t="str">
        <f t="shared" si="87"/>
        <v>0–0.2 hours</v>
      </c>
      <c r="P2771" t="s">
        <v>34</v>
      </c>
    </row>
    <row r="2772" spans="1:16" x14ac:dyDescent="0.4">
      <c r="A2772" t="s">
        <v>2813</v>
      </c>
      <c r="B2772">
        <v>49</v>
      </c>
      <c r="C2772" t="s">
        <v>27</v>
      </c>
      <c r="D2772" t="s">
        <v>16</v>
      </c>
      <c r="E2772">
        <v>13.93</v>
      </c>
      <c r="F2772">
        <v>34</v>
      </c>
      <c r="G2772" t="s">
        <v>70</v>
      </c>
      <c r="H2772" t="s">
        <v>46</v>
      </c>
      <c r="I2772" s="2">
        <v>8.99</v>
      </c>
      <c r="J2772">
        <v>1</v>
      </c>
      <c r="K2772" s="2">
        <f t="shared" si="86"/>
        <v>8.99</v>
      </c>
      <c r="L2772" t="s">
        <v>61</v>
      </c>
      <c r="M2772">
        <v>2</v>
      </c>
      <c r="N2772">
        <v>0.4</v>
      </c>
      <c r="O2772" t="str">
        <f t="shared" si="87"/>
        <v>0.2–0.4 hours</v>
      </c>
      <c r="P2772" t="s">
        <v>47</v>
      </c>
    </row>
    <row r="2773" spans="1:16" x14ac:dyDescent="0.4">
      <c r="A2773" t="s">
        <v>2814</v>
      </c>
      <c r="B2773">
        <v>38</v>
      </c>
      <c r="C2773" t="s">
        <v>41</v>
      </c>
      <c r="D2773" t="s">
        <v>32</v>
      </c>
      <c r="E2773">
        <v>2.95</v>
      </c>
      <c r="F2773">
        <v>40</v>
      </c>
      <c r="G2773" t="s">
        <v>33</v>
      </c>
      <c r="H2773" t="s">
        <v>46</v>
      </c>
      <c r="I2773" s="2">
        <v>17.989999999999998</v>
      </c>
      <c r="J2773">
        <v>1</v>
      </c>
      <c r="K2773" s="2">
        <f t="shared" si="86"/>
        <v>17.989999999999998</v>
      </c>
      <c r="L2773" t="s">
        <v>61</v>
      </c>
      <c r="M2773">
        <v>2</v>
      </c>
      <c r="N2773">
        <v>7.0000000000000007E-2</v>
      </c>
      <c r="O2773" t="str">
        <f t="shared" si="87"/>
        <v>0–0.2 hours</v>
      </c>
      <c r="P2773" t="s">
        <v>39</v>
      </c>
    </row>
    <row r="2774" spans="1:16" x14ac:dyDescent="0.4">
      <c r="A2774" t="s">
        <v>2815</v>
      </c>
      <c r="B2774">
        <v>49</v>
      </c>
      <c r="C2774" t="s">
        <v>15</v>
      </c>
      <c r="D2774" t="s">
        <v>16</v>
      </c>
      <c r="E2774">
        <v>16.82</v>
      </c>
      <c r="F2774">
        <v>5</v>
      </c>
      <c r="G2774" t="s">
        <v>28</v>
      </c>
      <c r="H2774" t="s">
        <v>18</v>
      </c>
      <c r="I2774" s="2">
        <v>8.99</v>
      </c>
      <c r="J2774">
        <v>0</v>
      </c>
      <c r="K2774" s="2">
        <f t="shared" si="86"/>
        <v>0</v>
      </c>
      <c r="L2774" t="s">
        <v>19</v>
      </c>
      <c r="M2774">
        <v>5</v>
      </c>
      <c r="N2774">
        <v>2.8</v>
      </c>
      <c r="O2774" t="str">
        <f t="shared" si="87"/>
        <v>1+ hours</v>
      </c>
      <c r="P2774" t="s">
        <v>39</v>
      </c>
    </row>
    <row r="2775" spans="1:16" x14ac:dyDescent="0.4">
      <c r="A2775" t="s">
        <v>2816</v>
      </c>
      <c r="B2775">
        <v>48</v>
      </c>
      <c r="C2775" t="s">
        <v>41</v>
      </c>
      <c r="D2775" t="s">
        <v>32</v>
      </c>
      <c r="E2775">
        <v>28.14</v>
      </c>
      <c r="F2775">
        <v>60</v>
      </c>
      <c r="G2775" t="s">
        <v>17</v>
      </c>
      <c r="H2775" t="s">
        <v>24</v>
      </c>
      <c r="I2775" s="2">
        <v>17.989999999999998</v>
      </c>
      <c r="J2775">
        <v>0</v>
      </c>
      <c r="K2775" s="2">
        <f t="shared" si="86"/>
        <v>0</v>
      </c>
      <c r="L2775" t="s">
        <v>61</v>
      </c>
      <c r="M2775">
        <v>2</v>
      </c>
      <c r="N2775">
        <v>0.46</v>
      </c>
      <c r="O2775" t="str">
        <f t="shared" si="87"/>
        <v>0.4–0.6 hours</v>
      </c>
      <c r="P2775" t="s">
        <v>47</v>
      </c>
    </row>
    <row r="2776" spans="1:16" x14ac:dyDescent="0.4">
      <c r="A2776" t="s">
        <v>2817</v>
      </c>
      <c r="B2776">
        <v>45</v>
      </c>
      <c r="C2776" t="s">
        <v>41</v>
      </c>
      <c r="D2776" t="s">
        <v>32</v>
      </c>
      <c r="E2776">
        <v>8.2799999999999994</v>
      </c>
      <c r="F2776">
        <v>16</v>
      </c>
      <c r="G2776" t="s">
        <v>49</v>
      </c>
      <c r="H2776" t="s">
        <v>55</v>
      </c>
      <c r="I2776" s="2">
        <v>17.989999999999998</v>
      </c>
      <c r="J2776">
        <v>0</v>
      </c>
      <c r="K2776" s="2">
        <f t="shared" si="86"/>
        <v>0</v>
      </c>
      <c r="L2776" t="s">
        <v>37</v>
      </c>
      <c r="M2776">
        <v>5</v>
      </c>
      <c r="N2776">
        <v>0.49</v>
      </c>
      <c r="O2776" t="str">
        <f t="shared" si="87"/>
        <v>0.4–0.6 hours</v>
      </c>
      <c r="P2776" t="s">
        <v>34</v>
      </c>
    </row>
    <row r="2777" spans="1:16" x14ac:dyDescent="0.4">
      <c r="A2777" s="1" t="s">
        <v>2818</v>
      </c>
      <c r="B2777">
        <v>39</v>
      </c>
      <c r="C2777" t="s">
        <v>27</v>
      </c>
      <c r="D2777" t="s">
        <v>16</v>
      </c>
      <c r="E2777">
        <v>10.64</v>
      </c>
      <c r="F2777">
        <v>57</v>
      </c>
      <c r="G2777" t="s">
        <v>33</v>
      </c>
      <c r="H2777" t="s">
        <v>46</v>
      </c>
      <c r="I2777" s="2">
        <v>8.99</v>
      </c>
      <c r="J2777">
        <v>1</v>
      </c>
      <c r="K2777" s="2">
        <f t="shared" si="86"/>
        <v>8.99</v>
      </c>
      <c r="L2777" t="s">
        <v>37</v>
      </c>
      <c r="M2777">
        <v>1</v>
      </c>
      <c r="N2777">
        <v>0.18</v>
      </c>
      <c r="O2777" t="str">
        <f t="shared" si="87"/>
        <v>0–0.2 hours</v>
      </c>
      <c r="P2777" t="s">
        <v>20</v>
      </c>
    </row>
    <row r="2778" spans="1:16" x14ac:dyDescent="0.4">
      <c r="A2778" t="s">
        <v>2819</v>
      </c>
      <c r="B2778">
        <v>63</v>
      </c>
      <c r="C2778" t="s">
        <v>15</v>
      </c>
      <c r="D2778" t="s">
        <v>16</v>
      </c>
      <c r="E2778">
        <v>0.85</v>
      </c>
      <c r="F2778">
        <v>36</v>
      </c>
      <c r="G2778" t="s">
        <v>70</v>
      </c>
      <c r="H2778" t="s">
        <v>24</v>
      </c>
      <c r="I2778" s="2">
        <v>8.99</v>
      </c>
      <c r="J2778">
        <v>1</v>
      </c>
      <c r="K2778" s="2">
        <f t="shared" si="86"/>
        <v>8.99</v>
      </c>
      <c r="L2778" t="s">
        <v>61</v>
      </c>
      <c r="M2778">
        <v>3</v>
      </c>
      <c r="N2778">
        <v>0.02</v>
      </c>
      <c r="O2778" t="str">
        <f t="shared" si="87"/>
        <v>0–0.2 hours</v>
      </c>
      <c r="P2778" t="s">
        <v>25</v>
      </c>
    </row>
    <row r="2779" spans="1:16" x14ac:dyDescent="0.4">
      <c r="A2779" t="s">
        <v>2820</v>
      </c>
      <c r="B2779">
        <v>21</v>
      </c>
      <c r="C2779" t="s">
        <v>27</v>
      </c>
      <c r="D2779" t="s">
        <v>16</v>
      </c>
      <c r="E2779">
        <v>2.29</v>
      </c>
      <c r="F2779">
        <v>26</v>
      </c>
      <c r="G2779" t="s">
        <v>28</v>
      </c>
      <c r="H2779" t="s">
        <v>18</v>
      </c>
      <c r="I2779" s="2">
        <v>8.99</v>
      </c>
      <c r="J2779">
        <v>1</v>
      </c>
      <c r="K2779" s="2">
        <f t="shared" si="86"/>
        <v>8.99</v>
      </c>
      <c r="L2779" t="s">
        <v>29</v>
      </c>
      <c r="M2779">
        <v>4</v>
      </c>
      <c r="N2779">
        <v>0.08</v>
      </c>
      <c r="O2779" t="str">
        <f t="shared" si="87"/>
        <v>0–0.2 hours</v>
      </c>
      <c r="P2779" t="s">
        <v>52</v>
      </c>
    </row>
    <row r="2780" spans="1:16" x14ac:dyDescent="0.4">
      <c r="A2780" t="s">
        <v>2821</v>
      </c>
      <c r="B2780">
        <v>36</v>
      </c>
      <c r="C2780" t="s">
        <v>15</v>
      </c>
      <c r="D2780" t="s">
        <v>22</v>
      </c>
      <c r="E2780">
        <v>23.37</v>
      </c>
      <c r="F2780">
        <v>57</v>
      </c>
      <c r="G2780" t="s">
        <v>17</v>
      </c>
      <c r="H2780" t="s">
        <v>18</v>
      </c>
      <c r="I2780" s="2">
        <v>13.99</v>
      </c>
      <c r="J2780">
        <v>0</v>
      </c>
      <c r="K2780" s="2">
        <f t="shared" si="86"/>
        <v>0</v>
      </c>
      <c r="L2780" t="s">
        <v>61</v>
      </c>
      <c r="M2780">
        <v>5</v>
      </c>
      <c r="N2780">
        <v>0.4</v>
      </c>
      <c r="O2780" t="str">
        <f t="shared" si="87"/>
        <v>0.2–0.4 hours</v>
      </c>
      <c r="P2780" t="s">
        <v>47</v>
      </c>
    </row>
    <row r="2781" spans="1:16" x14ac:dyDescent="0.4">
      <c r="A2781" t="s">
        <v>2822</v>
      </c>
      <c r="B2781">
        <v>63</v>
      </c>
      <c r="C2781" t="s">
        <v>41</v>
      </c>
      <c r="D2781" t="s">
        <v>16</v>
      </c>
      <c r="E2781">
        <v>3.01</v>
      </c>
      <c r="F2781">
        <v>60</v>
      </c>
      <c r="G2781" t="s">
        <v>49</v>
      </c>
      <c r="H2781" t="s">
        <v>18</v>
      </c>
      <c r="I2781" s="2">
        <v>8.99</v>
      </c>
      <c r="J2781">
        <v>1</v>
      </c>
      <c r="K2781" s="2">
        <f t="shared" si="86"/>
        <v>8.99</v>
      </c>
      <c r="L2781" t="s">
        <v>37</v>
      </c>
      <c r="M2781">
        <v>5</v>
      </c>
      <c r="N2781">
        <v>0.05</v>
      </c>
      <c r="O2781" t="str">
        <f t="shared" si="87"/>
        <v>0–0.2 hours</v>
      </c>
      <c r="P2781" t="s">
        <v>30</v>
      </c>
    </row>
    <row r="2782" spans="1:16" x14ac:dyDescent="0.4">
      <c r="A2782" t="s">
        <v>2823</v>
      </c>
      <c r="B2782">
        <v>54</v>
      </c>
      <c r="C2782" t="s">
        <v>27</v>
      </c>
      <c r="D2782" t="s">
        <v>16</v>
      </c>
      <c r="E2782">
        <v>27.8</v>
      </c>
      <c r="F2782">
        <v>9</v>
      </c>
      <c r="G2782" t="s">
        <v>70</v>
      </c>
      <c r="H2782" t="s">
        <v>18</v>
      </c>
      <c r="I2782" s="2">
        <v>8.99</v>
      </c>
      <c r="J2782">
        <v>0</v>
      </c>
      <c r="K2782" s="2">
        <f t="shared" si="86"/>
        <v>0</v>
      </c>
      <c r="L2782" t="s">
        <v>19</v>
      </c>
      <c r="M2782">
        <v>4</v>
      </c>
      <c r="N2782">
        <v>2.78</v>
      </c>
      <c r="O2782" t="str">
        <f t="shared" si="87"/>
        <v>1+ hours</v>
      </c>
      <c r="P2782" t="s">
        <v>34</v>
      </c>
    </row>
    <row r="2783" spans="1:16" x14ac:dyDescent="0.4">
      <c r="A2783" t="s">
        <v>2824</v>
      </c>
      <c r="B2783">
        <v>22</v>
      </c>
      <c r="C2783" t="s">
        <v>27</v>
      </c>
      <c r="D2783" t="s">
        <v>22</v>
      </c>
      <c r="E2783">
        <v>10.29</v>
      </c>
      <c r="F2783">
        <v>17</v>
      </c>
      <c r="G2783" t="s">
        <v>49</v>
      </c>
      <c r="H2783" t="s">
        <v>55</v>
      </c>
      <c r="I2783" s="2">
        <v>13.99</v>
      </c>
      <c r="J2783">
        <v>0</v>
      </c>
      <c r="K2783" s="2">
        <f t="shared" si="86"/>
        <v>0</v>
      </c>
      <c r="L2783" t="s">
        <v>19</v>
      </c>
      <c r="M2783">
        <v>5</v>
      </c>
      <c r="N2783">
        <v>0.56999999999999995</v>
      </c>
      <c r="O2783" t="str">
        <f t="shared" si="87"/>
        <v>0.4–0.6 hours</v>
      </c>
      <c r="P2783" t="s">
        <v>47</v>
      </c>
    </row>
    <row r="2784" spans="1:16" x14ac:dyDescent="0.4">
      <c r="A2784" t="s">
        <v>2825</v>
      </c>
      <c r="B2784">
        <v>33</v>
      </c>
      <c r="C2784" t="s">
        <v>41</v>
      </c>
      <c r="D2784" t="s">
        <v>22</v>
      </c>
      <c r="E2784">
        <v>7.45</v>
      </c>
      <c r="F2784">
        <v>0</v>
      </c>
      <c r="G2784" t="s">
        <v>23</v>
      </c>
      <c r="H2784" t="s">
        <v>24</v>
      </c>
      <c r="I2784" s="2">
        <v>13.99</v>
      </c>
      <c r="J2784">
        <v>0</v>
      </c>
      <c r="K2784" s="2">
        <f t="shared" si="86"/>
        <v>0</v>
      </c>
      <c r="L2784" t="s">
        <v>43</v>
      </c>
      <c r="M2784">
        <v>4</v>
      </c>
      <c r="N2784">
        <v>7.45</v>
      </c>
      <c r="O2784" t="str">
        <f t="shared" si="87"/>
        <v>1+ hours</v>
      </c>
      <c r="P2784" t="s">
        <v>20</v>
      </c>
    </row>
    <row r="2785" spans="1:16" x14ac:dyDescent="0.4">
      <c r="A2785" t="s">
        <v>2826</v>
      </c>
      <c r="B2785">
        <v>28</v>
      </c>
      <c r="C2785" t="s">
        <v>27</v>
      </c>
      <c r="D2785" t="s">
        <v>16</v>
      </c>
      <c r="E2785">
        <v>2.63</v>
      </c>
      <c r="F2785">
        <v>54</v>
      </c>
      <c r="G2785" t="s">
        <v>23</v>
      </c>
      <c r="H2785" t="s">
        <v>18</v>
      </c>
      <c r="I2785" s="2">
        <v>8.99</v>
      </c>
      <c r="J2785">
        <v>1</v>
      </c>
      <c r="K2785" s="2">
        <f t="shared" si="86"/>
        <v>8.99</v>
      </c>
      <c r="L2785" t="s">
        <v>61</v>
      </c>
      <c r="M2785">
        <v>4</v>
      </c>
      <c r="N2785">
        <v>0.05</v>
      </c>
      <c r="O2785" t="str">
        <f t="shared" si="87"/>
        <v>0–0.2 hours</v>
      </c>
      <c r="P2785" t="s">
        <v>20</v>
      </c>
    </row>
    <row r="2786" spans="1:16" x14ac:dyDescent="0.4">
      <c r="A2786" t="s">
        <v>2827</v>
      </c>
      <c r="B2786">
        <v>22</v>
      </c>
      <c r="C2786" t="s">
        <v>27</v>
      </c>
      <c r="D2786" t="s">
        <v>32</v>
      </c>
      <c r="E2786">
        <v>14.27</v>
      </c>
      <c r="F2786">
        <v>17</v>
      </c>
      <c r="G2786" t="s">
        <v>70</v>
      </c>
      <c r="H2786" t="s">
        <v>55</v>
      </c>
      <c r="I2786" s="2">
        <v>17.989999999999998</v>
      </c>
      <c r="J2786">
        <v>0</v>
      </c>
      <c r="K2786" s="2">
        <f t="shared" si="86"/>
        <v>0</v>
      </c>
      <c r="L2786" t="s">
        <v>61</v>
      </c>
      <c r="M2786">
        <v>4</v>
      </c>
      <c r="N2786">
        <v>0.79</v>
      </c>
      <c r="O2786" t="str">
        <f t="shared" si="87"/>
        <v>0.6–0.8 hours</v>
      </c>
      <c r="P2786" t="s">
        <v>47</v>
      </c>
    </row>
    <row r="2787" spans="1:16" x14ac:dyDescent="0.4">
      <c r="A2787" t="s">
        <v>2828</v>
      </c>
      <c r="B2787">
        <v>22</v>
      </c>
      <c r="C2787" t="s">
        <v>41</v>
      </c>
      <c r="D2787" t="s">
        <v>32</v>
      </c>
      <c r="E2787">
        <v>4.9000000000000004</v>
      </c>
      <c r="F2787">
        <v>1</v>
      </c>
      <c r="G2787" t="s">
        <v>70</v>
      </c>
      <c r="H2787" t="s">
        <v>18</v>
      </c>
      <c r="I2787" s="2">
        <v>17.989999999999998</v>
      </c>
      <c r="J2787">
        <v>0</v>
      </c>
      <c r="K2787" s="2">
        <f t="shared" si="86"/>
        <v>0</v>
      </c>
      <c r="L2787" t="s">
        <v>19</v>
      </c>
      <c r="M2787">
        <v>5</v>
      </c>
      <c r="N2787">
        <v>2.4500000000000002</v>
      </c>
      <c r="O2787" t="str">
        <f t="shared" si="87"/>
        <v>1+ hours</v>
      </c>
      <c r="P2787" t="s">
        <v>30</v>
      </c>
    </row>
    <row r="2788" spans="1:16" x14ac:dyDescent="0.4">
      <c r="A2788" t="s">
        <v>2829</v>
      </c>
      <c r="B2788">
        <v>18</v>
      </c>
      <c r="C2788" t="s">
        <v>15</v>
      </c>
      <c r="D2788" t="s">
        <v>16</v>
      </c>
      <c r="E2788">
        <v>2.48</v>
      </c>
      <c r="F2788">
        <v>45</v>
      </c>
      <c r="G2788" t="s">
        <v>17</v>
      </c>
      <c r="H2788" t="s">
        <v>46</v>
      </c>
      <c r="I2788" s="2">
        <v>8.99</v>
      </c>
      <c r="J2788">
        <v>1</v>
      </c>
      <c r="K2788" s="2">
        <f t="shared" si="86"/>
        <v>8.99</v>
      </c>
      <c r="L2788" t="s">
        <v>19</v>
      </c>
      <c r="M2788">
        <v>2</v>
      </c>
      <c r="N2788">
        <v>0.05</v>
      </c>
      <c r="O2788" t="str">
        <f t="shared" si="87"/>
        <v>0–0.2 hours</v>
      </c>
      <c r="P2788" t="s">
        <v>34</v>
      </c>
    </row>
    <row r="2789" spans="1:16" x14ac:dyDescent="0.4">
      <c r="A2789" t="s">
        <v>2830</v>
      </c>
      <c r="B2789">
        <v>49</v>
      </c>
      <c r="C2789" t="s">
        <v>27</v>
      </c>
      <c r="D2789" t="s">
        <v>32</v>
      </c>
      <c r="E2789">
        <v>0.48</v>
      </c>
      <c r="F2789">
        <v>35</v>
      </c>
      <c r="G2789" t="s">
        <v>70</v>
      </c>
      <c r="H2789" t="s">
        <v>46</v>
      </c>
      <c r="I2789" s="2">
        <v>17.989999999999998</v>
      </c>
      <c r="J2789">
        <v>1</v>
      </c>
      <c r="K2789" s="2">
        <f t="shared" si="86"/>
        <v>17.989999999999998</v>
      </c>
      <c r="L2789" t="s">
        <v>43</v>
      </c>
      <c r="M2789">
        <v>3</v>
      </c>
      <c r="N2789">
        <v>0.01</v>
      </c>
      <c r="O2789" t="str">
        <f t="shared" si="87"/>
        <v>0–0.2 hours</v>
      </c>
      <c r="P2789" t="s">
        <v>25</v>
      </c>
    </row>
    <row r="2790" spans="1:16" x14ac:dyDescent="0.4">
      <c r="A2790" t="s">
        <v>2831</v>
      </c>
      <c r="B2790">
        <v>23</v>
      </c>
      <c r="C2790" t="s">
        <v>41</v>
      </c>
      <c r="D2790" t="s">
        <v>32</v>
      </c>
      <c r="E2790">
        <v>12.6</v>
      </c>
      <c r="F2790">
        <v>54</v>
      </c>
      <c r="G2790" t="s">
        <v>28</v>
      </c>
      <c r="H2790" t="s">
        <v>18</v>
      </c>
      <c r="I2790" s="2">
        <v>17.989999999999998</v>
      </c>
      <c r="J2790">
        <v>1</v>
      </c>
      <c r="K2790" s="2">
        <f t="shared" si="86"/>
        <v>17.989999999999998</v>
      </c>
      <c r="L2790" t="s">
        <v>29</v>
      </c>
      <c r="M2790">
        <v>1</v>
      </c>
      <c r="N2790">
        <v>0.23</v>
      </c>
      <c r="O2790" t="str">
        <f t="shared" si="87"/>
        <v>0.2–0.4 hours</v>
      </c>
      <c r="P2790" t="s">
        <v>52</v>
      </c>
    </row>
    <row r="2791" spans="1:16" x14ac:dyDescent="0.4">
      <c r="A2791" t="s">
        <v>2832</v>
      </c>
      <c r="B2791">
        <v>69</v>
      </c>
      <c r="C2791" t="s">
        <v>27</v>
      </c>
      <c r="D2791" t="s">
        <v>32</v>
      </c>
      <c r="E2791">
        <v>1.35</v>
      </c>
      <c r="F2791">
        <v>8</v>
      </c>
      <c r="G2791" t="s">
        <v>70</v>
      </c>
      <c r="H2791" t="s">
        <v>24</v>
      </c>
      <c r="I2791" s="2">
        <v>17.989999999999998</v>
      </c>
      <c r="J2791">
        <v>1</v>
      </c>
      <c r="K2791" s="2">
        <f t="shared" si="86"/>
        <v>17.989999999999998</v>
      </c>
      <c r="L2791" t="s">
        <v>37</v>
      </c>
      <c r="M2791">
        <v>3</v>
      </c>
      <c r="N2791">
        <v>0.15</v>
      </c>
      <c r="O2791" t="str">
        <f t="shared" si="87"/>
        <v>0–0.2 hours</v>
      </c>
      <c r="P2791" t="s">
        <v>30</v>
      </c>
    </row>
    <row r="2792" spans="1:16" x14ac:dyDescent="0.4">
      <c r="A2792" t="s">
        <v>2833</v>
      </c>
      <c r="B2792">
        <v>42</v>
      </c>
      <c r="C2792" t="s">
        <v>41</v>
      </c>
      <c r="D2792" t="s">
        <v>22</v>
      </c>
      <c r="E2792">
        <v>4.1100000000000003</v>
      </c>
      <c r="F2792">
        <v>54</v>
      </c>
      <c r="G2792" t="s">
        <v>28</v>
      </c>
      <c r="H2792" t="s">
        <v>24</v>
      </c>
      <c r="I2792" s="2">
        <v>13.99</v>
      </c>
      <c r="J2792">
        <v>1</v>
      </c>
      <c r="K2792" s="2">
        <f t="shared" si="86"/>
        <v>13.99</v>
      </c>
      <c r="L2792" t="s">
        <v>37</v>
      </c>
      <c r="M2792">
        <v>1</v>
      </c>
      <c r="N2792">
        <v>7.0000000000000007E-2</v>
      </c>
      <c r="O2792" t="str">
        <f t="shared" si="87"/>
        <v>0–0.2 hours</v>
      </c>
      <c r="P2792" t="s">
        <v>25</v>
      </c>
    </row>
    <row r="2793" spans="1:16" x14ac:dyDescent="0.4">
      <c r="A2793" t="s">
        <v>2834</v>
      </c>
      <c r="B2793">
        <v>40</v>
      </c>
      <c r="C2793" t="s">
        <v>15</v>
      </c>
      <c r="D2793" t="s">
        <v>16</v>
      </c>
      <c r="E2793">
        <v>27.26</v>
      </c>
      <c r="F2793">
        <v>24</v>
      </c>
      <c r="G2793" t="s">
        <v>17</v>
      </c>
      <c r="H2793" t="s">
        <v>24</v>
      </c>
      <c r="I2793" s="2">
        <v>8.99</v>
      </c>
      <c r="J2793">
        <v>0</v>
      </c>
      <c r="K2793" s="2">
        <f t="shared" si="86"/>
        <v>0</v>
      </c>
      <c r="L2793" t="s">
        <v>29</v>
      </c>
      <c r="M2793">
        <v>1</v>
      </c>
      <c r="N2793">
        <v>1.0900000000000001</v>
      </c>
      <c r="O2793" t="str">
        <f t="shared" si="87"/>
        <v>1+ hours</v>
      </c>
      <c r="P2793" t="s">
        <v>20</v>
      </c>
    </row>
    <row r="2794" spans="1:16" x14ac:dyDescent="0.4">
      <c r="A2794" t="s">
        <v>2835</v>
      </c>
      <c r="B2794">
        <v>26</v>
      </c>
      <c r="C2794" t="s">
        <v>41</v>
      </c>
      <c r="D2794" t="s">
        <v>22</v>
      </c>
      <c r="E2794">
        <v>24.13</v>
      </c>
      <c r="F2794">
        <v>27</v>
      </c>
      <c r="G2794" t="s">
        <v>17</v>
      </c>
      <c r="H2794" t="s">
        <v>57</v>
      </c>
      <c r="I2794" s="2">
        <v>13.99</v>
      </c>
      <c r="J2794">
        <v>0</v>
      </c>
      <c r="K2794" s="2">
        <f t="shared" si="86"/>
        <v>0</v>
      </c>
      <c r="L2794" t="s">
        <v>61</v>
      </c>
      <c r="M2794">
        <v>3</v>
      </c>
      <c r="N2794">
        <v>0.86</v>
      </c>
      <c r="O2794" t="str">
        <f t="shared" si="87"/>
        <v>0.8–1 hour</v>
      </c>
      <c r="P2794" t="s">
        <v>47</v>
      </c>
    </row>
    <row r="2795" spans="1:16" x14ac:dyDescent="0.4">
      <c r="A2795" t="s">
        <v>2836</v>
      </c>
      <c r="B2795">
        <v>46</v>
      </c>
      <c r="C2795" t="s">
        <v>41</v>
      </c>
      <c r="D2795" t="s">
        <v>32</v>
      </c>
      <c r="E2795">
        <v>13.66</v>
      </c>
      <c r="F2795">
        <v>31</v>
      </c>
      <c r="G2795" t="s">
        <v>49</v>
      </c>
      <c r="H2795" t="s">
        <v>24</v>
      </c>
      <c r="I2795" s="2">
        <v>17.989999999999998</v>
      </c>
      <c r="J2795">
        <v>1</v>
      </c>
      <c r="K2795" s="2">
        <f t="shared" si="86"/>
        <v>17.989999999999998</v>
      </c>
      <c r="L2795" t="s">
        <v>43</v>
      </c>
      <c r="M2795">
        <v>1</v>
      </c>
      <c r="N2795">
        <v>0.43</v>
      </c>
      <c r="O2795" t="str">
        <f t="shared" si="87"/>
        <v>0.4–0.6 hours</v>
      </c>
      <c r="P2795" t="s">
        <v>47</v>
      </c>
    </row>
    <row r="2796" spans="1:16" x14ac:dyDescent="0.4">
      <c r="A2796" t="s">
        <v>2837</v>
      </c>
      <c r="B2796">
        <v>19</v>
      </c>
      <c r="C2796" t="s">
        <v>41</v>
      </c>
      <c r="D2796" t="s">
        <v>22</v>
      </c>
      <c r="E2796">
        <v>10.58</v>
      </c>
      <c r="F2796">
        <v>9</v>
      </c>
      <c r="G2796" t="s">
        <v>49</v>
      </c>
      <c r="H2796" t="s">
        <v>55</v>
      </c>
      <c r="I2796" s="2">
        <v>13.99</v>
      </c>
      <c r="J2796">
        <v>0</v>
      </c>
      <c r="K2796" s="2">
        <f t="shared" si="86"/>
        <v>0</v>
      </c>
      <c r="L2796" t="s">
        <v>61</v>
      </c>
      <c r="M2796">
        <v>1</v>
      </c>
      <c r="N2796">
        <v>1.06</v>
      </c>
      <c r="O2796" t="str">
        <f t="shared" si="87"/>
        <v>1+ hours</v>
      </c>
      <c r="P2796" t="s">
        <v>52</v>
      </c>
    </row>
    <row r="2797" spans="1:16" x14ac:dyDescent="0.4">
      <c r="A2797" t="s">
        <v>2838</v>
      </c>
      <c r="B2797">
        <v>26</v>
      </c>
      <c r="C2797" t="s">
        <v>41</v>
      </c>
      <c r="D2797" t="s">
        <v>32</v>
      </c>
      <c r="E2797">
        <v>0.73</v>
      </c>
      <c r="F2797">
        <v>44</v>
      </c>
      <c r="G2797" t="s">
        <v>33</v>
      </c>
      <c r="H2797" t="s">
        <v>55</v>
      </c>
      <c r="I2797" s="2">
        <v>17.989999999999998</v>
      </c>
      <c r="J2797">
        <v>1</v>
      </c>
      <c r="K2797" s="2">
        <f t="shared" si="86"/>
        <v>17.989999999999998</v>
      </c>
      <c r="L2797" t="s">
        <v>19</v>
      </c>
      <c r="M2797">
        <v>5</v>
      </c>
      <c r="N2797">
        <v>0.02</v>
      </c>
      <c r="O2797" t="str">
        <f t="shared" si="87"/>
        <v>0–0.2 hours</v>
      </c>
      <c r="P2797" t="s">
        <v>25</v>
      </c>
    </row>
    <row r="2798" spans="1:16" x14ac:dyDescent="0.4">
      <c r="A2798" t="s">
        <v>2839</v>
      </c>
      <c r="B2798">
        <v>27</v>
      </c>
      <c r="C2798" t="s">
        <v>27</v>
      </c>
      <c r="D2798" t="s">
        <v>32</v>
      </c>
      <c r="E2798">
        <v>2.66</v>
      </c>
      <c r="F2798">
        <v>32</v>
      </c>
      <c r="G2798" t="s">
        <v>28</v>
      </c>
      <c r="H2798" t="s">
        <v>18</v>
      </c>
      <c r="I2798" s="2">
        <v>17.989999999999998</v>
      </c>
      <c r="J2798">
        <v>1</v>
      </c>
      <c r="K2798" s="2">
        <f t="shared" si="86"/>
        <v>17.989999999999998</v>
      </c>
      <c r="L2798" t="s">
        <v>19</v>
      </c>
      <c r="M2798">
        <v>3</v>
      </c>
      <c r="N2798">
        <v>0.08</v>
      </c>
      <c r="O2798" t="str">
        <f t="shared" si="87"/>
        <v>0–0.2 hours</v>
      </c>
      <c r="P2798" t="s">
        <v>47</v>
      </c>
    </row>
    <row r="2799" spans="1:16" x14ac:dyDescent="0.4">
      <c r="A2799" t="s">
        <v>2840</v>
      </c>
      <c r="B2799">
        <v>40</v>
      </c>
      <c r="C2799" t="s">
        <v>27</v>
      </c>
      <c r="D2799" t="s">
        <v>32</v>
      </c>
      <c r="E2799">
        <v>0.12</v>
      </c>
      <c r="F2799">
        <v>28</v>
      </c>
      <c r="G2799" t="s">
        <v>33</v>
      </c>
      <c r="H2799" t="s">
        <v>55</v>
      </c>
      <c r="I2799" s="2">
        <v>17.989999999999998</v>
      </c>
      <c r="J2799">
        <v>1</v>
      </c>
      <c r="K2799" s="2">
        <f t="shared" si="86"/>
        <v>17.989999999999998</v>
      </c>
      <c r="L2799" t="s">
        <v>29</v>
      </c>
      <c r="M2799">
        <v>4</v>
      </c>
      <c r="N2799">
        <v>0</v>
      </c>
      <c r="O2799" t="str">
        <f t="shared" si="87"/>
        <v>0–0.2 hours</v>
      </c>
      <c r="P2799" t="s">
        <v>39</v>
      </c>
    </row>
    <row r="2800" spans="1:16" x14ac:dyDescent="0.4">
      <c r="A2800" t="s">
        <v>2841</v>
      </c>
      <c r="B2800">
        <v>58</v>
      </c>
      <c r="C2800" t="s">
        <v>15</v>
      </c>
      <c r="D2800" t="s">
        <v>16</v>
      </c>
      <c r="E2800">
        <v>0.76</v>
      </c>
      <c r="F2800">
        <v>44</v>
      </c>
      <c r="G2800" t="s">
        <v>23</v>
      </c>
      <c r="H2800" t="s">
        <v>57</v>
      </c>
      <c r="I2800" s="2">
        <v>8.99</v>
      </c>
      <c r="J2800">
        <v>1</v>
      </c>
      <c r="K2800" s="2">
        <f t="shared" si="86"/>
        <v>8.99</v>
      </c>
      <c r="L2800" t="s">
        <v>19</v>
      </c>
      <c r="M2800">
        <v>4</v>
      </c>
      <c r="N2800">
        <v>0.02</v>
      </c>
      <c r="O2800" t="str">
        <f t="shared" si="87"/>
        <v>0–0.2 hours</v>
      </c>
      <c r="P2800" t="s">
        <v>25</v>
      </c>
    </row>
    <row r="2801" spans="1:16" x14ac:dyDescent="0.4">
      <c r="A2801" t="s">
        <v>2842</v>
      </c>
      <c r="B2801">
        <v>36</v>
      </c>
      <c r="C2801" t="s">
        <v>15</v>
      </c>
      <c r="D2801" t="s">
        <v>22</v>
      </c>
      <c r="E2801">
        <v>22.9</v>
      </c>
      <c r="F2801">
        <v>47</v>
      </c>
      <c r="G2801" t="s">
        <v>49</v>
      </c>
      <c r="H2801" t="s">
        <v>55</v>
      </c>
      <c r="I2801" s="2">
        <v>13.99</v>
      </c>
      <c r="J2801">
        <v>0</v>
      </c>
      <c r="K2801" s="2">
        <f t="shared" si="86"/>
        <v>0</v>
      </c>
      <c r="L2801" t="s">
        <v>29</v>
      </c>
      <c r="M2801">
        <v>2</v>
      </c>
      <c r="N2801">
        <v>0.48</v>
      </c>
      <c r="O2801" t="str">
        <f t="shared" si="87"/>
        <v>0.4–0.6 hours</v>
      </c>
      <c r="P2801" t="s">
        <v>52</v>
      </c>
    </row>
    <row r="2802" spans="1:16" x14ac:dyDescent="0.4">
      <c r="A2802" t="s">
        <v>2843</v>
      </c>
      <c r="B2802">
        <v>67</v>
      </c>
      <c r="C2802" t="s">
        <v>27</v>
      </c>
      <c r="D2802" t="s">
        <v>32</v>
      </c>
      <c r="E2802">
        <v>3.36</v>
      </c>
      <c r="F2802">
        <v>23</v>
      </c>
      <c r="G2802" t="s">
        <v>70</v>
      </c>
      <c r="H2802" t="s">
        <v>57</v>
      </c>
      <c r="I2802" s="2">
        <v>17.989999999999998</v>
      </c>
      <c r="J2802">
        <v>1</v>
      </c>
      <c r="K2802" s="2">
        <f t="shared" si="86"/>
        <v>17.989999999999998</v>
      </c>
      <c r="L2802" t="s">
        <v>61</v>
      </c>
      <c r="M2802">
        <v>3</v>
      </c>
      <c r="N2802">
        <v>0.14000000000000001</v>
      </c>
      <c r="O2802" t="str">
        <f t="shared" si="87"/>
        <v>0–0.2 hours</v>
      </c>
      <c r="P2802" t="s">
        <v>39</v>
      </c>
    </row>
    <row r="2803" spans="1:16" x14ac:dyDescent="0.4">
      <c r="A2803" t="s">
        <v>2844</v>
      </c>
      <c r="B2803">
        <v>24</v>
      </c>
      <c r="C2803" t="s">
        <v>27</v>
      </c>
      <c r="D2803" t="s">
        <v>22</v>
      </c>
      <c r="E2803">
        <v>4.0999999999999996</v>
      </c>
      <c r="F2803">
        <v>21</v>
      </c>
      <c r="G2803" t="s">
        <v>23</v>
      </c>
      <c r="H2803" t="s">
        <v>24</v>
      </c>
      <c r="I2803" s="2">
        <v>13.99</v>
      </c>
      <c r="J2803">
        <v>0</v>
      </c>
      <c r="K2803" s="2">
        <f t="shared" si="86"/>
        <v>0</v>
      </c>
      <c r="L2803" t="s">
        <v>61</v>
      </c>
      <c r="M2803">
        <v>5</v>
      </c>
      <c r="N2803">
        <v>0.19</v>
      </c>
      <c r="O2803" t="str">
        <f t="shared" si="87"/>
        <v>0–0.2 hours</v>
      </c>
      <c r="P2803" t="s">
        <v>39</v>
      </c>
    </row>
    <row r="2804" spans="1:16" x14ac:dyDescent="0.4">
      <c r="A2804" t="s">
        <v>2845</v>
      </c>
      <c r="B2804">
        <v>37</v>
      </c>
      <c r="C2804" t="s">
        <v>15</v>
      </c>
      <c r="D2804" t="s">
        <v>16</v>
      </c>
      <c r="E2804">
        <v>8.77</v>
      </c>
      <c r="F2804">
        <v>41</v>
      </c>
      <c r="G2804" t="s">
        <v>23</v>
      </c>
      <c r="H2804" t="s">
        <v>18</v>
      </c>
      <c r="I2804" s="2">
        <v>8.99</v>
      </c>
      <c r="J2804">
        <v>1</v>
      </c>
      <c r="K2804" s="2">
        <f t="shared" si="86"/>
        <v>8.99</v>
      </c>
      <c r="L2804" t="s">
        <v>29</v>
      </c>
      <c r="M2804">
        <v>2</v>
      </c>
      <c r="N2804">
        <v>0.21</v>
      </c>
      <c r="O2804" t="str">
        <f t="shared" si="87"/>
        <v>0.2–0.4 hours</v>
      </c>
      <c r="P2804" t="s">
        <v>34</v>
      </c>
    </row>
    <row r="2805" spans="1:16" x14ac:dyDescent="0.4">
      <c r="A2805" t="s">
        <v>2846</v>
      </c>
      <c r="B2805">
        <v>26</v>
      </c>
      <c r="C2805" t="s">
        <v>27</v>
      </c>
      <c r="D2805" t="s">
        <v>32</v>
      </c>
      <c r="E2805">
        <v>22.8</v>
      </c>
      <c r="F2805">
        <v>24</v>
      </c>
      <c r="G2805" t="s">
        <v>28</v>
      </c>
      <c r="H2805" t="s">
        <v>46</v>
      </c>
      <c r="I2805" s="2">
        <v>17.989999999999998</v>
      </c>
      <c r="J2805">
        <v>0</v>
      </c>
      <c r="K2805" s="2">
        <f t="shared" si="86"/>
        <v>0</v>
      </c>
      <c r="L2805" t="s">
        <v>61</v>
      </c>
      <c r="M2805">
        <v>4</v>
      </c>
      <c r="N2805">
        <v>0.91</v>
      </c>
      <c r="O2805" t="str">
        <f t="shared" si="87"/>
        <v>0.8–1 hour</v>
      </c>
      <c r="P2805" t="s">
        <v>25</v>
      </c>
    </row>
    <row r="2806" spans="1:16" x14ac:dyDescent="0.4">
      <c r="A2806" t="s">
        <v>2847</v>
      </c>
      <c r="B2806">
        <v>63</v>
      </c>
      <c r="C2806" t="s">
        <v>41</v>
      </c>
      <c r="D2806" t="s">
        <v>22</v>
      </c>
      <c r="E2806">
        <v>0.88</v>
      </c>
      <c r="F2806">
        <v>21</v>
      </c>
      <c r="G2806" t="s">
        <v>33</v>
      </c>
      <c r="H2806" t="s">
        <v>24</v>
      </c>
      <c r="I2806" s="2">
        <v>13.99</v>
      </c>
      <c r="J2806">
        <v>1</v>
      </c>
      <c r="K2806" s="2">
        <f t="shared" si="86"/>
        <v>13.99</v>
      </c>
      <c r="L2806" t="s">
        <v>29</v>
      </c>
      <c r="M2806">
        <v>1</v>
      </c>
      <c r="N2806">
        <v>0.04</v>
      </c>
      <c r="O2806" t="str">
        <f t="shared" si="87"/>
        <v>0–0.2 hours</v>
      </c>
      <c r="P2806" t="s">
        <v>20</v>
      </c>
    </row>
    <row r="2807" spans="1:16" x14ac:dyDescent="0.4">
      <c r="A2807" t="s">
        <v>2848</v>
      </c>
      <c r="B2807">
        <v>38</v>
      </c>
      <c r="C2807" t="s">
        <v>41</v>
      </c>
      <c r="D2807" t="s">
        <v>32</v>
      </c>
      <c r="E2807">
        <v>43.56</v>
      </c>
      <c r="F2807">
        <v>26</v>
      </c>
      <c r="G2807" t="s">
        <v>33</v>
      </c>
      <c r="H2807" t="s">
        <v>46</v>
      </c>
      <c r="I2807" s="2">
        <v>17.989999999999998</v>
      </c>
      <c r="J2807">
        <v>0</v>
      </c>
      <c r="K2807" s="2">
        <f t="shared" si="86"/>
        <v>0</v>
      </c>
      <c r="L2807" t="s">
        <v>37</v>
      </c>
      <c r="M2807">
        <v>3</v>
      </c>
      <c r="N2807">
        <v>1.61</v>
      </c>
      <c r="O2807" t="str">
        <f t="shared" si="87"/>
        <v>1+ hours</v>
      </c>
      <c r="P2807" t="s">
        <v>34</v>
      </c>
    </row>
    <row r="2808" spans="1:16" x14ac:dyDescent="0.4">
      <c r="A2808" t="s">
        <v>2849</v>
      </c>
      <c r="B2808">
        <v>54</v>
      </c>
      <c r="C2808" t="s">
        <v>15</v>
      </c>
      <c r="D2808" t="s">
        <v>22</v>
      </c>
      <c r="E2808">
        <v>6.59</v>
      </c>
      <c r="F2808">
        <v>40</v>
      </c>
      <c r="G2808" t="s">
        <v>70</v>
      </c>
      <c r="H2808" t="s">
        <v>55</v>
      </c>
      <c r="I2808" s="2">
        <v>13.99</v>
      </c>
      <c r="J2808">
        <v>1</v>
      </c>
      <c r="K2808" s="2">
        <f t="shared" si="86"/>
        <v>13.99</v>
      </c>
      <c r="L2808" t="s">
        <v>29</v>
      </c>
      <c r="M2808">
        <v>4</v>
      </c>
      <c r="N2808">
        <v>0.16</v>
      </c>
      <c r="O2808" t="str">
        <f t="shared" si="87"/>
        <v>0–0.2 hours</v>
      </c>
      <c r="P2808" t="s">
        <v>34</v>
      </c>
    </row>
    <row r="2809" spans="1:16" x14ac:dyDescent="0.4">
      <c r="A2809" t="s">
        <v>2850</v>
      </c>
      <c r="B2809">
        <v>57</v>
      </c>
      <c r="C2809" t="s">
        <v>41</v>
      </c>
      <c r="D2809" t="s">
        <v>16</v>
      </c>
      <c r="E2809">
        <v>4.1500000000000004</v>
      </c>
      <c r="F2809">
        <v>17</v>
      </c>
      <c r="G2809" t="s">
        <v>17</v>
      </c>
      <c r="H2809" t="s">
        <v>55</v>
      </c>
      <c r="I2809" s="2">
        <v>8.99</v>
      </c>
      <c r="J2809">
        <v>1</v>
      </c>
      <c r="K2809" s="2">
        <f t="shared" si="86"/>
        <v>8.99</v>
      </c>
      <c r="L2809" t="s">
        <v>37</v>
      </c>
      <c r="M2809">
        <v>5</v>
      </c>
      <c r="N2809">
        <v>0.23</v>
      </c>
      <c r="O2809" t="str">
        <f t="shared" si="87"/>
        <v>0.2–0.4 hours</v>
      </c>
      <c r="P2809" t="s">
        <v>30</v>
      </c>
    </row>
    <row r="2810" spans="1:16" x14ac:dyDescent="0.4">
      <c r="A2810" t="s">
        <v>2851</v>
      </c>
      <c r="B2810">
        <v>55</v>
      </c>
      <c r="C2810" t="s">
        <v>41</v>
      </c>
      <c r="D2810" t="s">
        <v>32</v>
      </c>
      <c r="E2810">
        <v>0.42</v>
      </c>
      <c r="F2810">
        <v>29</v>
      </c>
      <c r="G2810" t="s">
        <v>33</v>
      </c>
      <c r="H2810" t="s">
        <v>57</v>
      </c>
      <c r="I2810" s="2">
        <v>17.989999999999998</v>
      </c>
      <c r="J2810">
        <v>1</v>
      </c>
      <c r="K2810" s="2">
        <f t="shared" si="86"/>
        <v>17.989999999999998</v>
      </c>
      <c r="L2810" t="s">
        <v>43</v>
      </c>
      <c r="M2810">
        <v>2</v>
      </c>
      <c r="N2810">
        <v>0.01</v>
      </c>
      <c r="O2810" t="str">
        <f t="shared" si="87"/>
        <v>0–0.2 hours</v>
      </c>
      <c r="P2810" t="s">
        <v>52</v>
      </c>
    </row>
    <row r="2811" spans="1:16" x14ac:dyDescent="0.4">
      <c r="A2811" t="s">
        <v>2852</v>
      </c>
      <c r="B2811">
        <v>42</v>
      </c>
      <c r="C2811" t="s">
        <v>27</v>
      </c>
      <c r="D2811" t="s">
        <v>16</v>
      </c>
      <c r="E2811">
        <v>2.8</v>
      </c>
      <c r="F2811">
        <v>40</v>
      </c>
      <c r="G2811" t="s">
        <v>70</v>
      </c>
      <c r="H2811" t="s">
        <v>18</v>
      </c>
      <c r="I2811" s="2">
        <v>8.99</v>
      </c>
      <c r="J2811">
        <v>1</v>
      </c>
      <c r="K2811" s="2">
        <f t="shared" si="86"/>
        <v>8.99</v>
      </c>
      <c r="L2811" t="s">
        <v>19</v>
      </c>
      <c r="M2811">
        <v>4</v>
      </c>
      <c r="N2811">
        <v>7.0000000000000007E-2</v>
      </c>
      <c r="O2811" t="str">
        <f t="shared" si="87"/>
        <v>0–0.2 hours</v>
      </c>
      <c r="P2811" t="s">
        <v>47</v>
      </c>
    </row>
    <row r="2812" spans="1:16" x14ac:dyDescent="0.4">
      <c r="A2812" t="s">
        <v>2853</v>
      </c>
      <c r="B2812">
        <v>22</v>
      </c>
      <c r="C2812" t="s">
        <v>27</v>
      </c>
      <c r="D2812" t="s">
        <v>22</v>
      </c>
      <c r="E2812">
        <v>0.76</v>
      </c>
      <c r="F2812">
        <v>24</v>
      </c>
      <c r="G2812" t="s">
        <v>17</v>
      </c>
      <c r="H2812" t="s">
        <v>55</v>
      </c>
      <c r="I2812" s="2">
        <v>13.99</v>
      </c>
      <c r="J2812">
        <v>1</v>
      </c>
      <c r="K2812" s="2">
        <f t="shared" si="86"/>
        <v>13.99</v>
      </c>
      <c r="L2812" t="s">
        <v>19</v>
      </c>
      <c r="M2812">
        <v>2</v>
      </c>
      <c r="N2812">
        <v>0.03</v>
      </c>
      <c r="O2812" t="str">
        <f t="shared" si="87"/>
        <v>0–0.2 hours</v>
      </c>
      <c r="P2812" t="s">
        <v>25</v>
      </c>
    </row>
    <row r="2813" spans="1:16" x14ac:dyDescent="0.4">
      <c r="A2813" t="s">
        <v>2854</v>
      </c>
      <c r="B2813">
        <v>37</v>
      </c>
      <c r="C2813" t="s">
        <v>27</v>
      </c>
      <c r="D2813" t="s">
        <v>16</v>
      </c>
      <c r="E2813">
        <v>5.78</v>
      </c>
      <c r="F2813">
        <v>22</v>
      </c>
      <c r="G2813" t="s">
        <v>23</v>
      </c>
      <c r="H2813" t="s">
        <v>46</v>
      </c>
      <c r="I2813" s="2">
        <v>8.99</v>
      </c>
      <c r="J2813">
        <v>1</v>
      </c>
      <c r="K2813" s="2">
        <f t="shared" si="86"/>
        <v>8.99</v>
      </c>
      <c r="L2813" t="s">
        <v>29</v>
      </c>
      <c r="M2813">
        <v>2</v>
      </c>
      <c r="N2813">
        <v>0.25</v>
      </c>
      <c r="O2813" t="str">
        <f t="shared" si="87"/>
        <v>0.2–0.4 hours</v>
      </c>
      <c r="P2813" t="s">
        <v>39</v>
      </c>
    </row>
    <row r="2814" spans="1:16" x14ac:dyDescent="0.4">
      <c r="A2814" t="s">
        <v>2855</v>
      </c>
      <c r="B2814">
        <v>61</v>
      </c>
      <c r="C2814" t="s">
        <v>27</v>
      </c>
      <c r="D2814" t="s">
        <v>16</v>
      </c>
      <c r="E2814">
        <v>17.59</v>
      </c>
      <c r="F2814">
        <v>58</v>
      </c>
      <c r="G2814" t="s">
        <v>70</v>
      </c>
      <c r="H2814" t="s">
        <v>46</v>
      </c>
      <c r="I2814" s="2">
        <v>8.99</v>
      </c>
      <c r="J2814">
        <v>1</v>
      </c>
      <c r="K2814" s="2">
        <f t="shared" si="86"/>
        <v>8.99</v>
      </c>
      <c r="L2814" t="s">
        <v>37</v>
      </c>
      <c r="M2814">
        <v>2</v>
      </c>
      <c r="N2814">
        <v>0.3</v>
      </c>
      <c r="O2814" t="str">
        <f t="shared" si="87"/>
        <v>0.2–0.4 hours</v>
      </c>
      <c r="P2814" t="s">
        <v>34</v>
      </c>
    </row>
    <row r="2815" spans="1:16" x14ac:dyDescent="0.4">
      <c r="A2815" t="s">
        <v>2856</v>
      </c>
      <c r="B2815">
        <v>47</v>
      </c>
      <c r="C2815" t="s">
        <v>27</v>
      </c>
      <c r="D2815" t="s">
        <v>16</v>
      </c>
      <c r="E2815">
        <v>6.28</v>
      </c>
      <c r="F2815">
        <v>3</v>
      </c>
      <c r="G2815" t="s">
        <v>33</v>
      </c>
      <c r="H2815" t="s">
        <v>57</v>
      </c>
      <c r="I2815" s="2">
        <v>8.99</v>
      </c>
      <c r="J2815">
        <v>0</v>
      </c>
      <c r="K2815" s="2">
        <f t="shared" si="86"/>
        <v>0</v>
      </c>
      <c r="L2815" t="s">
        <v>37</v>
      </c>
      <c r="M2815">
        <v>2</v>
      </c>
      <c r="N2815">
        <v>1.57</v>
      </c>
      <c r="O2815" t="str">
        <f t="shared" si="87"/>
        <v>1+ hours</v>
      </c>
      <c r="P2815" t="s">
        <v>52</v>
      </c>
    </row>
    <row r="2816" spans="1:16" x14ac:dyDescent="0.4">
      <c r="A2816" t="s">
        <v>2857</v>
      </c>
      <c r="B2816">
        <v>31</v>
      </c>
      <c r="C2816" t="s">
        <v>15</v>
      </c>
      <c r="D2816" t="s">
        <v>22</v>
      </c>
      <c r="E2816">
        <v>9.9</v>
      </c>
      <c r="F2816">
        <v>46</v>
      </c>
      <c r="G2816" t="s">
        <v>28</v>
      </c>
      <c r="H2816" t="s">
        <v>46</v>
      </c>
      <c r="I2816" s="2">
        <v>13.99</v>
      </c>
      <c r="J2816">
        <v>0</v>
      </c>
      <c r="K2816" s="2">
        <f t="shared" si="86"/>
        <v>0</v>
      </c>
      <c r="L2816" t="s">
        <v>43</v>
      </c>
      <c r="M2816">
        <v>5</v>
      </c>
      <c r="N2816">
        <v>0.21</v>
      </c>
      <c r="O2816" t="str">
        <f t="shared" si="87"/>
        <v>0.2–0.4 hours</v>
      </c>
      <c r="P2816" t="s">
        <v>20</v>
      </c>
    </row>
    <row r="2817" spans="1:16" x14ac:dyDescent="0.4">
      <c r="A2817" t="s">
        <v>2858</v>
      </c>
      <c r="B2817">
        <v>52</v>
      </c>
      <c r="C2817" t="s">
        <v>15</v>
      </c>
      <c r="D2817" t="s">
        <v>22</v>
      </c>
      <c r="E2817">
        <v>13.22</v>
      </c>
      <c r="F2817">
        <v>37</v>
      </c>
      <c r="G2817" t="s">
        <v>23</v>
      </c>
      <c r="H2817" t="s">
        <v>24</v>
      </c>
      <c r="I2817" s="2">
        <v>13.99</v>
      </c>
      <c r="J2817">
        <v>1</v>
      </c>
      <c r="K2817" s="2">
        <f t="shared" si="86"/>
        <v>13.99</v>
      </c>
      <c r="L2817" t="s">
        <v>29</v>
      </c>
      <c r="M2817">
        <v>2</v>
      </c>
      <c r="N2817">
        <v>0.35</v>
      </c>
      <c r="O2817" t="str">
        <f t="shared" si="87"/>
        <v>0.2–0.4 hours</v>
      </c>
      <c r="P2817" t="s">
        <v>30</v>
      </c>
    </row>
    <row r="2818" spans="1:16" x14ac:dyDescent="0.4">
      <c r="A2818" t="s">
        <v>2859</v>
      </c>
      <c r="B2818">
        <v>29</v>
      </c>
      <c r="C2818" t="s">
        <v>27</v>
      </c>
      <c r="D2818" t="s">
        <v>16</v>
      </c>
      <c r="E2818">
        <v>1.77</v>
      </c>
      <c r="F2818">
        <v>47</v>
      </c>
      <c r="G2818" t="s">
        <v>33</v>
      </c>
      <c r="H2818" t="s">
        <v>46</v>
      </c>
      <c r="I2818" s="2">
        <v>8.99</v>
      </c>
      <c r="J2818">
        <v>1</v>
      </c>
      <c r="K2818" s="2">
        <f t="shared" si="86"/>
        <v>8.99</v>
      </c>
      <c r="L2818" t="s">
        <v>61</v>
      </c>
      <c r="M2818">
        <v>3</v>
      </c>
      <c r="N2818">
        <v>0.04</v>
      </c>
      <c r="O2818" t="str">
        <f t="shared" si="87"/>
        <v>0–0.2 hours</v>
      </c>
      <c r="P2818" t="s">
        <v>52</v>
      </c>
    </row>
    <row r="2819" spans="1:16" x14ac:dyDescent="0.4">
      <c r="A2819" t="s">
        <v>2860</v>
      </c>
      <c r="B2819">
        <v>26</v>
      </c>
      <c r="C2819" t="s">
        <v>41</v>
      </c>
      <c r="D2819" t="s">
        <v>22</v>
      </c>
      <c r="E2819">
        <v>33.1</v>
      </c>
      <c r="F2819">
        <v>21</v>
      </c>
      <c r="G2819" t="s">
        <v>33</v>
      </c>
      <c r="H2819" t="s">
        <v>46</v>
      </c>
      <c r="I2819" s="2">
        <v>13.99</v>
      </c>
      <c r="J2819">
        <v>0</v>
      </c>
      <c r="K2819" s="2">
        <f t="shared" ref="K2819:K2882" si="88">SUMIF(J2819,1,I2819)</f>
        <v>0</v>
      </c>
      <c r="L2819" t="s">
        <v>43</v>
      </c>
      <c r="M2819">
        <v>5</v>
      </c>
      <c r="N2819">
        <v>1.5</v>
      </c>
      <c r="O2819" t="str">
        <f t="shared" ref="O2819:O2882" si="89">IF(N2819&gt;1,"1+ hours",IF(N2819&lt;=0.2,"0–0.2 hours",IF(N2819&lt;=0.4,"0.2–0.4 hours",IF(N2819&lt;=0.6,"0.4–0.6 hours",IF(N2819&lt;=0.8,"0.6–0.8 hours","0.8–1 hour")))))</f>
        <v>1+ hours</v>
      </c>
      <c r="P2819" t="s">
        <v>52</v>
      </c>
    </row>
    <row r="2820" spans="1:16" x14ac:dyDescent="0.4">
      <c r="A2820" t="s">
        <v>2861</v>
      </c>
      <c r="B2820">
        <v>52</v>
      </c>
      <c r="C2820" t="s">
        <v>41</v>
      </c>
      <c r="D2820" t="s">
        <v>32</v>
      </c>
      <c r="E2820">
        <v>7.03</v>
      </c>
      <c r="F2820">
        <v>19</v>
      </c>
      <c r="G2820" t="s">
        <v>17</v>
      </c>
      <c r="H2820" t="s">
        <v>57</v>
      </c>
      <c r="I2820" s="2">
        <v>17.989999999999998</v>
      </c>
      <c r="J2820">
        <v>0</v>
      </c>
      <c r="K2820" s="2">
        <f t="shared" si="88"/>
        <v>0</v>
      </c>
      <c r="L2820" t="s">
        <v>61</v>
      </c>
      <c r="M2820">
        <v>2</v>
      </c>
      <c r="N2820">
        <v>0.35</v>
      </c>
      <c r="O2820" t="str">
        <f t="shared" si="89"/>
        <v>0.2–0.4 hours</v>
      </c>
      <c r="P2820" t="s">
        <v>52</v>
      </c>
    </row>
    <row r="2821" spans="1:16" x14ac:dyDescent="0.4">
      <c r="A2821" t="s">
        <v>2862</v>
      </c>
      <c r="B2821">
        <v>33</v>
      </c>
      <c r="C2821" t="s">
        <v>41</v>
      </c>
      <c r="D2821" t="s">
        <v>22</v>
      </c>
      <c r="E2821">
        <v>14.96</v>
      </c>
      <c r="F2821">
        <v>16</v>
      </c>
      <c r="G2821" t="s">
        <v>70</v>
      </c>
      <c r="H2821" t="s">
        <v>57</v>
      </c>
      <c r="I2821" s="2">
        <v>13.99</v>
      </c>
      <c r="J2821">
        <v>0</v>
      </c>
      <c r="K2821" s="2">
        <f t="shared" si="88"/>
        <v>0</v>
      </c>
      <c r="L2821" t="s">
        <v>29</v>
      </c>
      <c r="M2821">
        <v>5</v>
      </c>
      <c r="N2821">
        <v>0.88</v>
      </c>
      <c r="O2821" t="str">
        <f t="shared" si="89"/>
        <v>0.8–1 hour</v>
      </c>
      <c r="P2821" t="s">
        <v>39</v>
      </c>
    </row>
    <row r="2822" spans="1:16" x14ac:dyDescent="0.4">
      <c r="A2822" t="s">
        <v>2863</v>
      </c>
      <c r="B2822">
        <v>52</v>
      </c>
      <c r="C2822" t="s">
        <v>41</v>
      </c>
      <c r="D2822" t="s">
        <v>32</v>
      </c>
      <c r="E2822">
        <v>3.11</v>
      </c>
      <c r="F2822">
        <v>50</v>
      </c>
      <c r="G2822" t="s">
        <v>70</v>
      </c>
      <c r="H2822" t="s">
        <v>24</v>
      </c>
      <c r="I2822" s="2">
        <v>17.989999999999998</v>
      </c>
      <c r="J2822">
        <v>1</v>
      </c>
      <c r="K2822" s="2">
        <f t="shared" si="88"/>
        <v>17.989999999999998</v>
      </c>
      <c r="L2822" t="s">
        <v>61</v>
      </c>
      <c r="M2822">
        <v>4</v>
      </c>
      <c r="N2822">
        <v>0.06</v>
      </c>
      <c r="O2822" t="str">
        <f t="shared" si="89"/>
        <v>0–0.2 hours</v>
      </c>
      <c r="P2822" t="s">
        <v>47</v>
      </c>
    </row>
    <row r="2823" spans="1:16" x14ac:dyDescent="0.4">
      <c r="A2823" t="s">
        <v>2864</v>
      </c>
      <c r="B2823">
        <v>48</v>
      </c>
      <c r="C2823" t="s">
        <v>27</v>
      </c>
      <c r="D2823" t="s">
        <v>16</v>
      </c>
      <c r="E2823">
        <v>0.28999999999999998</v>
      </c>
      <c r="F2823">
        <v>33</v>
      </c>
      <c r="G2823" t="s">
        <v>70</v>
      </c>
      <c r="H2823" t="s">
        <v>57</v>
      </c>
      <c r="I2823" s="2">
        <v>8.99</v>
      </c>
      <c r="J2823">
        <v>1</v>
      </c>
      <c r="K2823" s="2">
        <f t="shared" si="88"/>
        <v>8.99</v>
      </c>
      <c r="L2823" t="s">
        <v>37</v>
      </c>
      <c r="M2823">
        <v>1</v>
      </c>
      <c r="N2823">
        <v>0.01</v>
      </c>
      <c r="O2823" t="str">
        <f t="shared" si="89"/>
        <v>0–0.2 hours</v>
      </c>
      <c r="P2823" t="s">
        <v>34</v>
      </c>
    </row>
    <row r="2824" spans="1:16" x14ac:dyDescent="0.4">
      <c r="A2824" t="s">
        <v>2865</v>
      </c>
      <c r="B2824">
        <v>52</v>
      </c>
      <c r="C2824" t="s">
        <v>27</v>
      </c>
      <c r="D2824" t="s">
        <v>22</v>
      </c>
      <c r="E2824">
        <v>1.69</v>
      </c>
      <c r="F2824">
        <v>54</v>
      </c>
      <c r="G2824" t="s">
        <v>49</v>
      </c>
      <c r="H2824" t="s">
        <v>46</v>
      </c>
      <c r="I2824" s="2">
        <v>13.99</v>
      </c>
      <c r="J2824">
        <v>1</v>
      </c>
      <c r="K2824" s="2">
        <f t="shared" si="88"/>
        <v>13.99</v>
      </c>
      <c r="L2824" t="s">
        <v>37</v>
      </c>
      <c r="M2824">
        <v>3</v>
      </c>
      <c r="N2824">
        <v>0.03</v>
      </c>
      <c r="O2824" t="str">
        <f t="shared" si="89"/>
        <v>0–0.2 hours</v>
      </c>
      <c r="P2824" t="s">
        <v>52</v>
      </c>
    </row>
    <row r="2825" spans="1:16" x14ac:dyDescent="0.4">
      <c r="A2825" t="s">
        <v>2866</v>
      </c>
      <c r="B2825">
        <v>50</v>
      </c>
      <c r="C2825" t="s">
        <v>15</v>
      </c>
      <c r="D2825" t="s">
        <v>16</v>
      </c>
      <c r="E2825">
        <v>0.61</v>
      </c>
      <c r="F2825">
        <v>16</v>
      </c>
      <c r="G2825" t="s">
        <v>28</v>
      </c>
      <c r="H2825" t="s">
        <v>18</v>
      </c>
      <c r="I2825" s="2">
        <v>8.99</v>
      </c>
      <c r="J2825">
        <v>1</v>
      </c>
      <c r="K2825" s="2">
        <f t="shared" si="88"/>
        <v>8.99</v>
      </c>
      <c r="L2825" t="s">
        <v>19</v>
      </c>
      <c r="M2825">
        <v>2</v>
      </c>
      <c r="N2825">
        <v>0.04</v>
      </c>
      <c r="O2825" t="str">
        <f t="shared" si="89"/>
        <v>0–0.2 hours</v>
      </c>
      <c r="P2825" t="s">
        <v>30</v>
      </c>
    </row>
    <row r="2826" spans="1:16" x14ac:dyDescent="0.4">
      <c r="A2826" t="s">
        <v>2867</v>
      </c>
      <c r="B2826">
        <v>43</v>
      </c>
      <c r="C2826" t="s">
        <v>41</v>
      </c>
      <c r="D2826" t="s">
        <v>32</v>
      </c>
      <c r="E2826">
        <v>11.84</v>
      </c>
      <c r="F2826">
        <v>56</v>
      </c>
      <c r="G2826" t="s">
        <v>17</v>
      </c>
      <c r="H2826" t="s">
        <v>24</v>
      </c>
      <c r="I2826" s="2">
        <v>17.989999999999998</v>
      </c>
      <c r="J2826">
        <v>0</v>
      </c>
      <c r="K2826" s="2">
        <f t="shared" si="88"/>
        <v>0</v>
      </c>
      <c r="L2826" t="s">
        <v>61</v>
      </c>
      <c r="M2826">
        <v>5</v>
      </c>
      <c r="N2826">
        <v>0.21</v>
      </c>
      <c r="O2826" t="str">
        <f t="shared" si="89"/>
        <v>0.2–0.4 hours</v>
      </c>
      <c r="P2826" t="s">
        <v>25</v>
      </c>
    </row>
    <row r="2827" spans="1:16" x14ac:dyDescent="0.4">
      <c r="A2827" t="s">
        <v>2868</v>
      </c>
      <c r="B2827">
        <v>62</v>
      </c>
      <c r="C2827" t="s">
        <v>41</v>
      </c>
      <c r="D2827" t="s">
        <v>22</v>
      </c>
      <c r="E2827">
        <v>25.88</v>
      </c>
      <c r="F2827">
        <v>49</v>
      </c>
      <c r="G2827" t="s">
        <v>23</v>
      </c>
      <c r="H2827" t="s">
        <v>55</v>
      </c>
      <c r="I2827" s="2">
        <v>13.99</v>
      </c>
      <c r="J2827">
        <v>0</v>
      </c>
      <c r="K2827" s="2">
        <f t="shared" si="88"/>
        <v>0</v>
      </c>
      <c r="L2827" t="s">
        <v>43</v>
      </c>
      <c r="M2827">
        <v>2</v>
      </c>
      <c r="N2827">
        <v>0.52</v>
      </c>
      <c r="O2827" t="str">
        <f t="shared" si="89"/>
        <v>0.4–0.6 hours</v>
      </c>
      <c r="P2827" t="s">
        <v>34</v>
      </c>
    </row>
    <row r="2828" spans="1:16" x14ac:dyDescent="0.4">
      <c r="A2828" t="s">
        <v>2869</v>
      </c>
      <c r="B2828">
        <v>31</v>
      </c>
      <c r="C2828" t="s">
        <v>41</v>
      </c>
      <c r="D2828" t="s">
        <v>16</v>
      </c>
      <c r="E2828">
        <v>1.79</v>
      </c>
      <c r="F2828">
        <v>18</v>
      </c>
      <c r="G2828" t="s">
        <v>28</v>
      </c>
      <c r="H2828" t="s">
        <v>46</v>
      </c>
      <c r="I2828" s="2">
        <v>8.99</v>
      </c>
      <c r="J2828">
        <v>1</v>
      </c>
      <c r="K2828" s="2">
        <f t="shared" si="88"/>
        <v>8.99</v>
      </c>
      <c r="L2828" t="s">
        <v>19</v>
      </c>
      <c r="M2828">
        <v>5</v>
      </c>
      <c r="N2828">
        <v>0.09</v>
      </c>
      <c r="O2828" t="str">
        <f t="shared" si="89"/>
        <v>0–0.2 hours</v>
      </c>
      <c r="P2828" t="s">
        <v>30</v>
      </c>
    </row>
    <row r="2829" spans="1:16" x14ac:dyDescent="0.4">
      <c r="A2829" t="s">
        <v>2870</v>
      </c>
      <c r="B2829">
        <v>35</v>
      </c>
      <c r="C2829" t="s">
        <v>15</v>
      </c>
      <c r="D2829" t="s">
        <v>32</v>
      </c>
      <c r="E2829">
        <v>19.190000000000001</v>
      </c>
      <c r="F2829">
        <v>50</v>
      </c>
      <c r="G2829" t="s">
        <v>28</v>
      </c>
      <c r="H2829" t="s">
        <v>55</v>
      </c>
      <c r="I2829" s="2">
        <v>17.989999999999998</v>
      </c>
      <c r="J2829">
        <v>1</v>
      </c>
      <c r="K2829" s="2">
        <f t="shared" si="88"/>
        <v>17.989999999999998</v>
      </c>
      <c r="L2829" t="s">
        <v>61</v>
      </c>
      <c r="M2829">
        <v>1</v>
      </c>
      <c r="N2829">
        <v>0.38</v>
      </c>
      <c r="O2829" t="str">
        <f t="shared" si="89"/>
        <v>0.2–0.4 hours</v>
      </c>
      <c r="P2829" t="s">
        <v>52</v>
      </c>
    </row>
    <row r="2830" spans="1:16" x14ac:dyDescent="0.4">
      <c r="A2830" t="s">
        <v>2871</v>
      </c>
      <c r="B2830">
        <v>68</v>
      </c>
      <c r="C2830" t="s">
        <v>27</v>
      </c>
      <c r="D2830" t="s">
        <v>32</v>
      </c>
      <c r="E2830">
        <v>7.11</v>
      </c>
      <c r="F2830">
        <v>43</v>
      </c>
      <c r="G2830" t="s">
        <v>49</v>
      </c>
      <c r="H2830" t="s">
        <v>18</v>
      </c>
      <c r="I2830" s="2">
        <v>17.989999999999998</v>
      </c>
      <c r="J2830">
        <v>0</v>
      </c>
      <c r="K2830" s="2">
        <f t="shared" si="88"/>
        <v>0</v>
      </c>
      <c r="L2830" t="s">
        <v>61</v>
      </c>
      <c r="M2830">
        <v>5</v>
      </c>
      <c r="N2830">
        <v>0.16</v>
      </c>
      <c r="O2830" t="str">
        <f t="shared" si="89"/>
        <v>0–0.2 hours</v>
      </c>
      <c r="P2830" t="s">
        <v>34</v>
      </c>
    </row>
    <row r="2831" spans="1:16" x14ac:dyDescent="0.4">
      <c r="A2831" t="s">
        <v>2872</v>
      </c>
      <c r="B2831">
        <v>45</v>
      </c>
      <c r="C2831" t="s">
        <v>15</v>
      </c>
      <c r="D2831" t="s">
        <v>32</v>
      </c>
      <c r="E2831">
        <v>3.2</v>
      </c>
      <c r="F2831">
        <v>57</v>
      </c>
      <c r="G2831" t="s">
        <v>33</v>
      </c>
      <c r="H2831" t="s">
        <v>18</v>
      </c>
      <c r="I2831" s="2">
        <v>17.989999999999998</v>
      </c>
      <c r="J2831">
        <v>1</v>
      </c>
      <c r="K2831" s="2">
        <f t="shared" si="88"/>
        <v>17.989999999999998</v>
      </c>
      <c r="L2831" t="s">
        <v>61</v>
      </c>
      <c r="M2831">
        <v>1</v>
      </c>
      <c r="N2831">
        <v>0.06</v>
      </c>
      <c r="O2831" t="str">
        <f t="shared" si="89"/>
        <v>0–0.2 hours</v>
      </c>
      <c r="P2831" t="s">
        <v>25</v>
      </c>
    </row>
    <row r="2832" spans="1:16" x14ac:dyDescent="0.4">
      <c r="A2832" t="s">
        <v>2873</v>
      </c>
      <c r="B2832">
        <v>24</v>
      </c>
      <c r="C2832" t="s">
        <v>27</v>
      </c>
      <c r="D2832" t="s">
        <v>32</v>
      </c>
      <c r="E2832">
        <v>1.03</v>
      </c>
      <c r="F2832">
        <v>30</v>
      </c>
      <c r="G2832" t="s">
        <v>33</v>
      </c>
      <c r="H2832" t="s">
        <v>57</v>
      </c>
      <c r="I2832" s="2">
        <v>17.989999999999998</v>
      </c>
      <c r="J2832">
        <v>1</v>
      </c>
      <c r="K2832" s="2">
        <f t="shared" si="88"/>
        <v>17.989999999999998</v>
      </c>
      <c r="L2832" t="s">
        <v>61</v>
      </c>
      <c r="M2832">
        <v>1</v>
      </c>
      <c r="N2832">
        <v>0.03</v>
      </c>
      <c r="O2832" t="str">
        <f t="shared" si="89"/>
        <v>0–0.2 hours</v>
      </c>
      <c r="P2832" t="s">
        <v>25</v>
      </c>
    </row>
    <row r="2833" spans="1:16" x14ac:dyDescent="0.4">
      <c r="A2833" t="s">
        <v>2874</v>
      </c>
      <c r="B2833">
        <v>30</v>
      </c>
      <c r="C2833" t="s">
        <v>27</v>
      </c>
      <c r="D2833" t="s">
        <v>22</v>
      </c>
      <c r="E2833">
        <v>6.23</v>
      </c>
      <c r="F2833">
        <v>49</v>
      </c>
      <c r="G2833" t="s">
        <v>23</v>
      </c>
      <c r="H2833" t="s">
        <v>18</v>
      </c>
      <c r="I2833" s="2">
        <v>13.99</v>
      </c>
      <c r="J2833">
        <v>1</v>
      </c>
      <c r="K2833" s="2">
        <f t="shared" si="88"/>
        <v>13.99</v>
      </c>
      <c r="L2833" t="s">
        <v>37</v>
      </c>
      <c r="M2833">
        <v>3</v>
      </c>
      <c r="N2833">
        <v>0.12</v>
      </c>
      <c r="O2833" t="str">
        <f t="shared" si="89"/>
        <v>0–0.2 hours</v>
      </c>
      <c r="P2833" t="s">
        <v>47</v>
      </c>
    </row>
    <row r="2834" spans="1:16" x14ac:dyDescent="0.4">
      <c r="A2834" t="s">
        <v>2875</v>
      </c>
      <c r="B2834">
        <v>51</v>
      </c>
      <c r="C2834" t="s">
        <v>41</v>
      </c>
      <c r="D2834" t="s">
        <v>22</v>
      </c>
      <c r="E2834">
        <v>7.01</v>
      </c>
      <c r="F2834">
        <v>38</v>
      </c>
      <c r="G2834" t="s">
        <v>28</v>
      </c>
      <c r="H2834" t="s">
        <v>57</v>
      </c>
      <c r="I2834" s="2">
        <v>13.99</v>
      </c>
      <c r="J2834">
        <v>1</v>
      </c>
      <c r="K2834" s="2">
        <f t="shared" si="88"/>
        <v>13.99</v>
      </c>
      <c r="L2834" t="s">
        <v>19</v>
      </c>
      <c r="M2834">
        <v>2</v>
      </c>
      <c r="N2834">
        <v>0.18</v>
      </c>
      <c r="O2834" t="str">
        <f t="shared" si="89"/>
        <v>0–0.2 hours</v>
      </c>
      <c r="P2834" t="s">
        <v>25</v>
      </c>
    </row>
    <row r="2835" spans="1:16" x14ac:dyDescent="0.4">
      <c r="A2835" t="s">
        <v>2876</v>
      </c>
      <c r="B2835">
        <v>25</v>
      </c>
      <c r="C2835" t="s">
        <v>41</v>
      </c>
      <c r="D2835" t="s">
        <v>16</v>
      </c>
      <c r="E2835">
        <v>2.95</v>
      </c>
      <c r="F2835">
        <v>37</v>
      </c>
      <c r="G2835" t="s">
        <v>70</v>
      </c>
      <c r="H2835" t="s">
        <v>18</v>
      </c>
      <c r="I2835" s="2">
        <v>8.99</v>
      </c>
      <c r="J2835">
        <v>1</v>
      </c>
      <c r="K2835" s="2">
        <f t="shared" si="88"/>
        <v>8.99</v>
      </c>
      <c r="L2835" t="s">
        <v>43</v>
      </c>
      <c r="M2835">
        <v>4</v>
      </c>
      <c r="N2835">
        <v>0.08</v>
      </c>
      <c r="O2835" t="str">
        <f t="shared" si="89"/>
        <v>0–0.2 hours</v>
      </c>
      <c r="P2835" t="s">
        <v>34</v>
      </c>
    </row>
    <row r="2836" spans="1:16" x14ac:dyDescent="0.4">
      <c r="A2836" s="1" t="s">
        <v>2877</v>
      </c>
      <c r="B2836">
        <v>43</v>
      </c>
      <c r="C2836" t="s">
        <v>41</v>
      </c>
      <c r="D2836" t="s">
        <v>22</v>
      </c>
      <c r="E2836">
        <v>16.899999999999999</v>
      </c>
      <c r="F2836">
        <v>20</v>
      </c>
      <c r="G2836" t="s">
        <v>49</v>
      </c>
      <c r="H2836" t="s">
        <v>57</v>
      </c>
      <c r="I2836" s="2">
        <v>13.99</v>
      </c>
      <c r="J2836">
        <v>0</v>
      </c>
      <c r="K2836" s="2">
        <f t="shared" si="88"/>
        <v>0</v>
      </c>
      <c r="L2836" t="s">
        <v>61</v>
      </c>
      <c r="M2836">
        <v>2</v>
      </c>
      <c r="N2836">
        <v>0.8</v>
      </c>
      <c r="O2836" t="str">
        <f t="shared" si="89"/>
        <v>0.6–0.8 hours</v>
      </c>
      <c r="P2836" t="s">
        <v>30</v>
      </c>
    </row>
    <row r="2837" spans="1:16" x14ac:dyDescent="0.4">
      <c r="A2837" t="s">
        <v>2878</v>
      </c>
      <c r="B2837">
        <v>58</v>
      </c>
      <c r="C2837" t="s">
        <v>41</v>
      </c>
      <c r="D2837" t="s">
        <v>16</v>
      </c>
      <c r="E2837">
        <v>0.36</v>
      </c>
      <c r="F2837">
        <v>39</v>
      </c>
      <c r="G2837" t="s">
        <v>17</v>
      </c>
      <c r="H2837" t="s">
        <v>46</v>
      </c>
      <c r="I2837" s="2">
        <v>8.99</v>
      </c>
      <c r="J2837">
        <v>1</v>
      </c>
      <c r="K2837" s="2">
        <f t="shared" si="88"/>
        <v>8.99</v>
      </c>
      <c r="L2837" t="s">
        <v>43</v>
      </c>
      <c r="M2837">
        <v>3</v>
      </c>
      <c r="N2837">
        <v>0.01</v>
      </c>
      <c r="O2837" t="str">
        <f t="shared" si="89"/>
        <v>0–0.2 hours</v>
      </c>
      <c r="P2837" t="s">
        <v>30</v>
      </c>
    </row>
    <row r="2838" spans="1:16" x14ac:dyDescent="0.4">
      <c r="A2838" t="s">
        <v>2879</v>
      </c>
      <c r="B2838">
        <v>27</v>
      </c>
      <c r="C2838" t="s">
        <v>27</v>
      </c>
      <c r="D2838" t="s">
        <v>22</v>
      </c>
      <c r="E2838">
        <v>19.23</v>
      </c>
      <c r="F2838">
        <v>56</v>
      </c>
      <c r="G2838" t="s">
        <v>70</v>
      </c>
      <c r="H2838" t="s">
        <v>57</v>
      </c>
      <c r="I2838" s="2">
        <v>13.99</v>
      </c>
      <c r="J2838">
        <v>1</v>
      </c>
      <c r="K2838" s="2">
        <f t="shared" si="88"/>
        <v>13.99</v>
      </c>
      <c r="L2838" t="s">
        <v>19</v>
      </c>
      <c r="M2838">
        <v>2</v>
      </c>
      <c r="N2838">
        <v>0.34</v>
      </c>
      <c r="O2838" t="str">
        <f t="shared" si="89"/>
        <v>0.2–0.4 hours</v>
      </c>
      <c r="P2838" t="s">
        <v>39</v>
      </c>
    </row>
    <row r="2839" spans="1:16" x14ac:dyDescent="0.4">
      <c r="A2839" t="s">
        <v>2880</v>
      </c>
      <c r="B2839">
        <v>33</v>
      </c>
      <c r="C2839" t="s">
        <v>15</v>
      </c>
      <c r="D2839" t="s">
        <v>32</v>
      </c>
      <c r="E2839">
        <v>27.1</v>
      </c>
      <c r="F2839">
        <v>57</v>
      </c>
      <c r="G2839" t="s">
        <v>17</v>
      </c>
      <c r="H2839" t="s">
        <v>55</v>
      </c>
      <c r="I2839" s="2">
        <v>17.989999999999998</v>
      </c>
      <c r="J2839">
        <v>0</v>
      </c>
      <c r="K2839" s="2">
        <f t="shared" si="88"/>
        <v>0</v>
      </c>
      <c r="L2839" t="s">
        <v>19</v>
      </c>
      <c r="M2839">
        <v>4</v>
      </c>
      <c r="N2839">
        <v>0.47</v>
      </c>
      <c r="O2839" t="str">
        <f t="shared" si="89"/>
        <v>0.4–0.6 hours</v>
      </c>
      <c r="P2839" t="s">
        <v>30</v>
      </c>
    </row>
    <row r="2840" spans="1:16" x14ac:dyDescent="0.4">
      <c r="A2840" t="s">
        <v>2881</v>
      </c>
      <c r="B2840">
        <v>35</v>
      </c>
      <c r="C2840" t="s">
        <v>27</v>
      </c>
      <c r="D2840" t="s">
        <v>32</v>
      </c>
      <c r="E2840">
        <v>38.65</v>
      </c>
      <c r="F2840">
        <v>21</v>
      </c>
      <c r="G2840" t="s">
        <v>28</v>
      </c>
      <c r="H2840" t="s">
        <v>55</v>
      </c>
      <c r="I2840" s="2">
        <v>17.989999999999998</v>
      </c>
      <c r="J2840">
        <v>0</v>
      </c>
      <c r="K2840" s="2">
        <f t="shared" si="88"/>
        <v>0</v>
      </c>
      <c r="L2840" t="s">
        <v>43</v>
      </c>
      <c r="M2840">
        <v>4</v>
      </c>
      <c r="N2840">
        <v>1.76</v>
      </c>
      <c r="O2840" t="str">
        <f t="shared" si="89"/>
        <v>1+ hours</v>
      </c>
      <c r="P2840" t="s">
        <v>34</v>
      </c>
    </row>
    <row r="2841" spans="1:16" x14ac:dyDescent="0.4">
      <c r="A2841" t="s">
        <v>2882</v>
      </c>
      <c r="B2841">
        <v>56</v>
      </c>
      <c r="C2841" t="s">
        <v>41</v>
      </c>
      <c r="D2841" t="s">
        <v>16</v>
      </c>
      <c r="E2841">
        <v>8.25</v>
      </c>
      <c r="F2841">
        <v>27</v>
      </c>
      <c r="G2841" t="s">
        <v>28</v>
      </c>
      <c r="H2841" t="s">
        <v>18</v>
      </c>
      <c r="I2841" s="2">
        <v>8.99</v>
      </c>
      <c r="J2841">
        <v>0</v>
      </c>
      <c r="K2841" s="2">
        <f t="shared" si="88"/>
        <v>0</v>
      </c>
      <c r="L2841" t="s">
        <v>37</v>
      </c>
      <c r="M2841">
        <v>3</v>
      </c>
      <c r="N2841">
        <v>0.28999999999999998</v>
      </c>
      <c r="O2841" t="str">
        <f t="shared" si="89"/>
        <v>0.2–0.4 hours</v>
      </c>
      <c r="P2841" t="s">
        <v>47</v>
      </c>
    </row>
    <row r="2842" spans="1:16" x14ac:dyDescent="0.4">
      <c r="A2842" t="s">
        <v>2883</v>
      </c>
      <c r="B2842">
        <v>59</v>
      </c>
      <c r="C2842" t="s">
        <v>41</v>
      </c>
      <c r="D2842" t="s">
        <v>22</v>
      </c>
      <c r="E2842">
        <v>3.06</v>
      </c>
      <c r="F2842">
        <v>17</v>
      </c>
      <c r="G2842" t="s">
        <v>23</v>
      </c>
      <c r="H2842" t="s">
        <v>57</v>
      </c>
      <c r="I2842" s="2">
        <v>13.99</v>
      </c>
      <c r="J2842">
        <v>1</v>
      </c>
      <c r="K2842" s="2">
        <f t="shared" si="88"/>
        <v>13.99</v>
      </c>
      <c r="L2842" t="s">
        <v>43</v>
      </c>
      <c r="M2842">
        <v>2</v>
      </c>
      <c r="N2842">
        <v>0.17</v>
      </c>
      <c r="O2842" t="str">
        <f t="shared" si="89"/>
        <v>0–0.2 hours</v>
      </c>
      <c r="P2842" t="s">
        <v>52</v>
      </c>
    </row>
    <row r="2843" spans="1:16" x14ac:dyDescent="0.4">
      <c r="A2843" t="s">
        <v>2884</v>
      </c>
      <c r="B2843">
        <v>41</v>
      </c>
      <c r="C2843" t="s">
        <v>15</v>
      </c>
      <c r="D2843" t="s">
        <v>16</v>
      </c>
      <c r="E2843">
        <v>0.86</v>
      </c>
      <c r="F2843">
        <v>22</v>
      </c>
      <c r="G2843" t="s">
        <v>49</v>
      </c>
      <c r="H2843" t="s">
        <v>18</v>
      </c>
      <c r="I2843" s="2">
        <v>8.99</v>
      </c>
      <c r="J2843">
        <v>1</v>
      </c>
      <c r="K2843" s="2">
        <f t="shared" si="88"/>
        <v>8.99</v>
      </c>
      <c r="L2843" t="s">
        <v>29</v>
      </c>
      <c r="M2843">
        <v>4</v>
      </c>
      <c r="N2843">
        <v>0.04</v>
      </c>
      <c r="O2843" t="str">
        <f t="shared" si="89"/>
        <v>0–0.2 hours</v>
      </c>
      <c r="P2843" t="s">
        <v>52</v>
      </c>
    </row>
    <row r="2844" spans="1:16" x14ac:dyDescent="0.4">
      <c r="A2844" t="s">
        <v>2885</v>
      </c>
      <c r="B2844">
        <v>22</v>
      </c>
      <c r="C2844" t="s">
        <v>27</v>
      </c>
      <c r="D2844" t="s">
        <v>32</v>
      </c>
      <c r="E2844">
        <v>5.22</v>
      </c>
      <c r="F2844">
        <v>33</v>
      </c>
      <c r="G2844" t="s">
        <v>33</v>
      </c>
      <c r="H2844" t="s">
        <v>55</v>
      </c>
      <c r="I2844" s="2">
        <v>17.989999999999998</v>
      </c>
      <c r="J2844">
        <v>0</v>
      </c>
      <c r="K2844" s="2">
        <f t="shared" si="88"/>
        <v>0</v>
      </c>
      <c r="L2844" t="s">
        <v>61</v>
      </c>
      <c r="M2844">
        <v>5</v>
      </c>
      <c r="N2844">
        <v>0.15</v>
      </c>
      <c r="O2844" t="str">
        <f t="shared" si="89"/>
        <v>0–0.2 hours</v>
      </c>
      <c r="P2844" t="s">
        <v>52</v>
      </c>
    </row>
    <row r="2845" spans="1:16" x14ac:dyDescent="0.4">
      <c r="A2845" t="s">
        <v>2886</v>
      </c>
      <c r="B2845">
        <v>64</v>
      </c>
      <c r="C2845" t="s">
        <v>27</v>
      </c>
      <c r="D2845" t="s">
        <v>32</v>
      </c>
      <c r="E2845">
        <v>22.92</v>
      </c>
      <c r="F2845">
        <v>7</v>
      </c>
      <c r="G2845" t="s">
        <v>17</v>
      </c>
      <c r="H2845" t="s">
        <v>55</v>
      </c>
      <c r="I2845" s="2">
        <v>17.989999999999998</v>
      </c>
      <c r="J2845">
        <v>0</v>
      </c>
      <c r="K2845" s="2">
        <f t="shared" si="88"/>
        <v>0</v>
      </c>
      <c r="L2845" t="s">
        <v>37</v>
      </c>
      <c r="M2845">
        <v>1</v>
      </c>
      <c r="N2845">
        <v>2.87</v>
      </c>
      <c r="O2845" t="str">
        <f t="shared" si="89"/>
        <v>1+ hours</v>
      </c>
      <c r="P2845" t="s">
        <v>20</v>
      </c>
    </row>
    <row r="2846" spans="1:16" x14ac:dyDescent="0.4">
      <c r="A2846" t="s">
        <v>2887</v>
      </c>
      <c r="B2846">
        <v>61</v>
      </c>
      <c r="C2846" t="s">
        <v>41</v>
      </c>
      <c r="D2846" t="s">
        <v>16</v>
      </c>
      <c r="E2846">
        <v>3.99</v>
      </c>
      <c r="F2846">
        <v>33</v>
      </c>
      <c r="G2846" t="s">
        <v>49</v>
      </c>
      <c r="H2846" t="s">
        <v>24</v>
      </c>
      <c r="I2846" s="2">
        <v>8.99</v>
      </c>
      <c r="J2846">
        <v>1</v>
      </c>
      <c r="K2846" s="2">
        <f t="shared" si="88"/>
        <v>8.99</v>
      </c>
      <c r="L2846" t="s">
        <v>43</v>
      </c>
      <c r="M2846">
        <v>5</v>
      </c>
      <c r="N2846">
        <v>0.12</v>
      </c>
      <c r="O2846" t="str">
        <f t="shared" si="89"/>
        <v>0–0.2 hours</v>
      </c>
      <c r="P2846" t="s">
        <v>39</v>
      </c>
    </row>
    <row r="2847" spans="1:16" x14ac:dyDescent="0.4">
      <c r="A2847" s="1" t="s">
        <v>2888</v>
      </c>
      <c r="B2847">
        <v>37</v>
      </c>
      <c r="C2847" t="s">
        <v>27</v>
      </c>
      <c r="D2847" t="s">
        <v>22</v>
      </c>
      <c r="E2847">
        <v>0.59</v>
      </c>
      <c r="F2847">
        <v>13</v>
      </c>
      <c r="G2847" t="s">
        <v>33</v>
      </c>
      <c r="H2847" t="s">
        <v>18</v>
      </c>
      <c r="I2847" s="2">
        <v>13.99</v>
      </c>
      <c r="J2847">
        <v>1</v>
      </c>
      <c r="K2847" s="2">
        <f t="shared" si="88"/>
        <v>13.99</v>
      </c>
      <c r="L2847" t="s">
        <v>61</v>
      </c>
      <c r="M2847">
        <v>3</v>
      </c>
      <c r="N2847">
        <v>0.04</v>
      </c>
      <c r="O2847" t="str">
        <f t="shared" si="89"/>
        <v>0–0.2 hours</v>
      </c>
      <c r="P2847" t="s">
        <v>25</v>
      </c>
    </row>
    <row r="2848" spans="1:16" x14ac:dyDescent="0.4">
      <c r="A2848" t="s">
        <v>2889</v>
      </c>
      <c r="B2848">
        <v>48</v>
      </c>
      <c r="C2848" t="s">
        <v>15</v>
      </c>
      <c r="D2848" t="s">
        <v>16</v>
      </c>
      <c r="E2848">
        <v>0.75</v>
      </c>
      <c r="F2848">
        <v>55</v>
      </c>
      <c r="G2848" t="s">
        <v>70</v>
      </c>
      <c r="H2848" t="s">
        <v>46</v>
      </c>
      <c r="I2848" s="2">
        <v>8.99</v>
      </c>
      <c r="J2848">
        <v>1</v>
      </c>
      <c r="K2848" s="2">
        <f t="shared" si="88"/>
        <v>8.99</v>
      </c>
      <c r="L2848" t="s">
        <v>43</v>
      </c>
      <c r="M2848">
        <v>5</v>
      </c>
      <c r="N2848">
        <v>0.01</v>
      </c>
      <c r="O2848" t="str">
        <f t="shared" si="89"/>
        <v>0–0.2 hours</v>
      </c>
      <c r="P2848" t="s">
        <v>20</v>
      </c>
    </row>
    <row r="2849" spans="1:16" x14ac:dyDescent="0.4">
      <c r="A2849" t="s">
        <v>2890</v>
      </c>
      <c r="B2849">
        <v>58</v>
      </c>
      <c r="C2849" t="s">
        <v>27</v>
      </c>
      <c r="D2849" t="s">
        <v>16</v>
      </c>
      <c r="E2849">
        <v>3.59</v>
      </c>
      <c r="F2849">
        <v>29</v>
      </c>
      <c r="G2849" t="s">
        <v>28</v>
      </c>
      <c r="H2849" t="s">
        <v>18</v>
      </c>
      <c r="I2849" s="2">
        <v>8.99</v>
      </c>
      <c r="J2849">
        <v>1</v>
      </c>
      <c r="K2849" s="2">
        <f t="shared" si="88"/>
        <v>8.99</v>
      </c>
      <c r="L2849" t="s">
        <v>43</v>
      </c>
      <c r="M2849">
        <v>3</v>
      </c>
      <c r="N2849">
        <v>0.12</v>
      </c>
      <c r="O2849" t="str">
        <f t="shared" si="89"/>
        <v>0–0.2 hours</v>
      </c>
      <c r="P2849" t="s">
        <v>34</v>
      </c>
    </row>
    <row r="2850" spans="1:16" x14ac:dyDescent="0.4">
      <c r="A2850" t="s">
        <v>2891</v>
      </c>
      <c r="B2850">
        <v>25</v>
      </c>
      <c r="C2850" t="s">
        <v>41</v>
      </c>
      <c r="D2850" t="s">
        <v>16</v>
      </c>
      <c r="E2850">
        <v>0.24</v>
      </c>
      <c r="F2850">
        <v>43</v>
      </c>
      <c r="G2850" t="s">
        <v>28</v>
      </c>
      <c r="H2850" t="s">
        <v>55</v>
      </c>
      <c r="I2850" s="2">
        <v>8.99</v>
      </c>
      <c r="J2850">
        <v>1</v>
      </c>
      <c r="K2850" s="2">
        <f t="shared" si="88"/>
        <v>8.99</v>
      </c>
      <c r="L2850" t="s">
        <v>37</v>
      </c>
      <c r="M2850">
        <v>3</v>
      </c>
      <c r="N2850">
        <v>0.01</v>
      </c>
      <c r="O2850" t="str">
        <f t="shared" si="89"/>
        <v>0–0.2 hours</v>
      </c>
      <c r="P2850" t="s">
        <v>39</v>
      </c>
    </row>
    <row r="2851" spans="1:16" x14ac:dyDescent="0.4">
      <c r="A2851" t="s">
        <v>2892</v>
      </c>
      <c r="B2851">
        <v>51</v>
      </c>
      <c r="C2851" t="s">
        <v>15</v>
      </c>
      <c r="D2851" t="s">
        <v>16</v>
      </c>
      <c r="E2851">
        <v>25.77</v>
      </c>
      <c r="F2851">
        <v>38</v>
      </c>
      <c r="G2851" t="s">
        <v>49</v>
      </c>
      <c r="H2851" t="s">
        <v>24</v>
      </c>
      <c r="I2851" s="2">
        <v>8.99</v>
      </c>
      <c r="J2851">
        <v>0</v>
      </c>
      <c r="K2851" s="2">
        <f t="shared" si="88"/>
        <v>0</v>
      </c>
      <c r="L2851" t="s">
        <v>43</v>
      </c>
      <c r="M2851">
        <v>4</v>
      </c>
      <c r="N2851">
        <v>0.66</v>
      </c>
      <c r="O2851" t="str">
        <f t="shared" si="89"/>
        <v>0.6–0.8 hours</v>
      </c>
      <c r="P2851" t="s">
        <v>20</v>
      </c>
    </row>
    <row r="2852" spans="1:16" x14ac:dyDescent="0.4">
      <c r="A2852" t="s">
        <v>2893</v>
      </c>
      <c r="B2852">
        <v>34</v>
      </c>
      <c r="C2852" t="s">
        <v>41</v>
      </c>
      <c r="D2852" t="s">
        <v>22</v>
      </c>
      <c r="E2852">
        <v>2.94</v>
      </c>
      <c r="F2852">
        <v>43</v>
      </c>
      <c r="G2852" t="s">
        <v>33</v>
      </c>
      <c r="H2852" t="s">
        <v>55</v>
      </c>
      <c r="I2852" s="2">
        <v>13.99</v>
      </c>
      <c r="J2852">
        <v>1</v>
      </c>
      <c r="K2852" s="2">
        <f t="shared" si="88"/>
        <v>13.99</v>
      </c>
      <c r="L2852" t="s">
        <v>61</v>
      </c>
      <c r="M2852">
        <v>2</v>
      </c>
      <c r="N2852">
        <v>7.0000000000000007E-2</v>
      </c>
      <c r="O2852" t="str">
        <f t="shared" si="89"/>
        <v>0–0.2 hours</v>
      </c>
      <c r="P2852" t="s">
        <v>25</v>
      </c>
    </row>
    <row r="2853" spans="1:16" x14ac:dyDescent="0.4">
      <c r="A2853" t="s">
        <v>2894</v>
      </c>
      <c r="B2853">
        <v>62</v>
      </c>
      <c r="C2853" t="s">
        <v>41</v>
      </c>
      <c r="D2853" t="s">
        <v>32</v>
      </c>
      <c r="E2853">
        <v>20.63</v>
      </c>
      <c r="F2853">
        <v>11</v>
      </c>
      <c r="G2853" t="s">
        <v>17</v>
      </c>
      <c r="H2853" t="s">
        <v>18</v>
      </c>
      <c r="I2853" s="2">
        <v>17.989999999999998</v>
      </c>
      <c r="J2853">
        <v>0</v>
      </c>
      <c r="K2853" s="2">
        <f t="shared" si="88"/>
        <v>0</v>
      </c>
      <c r="L2853" t="s">
        <v>43</v>
      </c>
      <c r="M2853">
        <v>3</v>
      </c>
      <c r="N2853">
        <v>1.72</v>
      </c>
      <c r="O2853" t="str">
        <f t="shared" si="89"/>
        <v>1+ hours</v>
      </c>
      <c r="P2853" t="s">
        <v>47</v>
      </c>
    </row>
    <row r="2854" spans="1:16" x14ac:dyDescent="0.4">
      <c r="A2854" t="s">
        <v>2895</v>
      </c>
      <c r="B2854">
        <v>66</v>
      </c>
      <c r="C2854" t="s">
        <v>27</v>
      </c>
      <c r="D2854" t="s">
        <v>22</v>
      </c>
      <c r="E2854">
        <v>6.54</v>
      </c>
      <c r="F2854">
        <v>7</v>
      </c>
      <c r="G2854" t="s">
        <v>17</v>
      </c>
      <c r="H2854" t="s">
        <v>57</v>
      </c>
      <c r="I2854" s="2">
        <v>13.99</v>
      </c>
      <c r="J2854">
        <v>0</v>
      </c>
      <c r="K2854" s="2">
        <f t="shared" si="88"/>
        <v>0</v>
      </c>
      <c r="L2854" t="s">
        <v>43</v>
      </c>
      <c r="M2854">
        <v>2</v>
      </c>
      <c r="N2854">
        <v>0.82</v>
      </c>
      <c r="O2854" t="str">
        <f t="shared" si="89"/>
        <v>0.8–1 hour</v>
      </c>
      <c r="P2854" t="s">
        <v>47</v>
      </c>
    </row>
    <row r="2855" spans="1:16" x14ac:dyDescent="0.4">
      <c r="A2855" t="s">
        <v>2896</v>
      </c>
      <c r="B2855">
        <v>35</v>
      </c>
      <c r="C2855" t="s">
        <v>41</v>
      </c>
      <c r="D2855" t="s">
        <v>22</v>
      </c>
      <c r="E2855">
        <v>4.7</v>
      </c>
      <c r="F2855">
        <v>13</v>
      </c>
      <c r="G2855" t="s">
        <v>33</v>
      </c>
      <c r="H2855" t="s">
        <v>57</v>
      </c>
      <c r="I2855" s="2">
        <v>13.99</v>
      </c>
      <c r="J2855">
        <v>1</v>
      </c>
      <c r="K2855" s="2">
        <f t="shared" si="88"/>
        <v>13.99</v>
      </c>
      <c r="L2855" t="s">
        <v>29</v>
      </c>
      <c r="M2855">
        <v>4</v>
      </c>
      <c r="N2855">
        <v>0.34</v>
      </c>
      <c r="O2855" t="str">
        <f t="shared" si="89"/>
        <v>0.2–0.4 hours</v>
      </c>
      <c r="P2855" t="s">
        <v>25</v>
      </c>
    </row>
    <row r="2856" spans="1:16" x14ac:dyDescent="0.4">
      <c r="A2856" t="s">
        <v>2897</v>
      </c>
      <c r="B2856">
        <v>64</v>
      </c>
      <c r="C2856" t="s">
        <v>27</v>
      </c>
      <c r="D2856" t="s">
        <v>32</v>
      </c>
      <c r="E2856">
        <v>0.19</v>
      </c>
      <c r="F2856">
        <v>18</v>
      </c>
      <c r="G2856" t="s">
        <v>17</v>
      </c>
      <c r="H2856" t="s">
        <v>46</v>
      </c>
      <c r="I2856" s="2">
        <v>17.989999999999998</v>
      </c>
      <c r="J2856">
        <v>0</v>
      </c>
      <c r="K2856" s="2">
        <f t="shared" si="88"/>
        <v>0</v>
      </c>
      <c r="L2856" t="s">
        <v>37</v>
      </c>
      <c r="M2856">
        <v>5</v>
      </c>
      <c r="N2856">
        <v>0.01</v>
      </c>
      <c r="O2856" t="str">
        <f t="shared" si="89"/>
        <v>0–0.2 hours</v>
      </c>
      <c r="P2856" t="s">
        <v>20</v>
      </c>
    </row>
    <row r="2857" spans="1:16" x14ac:dyDescent="0.4">
      <c r="A2857" t="s">
        <v>2898</v>
      </c>
      <c r="B2857">
        <v>21</v>
      </c>
      <c r="C2857" t="s">
        <v>27</v>
      </c>
      <c r="D2857" t="s">
        <v>32</v>
      </c>
      <c r="E2857">
        <v>7.72</v>
      </c>
      <c r="F2857">
        <v>51</v>
      </c>
      <c r="G2857" t="s">
        <v>33</v>
      </c>
      <c r="H2857" t="s">
        <v>18</v>
      </c>
      <c r="I2857" s="2">
        <v>17.989999999999998</v>
      </c>
      <c r="J2857">
        <v>1</v>
      </c>
      <c r="K2857" s="2">
        <f t="shared" si="88"/>
        <v>17.989999999999998</v>
      </c>
      <c r="L2857" t="s">
        <v>37</v>
      </c>
      <c r="M2857">
        <v>3</v>
      </c>
      <c r="N2857">
        <v>0.15</v>
      </c>
      <c r="O2857" t="str">
        <f t="shared" si="89"/>
        <v>0–0.2 hours</v>
      </c>
      <c r="P2857" t="s">
        <v>39</v>
      </c>
    </row>
    <row r="2858" spans="1:16" x14ac:dyDescent="0.4">
      <c r="A2858" s="1" t="s">
        <v>2899</v>
      </c>
      <c r="B2858">
        <v>58</v>
      </c>
      <c r="C2858" t="s">
        <v>41</v>
      </c>
      <c r="D2858" t="s">
        <v>22</v>
      </c>
      <c r="E2858">
        <v>6.88</v>
      </c>
      <c r="F2858">
        <v>22</v>
      </c>
      <c r="G2858" t="s">
        <v>28</v>
      </c>
      <c r="H2858" t="s">
        <v>55</v>
      </c>
      <c r="I2858" s="2">
        <v>13.99</v>
      </c>
      <c r="J2858">
        <v>0</v>
      </c>
      <c r="K2858" s="2">
        <f t="shared" si="88"/>
        <v>0</v>
      </c>
      <c r="L2858" t="s">
        <v>29</v>
      </c>
      <c r="M2858">
        <v>3</v>
      </c>
      <c r="N2858">
        <v>0.3</v>
      </c>
      <c r="O2858" t="str">
        <f t="shared" si="89"/>
        <v>0.2–0.4 hours</v>
      </c>
      <c r="P2858" t="s">
        <v>39</v>
      </c>
    </row>
    <row r="2859" spans="1:16" x14ac:dyDescent="0.4">
      <c r="A2859" t="s">
        <v>2900</v>
      </c>
      <c r="B2859">
        <v>49</v>
      </c>
      <c r="C2859" t="s">
        <v>15</v>
      </c>
      <c r="D2859" t="s">
        <v>32</v>
      </c>
      <c r="E2859">
        <v>19.3</v>
      </c>
      <c r="F2859">
        <v>19</v>
      </c>
      <c r="G2859" t="s">
        <v>33</v>
      </c>
      <c r="H2859" t="s">
        <v>24</v>
      </c>
      <c r="I2859" s="2">
        <v>17.989999999999998</v>
      </c>
      <c r="J2859">
        <v>0</v>
      </c>
      <c r="K2859" s="2">
        <f t="shared" si="88"/>
        <v>0</v>
      </c>
      <c r="L2859" t="s">
        <v>43</v>
      </c>
      <c r="M2859">
        <v>5</v>
      </c>
      <c r="N2859">
        <v>0.97</v>
      </c>
      <c r="O2859" t="str">
        <f t="shared" si="89"/>
        <v>0.8–1 hour</v>
      </c>
      <c r="P2859" t="s">
        <v>34</v>
      </c>
    </row>
    <row r="2860" spans="1:16" x14ac:dyDescent="0.4">
      <c r="A2860" t="s">
        <v>2901</v>
      </c>
      <c r="B2860">
        <v>39</v>
      </c>
      <c r="C2860" t="s">
        <v>15</v>
      </c>
      <c r="D2860" t="s">
        <v>22</v>
      </c>
      <c r="E2860">
        <v>35.700000000000003</v>
      </c>
      <c r="F2860">
        <v>7</v>
      </c>
      <c r="G2860" t="s">
        <v>49</v>
      </c>
      <c r="H2860" t="s">
        <v>18</v>
      </c>
      <c r="I2860" s="2">
        <v>13.99</v>
      </c>
      <c r="J2860">
        <v>0</v>
      </c>
      <c r="K2860" s="2">
        <f t="shared" si="88"/>
        <v>0</v>
      </c>
      <c r="L2860" t="s">
        <v>29</v>
      </c>
      <c r="M2860">
        <v>4</v>
      </c>
      <c r="N2860">
        <v>4.46</v>
      </c>
      <c r="O2860" t="str">
        <f t="shared" si="89"/>
        <v>1+ hours</v>
      </c>
      <c r="P2860" t="s">
        <v>25</v>
      </c>
    </row>
    <row r="2861" spans="1:16" x14ac:dyDescent="0.4">
      <c r="A2861" t="s">
        <v>2902</v>
      </c>
      <c r="B2861">
        <v>49</v>
      </c>
      <c r="C2861" t="s">
        <v>41</v>
      </c>
      <c r="D2861" t="s">
        <v>32</v>
      </c>
      <c r="E2861">
        <v>1</v>
      </c>
      <c r="F2861">
        <v>40</v>
      </c>
      <c r="G2861" t="s">
        <v>28</v>
      </c>
      <c r="H2861" t="s">
        <v>57</v>
      </c>
      <c r="I2861" s="2">
        <v>17.989999999999998</v>
      </c>
      <c r="J2861">
        <v>1</v>
      </c>
      <c r="K2861" s="2">
        <f t="shared" si="88"/>
        <v>17.989999999999998</v>
      </c>
      <c r="L2861" t="s">
        <v>19</v>
      </c>
      <c r="M2861">
        <v>4</v>
      </c>
      <c r="N2861">
        <v>0.02</v>
      </c>
      <c r="O2861" t="str">
        <f t="shared" si="89"/>
        <v>0–0.2 hours</v>
      </c>
      <c r="P2861" t="s">
        <v>52</v>
      </c>
    </row>
    <row r="2862" spans="1:16" x14ac:dyDescent="0.4">
      <c r="A2862" t="s">
        <v>2903</v>
      </c>
      <c r="B2862">
        <v>61</v>
      </c>
      <c r="C2862" t="s">
        <v>15</v>
      </c>
      <c r="D2862" t="s">
        <v>32</v>
      </c>
      <c r="E2862">
        <v>28.65</v>
      </c>
      <c r="F2862">
        <v>36</v>
      </c>
      <c r="G2862" t="s">
        <v>23</v>
      </c>
      <c r="H2862" t="s">
        <v>46</v>
      </c>
      <c r="I2862" s="2">
        <v>17.989999999999998</v>
      </c>
      <c r="J2862">
        <v>0</v>
      </c>
      <c r="K2862" s="2">
        <f t="shared" si="88"/>
        <v>0</v>
      </c>
      <c r="L2862" t="s">
        <v>43</v>
      </c>
      <c r="M2862">
        <v>5</v>
      </c>
      <c r="N2862">
        <v>0.77</v>
      </c>
      <c r="O2862" t="str">
        <f t="shared" si="89"/>
        <v>0.6–0.8 hours</v>
      </c>
      <c r="P2862" t="s">
        <v>30</v>
      </c>
    </row>
    <row r="2863" spans="1:16" x14ac:dyDescent="0.4">
      <c r="A2863" t="s">
        <v>2904</v>
      </c>
      <c r="B2863">
        <v>32</v>
      </c>
      <c r="C2863" t="s">
        <v>27</v>
      </c>
      <c r="D2863" t="s">
        <v>22</v>
      </c>
      <c r="E2863">
        <v>6.86</v>
      </c>
      <c r="F2863">
        <v>49</v>
      </c>
      <c r="G2863" t="s">
        <v>17</v>
      </c>
      <c r="H2863" t="s">
        <v>18</v>
      </c>
      <c r="I2863" s="2">
        <v>13.99</v>
      </c>
      <c r="J2863">
        <v>1</v>
      </c>
      <c r="K2863" s="2">
        <f t="shared" si="88"/>
        <v>13.99</v>
      </c>
      <c r="L2863" t="s">
        <v>37</v>
      </c>
      <c r="M2863">
        <v>2</v>
      </c>
      <c r="N2863">
        <v>0.14000000000000001</v>
      </c>
      <c r="O2863" t="str">
        <f t="shared" si="89"/>
        <v>0–0.2 hours</v>
      </c>
      <c r="P2863" t="s">
        <v>25</v>
      </c>
    </row>
    <row r="2864" spans="1:16" x14ac:dyDescent="0.4">
      <c r="A2864" t="s">
        <v>2905</v>
      </c>
      <c r="B2864">
        <v>22</v>
      </c>
      <c r="C2864" t="s">
        <v>15</v>
      </c>
      <c r="D2864" t="s">
        <v>16</v>
      </c>
      <c r="E2864">
        <v>2.36</v>
      </c>
      <c r="F2864">
        <v>27</v>
      </c>
      <c r="G2864" t="s">
        <v>33</v>
      </c>
      <c r="H2864" t="s">
        <v>46</v>
      </c>
      <c r="I2864" s="2">
        <v>8.99</v>
      </c>
      <c r="J2864">
        <v>1</v>
      </c>
      <c r="K2864" s="2">
        <f t="shared" si="88"/>
        <v>8.99</v>
      </c>
      <c r="L2864" t="s">
        <v>29</v>
      </c>
      <c r="M2864">
        <v>3</v>
      </c>
      <c r="N2864">
        <v>0.08</v>
      </c>
      <c r="O2864" t="str">
        <f t="shared" si="89"/>
        <v>0–0.2 hours</v>
      </c>
      <c r="P2864" t="s">
        <v>20</v>
      </c>
    </row>
    <row r="2865" spans="1:16" x14ac:dyDescent="0.4">
      <c r="A2865" t="s">
        <v>2906</v>
      </c>
      <c r="B2865">
        <v>47</v>
      </c>
      <c r="C2865" t="s">
        <v>27</v>
      </c>
      <c r="D2865" t="s">
        <v>16</v>
      </c>
      <c r="E2865">
        <v>3.84</v>
      </c>
      <c r="F2865">
        <v>2</v>
      </c>
      <c r="G2865" t="s">
        <v>23</v>
      </c>
      <c r="H2865" t="s">
        <v>24</v>
      </c>
      <c r="I2865" s="2">
        <v>8.99</v>
      </c>
      <c r="J2865">
        <v>0</v>
      </c>
      <c r="K2865" s="2">
        <f t="shared" si="88"/>
        <v>0</v>
      </c>
      <c r="L2865" t="s">
        <v>61</v>
      </c>
      <c r="M2865">
        <v>2</v>
      </c>
      <c r="N2865">
        <v>1.28</v>
      </c>
      <c r="O2865" t="str">
        <f t="shared" si="89"/>
        <v>1+ hours</v>
      </c>
      <c r="P2865" t="s">
        <v>20</v>
      </c>
    </row>
    <row r="2866" spans="1:16" x14ac:dyDescent="0.4">
      <c r="A2866" t="s">
        <v>2907</v>
      </c>
      <c r="B2866">
        <v>41</v>
      </c>
      <c r="C2866" t="s">
        <v>27</v>
      </c>
      <c r="D2866" t="s">
        <v>22</v>
      </c>
      <c r="E2866">
        <v>0.11</v>
      </c>
      <c r="F2866">
        <v>41</v>
      </c>
      <c r="G2866" t="s">
        <v>17</v>
      </c>
      <c r="H2866" t="s">
        <v>24</v>
      </c>
      <c r="I2866" s="2">
        <v>13.99</v>
      </c>
      <c r="J2866">
        <v>1</v>
      </c>
      <c r="K2866" s="2">
        <f t="shared" si="88"/>
        <v>13.99</v>
      </c>
      <c r="L2866" t="s">
        <v>61</v>
      </c>
      <c r="M2866">
        <v>2</v>
      </c>
      <c r="N2866">
        <v>0</v>
      </c>
      <c r="O2866" t="str">
        <f t="shared" si="89"/>
        <v>0–0.2 hours</v>
      </c>
      <c r="P2866" t="s">
        <v>20</v>
      </c>
    </row>
    <row r="2867" spans="1:16" x14ac:dyDescent="0.4">
      <c r="A2867" t="s">
        <v>2908</v>
      </c>
      <c r="B2867">
        <v>65</v>
      </c>
      <c r="C2867" t="s">
        <v>41</v>
      </c>
      <c r="D2867" t="s">
        <v>16</v>
      </c>
      <c r="E2867">
        <v>6.36</v>
      </c>
      <c r="F2867">
        <v>31</v>
      </c>
      <c r="G2867" t="s">
        <v>23</v>
      </c>
      <c r="H2867" t="s">
        <v>57</v>
      </c>
      <c r="I2867" s="2">
        <v>8.99</v>
      </c>
      <c r="J2867">
        <v>1</v>
      </c>
      <c r="K2867" s="2">
        <f t="shared" si="88"/>
        <v>8.99</v>
      </c>
      <c r="L2867" t="s">
        <v>61</v>
      </c>
      <c r="M2867">
        <v>4</v>
      </c>
      <c r="N2867">
        <v>0.2</v>
      </c>
      <c r="O2867" t="str">
        <f t="shared" si="89"/>
        <v>0–0.2 hours</v>
      </c>
      <c r="P2867" t="s">
        <v>25</v>
      </c>
    </row>
    <row r="2868" spans="1:16" x14ac:dyDescent="0.4">
      <c r="A2868" t="s">
        <v>2909</v>
      </c>
      <c r="B2868">
        <v>57</v>
      </c>
      <c r="C2868" t="s">
        <v>41</v>
      </c>
      <c r="D2868" t="s">
        <v>16</v>
      </c>
      <c r="E2868">
        <v>12.3</v>
      </c>
      <c r="F2868">
        <v>26</v>
      </c>
      <c r="G2868" t="s">
        <v>28</v>
      </c>
      <c r="H2868" t="s">
        <v>57</v>
      </c>
      <c r="I2868" s="2">
        <v>8.99</v>
      </c>
      <c r="J2868">
        <v>0</v>
      </c>
      <c r="K2868" s="2">
        <f t="shared" si="88"/>
        <v>0</v>
      </c>
      <c r="L2868" t="s">
        <v>37</v>
      </c>
      <c r="M2868">
        <v>4</v>
      </c>
      <c r="N2868">
        <v>0.46</v>
      </c>
      <c r="O2868" t="str">
        <f t="shared" si="89"/>
        <v>0.4–0.6 hours</v>
      </c>
      <c r="P2868" t="s">
        <v>25</v>
      </c>
    </row>
    <row r="2869" spans="1:16" x14ac:dyDescent="0.4">
      <c r="A2869" t="s">
        <v>2910</v>
      </c>
      <c r="B2869">
        <v>42</v>
      </c>
      <c r="C2869" t="s">
        <v>15</v>
      </c>
      <c r="D2869" t="s">
        <v>32</v>
      </c>
      <c r="E2869">
        <v>8.18</v>
      </c>
      <c r="F2869">
        <v>40</v>
      </c>
      <c r="G2869" t="s">
        <v>23</v>
      </c>
      <c r="H2869" t="s">
        <v>24</v>
      </c>
      <c r="I2869" s="2">
        <v>17.989999999999998</v>
      </c>
      <c r="J2869">
        <v>0</v>
      </c>
      <c r="K2869" s="2">
        <f t="shared" si="88"/>
        <v>0</v>
      </c>
      <c r="L2869" t="s">
        <v>61</v>
      </c>
      <c r="M2869">
        <v>5</v>
      </c>
      <c r="N2869">
        <v>0.2</v>
      </c>
      <c r="O2869" t="str">
        <f t="shared" si="89"/>
        <v>0–0.2 hours</v>
      </c>
      <c r="P2869" t="s">
        <v>39</v>
      </c>
    </row>
    <row r="2870" spans="1:16" x14ac:dyDescent="0.4">
      <c r="A2870" t="s">
        <v>2911</v>
      </c>
      <c r="B2870">
        <v>50</v>
      </c>
      <c r="C2870" t="s">
        <v>15</v>
      </c>
      <c r="D2870" t="s">
        <v>32</v>
      </c>
      <c r="E2870">
        <v>1.05</v>
      </c>
      <c r="F2870">
        <v>42</v>
      </c>
      <c r="G2870" t="s">
        <v>28</v>
      </c>
      <c r="H2870" t="s">
        <v>46</v>
      </c>
      <c r="I2870" s="2">
        <v>17.989999999999998</v>
      </c>
      <c r="J2870">
        <v>1</v>
      </c>
      <c r="K2870" s="2">
        <f t="shared" si="88"/>
        <v>17.989999999999998</v>
      </c>
      <c r="L2870" t="s">
        <v>61</v>
      </c>
      <c r="M2870">
        <v>2</v>
      </c>
      <c r="N2870">
        <v>0.02</v>
      </c>
      <c r="O2870" t="str">
        <f t="shared" si="89"/>
        <v>0–0.2 hours</v>
      </c>
      <c r="P2870" t="s">
        <v>20</v>
      </c>
    </row>
    <row r="2871" spans="1:16" x14ac:dyDescent="0.4">
      <c r="A2871" t="s">
        <v>2912</v>
      </c>
      <c r="B2871">
        <v>38</v>
      </c>
      <c r="C2871" t="s">
        <v>15</v>
      </c>
      <c r="D2871" t="s">
        <v>22</v>
      </c>
      <c r="E2871">
        <v>6.49</v>
      </c>
      <c r="F2871">
        <v>50</v>
      </c>
      <c r="G2871" t="s">
        <v>33</v>
      </c>
      <c r="H2871" t="s">
        <v>18</v>
      </c>
      <c r="I2871" s="2">
        <v>13.99</v>
      </c>
      <c r="J2871">
        <v>0</v>
      </c>
      <c r="K2871" s="2">
        <f t="shared" si="88"/>
        <v>0</v>
      </c>
      <c r="L2871" t="s">
        <v>43</v>
      </c>
      <c r="M2871">
        <v>5</v>
      </c>
      <c r="N2871">
        <v>0.13</v>
      </c>
      <c r="O2871" t="str">
        <f t="shared" si="89"/>
        <v>0–0.2 hours</v>
      </c>
      <c r="P2871" t="s">
        <v>39</v>
      </c>
    </row>
    <row r="2872" spans="1:16" x14ac:dyDescent="0.4">
      <c r="A2872" t="s">
        <v>2913</v>
      </c>
      <c r="B2872">
        <v>58</v>
      </c>
      <c r="C2872" t="s">
        <v>41</v>
      </c>
      <c r="D2872" t="s">
        <v>32</v>
      </c>
      <c r="E2872">
        <v>15.91</v>
      </c>
      <c r="F2872">
        <v>49</v>
      </c>
      <c r="G2872" t="s">
        <v>49</v>
      </c>
      <c r="H2872" t="s">
        <v>24</v>
      </c>
      <c r="I2872" s="2">
        <v>17.989999999999998</v>
      </c>
      <c r="J2872">
        <v>1</v>
      </c>
      <c r="K2872" s="2">
        <f t="shared" si="88"/>
        <v>17.989999999999998</v>
      </c>
      <c r="L2872" t="s">
        <v>19</v>
      </c>
      <c r="M2872">
        <v>1</v>
      </c>
      <c r="N2872">
        <v>0.32</v>
      </c>
      <c r="O2872" t="str">
        <f t="shared" si="89"/>
        <v>0.2–0.4 hours</v>
      </c>
      <c r="P2872" t="s">
        <v>30</v>
      </c>
    </row>
    <row r="2873" spans="1:16" x14ac:dyDescent="0.4">
      <c r="A2873" t="s">
        <v>2914</v>
      </c>
      <c r="B2873">
        <v>30</v>
      </c>
      <c r="C2873" t="s">
        <v>15</v>
      </c>
      <c r="D2873" t="s">
        <v>22</v>
      </c>
      <c r="E2873">
        <v>12.85</v>
      </c>
      <c r="F2873">
        <v>39</v>
      </c>
      <c r="G2873" t="s">
        <v>28</v>
      </c>
      <c r="H2873" t="s">
        <v>57</v>
      </c>
      <c r="I2873" s="2">
        <v>13.99</v>
      </c>
      <c r="J2873">
        <v>1</v>
      </c>
      <c r="K2873" s="2">
        <f t="shared" si="88"/>
        <v>13.99</v>
      </c>
      <c r="L2873" t="s">
        <v>37</v>
      </c>
      <c r="M2873">
        <v>3</v>
      </c>
      <c r="N2873">
        <v>0.32</v>
      </c>
      <c r="O2873" t="str">
        <f t="shared" si="89"/>
        <v>0.2–0.4 hours</v>
      </c>
      <c r="P2873" t="s">
        <v>47</v>
      </c>
    </row>
    <row r="2874" spans="1:16" x14ac:dyDescent="0.4">
      <c r="A2874" t="s">
        <v>2915</v>
      </c>
      <c r="B2874">
        <v>64</v>
      </c>
      <c r="C2874" t="s">
        <v>27</v>
      </c>
      <c r="D2874" t="s">
        <v>32</v>
      </c>
      <c r="E2874">
        <v>1.22</v>
      </c>
      <c r="F2874">
        <v>56</v>
      </c>
      <c r="G2874" t="s">
        <v>28</v>
      </c>
      <c r="H2874" t="s">
        <v>55</v>
      </c>
      <c r="I2874" s="2">
        <v>17.989999999999998</v>
      </c>
      <c r="J2874">
        <v>1</v>
      </c>
      <c r="K2874" s="2">
        <f t="shared" si="88"/>
        <v>17.989999999999998</v>
      </c>
      <c r="L2874" t="s">
        <v>29</v>
      </c>
      <c r="M2874">
        <v>1</v>
      </c>
      <c r="N2874">
        <v>0.02</v>
      </c>
      <c r="O2874" t="str">
        <f t="shared" si="89"/>
        <v>0–0.2 hours</v>
      </c>
      <c r="P2874" t="s">
        <v>47</v>
      </c>
    </row>
    <row r="2875" spans="1:16" x14ac:dyDescent="0.4">
      <c r="A2875" t="s">
        <v>2916</v>
      </c>
      <c r="B2875">
        <v>51</v>
      </c>
      <c r="C2875" t="s">
        <v>15</v>
      </c>
      <c r="D2875" t="s">
        <v>22</v>
      </c>
      <c r="E2875">
        <v>1.96</v>
      </c>
      <c r="F2875">
        <v>26</v>
      </c>
      <c r="G2875" t="s">
        <v>23</v>
      </c>
      <c r="H2875" t="s">
        <v>57</v>
      </c>
      <c r="I2875" s="2">
        <v>13.99</v>
      </c>
      <c r="J2875">
        <v>0</v>
      </c>
      <c r="K2875" s="2">
        <f t="shared" si="88"/>
        <v>0</v>
      </c>
      <c r="L2875" t="s">
        <v>37</v>
      </c>
      <c r="M2875">
        <v>4</v>
      </c>
      <c r="N2875">
        <v>7.0000000000000007E-2</v>
      </c>
      <c r="O2875" t="str">
        <f t="shared" si="89"/>
        <v>0–0.2 hours</v>
      </c>
      <c r="P2875" t="s">
        <v>52</v>
      </c>
    </row>
    <row r="2876" spans="1:16" x14ac:dyDescent="0.4">
      <c r="A2876" t="s">
        <v>2917</v>
      </c>
      <c r="B2876">
        <v>56</v>
      </c>
      <c r="C2876" t="s">
        <v>27</v>
      </c>
      <c r="D2876" t="s">
        <v>16</v>
      </c>
      <c r="E2876">
        <v>8.3000000000000007</v>
      </c>
      <c r="F2876">
        <v>55</v>
      </c>
      <c r="G2876" t="s">
        <v>28</v>
      </c>
      <c r="H2876" t="s">
        <v>18</v>
      </c>
      <c r="I2876" s="2">
        <v>8.99</v>
      </c>
      <c r="J2876">
        <v>1</v>
      </c>
      <c r="K2876" s="2">
        <f t="shared" si="88"/>
        <v>8.99</v>
      </c>
      <c r="L2876" t="s">
        <v>43</v>
      </c>
      <c r="M2876">
        <v>3</v>
      </c>
      <c r="N2876">
        <v>0.15</v>
      </c>
      <c r="O2876" t="str">
        <f t="shared" si="89"/>
        <v>0–0.2 hours</v>
      </c>
      <c r="P2876" t="s">
        <v>47</v>
      </c>
    </row>
    <row r="2877" spans="1:16" x14ac:dyDescent="0.4">
      <c r="A2877" t="s">
        <v>2918</v>
      </c>
      <c r="B2877">
        <v>48</v>
      </c>
      <c r="C2877" t="s">
        <v>41</v>
      </c>
      <c r="D2877" t="s">
        <v>22</v>
      </c>
      <c r="E2877">
        <v>7.38</v>
      </c>
      <c r="F2877">
        <v>4</v>
      </c>
      <c r="G2877" t="s">
        <v>49</v>
      </c>
      <c r="H2877" t="s">
        <v>55</v>
      </c>
      <c r="I2877" s="2">
        <v>13.99</v>
      </c>
      <c r="J2877">
        <v>0</v>
      </c>
      <c r="K2877" s="2">
        <f t="shared" si="88"/>
        <v>0</v>
      </c>
      <c r="L2877" t="s">
        <v>61</v>
      </c>
      <c r="M2877">
        <v>4</v>
      </c>
      <c r="N2877">
        <v>1.48</v>
      </c>
      <c r="O2877" t="str">
        <f t="shared" si="89"/>
        <v>1+ hours</v>
      </c>
      <c r="P2877" t="s">
        <v>34</v>
      </c>
    </row>
    <row r="2878" spans="1:16" x14ac:dyDescent="0.4">
      <c r="A2878" t="s">
        <v>2919</v>
      </c>
      <c r="B2878">
        <v>27</v>
      </c>
      <c r="C2878" t="s">
        <v>27</v>
      </c>
      <c r="D2878" t="s">
        <v>16</v>
      </c>
      <c r="E2878">
        <v>11.62</v>
      </c>
      <c r="F2878">
        <v>50</v>
      </c>
      <c r="G2878" t="s">
        <v>28</v>
      </c>
      <c r="H2878" t="s">
        <v>18</v>
      </c>
      <c r="I2878" s="2">
        <v>8.99</v>
      </c>
      <c r="J2878">
        <v>1</v>
      </c>
      <c r="K2878" s="2">
        <f t="shared" si="88"/>
        <v>8.99</v>
      </c>
      <c r="L2878" t="s">
        <v>61</v>
      </c>
      <c r="M2878">
        <v>2</v>
      </c>
      <c r="N2878">
        <v>0.23</v>
      </c>
      <c r="O2878" t="str">
        <f t="shared" si="89"/>
        <v>0.2–0.4 hours</v>
      </c>
      <c r="P2878" t="s">
        <v>52</v>
      </c>
    </row>
    <row r="2879" spans="1:16" x14ac:dyDescent="0.4">
      <c r="A2879" t="s">
        <v>2920</v>
      </c>
      <c r="B2879">
        <v>23</v>
      </c>
      <c r="C2879" t="s">
        <v>27</v>
      </c>
      <c r="D2879" t="s">
        <v>16</v>
      </c>
      <c r="E2879">
        <v>5.0599999999999996</v>
      </c>
      <c r="F2879">
        <v>36</v>
      </c>
      <c r="G2879" t="s">
        <v>23</v>
      </c>
      <c r="H2879" t="s">
        <v>57</v>
      </c>
      <c r="I2879" s="2">
        <v>8.99</v>
      </c>
      <c r="J2879">
        <v>1</v>
      </c>
      <c r="K2879" s="2">
        <f t="shared" si="88"/>
        <v>8.99</v>
      </c>
      <c r="L2879" t="s">
        <v>37</v>
      </c>
      <c r="M2879">
        <v>3</v>
      </c>
      <c r="N2879">
        <v>0.14000000000000001</v>
      </c>
      <c r="O2879" t="str">
        <f t="shared" si="89"/>
        <v>0–0.2 hours</v>
      </c>
      <c r="P2879" t="s">
        <v>47</v>
      </c>
    </row>
    <row r="2880" spans="1:16" x14ac:dyDescent="0.4">
      <c r="A2880" t="s">
        <v>2921</v>
      </c>
      <c r="B2880">
        <v>69</v>
      </c>
      <c r="C2880" t="s">
        <v>15</v>
      </c>
      <c r="D2880" t="s">
        <v>32</v>
      </c>
      <c r="E2880">
        <v>3.84</v>
      </c>
      <c r="F2880">
        <v>30</v>
      </c>
      <c r="G2880" t="s">
        <v>28</v>
      </c>
      <c r="H2880" t="s">
        <v>55</v>
      </c>
      <c r="I2880" s="2">
        <v>17.989999999999998</v>
      </c>
      <c r="J2880">
        <v>1</v>
      </c>
      <c r="K2880" s="2">
        <f t="shared" si="88"/>
        <v>17.989999999999998</v>
      </c>
      <c r="L2880" t="s">
        <v>29</v>
      </c>
      <c r="M2880">
        <v>5</v>
      </c>
      <c r="N2880">
        <v>0.12</v>
      </c>
      <c r="O2880" t="str">
        <f t="shared" si="89"/>
        <v>0–0.2 hours</v>
      </c>
      <c r="P2880" t="s">
        <v>52</v>
      </c>
    </row>
    <row r="2881" spans="1:16" x14ac:dyDescent="0.4">
      <c r="A2881" t="s">
        <v>2922</v>
      </c>
      <c r="B2881">
        <v>41</v>
      </c>
      <c r="C2881" t="s">
        <v>27</v>
      </c>
      <c r="D2881" t="s">
        <v>22</v>
      </c>
      <c r="E2881">
        <v>2.97</v>
      </c>
      <c r="F2881">
        <v>46</v>
      </c>
      <c r="G2881" t="s">
        <v>70</v>
      </c>
      <c r="H2881" t="s">
        <v>57</v>
      </c>
      <c r="I2881" s="2">
        <v>13.99</v>
      </c>
      <c r="J2881">
        <v>1</v>
      </c>
      <c r="K2881" s="2">
        <f t="shared" si="88"/>
        <v>13.99</v>
      </c>
      <c r="L2881" t="s">
        <v>61</v>
      </c>
      <c r="M2881">
        <v>1</v>
      </c>
      <c r="N2881">
        <v>0.06</v>
      </c>
      <c r="O2881" t="str">
        <f t="shared" si="89"/>
        <v>0–0.2 hours</v>
      </c>
      <c r="P2881" t="s">
        <v>34</v>
      </c>
    </row>
    <row r="2882" spans="1:16" x14ac:dyDescent="0.4">
      <c r="A2882" t="s">
        <v>2923</v>
      </c>
      <c r="B2882">
        <v>65</v>
      </c>
      <c r="C2882" t="s">
        <v>27</v>
      </c>
      <c r="D2882" t="s">
        <v>22</v>
      </c>
      <c r="E2882">
        <v>8.23</v>
      </c>
      <c r="F2882">
        <v>57</v>
      </c>
      <c r="G2882" t="s">
        <v>28</v>
      </c>
      <c r="H2882" t="s">
        <v>18</v>
      </c>
      <c r="I2882" s="2">
        <v>13.99</v>
      </c>
      <c r="J2882">
        <v>1</v>
      </c>
      <c r="K2882" s="2">
        <f t="shared" si="88"/>
        <v>13.99</v>
      </c>
      <c r="L2882" t="s">
        <v>29</v>
      </c>
      <c r="M2882">
        <v>1</v>
      </c>
      <c r="N2882">
        <v>0.14000000000000001</v>
      </c>
      <c r="O2882" t="str">
        <f t="shared" si="89"/>
        <v>0–0.2 hours</v>
      </c>
      <c r="P2882" t="s">
        <v>47</v>
      </c>
    </row>
    <row r="2883" spans="1:16" x14ac:dyDescent="0.4">
      <c r="A2883" t="s">
        <v>2924</v>
      </c>
      <c r="B2883">
        <v>20</v>
      </c>
      <c r="C2883" t="s">
        <v>41</v>
      </c>
      <c r="D2883" t="s">
        <v>32</v>
      </c>
      <c r="E2883">
        <v>12.72</v>
      </c>
      <c r="F2883">
        <v>13</v>
      </c>
      <c r="G2883" t="s">
        <v>33</v>
      </c>
      <c r="H2883" t="s">
        <v>24</v>
      </c>
      <c r="I2883" s="2">
        <v>17.989999999999998</v>
      </c>
      <c r="J2883">
        <v>0</v>
      </c>
      <c r="K2883" s="2">
        <f t="shared" ref="K2883:K2946" si="90">SUMIF(J2883,1,I2883)</f>
        <v>0</v>
      </c>
      <c r="L2883" t="s">
        <v>61</v>
      </c>
      <c r="M2883">
        <v>2</v>
      </c>
      <c r="N2883">
        <v>0.91</v>
      </c>
      <c r="O2883" t="str">
        <f t="shared" ref="O2883:O2946" si="91">IF(N2883&gt;1,"1+ hours",IF(N2883&lt;=0.2,"0–0.2 hours",IF(N2883&lt;=0.4,"0.2–0.4 hours",IF(N2883&lt;=0.6,"0.4–0.6 hours",IF(N2883&lt;=0.8,"0.6–0.8 hours","0.8–1 hour")))))</f>
        <v>0.8–1 hour</v>
      </c>
      <c r="P2883" t="s">
        <v>34</v>
      </c>
    </row>
    <row r="2884" spans="1:16" x14ac:dyDescent="0.4">
      <c r="A2884" t="s">
        <v>2925</v>
      </c>
      <c r="B2884">
        <v>62</v>
      </c>
      <c r="C2884" t="s">
        <v>41</v>
      </c>
      <c r="D2884" t="s">
        <v>32</v>
      </c>
      <c r="E2884">
        <v>10.76</v>
      </c>
      <c r="F2884">
        <v>31</v>
      </c>
      <c r="G2884" t="s">
        <v>17</v>
      </c>
      <c r="H2884" t="s">
        <v>55</v>
      </c>
      <c r="I2884" s="2">
        <v>17.989999999999998</v>
      </c>
      <c r="J2884">
        <v>1</v>
      </c>
      <c r="K2884" s="2">
        <f t="shared" si="90"/>
        <v>17.989999999999998</v>
      </c>
      <c r="L2884" t="s">
        <v>43</v>
      </c>
      <c r="M2884">
        <v>1</v>
      </c>
      <c r="N2884">
        <v>0.34</v>
      </c>
      <c r="O2884" t="str">
        <f t="shared" si="91"/>
        <v>0.2–0.4 hours</v>
      </c>
      <c r="P2884" t="s">
        <v>34</v>
      </c>
    </row>
    <row r="2885" spans="1:16" x14ac:dyDescent="0.4">
      <c r="A2885" t="s">
        <v>2926</v>
      </c>
      <c r="B2885">
        <v>34</v>
      </c>
      <c r="C2885" t="s">
        <v>27</v>
      </c>
      <c r="D2885" t="s">
        <v>32</v>
      </c>
      <c r="E2885">
        <v>19.54</v>
      </c>
      <c r="F2885">
        <v>10</v>
      </c>
      <c r="G2885" t="s">
        <v>28</v>
      </c>
      <c r="H2885" t="s">
        <v>46</v>
      </c>
      <c r="I2885" s="2">
        <v>17.989999999999998</v>
      </c>
      <c r="J2885">
        <v>0</v>
      </c>
      <c r="K2885" s="2">
        <f t="shared" si="90"/>
        <v>0</v>
      </c>
      <c r="L2885" t="s">
        <v>37</v>
      </c>
      <c r="M2885">
        <v>2</v>
      </c>
      <c r="N2885">
        <v>1.78</v>
      </c>
      <c r="O2885" t="str">
        <f t="shared" si="91"/>
        <v>1+ hours</v>
      </c>
      <c r="P2885" t="s">
        <v>25</v>
      </c>
    </row>
    <row r="2886" spans="1:16" x14ac:dyDescent="0.4">
      <c r="A2886" t="s">
        <v>2927</v>
      </c>
      <c r="B2886">
        <v>58</v>
      </c>
      <c r="C2886" t="s">
        <v>41</v>
      </c>
      <c r="D2886" t="s">
        <v>32</v>
      </c>
      <c r="E2886">
        <v>26.15</v>
      </c>
      <c r="F2886">
        <v>53</v>
      </c>
      <c r="G2886" t="s">
        <v>49</v>
      </c>
      <c r="H2886" t="s">
        <v>55</v>
      </c>
      <c r="I2886" s="2">
        <v>17.989999999999998</v>
      </c>
      <c r="J2886">
        <v>0</v>
      </c>
      <c r="K2886" s="2">
        <f t="shared" si="90"/>
        <v>0</v>
      </c>
      <c r="L2886" t="s">
        <v>61</v>
      </c>
      <c r="M2886">
        <v>1</v>
      </c>
      <c r="N2886">
        <v>0.48</v>
      </c>
      <c r="O2886" t="str">
        <f t="shared" si="91"/>
        <v>0.4–0.6 hours</v>
      </c>
      <c r="P2886" t="s">
        <v>39</v>
      </c>
    </row>
    <row r="2887" spans="1:16" x14ac:dyDescent="0.4">
      <c r="A2887" t="s">
        <v>2928</v>
      </c>
      <c r="B2887">
        <v>35</v>
      </c>
      <c r="C2887" t="s">
        <v>27</v>
      </c>
      <c r="D2887" t="s">
        <v>32</v>
      </c>
      <c r="E2887">
        <v>3.78</v>
      </c>
      <c r="F2887">
        <v>37</v>
      </c>
      <c r="G2887" t="s">
        <v>17</v>
      </c>
      <c r="H2887" t="s">
        <v>46</v>
      </c>
      <c r="I2887" s="2">
        <v>17.989999999999998</v>
      </c>
      <c r="J2887">
        <v>1</v>
      </c>
      <c r="K2887" s="2">
        <f t="shared" si="90"/>
        <v>17.989999999999998</v>
      </c>
      <c r="L2887" t="s">
        <v>37</v>
      </c>
      <c r="M2887">
        <v>5</v>
      </c>
      <c r="N2887">
        <v>0.1</v>
      </c>
      <c r="O2887" t="str">
        <f t="shared" si="91"/>
        <v>0–0.2 hours</v>
      </c>
      <c r="P2887" t="s">
        <v>30</v>
      </c>
    </row>
    <row r="2888" spans="1:16" x14ac:dyDescent="0.4">
      <c r="A2888" t="s">
        <v>2929</v>
      </c>
      <c r="B2888">
        <v>36</v>
      </c>
      <c r="C2888" t="s">
        <v>27</v>
      </c>
      <c r="D2888" t="s">
        <v>22</v>
      </c>
      <c r="E2888">
        <v>6.49</v>
      </c>
      <c r="F2888">
        <v>21</v>
      </c>
      <c r="G2888" t="s">
        <v>70</v>
      </c>
      <c r="H2888" t="s">
        <v>46</v>
      </c>
      <c r="I2888" s="2">
        <v>13.99</v>
      </c>
      <c r="J2888">
        <v>0</v>
      </c>
      <c r="K2888" s="2">
        <f t="shared" si="90"/>
        <v>0</v>
      </c>
      <c r="L2888" t="s">
        <v>61</v>
      </c>
      <c r="M2888">
        <v>5</v>
      </c>
      <c r="N2888">
        <v>0.28999999999999998</v>
      </c>
      <c r="O2888" t="str">
        <f t="shared" si="91"/>
        <v>0.2–0.4 hours</v>
      </c>
      <c r="P2888" t="s">
        <v>20</v>
      </c>
    </row>
    <row r="2889" spans="1:16" x14ac:dyDescent="0.4">
      <c r="A2889" t="s">
        <v>2930</v>
      </c>
      <c r="B2889">
        <v>57</v>
      </c>
      <c r="C2889" t="s">
        <v>27</v>
      </c>
      <c r="D2889" t="s">
        <v>16</v>
      </c>
      <c r="E2889">
        <v>1.76</v>
      </c>
      <c r="F2889">
        <v>10</v>
      </c>
      <c r="G2889" t="s">
        <v>70</v>
      </c>
      <c r="H2889" t="s">
        <v>57</v>
      </c>
      <c r="I2889" s="2">
        <v>8.99</v>
      </c>
      <c r="J2889">
        <v>1</v>
      </c>
      <c r="K2889" s="2">
        <f t="shared" si="90"/>
        <v>8.99</v>
      </c>
      <c r="L2889" t="s">
        <v>61</v>
      </c>
      <c r="M2889">
        <v>4</v>
      </c>
      <c r="N2889">
        <v>0.16</v>
      </c>
      <c r="O2889" t="str">
        <f t="shared" si="91"/>
        <v>0–0.2 hours</v>
      </c>
      <c r="P2889" t="s">
        <v>47</v>
      </c>
    </row>
    <row r="2890" spans="1:16" x14ac:dyDescent="0.4">
      <c r="A2890" t="s">
        <v>2931</v>
      </c>
      <c r="B2890">
        <v>58</v>
      </c>
      <c r="C2890" t="s">
        <v>41</v>
      </c>
      <c r="D2890" t="s">
        <v>32</v>
      </c>
      <c r="E2890">
        <v>8.43</v>
      </c>
      <c r="F2890">
        <v>49</v>
      </c>
      <c r="G2890" t="s">
        <v>23</v>
      </c>
      <c r="H2890" t="s">
        <v>57</v>
      </c>
      <c r="I2890" s="2">
        <v>17.989999999999998</v>
      </c>
      <c r="J2890">
        <v>1</v>
      </c>
      <c r="K2890" s="2">
        <f t="shared" si="90"/>
        <v>17.989999999999998</v>
      </c>
      <c r="L2890" t="s">
        <v>29</v>
      </c>
      <c r="M2890">
        <v>1</v>
      </c>
      <c r="N2890">
        <v>0.17</v>
      </c>
      <c r="O2890" t="str">
        <f t="shared" si="91"/>
        <v>0–0.2 hours</v>
      </c>
      <c r="P2890" t="s">
        <v>39</v>
      </c>
    </row>
    <row r="2891" spans="1:16" x14ac:dyDescent="0.4">
      <c r="A2891" t="s">
        <v>2932</v>
      </c>
      <c r="B2891">
        <v>54</v>
      </c>
      <c r="C2891" t="s">
        <v>41</v>
      </c>
      <c r="D2891" t="s">
        <v>16</v>
      </c>
      <c r="E2891">
        <v>4.8499999999999996</v>
      </c>
      <c r="F2891">
        <v>37</v>
      </c>
      <c r="G2891" t="s">
        <v>17</v>
      </c>
      <c r="H2891" t="s">
        <v>57</v>
      </c>
      <c r="I2891" s="2">
        <v>8.99</v>
      </c>
      <c r="J2891">
        <v>1</v>
      </c>
      <c r="K2891" s="2">
        <f t="shared" si="90"/>
        <v>8.99</v>
      </c>
      <c r="L2891" t="s">
        <v>61</v>
      </c>
      <c r="M2891">
        <v>4</v>
      </c>
      <c r="N2891">
        <v>0.13</v>
      </c>
      <c r="O2891" t="str">
        <f t="shared" si="91"/>
        <v>0–0.2 hours</v>
      </c>
      <c r="P2891" t="s">
        <v>47</v>
      </c>
    </row>
    <row r="2892" spans="1:16" x14ac:dyDescent="0.4">
      <c r="A2892" t="s">
        <v>2933</v>
      </c>
      <c r="B2892">
        <v>22</v>
      </c>
      <c r="C2892" t="s">
        <v>15</v>
      </c>
      <c r="D2892" t="s">
        <v>22</v>
      </c>
      <c r="E2892">
        <v>14.04</v>
      </c>
      <c r="F2892">
        <v>19</v>
      </c>
      <c r="G2892" t="s">
        <v>70</v>
      </c>
      <c r="H2892" t="s">
        <v>24</v>
      </c>
      <c r="I2892" s="2">
        <v>13.99</v>
      </c>
      <c r="J2892">
        <v>0</v>
      </c>
      <c r="K2892" s="2">
        <f t="shared" si="90"/>
        <v>0</v>
      </c>
      <c r="L2892" t="s">
        <v>19</v>
      </c>
      <c r="M2892">
        <v>2</v>
      </c>
      <c r="N2892">
        <v>0.7</v>
      </c>
      <c r="O2892" t="str">
        <f t="shared" si="91"/>
        <v>0.6–0.8 hours</v>
      </c>
      <c r="P2892" t="s">
        <v>25</v>
      </c>
    </row>
    <row r="2893" spans="1:16" x14ac:dyDescent="0.4">
      <c r="A2893" t="s">
        <v>2934</v>
      </c>
      <c r="B2893">
        <v>43</v>
      </c>
      <c r="C2893" t="s">
        <v>41</v>
      </c>
      <c r="D2893" t="s">
        <v>32</v>
      </c>
      <c r="E2893">
        <v>19.59</v>
      </c>
      <c r="F2893">
        <v>25</v>
      </c>
      <c r="G2893" t="s">
        <v>17</v>
      </c>
      <c r="H2893" t="s">
        <v>57</v>
      </c>
      <c r="I2893" s="2">
        <v>17.989999999999998</v>
      </c>
      <c r="J2893">
        <v>0</v>
      </c>
      <c r="K2893" s="2">
        <f t="shared" si="90"/>
        <v>0</v>
      </c>
      <c r="L2893" t="s">
        <v>61</v>
      </c>
      <c r="M2893">
        <v>1</v>
      </c>
      <c r="N2893">
        <v>0.75</v>
      </c>
      <c r="O2893" t="str">
        <f t="shared" si="91"/>
        <v>0.6–0.8 hours</v>
      </c>
      <c r="P2893" t="s">
        <v>30</v>
      </c>
    </row>
    <row r="2894" spans="1:16" x14ac:dyDescent="0.4">
      <c r="A2894" t="s">
        <v>2935</v>
      </c>
      <c r="B2894">
        <v>21</v>
      </c>
      <c r="C2894" t="s">
        <v>15</v>
      </c>
      <c r="D2894" t="s">
        <v>22</v>
      </c>
      <c r="E2894">
        <v>0.06</v>
      </c>
      <c r="F2894">
        <v>13</v>
      </c>
      <c r="G2894" t="s">
        <v>33</v>
      </c>
      <c r="H2894" t="s">
        <v>55</v>
      </c>
      <c r="I2894" s="2">
        <v>13.99</v>
      </c>
      <c r="J2894">
        <v>0</v>
      </c>
      <c r="K2894" s="2">
        <f t="shared" si="90"/>
        <v>0</v>
      </c>
      <c r="L2894" t="s">
        <v>43</v>
      </c>
      <c r="M2894">
        <v>5</v>
      </c>
      <c r="N2894">
        <v>0</v>
      </c>
      <c r="O2894" t="str">
        <f t="shared" si="91"/>
        <v>0–0.2 hours</v>
      </c>
      <c r="P2894" t="s">
        <v>30</v>
      </c>
    </row>
    <row r="2895" spans="1:16" x14ac:dyDescent="0.4">
      <c r="A2895" t="s">
        <v>2936</v>
      </c>
      <c r="B2895">
        <v>53</v>
      </c>
      <c r="C2895" t="s">
        <v>27</v>
      </c>
      <c r="D2895" t="s">
        <v>22</v>
      </c>
      <c r="E2895">
        <v>26.91</v>
      </c>
      <c r="F2895">
        <v>19</v>
      </c>
      <c r="G2895" t="s">
        <v>70</v>
      </c>
      <c r="H2895" t="s">
        <v>57</v>
      </c>
      <c r="I2895" s="2">
        <v>13.99</v>
      </c>
      <c r="J2895">
        <v>0</v>
      </c>
      <c r="K2895" s="2">
        <f t="shared" si="90"/>
        <v>0</v>
      </c>
      <c r="L2895" t="s">
        <v>37</v>
      </c>
      <c r="M2895">
        <v>2</v>
      </c>
      <c r="N2895">
        <v>1.35</v>
      </c>
      <c r="O2895" t="str">
        <f t="shared" si="91"/>
        <v>1+ hours</v>
      </c>
      <c r="P2895" t="s">
        <v>20</v>
      </c>
    </row>
    <row r="2896" spans="1:16" x14ac:dyDescent="0.4">
      <c r="A2896" t="s">
        <v>2937</v>
      </c>
      <c r="B2896">
        <v>36</v>
      </c>
      <c r="C2896" t="s">
        <v>41</v>
      </c>
      <c r="D2896" t="s">
        <v>22</v>
      </c>
      <c r="E2896">
        <v>1.36</v>
      </c>
      <c r="F2896">
        <v>58</v>
      </c>
      <c r="G2896" t="s">
        <v>70</v>
      </c>
      <c r="H2896" t="s">
        <v>55</v>
      </c>
      <c r="I2896" s="2">
        <v>13.99</v>
      </c>
      <c r="J2896">
        <v>1</v>
      </c>
      <c r="K2896" s="2">
        <f t="shared" si="90"/>
        <v>13.99</v>
      </c>
      <c r="L2896" t="s">
        <v>61</v>
      </c>
      <c r="M2896">
        <v>5</v>
      </c>
      <c r="N2896">
        <v>0.02</v>
      </c>
      <c r="O2896" t="str">
        <f t="shared" si="91"/>
        <v>0–0.2 hours</v>
      </c>
      <c r="P2896" t="s">
        <v>52</v>
      </c>
    </row>
    <row r="2897" spans="1:16" x14ac:dyDescent="0.4">
      <c r="A2897" s="1" t="s">
        <v>2938</v>
      </c>
      <c r="B2897">
        <v>37</v>
      </c>
      <c r="C2897" t="s">
        <v>27</v>
      </c>
      <c r="D2897" t="s">
        <v>32</v>
      </c>
      <c r="E2897">
        <v>7.53</v>
      </c>
      <c r="F2897">
        <v>48</v>
      </c>
      <c r="G2897" t="s">
        <v>28</v>
      </c>
      <c r="H2897" t="s">
        <v>55</v>
      </c>
      <c r="I2897" s="2">
        <v>17.989999999999998</v>
      </c>
      <c r="J2897">
        <v>1</v>
      </c>
      <c r="K2897" s="2">
        <f t="shared" si="90"/>
        <v>17.989999999999998</v>
      </c>
      <c r="L2897" t="s">
        <v>43</v>
      </c>
      <c r="M2897">
        <v>3</v>
      </c>
      <c r="N2897">
        <v>0.15</v>
      </c>
      <c r="O2897" t="str">
        <f t="shared" si="91"/>
        <v>0–0.2 hours</v>
      </c>
      <c r="P2897" t="s">
        <v>52</v>
      </c>
    </row>
    <row r="2898" spans="1:16" x14ac:dyDescent="0.4">
      <c r="A2898" t="s">
        <v>2939</v>
      </c>
      <c r="B2898">
        <v>44</v>
      </c>
      <c r="C2898" t="s">
        <v>27</v>
      </c>
      <c r="D2898" t="s">
        <v>22</v>
      </c>
      <c r="E2898">
        <v>62.82</v>
      </c>
      <c r="F2898">
        <v>44</v>
      </c>
      <c r="G2898" t="s">
        <v>17</v>
      </c>
      <c r="H2898" t="s">
        <v>55</v>
      </c>
      <c r="I2898" s="2">
        <v>13.99</v>
      </c>
      <c r="J2898">
        <v>0</v>
      </c>
      <c r="K2898" s="2">
        <f t="shared" si="90"/>
        <v>0</v>
      </c>
      <c r="L2898" t="s">
        <v>61</v>
      </c>
      <c r="M2898">
        <v>4</v>
      </c>
      <c r="N2898">
        <v>1.4</v>
      </c>
      <c r="O2898" t="str">
        <f t="shared" si="91"/>
        <v>1+ hours</v>
      </c>
      <c r="P2898" t="s">
        <v>25</v>
      </c>
    </row>
    <row r="2899" spans="1:16" x14ac:dyDescent="0.4">
      <c r="A2899" t="s">
        <v>2940</v>
      </c>
      <c r="B2899">
        <v>33</v>
      </c>
      <c r="C2899" t="s">
        <v>27</v>
      </c>
      <c r="D2899" t="s">
        <v>32</v>
      </c>
      <c r="E2899">
        <v>2.08</v>
      </c>
      <c r="F2899">
        <v>7</v>
      </c>
      <c r="G2899" t="s">
        <v>70</v>
      </c>
      <c r="H2899" t="s">
        <v>18</v>
      </c>
      <c r="I2899" s="2">
        <v>17.989999999999998</v>
      </c>
      <c r="J2899">
        <v>0</v>
      </c>
      <c r="K2899" s="2">
        <f t="shared" si="90"/>
        <v>0</v>
      </c>
      <c r="L2899" t="s">
        <v>37</v>
      </c>
      <c r="M2899">
        <v>4</v>
      </c>
      <c r="N2899">
        <v>0.26</v>
      </c>
      <c r="O2899" t="str">
        <f t="shared" si="91"/>
        <v>0.2–0.4 hours</v>
      </c>
      <c r="P2899" t="s">
        <v>39</v>
      </c>
    </row>
    <row r="2900" spans="1:16" x14ac:dyDescent="0.4">
      <c r="A2900" t="s">
        <v>2941</v>
      </c>
      <c r="B2900">
        <v>32</v>
      </c>
      <c r="C2900" t="s">
        <v>41</v>
      </c>
      <c r="D2900" t="s">
        <v>16</v>
      </c>
      <c r="E2900">
        <v>10.130000000000001</v>
      </c>
      <c r="F2900">
        <v>8</v>
      </c>
      <c r="G2900" t="s">
        <v>33</v>
      </c>
      <c r="H2900" t="s">
        <v>57</v>
      </c>
      <c r="I2900" s="2">
        <v>8.99</v>
      </c>
      <c r="J2900">
        <v>0</v>
      </c>
      <c r="K2900" s="2">
        <f t="shared" si="90"/>
        <v>0</v>
      </c>
      <c r="L2900" t="s">
        <v>61</v>
      </c>
      <c r="M2900">
        <v>5</v>
      </c>
      <c r="N2900">
        <v>1.1299999999999999</v>
      </c>
      <c r="O2900" t="str">
        <f t="shared" si="91"/>
        <v>1+ hours</v>
      </c>
      <c r="P2900" t="s">
        <v>34</v>
      </c>
    </row>
    <row r="2901" spans="1:16" x14ac:dyDescent="0.4">
      <c r="A2901" t="s">
        <v>2942</v>
      </c>
      <c r="B2901">
        <v>23</v>
      </c>
      <c r="C2901" t="s">
        <v>27</v>
      </c>
      <c r="D2901" t="s">
        <v>16</v>
      </c>
      <c r="E2901">
        <v>11.07</v>
      </c>
      <c r="F2901">
        <v>47</v>
      </c>
      <c r="G2901" t="s">
        <v>23</v>
      </c>
      <c r="H2901" t="s">
        <v>46</v>
      </c>
      <c r="I2901" s="2">
        <v>8.99</v>
      </c>
      <c r="J2901">
        <v>1</v>
      </c>
      <c r="K2901" s="2">
        <f t="shared" si="90"/>
        <v>8.99</v>
      </c>
      <c r="L2901" t="s">
        <v>29</v>
      </c>
      <c r="M2901">
        <v>4</v>
      </c>
      <c r="N2901">
        <v>0.23</v>
      </c>
      <c r="O2901" t="str">
        <f t="shared" si="91"/>
        <v>0.2–0.4 hours</v>
      </c>
      <c r="P2901" t="s">
        <v>20</v>
      </c>
    </row>
    <row r="2902" spans="1:16" x14ac:dyDescent="0.4">
      <c r="A2902" t="s">
        <v>2943</v>
      </c>
      <c r="B2902">
        <v>61</v>
      </c>
      <c r="C2902" t="s">
        <v>41</v>
      </c>
      <c r="D2902" t="s">
        <v>32</v>
      </c>
      <c r="E2902">
        <v>4.67</v>
      </c>
      <c r="F2902">
        <v>43</v>
      </c>
      <c r="G2902" t="s">
        <v>49</v>
      </c>
      <c r="H2902" t="s">
        <v>18</v>
      </c>
      <c r="I2902" s="2">
        <v>17.989999999999998</v>
      </c>
      <c r="J2902">
        <v>1</v>
      </c>
      <c r="K2902" s="2">
        <f t="shared" si="90"/>
        <v>17.989999999999998</v>
      </c>
      <c r="L2902" t="s">
        <v>29</v>
      </c>
      <c r="M2902">
        <v>4</v>
      </c>
      <c r="N2902">
        <v>0.11</v>
      </c>
      <c r="O2902" t="str">
        <f t="shared" si="91"/>
        <v>0–0.2 hours</v>
      </c>
      <c r="P2902" t="s">
        <v>39</v>
      </c>
    </row>
    <row r="2903" spans="1:16" x14ac:dyDescent="0.4">
      <c r="A2903" t="s">
        <v>2944</v>
      </c>
      <c r="B2903">
        <v>33</v>
      </c>
      <c r="C2903" t="s">
        <v>41</v>
      </c>
      <c r="D2903" t="s">
        <v>32</v>
      </c>
      <c r="E2903">
        <v>17.72</v>
      </c>
      <c r="F2903">
        <v>5</v>
      </c>
      <c r="G2903" t="s">
        <v>70</v>
      </c>
      <c r="H2903" t="s">
        <v>46</v>
      </c>
      <c r="I2903" s="2">
        <v>17.989999999999998</v>
      </c>
      <c r="J2903">
        <v>0</v>
      </c>
      <c r="K2903" s="2">
        <f t="shared" si="90"/>
        <v>0</v>
      </c>
      <c r="L2903" t="s">
        <v>61</v>
      </c>
      <c r="M2903">
        <v>5</v>
      </c>
      <c r="N2903">
        <v>2.95</v>
      </c>
      <c r="O2903" t="str">
        <f t="shared" si="91"/>
        <v>1+ hours</v>
      </c>
      <c r="P2903" t="s">
        <v>39</v>
      </c>
    </row>
    <row r="2904" spans="1:16" x14ac:dyDescent="0.4">
      <c r="A2904" t="s">
        <v>2945</v>
      </c>
      <c r="B2904">
        <v>41</v>
      </c>
      <c r="C2904" t="s">
        <v>27</v>
      </c>
      <c r="D2904" t="s">
        <v>32</v>
      </c>
      <c r="E2904">
        <v>6.01</v>
      </c>
      <c r="F2904">
        <v>36</v>
      </c>
      <c r="G2904" t="s">
        <v>70</v>
      </c>
      <c r="H2904" t="s">
        <v>57</v>
      </c>
      <c r="I2904" s="2">
        <v>17.989999999999998</v>
      </c>
      <c r="J2904">
        <v>0</v>
      </c>
      <c r="K2904" s="2">
        <f t="shared" si="90"/>
        <v>0</v>
      </c>
      <c r="L2904" t="s">
        <v>37</v>
      </c>
      <c r="M2904">
        <v>4</v>
      </c>
      <c r="N2904">
        <v>0.16</v>
      </c>
      <c r="O2904" t="str">
        <f t="shared" si="91"/>
        <v>0–0.2 hours</v>
      </c>
      <c r="P2904" t="s">
        <v>20</v>
      </c>
    </row>
    <row r="2905" spans="1:16" x14ac:dyDescent="0.4">
      <c r="A2905" t="s">
        <v>2946</v>
      </c>
      <c r="B2905">
        <v>23</v>
      </c>
      <c r="C2905" t="s">
        <v>27</v>
      </c>
      <c r="D2905" t="s">
        <v>22</v>
      </c>
      <c r="E2905">
        <v>14.92</v>
      </c>
      <c r="F2905">
        <v>13</v>
      </c>
      <c r="G2905" t="s">
        <v>70</v>
      </c>
      <c r="H2905" t="s">
        <v>18</v>
      </c>
      <c r="I2905" s="2">
        <v>13.99</v>
      </c>
      <c r="J2905">
        <v>0</v>
      </c>
      <c r="K2905" s="2">
        <f t="shared" si="90"/>
        <v>0</v>
      </c>
      <c r="L2905" t="s">
        <v>19</v>
      </c>
      <c r="M2905">
        <v>2</v>
      </c>
      <c r="N2905">
        <v>1.07</v>
      </c>
      <c r="O2905" t="str">
        <f t="shared" si="91"/>
        <v>1+ hours</v>
      </c>
      <c r="P2905" t="s">
        <v>52</v>
      </c>
    </row>
    <row r="2906" spans="1:16" x14ac:dyDescent="0.4">
      <c r="A2906" t="s">
        <v>2947</v>
      </c>
      <c r="B2906">
        <v>67</v>
      </c>
      <c r="C2906" t="s">
        <v>27</v>
      </c>
      <c r="D2906" t="s">
        <v>16</v>
      </c>
      <c r="E2906">
        <v>8.2799999999999994</v>
      </c>
      <c r="F2906">
        <v>51</v>
      </c>
      <c r="G2906" t="s">
        <v>17</v>
      </c>
      <c r="H2906" t="s">
        <v>46</v>
      </c>
      <c r="I2906" s="2">
        <v>8.99</v>
      </c>
      <c r="J2906">
        <v>1</v>
      </c>
      <c r="K2906" s="2">
        <f t="shared" si="90"/>
        <v>8.99</v>
      </c>
      <c r="L2906" t="s">
        <v>19</v>
      </c>
      <c r="M2906">
        <v>2</v>
      </c>
      <c r="N2906">
        <v>0.16</v>
      </c>
      <c r="O2906" t="str">
        <f t="shared" si="91"/>
        <v>0–0.2 hours</v>
      </c>
      <c r="P2906" t="s">
        <v>47</v>
      </c>
    </row>
    <row r="2907" spans="1:16" x14ac:dyDescent="0.4">
      <c r="A2907" t="s">
        <v>2948</v>
      </c>
      <c r="B2907">
        <v>59</v>
      </c>
      <c r="C2907" t="s">
        <v>15</v>
      </c>
      <c r="D2907" t="s">
        <v>16</v>
      </c>
      <c r="E2907">
        <v>4.96</v>
      </c>
      <c r="F2907">
        <v>51</v>
      </c>
      <c r="G2907" t="s">
        <v>49</v>
      </c>
      <c r="H2907" t="s">
        <v>24</v>
      </c>
      <c r="I2907" s="2">
        <v>8.99</v>
      </c>
      <c r="J2907">
        <v>1</v>
      </c>
      <c r="K2907" s="2">
        <f t="shared" si="90"/>
        <v>8.99</v>
      </c>
      <c r="L2907" t="s">
        <v>43</v>
      </c>
      <c r="M2907">
        <v>1</v>
      </c>
      <c r="N2907">
        <v>0.1</v>
      </c>
      <c r="O2907" t="str">
        <f t="shared" si="91"/>
        <v>0–0.2 hours</v>
      </c>
      <c r="P2907" t="s">
        <v>47</v>
      </c>
    </row>
    <row r="2908" spans="1:16" x14ac:dyDescent="0.4">
      <c r="A2908" t="s">
        <v>2949</v>
      </c>
      <c r="B2908">
        <v>50</v>
      </c>
      <c r="C2908" t="s">
        <v>15</v>
      </c>
      <c r="D2908" t="s">
        <v>16</v>
      </c>
      <c r="E2908">
        <v>1.1100000000000001</v>
      </c>
      <c r="F2908">
        <v>44</v>
      </c>
      <c r="G2908" t="s">
        <v>70</v>
      </c>
      <c r="H2908" t="s">
        <v>46</v>
      </c>
      <c r="I2908" s="2">
        <v>8.99</v>
      </c>
      <c r="J2908">
        <v>1</v>
      </c>
      <c r="K2908" s="2">
        <f t="shared" si="90"/>
        <v>8.99</v>
      </c>
      <c r="L2908" t="s">
        <v>43</v>
      </c>
      <c r="M2908">
        <v>5</v>
      </c>
      <c r="N2908">
        <v>0.02</v>
      </c>
      <c r="O2908" t="str">
        <f t="shared" si="91"/>
        <v>0–0.2 hours</v>
      </c>
      <c r="P2908" t="s">
        <v>39</v>
      </c>
    </row>
    <row r="2909" spans="1:16" x14ac:dyDescent="0.4">
      <c r="A2909" t="s">
        <v>2950</v>
      </c>
      <c r="B2909">
        <v>22</v>
      </c>
      <c r="C2909" t="s">
        <v>15</v>
      </c>
      <c r="D2909" t="s">
        <v>32</v>
      </c>
      <c r="E2909">
        <v>0.85</v>
      </c>
      <c r="F2909">
        <v>26</v>
      </c>
      <c r="G2909" t="s">
        <v>33</v>
      </c>
      <c r="H2909" t="s">
        <v>18</v>
      </c>
      <c r="I2909" s="2">
        <v>17.989999999999998</v>
      </c>
      <c r="J2909">
        <v>1</v>
      </c>
      <c r="K2909" s="2">
        <f t="shared" si="90"/>
        <v>17.989999999999998</v>
      </c>
      <c r="L2909" t="s">
        <v>37</v>
      </c>
      <c r="M2909">
        <v>3</v>
      </c>
      <c r="N2909">
        <v>0.03</v>
      </c>
      <c r="O2909" t="str">
        <f t="shared" si="91"/>
        <v>0–0.2 hours</v>
      </c>
      <c r="P2909" t="s">
        <v>47</v>
      </c>
    </row>
    <row r="2910" spans="1:16" x14ac:dyDescent="0.4">
      <c r="A2910" t="s">
        <v>2951</v>
      </c>
      <c r="B2910">
        <v>65</v>
      </c>
      <c r="C2910" t="s">
        <v>27</v>
      </c>
      <c r="D2910" t="s">
        <v>16</v>
      </c>
      <c r="E2910">
        <v>1.85</v>
      </c>
      <c r="F2910">
        <v>34</v>
      </c>
      <c r="G2910" t="s">
        <v>28</v>
      </c>
      <c r="H2910" t="s">
        <v>18</v>
      </c>
      <c r="I2910" s="2">
        <v>8.99</v>
      </c>
      <c r="J2910">
        <v>1</v>
      </c>
      <c r="K2910" s="2">
        <f t="shared" si="90"/>
        <v>8.99</v>
      </c>
      <c r="L2910" t="s">
        <v>43</v>
      </c>
      <c r="M2910">
        <v>2</v>
      </c>
      <c r="N2910">
        <v>0.05</v>
      </c>
      <c r="O2910" t="str">
        <f t="shared" si="91"/>
        <v>0–0.2 hours</v>
      </c>
      <c r="P2910" t="s">
        <v>39</v>
      </c>
    </row>
    <row r="2911" spans="1:16" x14ac:dyDescent="0.4">
      <c r="A2911" t="s">
        <v>2952</v>
      </c>
      <c r="B2911">
        <v>70</v>
      </c>
      <c r="C2911" t="s">
        <v>41</v>
      </c>
      <c r="D2911" t="s">
        <v>32</v>
      </c>
      <c r="E2911">
        <v>8.2899999999999991</v>
      </c>
      <c r="F2911">
        <v>13</v>
      </c>
      <c r="G2911" t="s">
        <v>70</v>
      </c>
      <c r="H2911" t="s">
        <v>24</v>
      </c>
      <c r="I2911" s="2">
        <v>17.989999999999998</v>
      </c>
      <c r="J2911">
        <v>0</v>
      </c>
      <c r="K2911" s="2">
        <f t="shared" si="90"/>
        <v>0</v>
      </c>
      <c r="L2911" t="s">
        <v>19</v>
      </c>
      <c r="M2911">
        <v>1</v>
      </c>
      <c r="N2911">
        <v>0.59</v>
      </c>
      <c r="O2911" t="str">
        <f t="shared" si="91"/>
        <v>0.4–0.6 hours</v>
      </c>
      <c r="P2911" t="s">
        <v>47</v>
      </c>
    </row>
    <row r="2912" spans="1:16" x14ac:dyDescent="0.4">
      <c r="A2912" t="s">
        <v>2953</v>
      </c>
      <c r="B2912">
        <v>39</v>
      </c>
      <c r="C2912" t="s">
        <v>27</v>
      </c>
      <c r="D2912" t="s">
        <v>16</v>
      </c>
      <c r="E2912">
        <v>13.15</v>
      </c>
      <c r="F2912">
        <v>13</v>
      </c>
      <c r="G2912" t="s">
        <v>28</v>
      </c>
      <c r="H2912" t="s">
        <v>18</v>
      </c>
      <c r="I2912" s="2">
        <v>8.99</v>
      </c>
      <c r="J2912">
        <v>0</v>
      </c>
      <c r="K2912" s="2">
        <f t="shared" si="90"/>
        <v>0</v>
      </c>
      <c r="L2912" t="s">
        <v>19</v>
      </c>
      <c r="M2912">
        <v>2</v>
      </c>
      <c r="N2912">
        <v>0.94</v>
      </c>
      <c r="O2912" t="str">
        <f t="shared" si="91"/>
        <v>0.8–1 hour</v>
      </c>
      <c r="P2912" t="s">
        <v>34</v>
      </c>
    </row>
    <row r="2913" spans="1:16" x14ac:dyDescent="0.4">
      <c r="A2913" t="s">
        <v>2954</v>
      </c>
      <c r="B2913">
        <v>59</v>
      </c>
      <c r="C2913" t="s">
        <v>15</v>
      </c>
      <c r="D2913" t="s">
        <v>22</v>
      </c>
      <c r="E2913">
        <v>3.7</v>
      </c>
      <c r="F2913">
        <v>22</v>
      </c>
      <c r="G2913" t="s">
        <v>23</v>
      </c>
      <c r="H2913" t="s">
        <v>57</v>
      </c>
      <c r="I2913" s="2">
        <v>13.99</v>
      </c>
      <c r="J2913">
        <v>1</v>
      </c>
      <c r="K2913" s="2">
        <f t="shared" si="90"/>
        <v>13.99</v>
      </c>
      <c r="L2913" t="s">
        <v>19</v>
      </c>
      <c r="M2913">
        <v>3</v>
      </c>
      <c r="N2913">
        <v>0.16</v>
      </c>
      <c r="O2913" t="str">
        <f t="shared" si="91"/>
        <v>0–0.2 hours</v>
      </c>
      <c r="P2913" t="s">
        <v>47</v>
      </c>
    </row>
    <row r="2914" spans="1:16" x14ac:dyDescent="0.4">
      <c r="A2914" t="s">
        <v>2955</v>
      </c>
      <c r="B2914">
        <v>58</v>
      </c>
      <c r="C2914" t="s">
        <v>27</v>
      </c>
      <c r="D2914" t="s">
        <v>16</v>
      </c>
      <c r="E2914">
        <v>5.08</v>
      </c>
      <c r="F2914">
        <v>48</v>
      </c>
      <c r="G2914" t="s">
        <v>28</v>
      </c>
      <c r="H2914" t="s">
        <v>18</v>
      </c>
      <c r="I2914" s="2">
        <v>8.99</v>
      </c>
      <c r="J2914">
        <v>1</v>
      </c>
      <c r="K2914" s="2">
        <f t="shared" si="90"/>
        <v>8.99</v>
      </c>
      <c r="L2914" t="s">
        <v>43</v>
      </c>
      <c r="M2914">
        <v>5</v>
      </c>
      <c r="N2914">
        <v>0.1</v>
      </c>
      <c r="O2914" t="str">
        <f t="shared" si="91"/>
        <v>0–0.2 hours</v>
      </c>
      <c r="P2914" t="s">
        <v>52</v>
      </c>
    </row>
    <row r="2915" spans="1:16" x14ac:dyDescent="0.4">
      <c r="A2915" t="s">
        <v>2956</v>
      </c>
      <c r="B2915">
        <v>56</v>
      </c>
      <c r="C2915" t="s">
        <v>27</v>
      </c>
      <c r="D2915" t="s">
        <v>16</v>
      </c>
      <c r="E2915">
        <v>23.72</v>
      </c>
      <c r="F2915">
        <v>13</v>
      </c>
      <c r="G2915" t="s">
        <v>49</v>
      </c>
      <c r="H2915" t="s">
        <v>24</v>
      </c>
      <c r="I2915" s="2">
        <v>8.99</v>
      </c>
      <c r="J2915">
        <v>0</v>
      </c>
      <c r="K2915" s="2">
        <f t="shared" si="90"/>
        <v>0</v>
      </c>
      <c r="L2915" t="s">
        <v>37</v>
      </c>
      <c r="M2915">
        <v>1</v>
      </c>
      <c r="N2915">
        <v>1.69</v>
      </c>
      <c r="O2915" t="str">
        <f t="shared" si="91"/>
        <v>1+ hours</v>
      </c>
      <c r="P2915" t="s">
        <v>47</v>
      </c>
    </row>
    <row r="2916" spans="1:16" x14ac:dyDescent="0.4">
      <c r="A2916" t="s">
        <v>2957</v>
      </c>
      <c r="B2916">
        <v>46</v>
      </c>
      <c r="C2916" t="s">
        <v>27</v>
      </c>
      <c r="D2916" t="s">
        <v>22</v>
      </c>
      <c r="E2916">
        <v>13.81</v>
      </c>
      <c r="F2916">
        <v>13</v>
      </c>
      <c r="G2916" t="s">
        <v>33</v>
      </c>
      <c r="H2916" t="s">
        <v>18</v>
      </c>
      <c r="I2916" s="2">
        <v>13.99</v>
      </c>
      <c r="J2916">
        <v>0</v>
      </c>
      <c r="K2916" s="2">
        <f t="shared" si="90"/>
        <v>0</v>
      </c>
      <c r="L2916" t="s">
        <v>61</v>
      </c>
      <c r="M2916">
        <v>1</v>
      </c>
      <c r="N2916">
        <v>0.99</v>
      </c>
      <c r="O2916" t="str">
        <f t="shared" si="91"/>
        <v>0.8–1 hour</v>
      </c>
      <c r="P2916" t="s">
        <v>20</v>
      </c>
    </row>
    <row r="2917" spans="1:16" x14ac:dyDescent="0.4">
      <c r="A2917" t="s">
        <v>2958</v>
      </c>
      <c r="B2917">
        <v>19</v>
      </c>
      <c r="C2917" t="s">
        <v>27</v>
      </c>
      <c r="D2917" t="s">
        <v>22</v>
      </c>
      <c r="E2917">
        <v>6.51</v>
      </c>
      <c r="F2917">
        <v>51</v>
      </c>
      <c r="G2917" t="s">
        <v>28</v>
      </c>
      <c r="H2917" t="s">
        <v>57</v>
      </c>
      <c r="I2917" s="2">
        <v>13.99</v>
      </c>
      <c r="J2917">
        <v>1</v>
      </c>
      <c r="K2917" s="2">
        <f t="shared" si="90"/>
        <v>13.99</v>
      </c>
      <c r="L2917" t="s">
        <v>29</v>
      </c>
      <c r="M2917">
        <v>1</v>
      </c>
      <c r="N2917">
        <v>0.13</v>
      </c>
      <c r="O2917" t="str">
        <f t="shared" si="91"/>
        <v>0–0.2 hours</v>
      </c>
      <c r="P2917" t="s">
        <v>47</v>
      </c>
    </row>
    <row r="2918" spans="1:16" x14ac:dyDescent="0.4">
      <c r="A2918" t="s">
        <v>2959</v>
      </c>
      <c r="B2918">
        <v>38</v>
      </c>
      <c r="C2918" t="s">
        <v>41</v>
      </c>
      <c r="D2918" t="s">
        <v>22</v>
      </c>
      <c r="E2918">
        <v>6.68</v>
      </c>
      <c r="F2918">
        <v>15</v>
      </c>
      <c r="G2918" t="s">
        <v>33</v>
      </c>
      <c r="H2918" t="s">
        <v>24</v>
      </c>
      <c r="I2918" s="2">
        <v>13.99</v>
      </c>
      <c r="J2918">
        <v>0</v>
      </c>
      <c r="K2918" s="2">
        <f t="shared" si="90"/>
        <v>0</v>
      </c>
      <c r="L2918" t="s">
        <v>61</v>
      </c>
      <c r="M2918">
        <v>1</v>
      </c>
      <c r="N2918">
        <v>0.42</v>
      </c>
      <c r="O2918" t="str">
        <f t="shared" si="91"/>
        <v>0.4–0.6 hours</v>
      </c>
      <c r="P2918" t="s">
        <v>30</v>
      </c>
    </row>
    <row r="2919" spans="1:16" x14ac:dyDescent="0.4">
      <c r="A2919" t="s">
        <v>2960</v>
      </c>
      <c r="B2919">
        <v>24</v>
      </c>
      <c r="C2919" t="s">
        <v>15</v>
      </c>
      <c r="D2919" t="s">
        <v>32</v>
      </c>
      <c r="E2919">
        <v>18.05</v>
      </c>
      <c r="F2919">
        <v>41</v>
      </c>
      <c r="G2919" t="s">
        <v>17</v>
      </c>
      <c r="H2919" t="s">
        <v>24</v>
      </c>
      <c r="I2919" s="2">
        <v>17.989999999999998</v>
      </c>
      <c r="J2919">
        <v>0</v>
      </c>
      <c r="K2919" s="2">
        <f t="shared" si="90"/>
        <v>0</v>
      </c>
      <c r="L2919" t="s">
        <v>61</v>
      </c>
      <c r="M2919">
        <v>5</v>
      </c>
      <c r="N2919">
        <v>0.43</v>
      </c>
      <c r="O2919" t="str">
        <f t="shared" si="91"/>
        <v>0.4–0.6 hours</v>
      </c>
      <c r="P2919" t="s">
        <v>39</v>
      </c>
    </row>
    <row r="2920" spans="1:16" x14ac:dyDescent="0.4">
      <c r="A2920" t="s">
        <v>2961</v>
      </c>
      <c r="B2920">
        <v>63</v>
      </c>
      <c r="C2920" t="s">
        <v>27</v>
      </c>
      <c r="D2920" t="s">
        <v>32</v>
      </c>
      <c r="E2920">
        <v>26.19</v>
      </c>
      <c r="F2920">
        <v>34</v>
      </c>
      <c r="G2920" t="s">
        <v>17</v>
      </c>
      <c r="H2920" t="s">
        <v>46</v>
      </c>
      <c r="I2920" s="2">
        <v>17.989999999999998</v>
      </c>
      <c r="J2920">
        <v>0</v>
      </c>
      <c r="K2920" s="2">
        <f t="shared" si="90"/>
        <v>0</v>
      </c>
      <c r="L2920" t="s">
        <v>29</v>
      </c>
      <c r="M2920">
        <v>1</v>
      </c>
      <c r="N2920">
        <v>0.75</v>
      </c>
      <c r="O2920" t="str">
        <f t="shared" si="91"/>
        <v>0.6–0.8 hours</v>
      </c>
      <c r="P2920" t="s">
        <v>25</v>
      </c>
    </row>
    <row r="2921" spans="1:16" x14ac:dyDescent="0.4">
      <c r="A2921" t="s">
        <v>2962</v>
      </c>
      <c r="B2921">
        <v>49</v>
      </c>
      <c r="C2921" t="s">
        <v>15</v>
      </c>
      <c r="D2921" t="s">
        <v>32</v>
      </c>
      <c r="E2921">
        <v>8.48</v>
      </c>
      <c r="F2921">
        <v>10</v>
      </c>
      <c r="G2921" t="s">
        <v>70</v>
      </c>
      <c r="H2921" t="s">
        <v>46</v>
      </c>
      <c r="I2921" s="2">
        <v>17.989999999999998</v>
      </c>
      <c r="J2921">
        <v>0</v>
      </c>
      <c r="K2921" s="2">
        <f t="shared" si="90"/>
        <v>0</v>
      </c>
      <c r="L2921" t="s">
        <v>43</v>
      </c>
      <c r="M2921">
        <v>1</v>
      </c>
      <c r="N2921">
        <v>0.77</v>
      </c>
      <c r="O2921" t="str">
        <f t="shared" si="91"/>
        <v>0.6–0.8 hours</v>
      </c>
      <c r="P2921" t="s">
        <v>34</v>
      </c>
    </row>
    <row r="2922" spans="1:16" x14ac:dyDescent="0.4">
      <c r="A2922" t="s">
        <v>2963</v>
      </c>
      <c r="B2922">
        <v>56</v>
      </c>
      <c r="C2922" t="s">
        <v>41</v>
      </c>
      <c r="D2922" t="s">
        <v>32</v>
      </c>
      <c r="E2922">
        <v>14.15</v>
      </c>
      <c r="F2922">
        <v>44</v>
      </c>
      <c r="G2922" t="s">
        <v>17</v>
      </c>
      <c r="H2922" t="s">
        <v>24</v>
      </c>
      <c r="I2922" s="2">
        <v>17.989999999999998</v>
      </c>
      <c r="J2922">
        <v>1</v>
      </c>
      <c r="K2922" s="2">
        <f t="shared" si="90"/>
        <v>17.989999999999998</v>
      </c>
      <c r="L2922" t="s">
        <v>29</v>
      </c>
      <c r="M2922">
        <v>3</v>
      </c>
      <c r="N2922">
        <v>0.31</v>
      </c>
      <c r="O2922" t="str">
        <f t="shared" si="91"/>
        <v>0.2–0.4 hours</v>
      </c>
      <c r="P2922" t="s">
        <v>34</v>
      </c>
    </row>
    <row r="2923" spans="1:16" x14ac:dyDescent="0.4">
      <c r="A2923" t="s">
        <v>2964</v>
      </c>
      <c r="B2923">
        <v>55</v>
      </c>
      <c r="C2923" t="s">
        <v>27</v>
      </c>
      <c r="D2923" t="s">
        <v>32</v>
      </c>
      <c r="E2923">
        <v>2.0099999999999998</v>
      </c>
      <c r="F2923">
        <v>24</v>
      </c>
      <c r="G2923" t="s">
        <v>70</v>
      </c>
      <c r="H2923" t="s">
        <v>57</v>
      </c>
      <c r="I2923" s="2">
        <v>17.989999999999998</v>
      </c>
      <c r="J2923">
        <v>1</v>
      </c>
      <c r="K2923" s="2">
        <f t="shared" si="90"/>
        <v>17.989999999999998</v>
      </c>
      <c r="L2923" t="s">
        <v>37</v>
      </c>
      <c r="M2923">
        <v>3</v>
      </c>
      <c r="N2923">
        <v>0.08</v>
      </c>
      <c r="O2923" t="str">
        <f t="shared" si="91"/>
        <v>0–0.2 hours</v>
      </c>
      <c r="P2923" t="s">
        <v>25</v>
      </c>
    </row>
    <row r="2924" spans="1:16" x14ac:dyDescent="0.4">
      <c r="A2924" t="s">
        <v>2965</v>
      </c>
      <c r="B2924">
        <v>46</v>
      </c>
      <c r="C2924" t="s">
        <v>41</v>
      </c>
      <c r="D2924" t="s">
        <v>32</v>
      </c>
      <c r="E2924">
        <v>0.48</v>
      </c>
      <c r="F2924">
        <v>36</v>
      </c>
      <c r="G2924" t="s">
        <v>28</v>
      </c>
      <c r="H2924" t="s">
        <v>18</v>
      </c>
      <c r="I2924" s="2">
        <v>17.989999999999998</v>
      </c>
      <c r="J2924">
        <v>1</v>
      </c>
      <c r="K2924" s="2">
        <f t="shared" si="90"/>
        <v>17.989999999999998</v>
      </c>
      <c r="L2924" t="s">
        <v>19</v>
      </c>
      <c r="M2924">
        <v>5</v>
      </c>
      <c r="N2924">
        <v>0.01</v>
      </c>
      <c r="O2924" t="str">
        <f t="shared" si="91"/>
        <v>0–0.2 hours</v>
      </c>
      <c r="P2924" t="s">
        <v>39</v>
      </c>
    </row>
    <row r="2925" spans="1:16" x14ac:dyDescent="0.4">
      <c r="A2925" t="s">
        <v>2966</v>
      </c>
      <c r="B2925">
        <v>18</v>
      </c>
      <c r="C2925" t="s">
        <v>15</v>
      </c>
      <c r="D2925" t="s">
        <v>16</v>
      </c>
      <c r="E2925">
        <v>3.17</v>
      </c>
      <c r="F2925">
        <v>0</v>
      </c>
      <c r="G2925" t="s">
        <v>28</v>
      </c>
      <c r="H2925" t="s">
        <v>46</v>
      </c>
      <c r="I2925" s="2">
        <v>8.99</v>
      </c>
      <c r="J2925">
        <v>1</v>
      </c>
      <c r="K2925" s="2">
        <f t="shared" si="90"/>
        <v>8.99</v>
      </c>
      <c r="L2925" t="s">
        <v>61</v>
      </c>
      <c r="M2925">
        <v>1</v>
      </c>
      <c r="N2925">
        <v>3.17</v>
      </c>
      <c r="O2925" t="str">
        <f t="shared" si="91"/>
        <v>1+ hours</v>
      </c>
      <c r="P2925" t="s">
        <v>20</v>
      </c>
    </row>
    <row r="2926" spans="1:16" x14ac:dyDescent="0.4">
      <c r="A2926" t="s">
        <v>2967</v>
      </c>
      <c r="B2926">
        <v>28</v>
      </c>
      <c r="C2926" t="s">
        <v>41</v>
      </c>
      <c r="D2926" t="s">
        <v>32</v>
      </c>
      <c r="E2926">
        <v>8.75</v>
      </c>
      <c r="F2926">
        <v>46</v>
      </c>
      <c r="G2926" t="s">
        <v>28</v>
      </c>
      <c r="H2926" t="s">
        <v>55</v>
      </c>
      <c r="I2926" s="2">
        <v>17.989999999999998</v>
      </c>
      <c r="J2926">
        <v>1</v>
      </c>
      <c r="K2926" s="2">
        <f t="shared" si="90"/>
        <v>17.989999999999998</v>
      </c>
      <c r="L2926" t="s">
        <v>61</v>
      </c>
      <c r="M2926">
        <v>3</v>
      </c>
      <c r="N2926">
        <v>0.19</v>
      </c>
      <c r="O2926" t="str">
        <f t="shared" si="91"/>
        <v>0–0.2 hours</v>
      </c>
      <c r="P2926" t="s">
        <v>47</v>
      </c>
    </row>
    <row r="2927" spans="1:16" x14ac:dyDescent="0.4">
      <c r="A2927" t="s">
        <v>2968</v>
      </c>
      <c r="B2927">
        <v>35</v>
      </c>
      <c r="C2927" t="s">
        <v>27</v>
      </c>
      <c r="D2927" t="s">
        <v>32</v>
      </c>
      <c r="E2927">
        <v>9.17</v>
      </c>
      <c r="F2927">
        <v>43</v>
      </c>
      <c r="G2927" t="s">
        <v>28</v>
      </c>
      <c r="H2927" t="s">
        <v>24</v>
      </c>
      <c r="I2927" s="2">
        <v>17.989999999999998</v>
      </c>
      <c r="J2927">
        <v>1</v>
      </c>
      <c r="K2927" s="2">
        <f t="shared" si="90"/>
        <v>17.989999999999998</v>
      </c>
      <c r="L2927" t="s">
        <v>29</v>
      </c>
      <c r="M2927">
        <v>3</v>
      </c>
      <c r="N2927">
        <v>0.21</v>
      </c>
      <c r="O2927" t="str">
        <f t="shared" si="91"/>
        <v>0.2–0.4 hours</v>
      </c>
      <c r="P2927" t="s">
        <v>30</v>
      </c>
    </row>
    <row r="2928" spans="1:16" x14ac:dyDescent="0.4">
      <c r="A2928" t="s">
        <v>2969</v>
      </c>
      <c r="B2928">
        <v>43</v>
      </c>
      <c r="C2928" t="s">
        <v>41</v>
      </c>
      <c r="D2928" t="s">
        <v>22</v>
      </c>
      <c r="E2928">
        <v>0.83</v>
      </c>
      <c r="F2928">
        <v>13</v>
      </c>
      <c r="G2928" t="s">
        <v>49</v>
      </c>
      <c r="H2928" t="s">
        <v>18</v>
      </c>
      <c r="I2928" s="2">
        <v>13.99</v>
      </c>
      <c r="J2928">
        <v>1</v>
      </c>
      <c r="K2928" s="2">
        <f t="shared" si="90"/>
        <v>13.99</v>
      </c>
      <c r="L2928" t="s">
        <v>43</v>
      </c>
      <c r="M2928">
        <v>3</v>
      </c>
      <c r="N2928">
        <v>0.06</v>
      </c>
      <c r="O2928" t="str">
        <f t="shared" si="91"/>
        <v>0–0.2 hours</v>
      </c>
      <c r="P2928" t="s">
        <v>52</v>
      </c>
    </row>
    <row r="2929" spans="1:16" x14ac:dyDescent="0.4">
      <c r="A2929" t="s">
        <v>2970</v>
      </c>
      <c r="B2929">
        <v>37</v>
      </c>
      <c r="C2929" t="s">
        <v>15</v>
      </c>
      <c r="D2929" t="s">
        <v>16</v>
      </c>
      <c r="E2929">
        <v>3.68</v>
      </c>
      <c r="F2929">
        <v>45</v>
      </c>
      <c r="G2929" t="s">
        <v>17</v>
      </c>
      <c r="H2929" t="s">
        <v>46</v>
      </c>
      <c r="I2929" s="2">
        <v>8.99</v>
      </c>
      <c r="J2929">
        <v>1</v>
      </c>
      <c r="K2929" s="2">
        <f t="shared" si="90"/>
        <v>8.99</v>
      </c>
      <c r="L2929" t="s">
        <v>61</v>
      </c>
      <c r="M2929">
        <v>3</v>
      </c>
      <c r="N2929">
        <v>0.08</v>
      </c>
      <c r="O2929" t="str">
        <f t="shared" si="91"/>
        <v>0–0.2 hours</v>
      </c>
      <c r="P2929" t="s">
        <v>25</v>
      </c>
    </row>
    <row r="2930" spans="1:16" x14ac:dyDescent="0.4">
      <c r="A2930" t="s">
        <v>2971</v>
      </c>
      <c r="B2930">
        <v>62</v>
      </c>
      <c r="C2930" t="s">
        <v>41</v>
      </c>
      <c r="D2930" t="s">
        <v>32</v>
      </c>
      <c r="E2930">
        <v>10.33</v>
      </c>
      <c r="F2930">
        <v>3</v>
      </c>
      <c r="G2930" t="s">
        <v>17</v>
      </c>
      <c r="H2930" t="s">
        <v>55</v>
      </c>
      <c r="I2930" s="2">
        <v>17.989999999999998</v>
      </c>
      <c r="J2930">
        <v>0</v>
      </c>
      <c r="K2930" s="2">
        <f t="shared" si="90"/>
        <v>0</v>
      </c>
      <c r="L2930" t="s">
        <v>29</v>
      </c>
      <c r="M2930">
        <v>2</v>
      </c>
      <c r="N2930">
        <v>2.58</v>
      </c>
      <c r="O2930" t="str">
        <f t="shared" si="91"/>
        <v>1+ hours</v>
      </c>
      <c r="P2930" t="s">
        <v>52</v>
      </c>
    </row>
    <row r="2931" spans="1:16" x14ac:dyDescent="0.4">
      <c r="A2931" t="s">
        <v>2972</v>
      </c>
      <c r="B2931">
        <v>46</v>
      </c>
      <c r="C2931" t="s">
        <v>27</v>
      </c>
      <c r="D2931" t="s">
        <v>16</v>
      </c>
      <c r="E2931">
        <v>12.12</v>
      </c>
      <c r="F2931">
        <v>41</v>
      </c>
      <c r="G2931" t="s">
        <v>49</v>
      </c>
      <c r="H2931" t="s">
        <v>57</v>
      </c>
      <c r="I2931" s="2">
        <v>8.99</v>
      </c>
      <c r="J2931">
        <v>1</v>
      </c>
      <c r="K2931" s="2">
        <f t="shared" si="90"/>
        <v>8.99</v>
      </c>
      <c r="L2931" t="s">
        <v>37</v>
      </c>
      <c r="M2931">
        <v>2</v>
      </c>
      <c r="N2931">
        <v>0.28999999999999998</v>
      </c>
      <c r="O2931" t="str">
        <f t="shared" si="91"/>
        <v>0.2–0.4 hours</v>
      </c>
      <c r="P2931" t="s">
        <v>30</v>
      </c>
    </row>
    <row r="2932" spans="1:16" x14ac:dyDescent="0.4">
      <c r="A2932" t="s">
        <v>2973</v>
      </c>
      <c r="B2932">
        <v>34</v>
      </c>
      <c r="C2932" t="s">
        <v>27</v>
      </c>
      <c r="D2932" t="s">
        <v>16</v>
      </c>
      <c r="E2932">
        <v>28.06</v>
      </c>
      <c r="F2932">
        <v>33</v>
      </c>
      <c r="G2932" t="s">
        <v>33</v>
      </c>
      <c r="H2932" t="s">
        <v>18</v>
      </c>
      <c r="I2932" s="2">
        <v>8.99</v>
      </c>
      <c r="J2932">
        <v>0</v>
      </c>
      <c r="K2932" s="2">
        <f t="shared" si="90"/>
        <v>0</v>
      </c>
      <c r="L2932" t="s">
        <v>43</v>
      </c>
      <c r="M2932">
        <v>4</v>
      </c>
      <c r="N2932">
        <v>0.83</v>
      </c>
      <c r="O2932" t="str">
        <f t="shared" si="91"/>
        <v>0.8–1 hour</v>
      </c>
      <c r="P2932" t="s">
        <v>52</v>
      </c>
    </row>
    <row r="2933" spans="1:16" x14ac:dyDescent="0.4">
      <c r="A2933" t="s">
        <v>2974</v>
      </c>
      <c r="B2933">
        <v>21</v>
      </c>
      <c r="C2933" t="s">
        <v>41</v>
      </c>
      <c r="D2933" t="s">
        <v>32</v>
      </c>
      <c r="E2933">
        <v>16.09</v>
      </c>
      <c r="F2933">
        <v>2</v>
      </c>
      <c r="G2933" t="s">
        <v>70</v>
      </c>
      <c r="H2933" t="s">
        <v>57</v>
      </c>
      <c r="I2933" s="2">
        <v>17.989999999999998</v>
      </c>
      <c r="J2933">
        <v>0</v>
      </c>
      <c r="K2933" s="2">
        <f t="shared" si="90"/>
        <v>0</v>
      </c>
      <c r="L2933" t="s">
        <v>29</v>
      </c>
      <c r="M2933">
        <v>4</v>
      </c>
      <c r="N2933">
        <v>5.36</v>
      </c>
      <c r="O2933" t="str">
        <f t="shared" si="91"/>
        <v>1+ hours</v>
      </c>
      <c r="P2933" t="s">
        <v>25</v>
      </c>
    </row>
    <row r="2934" spans="1:16" x14ac:dyDescent="0.4">
      <c r="A2934" t="s">
        <v>2975</v>
      </c>
      <c r="B2934">
        <v>61</v>
      </c>
      <c r="C2934" t="s">
        <v>27</v>
      </c>
      <c r="D2934" t="s">
        <v>32</v>
      </c>
      <c r="E2934">
        <v>55.13</v>
      </c>
      <c r="F2934">
        <v>59</v>
      </c>
      <c r="G2934" t="s">
        <v>28</v>
      </c>
      <c r="H2934" t="s">
        <v>57</v>
      </c>
      <c r="I2934" s="2">
        <v>17.989999999999998</v>
      </c>
      <c r="J2934">
        <v>0</v>
      </c>
      <c r="K2934" s="2">
        <f t="shared" si="90"/>
        <v>0</v>
      </c>
      <c r="L2934" t="s">
        <v>37</v>
      </c>
      <c r="M2934">
        <v>1</v>
      </c>
      <c r="N2934">
        <v>0.92</v>
      </c>
      <c r="O2934" t="str">
        <f t="shared" si="91"/>
        <v>0.8–1 hour</v>
      </c>
      <c r="P2934" t="s">
        <v>34</v>
      </c>
    </row>
    <row r="2935" spans="1:16" x14ac:dyDescent="0.4">
      <c r="A2935" t="s">
        <v>2976</v>
      </c>
      <c r="B2935">
        <v>48</v>
      </c>
      <c r="C2935" t="s">
        <v>15</v>
      </c>
      <c r="D2935" t="s">
        <v>32</v>
      </c>
      <c r="E2935">
        <v>17.239999999999998</v>
      </c>
      <c r="F2935">
        <v>53</v>
      </c>
      <c r="G2935" t="s">
        <v>33</v>
      </c>
      <c r="H2935" t="s">
        <v>24</v>
      </c>
      <c r="I2935" s="2">
        <v>17.989999999999998</v>
      </c>
      <c r="J2935">
        <v>0</v>
      </c>
      <c r="K2935" s="2">
        <f t="shared" si="90"/>
        <v>0</v>
      </c>
      <c r="L2935" t="s">
        <v>37</v>
      </c>
      <c r="M2935">
        <v>5</v>
      </c>
      <c r="N2935">
        <v>0.32</v>
      </c>
      <c r="O2935" t="str">
        <f t="shared" si="91"/>
        <v>0.2–0.4 hours</v>
      </c>
      <c r="P2935" t="s">
        <v>52</v>
      </c>
    </row>
    <row r="2936" spans="1:16" x14ac:dyDescent="0.4">
      <c r="A2936" t="s">
        <v>2977</v>
      </c>
      <c r="B2936">
        <v>23</v>
      </c>
      <c r="C2936" t="s">
        <v>15</v>
      </c>
      <c r="D2936" t="s">
        <v>16</v>
      </c>
      <c r="E2936">
        <v>2.91</v>
      </c>
      <c r="F2936">
        <v>40</v>
      </c>
      <c r="G2936" t="s">
        <v>33</v>
      </c>
      <c r="H2936" t="s">
        <v>57</v>
      </c>
      <c r="I2936" s="2">
        <v>8.99</v>
      </c>
      <c r="J2936">
        <v>1</v>
      </c>
      <c r="K2936" s="2">
        <f t="shared" si="90"/>
        <v>8.99</v>
      </c>
      <c r="L2936" t="s">
        <v>43</v>
      </c>
      <c r="M2936">
        <v>3</v>
      </c>
      <c r="N2936">
        <v>7.0000000000000007E-2</v>
      </c>
      <c r="O2936" t="str">
        <f t="shared" si="91"/>
        <v>0–0.2 hours</v>
      </c>
      <c r="P2936" t="s">
        <v>30</v>
      </c>
    </row>
    <row r="2937" spans="1:16" x14ac:dyDescent="0.4">
      <c r="A2937" t="s">
        <v>2978</v>
      </c>
      <c r="B2937">
        <v>57</v>
      </c>
      <c r="C2937" t="s">
        <v>27</v>
      </c>
      <c r="D2937" t="s">
        <v>22</v>
      </c>
      <c r="E2937">
        <v>3.05</v>
      </c>
      <c r="F2937">
        <v>26</v>
      </c>
      <c r="G2937" t="s">
        <v>70</v>
      </c>
      <c r="H2937" t="s">
        <v>18</v>
      </c>
      <c r="I2937" s="2">
        <v>13.99</v>
      </c>
      <c r="J2937">
        <v>1</v>
      </c>
      <c r="K2937" s="2">
        <f t="shared" si="90"/>
        <v>13.99</v>
      </c>
      <c r="L2937" t="s">
        <v>43</v>
      </c>
      <c r="M2937">
        <v>2</v>
      </c>
      <c r="N2937">
        <v>0.11</v>
      </c>
      <c r="O2937" t="str">
        <f t="shared" si="91"/>
        <v>0–0.2 hours</v>
      </c>
      <c r="P2937" t="s">
        <v>25</v>
      </c>
    </row>
    <row r="2938" spans="1:16" x14ac:dyDescent="0.4">
      <c r="A2938" t="s">
        <v>2979</v>
      </c>
      <c r="B2938">
        <v>30</v>
      </c>
      <c r="C2938" t="s">
        <v>41</v>
      </c>
      <c r="D2938" t="s">
        <v>32</v>
      </c>
      <c r="E2938">
        <v>5.43</v>
      </c>
      <c r="F2938">
        <v>56</v>
      </c>
      <c r="G2938" t="s">
        <v>17</v>
      </c>
      <c r="H2938" t="s">
        <v>18</v>
      </c>
      <c r="I2938" s="2">
        <v>17.989999999999998</v>
      </c>
      <c r="J2938">
        <v>1</v>
      </c>
      <c r="K2938" s="2">
        <f t="shared" si="90"/>
        <v>17.989999999999998</v>
      </c>
      <c r="L2938" t="s">
        <v>19</v>
      </c>
      <c r="M2938">
        <v>4</v>
      </c>
      <c r="N2938">
        <v>0.1</v>
      </c>
      <c r="O2938" t="str">
        <f t="shared" si="91"/>
        <v>0–0.2 hours</v>
      </c>
      <c r="P2938" t="s">
        <v>52</v>
      </c>
    </row>
    <row r="2939" spans="1:16" x14ac:dyDescent="0.4">
      <c r="A2939" t="s">
        <v>2980</v>
      </c>
      <c r="B2939">
        <v>25</v>
      </c>
      <c r="C2939" t="s">
        <v>15</v>
      </c>
      <c r="D2939" t="s">
        <v>32</v>
      </c>
      <c r="E2939">
        <v>2.5099999999999998</v>
      </c>
      <c r="F2939">
        <v>18</v>
      </c>
      <c r="G2939" t="s">
        <v>28</v>
      </c>
      <c r="H2939" t="s">
        <v>18</v>
      </c>
      <c r="I2939" s="2">
        <v>17.989999999999998</v>
      </c>
      <c r="J2939">
        <v>0</v>
      </c>
      <c r="K2939" s="2">
        <f t="shared" si="90"/>
        <v>0</v>
      </c>
      <c r="L2939" t="s">
        <v>43</v>
      </c>
      <c r="M2939">
        <v>5</v>
      </c>
      <c r="N2939">
        <v>0.13</v>
      </c>
      <c r="O2939" t="str">
        <f t="shared" si="91"/>
        <v>0–0.2 hours</v>
      </c>
      <c r="P2939" t="s">
        <v>25</v>
      </c>
    </row>
    <row r="2940" spans="1:16" x14ac:dyDescent="0.4">
      <c r="A2940" t="s">
        <v>2981</v>
      </c>
      <c r="B2940">
        <v>32</v>
      </c>
      <c r="C2940" t="s">
        <v>27</v>
      </c>
      <c r="D2940" t="s">
        <v>16</v>
      </c>
      <c r="E2940">
        <v>7.17</v>
      </c>
      <c r="F2940">
        <v>3</v>
      </c>
      <c r="G2940" t="s">
        <v>28</v>
      </c>
      <c r="H2940" t="s">
        <v>57</v>
      </c>
      <c r="I2940" s="2">
        <v>8.99</v>
      </c>
      <c r="J2940">
        <v>0</v>
      </c>
      <c r="K2940" s="2">
        <f t="shared" si="90"/>
        <v>0</v>
      </c>
      <c r="L2940" t="s">
        <v>37</v>
      </c>
      <c r="M2940">
        <v>5</v>
      </c>
      <c r="N2940">
        <v>1.79</v>
      </c>
      <c r="O2940" t="str">
        <f t="shared" si="91"/>
        <v>1+ hours</v>
      </c>
      <c r="P2940" t="s">
        <v>34</v>
      </c>
    </row>
    <row r="2941" spans="1:16" x14ac:dyDescent="0.4">
      <c r="A2941" t="s">
        <v>2982</v>
      </c>
      <c r="B2941">
        <v>29</v>
      </c>
      <c r="C2941" t="s">
        <v>27</v>
      </c>
      <c r="D2941" t="s">
        <v>16</v>
      </c>
      <c r="E2941">
        <v>10.64</v>
      </c>
      <c r="F2941">
        <v>36</v>
      </c>
      <c r="G2941" t="s">
        <v>23</v>
      </c>
      <c r="H2941" t="s">
        <v>57</v>
      </c>
      <c r="I2941" s="2">
        <v>8.99</v>
      </c>
      <c r="J2941">
        <v>1</v>
      </c>
      <c r="K2941" s="2">
        <f t="shared" si="90"/>
        <v>8.99</v>
      </c>
      <c r="L2941" t="s">
        <v>43</v>
      </c>
      <c r="M2941">
        <v>1</v>
      </c>
      <c r="N2941">
        <v>0.28999999999999998</v>
      </c>
      <c r="O2941" t="str">
        <f t="shared" si="91"/>
        <v>0.2–0.4 hours</v>
      </c>
      <c r="P2941" t="s">
        <v>20</v>
      </c>
    </row>
    <row r="2942" spans="1:16" x14ac:dyDescent="0.4">
      <c r="A2942" t="s">
        <v>2983</v>
      </c>
      <c r="B2942">
        <v>56</v>
      </c>
      <c r="C2942" t="s">
        <v>41</v>
      </c>
      <c r="D2942" t="s">
        <v>22</v>
      </c>
      <c r="E2942">
        <v>12.06</v>
      </c>
      <c r="F2942">
        <v>26</v>
      </c>
      <c r="G2942" t="s">
        <v>49</v>
      </c>
      <c r="H2942" t="s">
        <v>46</v>
      </c>
      <c r="I2942" s="2">
        <v>13.99</v>
      </c>
      <c r="J2942">
        <v>0</v>
      </c>
      <c r="K2942" s="2">
        <f t="shared" si="90"/>
        <v>0</v>
      </c>
      <c r="L2942" t="s">
        <v>37</v>
      </c>
      <c r="M2942">
        <v>1</v>
      </c>
      <c r="N2942">
        <v>0.45</v>
      </c>
      <c r="O2942" t="str">
        <f t="shared" si="91"/>
        <v>0.4–0.6 hours</v>
      </c>
      <c r="P2942" t="s">
        <v>34</v>
      </c>
    </row>
    <row r="2943" spans="1:16" x14ac:dyDescent="0.4">
      <c r="A2943" t="s">
        <v>2984</v>
      </c>
      <c r="B2943">
        <v>57</v>
      </c>
      <c r="C2943" t="s">
        <v>27</v>
      </c>
      <c r="D2943" t="s">
        <v>22</v>
      </c>
      <c r="E2943">
        <v>28.5</v>
      </c>
      <c r="F2943">
        <v>23</v>
      </c>
      <c r="G2943" t="s">
        <v>49</v>
      </c>
      <c r="H2943" t="s">
        <v>55</v>
      </c>
      <c r="I2943" s="2">
        <v>13.99</v>
      </c>
      <c r="J2943">
        <v>0</v>
      </c>
      <c r="K2943" s="2">
        <f t="shared" si="90"/>
        <v>0</v>
      </c>
      <c r="L2943" t="s">
        <v>19</v>
      </c>
      <c r="M2943">
        <v>3</v>
      </c>
      <c r="N2943">
        <v>1.19</v>
      </c>
      <c r="O2943" t="str">
        <f t="shared" si="91"/>
        <v>1+ hours</v>
      </c>
      <c r="P2943" t="s">
        <v>52</v>
      </c>
    </row>
    <row r="2944" spans="1:16" x14ac:dyDescent="0.4">
      <c r="A2944" t="s">
        <v>2985</v>
      </c>
      <c r="B2944">
        <v>23</v>
      </c>
      <c r="C2944" t="s">
        <v>27</v>
      </c>
      <c r="D2944" t="s">
        <v>16</v>
      </c>
      <c r="E2944">
        <v>11.25</v>
      </c>
      <c r="F2944">
        <v>24</v>
      </c>
      <c r="G2944" t="s">
        <v>28</v>
      </c>
      <c r="H2944" t="s">
        <v>55</v>
      </c>
      <c r="I2944" s="2">
        <v>8.99</v>
      </c>
      <c r="J2944">
        <v>0</v>
      </c>
      <c r="K2944" s="2">
        <f t="shared" si="90"/>
        <v>0</v>
      </c>
      <c r="L2944" t="s">
        <v>29</v>
      </c>
      <c r="M2944">
        <v>5</v>
      </c>
      <c r="N2944">
        <v>0.45</v>
      </c>
      <c r="O2944" t="str">
        <f t="shared" si="91"/>
        <v>0.4–0.6 hours</v>
      </c>
      <c r="P2944" t="s">
        <v>47</v>
      </c>
    </row>
    <row r="2945" spans="1:16" x14ac:dyDescent="0.4">
      <c r="A2945" t="s">
        <v>2986</v>
      </c>
      <c r="B2945">
        <v>38</v>
      </c>
      <c r="C2945" t="s">
        <v>15</v>
      </c>
      <c r="D2945" t="s">
        <v>16</v>
      </c>
      <c r="E2945">
        <v>1.1299999999999999</v>
      </c>
      <c r="F2945">
        <v>41</v>
      </c>
      <c r="G2945" t="s">
        <v>28</v>
      </c>
      <c r="H2945" t="s">
        <v>55</v>
      </c>
      <c r="I2945" s="2">
        <v>8.99</v>
      </c>
      <c r="J2945">
        <v>1</v>
      </c>
      <c r="K2945" s="2">
        <f t="shared" si="90"/>
        <v>8.99</v>
      </c>
      <c r="L2945" t="s">
        <v>29</v>
      </c>
      <c r="M2945">
        <v>2</v>
      </c>
      <c r="N2945">
        <v>0.03</v>
      </c>
      <c r="O2945" t="str">
        <f t="shared" si="91"/>
        <v>0–0.2 hours</v>
      </c>
      <c r="P2945" t="s">
        <v>47</v>
      </c>
    </row>
    <row r="2946" spans="1:16" x14ac:dyDescent="0.4">
      <c r="A2946" t="s">
        <v>2987</v>
      </c>
      <c r="B2946">
        <v>62</v>
      </c>
      <c r="C2946" t="s">
        <v>41</v>
      </c>
      <c r="D2946" t="s">
        <v>16</v>
      </c>
      <c r="E2946">
        <v>12.33</v>
      </c>
      <c r="F2946">
        <v>47</v>
      </c>
      <c r="G2946" t="s">
        <v>49</v>
      </c>
      <c r="H2946" t="s">
        <v>55</v>
      </c>
      <c r="I2946" s="2">
        <v>8.99</v>
      </c>
      <c r="J2946">
        <v>1</v>
      </c>
      <c r="K2946" s="2">
        <f t="shared" si="90"/>
        <v>8.99</v>
      </c>
      <c r="L2946" t="s">
        <v>19</v>
      </c>
      <c r="M2946">
        <v>1</v>
      </c>
      <c r="N2946">
        <v>0.26</v>
      </c>
      <c r="O2946" t="str">
        <f t="shared" si="91"/>
        <v>0.2–0.4 hours</v>
      </c>
      <c r="P2946" t="s">
        <v>20</v>
      </c>
    </row>
    <row r="2947" spans="1:16" x14ac:dyDescent="0.4">
      <c r="A2947" t="s">
        <v>2988</v>
      </c>
      <c r="B2947">
        <v>51</v>
      </c>
      <c r="C2947" t="s">
        <v>41</v>
      </c>
      <c r="D2947" t="s">
        <v>22</v>
      </c>
      <c r="E2947">
        <v>8.43</v>
      </c>
      <c r="F2947">
        <v>37</v>
      </c>
      <c r="G2947" t="s">
        <v>49</v>
      </c>
      <c r="H2947" t="s">
        <v>24</v>
      </c>
      <c r="I2947" s="2">
        <v>13.99</v>
      </c>
      <c r="J2947">
        <v>1</v>
      </c>
      <c r="K2947" s="2">
        <f t="shared" ref="K2947:K3010" si="92">SUMIF(J2947,1,I2947)</f>
        <v>13.99</v>
      </c>
      <c r="L2947" t="s">
        <v>37</v>
      </c>
      <c r="M2947">
        <v>1</v>
      </c>
      <c r="N2947">
        <v>0.22</v>
      </c>
      <c r="O2947" t="str">
        <f t="shared" ref="O2947:O3010" si="93">IF(N2947&gt;1,"1+ hours",IF(N2947&lt;=0.2,"0–0.2 hours",IF(N2947&lt;=0.4,"0.2–0.4 hours",IF(N2947&lt;=0.6,"0.4–0.6 hours",IF(N2947&lt;=0.8,"0.6–0.8 hours","0.8–1 hour")))))</f>
        <v>0.2–0.4 hours</v>
      </c>
      <c r="P2947" t="s">
        <v>52</v>
      </c>
    </row>
    <row r="2948" spans="1:16" x14ac:dyDescent="0.4">
      <c r="A2948" t="s">
        <v>2989</v>
      </c>
      <c r="B2948">
        <v>54</v>
      </c>
      <c r="C2948" t="s">
        <v>15</v>
      </c>
      <c r="D2948" t="s">
        <v>22</v>
      </c>
      <c r="E2948">
        <v>3.36</v>
      </c>
      <c r="F2948">
        <v>50</v>
      </c>
      <c r="G2948" t="s">
        <v>17</v>
      </c>
      <c r="H2948" t="s">
        <v>46</v>
      </c>
      <c r="I2948" s="2">
        <v>13.99</v>
      </c>
      <c r="J2948">
        <v>1</v>
      </c>
      <c r="K2948" s="2">
        <f t="shared" si="92"/>
        <v>13.99</v>
      </c>
      <c r="L2948" t="s">
        <v>19</v>
      </c>
      <c r="M2948">
        <v>5</v>
      </c>
      <c r="N2948">
        <v>7.0000000000000007E-2</v>
      </c>
      <c r="O2948" t="str">
        <f t="shared" si="93"/>
        <v>0–0.2 hours</v>
      </c>
      <c r="P2948" t="s">
        <v>39</v>
      </c>
    </row>
    <row r="2949" spans="1:16" x14ac:dyDescent="0.4">
      <c r="A2949" t="s">
        <v>2990</v>
      </c>
      <c r="B2949">
        <v>33</v>
      </c>
      <c r="C2949" t="s">
        <v>27</v>
      </c>
      <c r="D2949" t="s">
        <v>16</v>
      </c>
      <c r="E2949">
        <v>11.36</v>
      </c>
      <c r="F2949">
        <v>51</v>
      </c>
      <c r="G2949" t="s">
        <v>23</v>
      </c>
      <c r="H2949" t="s">
        <v>55</v>
      </c>
      <c r="I2949" s="2">
        <v>8.99</v>
      </c>
      <c r="J2949">
        <v>1</v>
      </c>
      <c r="K2949" s="2">
        <f t="shared" si="92"/>
        <v>8.99</v>
      </c>
      <c r="L2949" t="s">
        <v>43</v>
      </c>
      <c r="M2949">
        <v>1</v>
      </c>
      <c r="N2949">
        <v>0.22</v>
      </c>
      <c r="O2949" t="str">
        <f t="shared" si="93"/>
        <v>0.2–0.4 hours</v>
      </c>
      <c r="P2949" t="s">
        <v>30</v>
      </c>
    </row>
    <row r="2950" spans="1:16" x14ac:dyDescent="0.4">
      <c r="A2950" t="s">
        <v>2991</v>
      </c>
      <c r="B2950">
        <v>54</v>
      </c>
      <c r="C2950" t="s">
        <v>27</v>
      </c>
      <c r="D2950" t="s">
        <v>32</v>
      </c>
      <c r="E2950">
        <v>2.08</v>
      </c>
      <c r="F2950">
        <v>12</v>
      </c>
      <c r="G2950" t="s">
        <v>17</v>
      </c>
      <c r="H2950" t="s">
        <v>24</v>
      </c>
      <c r="I2950" s="2">
        <v>17.989999999999998</v>
      </c>
      <c r="J2950">
        <v>0</v>
      </c>
      <c r="K2950" s="2">
        <f t="shared" si="92"/>
        <v>0</v>
      </c>
      <c r="L2950" t="s">
        <v>37</v>
      </c>
      <c r="M2950">
        <v>5</v>
      </c>
      <c r="N2950">
        <v>0.16</v>
      </c>
      <c r="O2950" t="str">
        <f t="shared" si="93"/>
        <v>0–0.2 hours</v>
      </c>
      <c r="P2950" t="s">
        <v>20</v>
      </c>
    </row>
    <row r="2951" spans="1:16" x14ac:dyDescent="0.4">
      <c r="A2951" t="s">
        <v>2992</v>
      </c>
      <c r="B2951">
        <v>38</v>
      </c>
      <c r="C2951" t="s">
        <v>41</v>
      </c>
      <c r="D2951" t="s">
        <v>32</v>
      </c>
      <c r="E2951">
        <v>3.49</v>
      </c>
      <c r="F2951">
        <v>26</v>
      </c>
      <c r="G2951" t="s">
        <v>28</v>
      </c>
      <c r="H2951" t="s">
        <v>18</v>
      </c>
      <c r="I2951" s="2">
        <v>17.989999999999998</v>
      </c>
      <c r="J2951">
        <v>0</v>
      </c>
      <c r="K2951" s="2">
        <f t="shared" si="92"/>
        <v>0</v>
      </c>
      <c r="L2951" t="s">
        <v>61</v>
      </c>
      <c r="M2951">
        <v>5</v>
      </c>
      <c r="N2951">
        <v>0.13</v>
      </c>
      <c r="O2951" t="str">
        <f t="shared" si="93"/>
        <v>0–0.2 hours</v>
      </c>
      <c r="P2951" t="s">
        <v>20</v>
      </c>
    </row>
    <row r="2952" spans="1:16" x14ac:dyDescent="0.4">
      <c r="A2952" t="s">
        <v>2993</v>
      </c>
      <c r="B2952">
        <v>24</v>
      </c>
      <c r="C2952" t="s">
        <v>15</v>
      </c>
      <c r="D2952" t="s">
        <v>16</v>
      </c>
      <c r="E2952">
        <v>17.559999999999999</v>
      </c>
      <c r="F2952">
        <v>10</v>
      </c>
      <c r="G2952" t="s">
        <v>33</v>
      </c>
      <c r="H2952" t="s">
        <v>24</v>
      </c>
      <c r="I2952" s="2">
        <v>8.99</v>
      </c>
      <c r="J2952">
        <v>0</v>
      </c>
      <c r="K2952" s="2">
        <f t="shared" si="92"/>
        <v>0</v>
      </c>
      <c r="L2952" t="s">
        <v>19</v>
      </c>
      <c r="M2952">
        <v>5</v>
      </c>
      <c r="N2952">
        <v>1.6</v>
      </c>
      <c r="O2952" t="str">
        <f t="shared" si="93"/>
        <v>1+ hours</v>
      </c>
      <c r="P2952" t="s">
        <v>20</v>
      </c>
    </row>
    <row r="2953" spans="1:16" x14ac:dyDescent="0.4">
      <c r="A2953" t="s">
        <v>2994</v>
      </c>
      <c r="B2953">
        <v>44</v>
      </c>
      <c r="C2953" t="s">
        <v>41</v>
      </c>
      <c r="D2953" t="s">
        <v>22</v>
      </c>
      <c r="E2953">
        <v>2.2799999999999998</v>
      </c>
      <c r="F2953">
        <v>59</v>
      </c>
      <c r="G2953" t="s">
        <v>28</v>
      </c>
      <c r="H2953" t="s">
        <v>46</v>
      </c>
      <c r="I2953" s="2">
        <v>13.99</v>
      </c>
      <c r="J2953">
        <v>1</v>
      </c>
      <c r="K2953" s="2">
        <f t="shared" si="92"/>
        <v>13.99</v>
      </c>
      <c r="L2953" t="s">
        <v>29</v>
      </c>
      <c r="M2953">
        <v>2</v>
      </c>
      <c r="N2953">
        <v>0.04</v>
      </c>
      <c r="O2953" t="str">
        <f t="shared" si="93"/>
        <v>0–0.2 hours</v>
      </c>
      <c r="P2953" t="s">
        <v>47</v>
      </c>
    </row>
    <row r="2954" spans="1:16" x14ac:dyDescent="0.4">
      <c r="A2954" t="s">
        <v>2995</v>
      </c>
      <c r="B2954">
        <v>37</v>
      </c>
      <c r="C2954" t="s">
        <v>41</v>
      </c>
      <c r="D2954" t="s">
        <v>22</v>
      </c>
      <c r="E2954">
        <v>28.57</v>
      </c>
      <c r="F2954">
        <v>4</v>
      </c>
      <c r="G2954" t="s">
        <v>23</v>
      </c>
      <c r="H2954" t="s">
        <v>24</v>
      </c>
      <c r="I2954" s="2">
        <v>13.99</v>
      </c>
      <c r="J2954">
        <v>0</v>
      </c>
      <c r="K2954" s="2">
        <f t="shared" si="92"/>
        <v>0</v>
      </c>
      <c r="L2954" t="s">
        <v>61</v>
      </c>
      <c r="M2954">
        <v>2</v>
      </c>
      <c r="N2954">
        <v>5.71</v>
      </c>
      <c r="O2954" t="str">
        <f t="shared" si="93"/>
        <v>1+ hours</v>
      </c>
      <c r="P2954" t="s">
        <v>34</v>
      </c>
    </row>
    <row r="2955" spans="1:16" x14ac:dyDescent="0.4">
      <c r="A2955" t="s">
        <v>2996</v>
      </c>
      <c r="B2955">
        <v>64</v>
      </c>
      <c r="C2955" t="s">
        <v>41</v>
      </c>
      <c r="D2955" t="s">
        <v>22</v>
      </c>
      <c r="E2955">
        <v>22.89</v>
      </c>
      <c r="F2955">
        <v>50</v>
      </c>
      <c r="G2955" t="s">
        <v>17</v>
      </c>
      <c r="H2955" t="s">
        <v>46</v>
      </c>
      <c r="I2955" s="2">
        <v>13.99</v>
      </c>
      <c r="J2955">
        <v>0</v>
      </c>
      <c r="K2955" s="2">
        <f t="shared" si="92"/>
        <v>0</v>
      </c>
      <c r="L2955" t="s">
        <v>29</v>
      </c>
      <c r="M2955">
        <v>3</v>
      </c>
      <c r="N2955">
        <v>0.45</v>
      </c>
      <c r="O2955" t="str">
        <f t="shared" si="93"/>
        <v>0.4–0.6 hours</v>
      </c>
      <c r="P2955" t="s">
        <v>20</v>
      </c>
    </row>
    <row r="2956" spans="1:16" x14ac:dyDescent="0.4">
      <c r="A2956" t="s">
        <v>2997</v>
      </c>
      <c r="B2956">
        <v>41</v>
      </c>
      <c r="C2956" t="s">
        <v>27</v>
      </c>
      <c r="D2956" t="s">
        <v>32</v>
      </c>
      <c r="E2956">
        <v>14.17</v>
      </c>
      <c r="F2956">
        <v>19</v>
      </c>
      <c r="G2956" t="s">
        <v>70</v>
      </c>
      <c r="H2956" t="s">
        <v>57</v>
      </c>
      <c r="I2956" s="2">
        <v>17.989999999999998</v>
      </c>
      <c r="J2956">
        <v>0</v>
      </c>
      <c r="K2956" s="2">
        <f t="shared" si="92"/>
        <v>0</v>
      </c>
      <c r="L2956" t="s">
        <v>19</v>
      </c>
      <c r="M2956">
        <v>3</v>
      </c>
      <c r="N2956">
        <v>0.71</v>
      </c>
      <c r="O2956" t="str">
        <f t="shared" si="93"/>
        <v>0.6–0.8 hours</v>
      </c>
      <c r="P2956" t="s">
        <v>20</v>
      </c>
    </row>
    <row r="2957" spans="1:16" x14ac:dyDescent="0.4">
      <c r="A2957" t="s">
        <v>2998</v>
      </c>
      <c r="B2957">
        <v>25</v>
      </c>
      <c r="C2957" t="s">
        <v>15</v>
      </c>
      <c r="D2957" t="s">
        <v>22</v>
      </c>
      <c r="E2957">
        <v>0.9</v>
      </c>
      <c r="F2957">
        <v>27</v>
      </c>
      <c r="G2957" t="s">
        <v>70</v>
      </c>
      <c r="H2957" t="s">
        <v>24</v>
      </c>
      <c r="I2957" s="2">
        <v>13.99</v>
      </c>
      <c r="J2957">
        <v>1</v>
      </c>
      <c r="K2957" s="2">
        <f t="shared" si="92"/>
        <v>13.99</v>
      </c>
      <c r="L2957" t="s">
        <v>43</v>
      </c>
      <c r="M2957">
        <v>3</v>
      </c>
      <c r="N2957">
        <v>0.03</v>
      </c>
      <c r="O2957" t="str">
        <f t="shared" si="93"/>
        <v>0–0.2 hours</v>
      </c>
      <c r="P2957" t="s">
        <v>34</v>
      </c>
    </row>
    <row r="2958" spans="1:16" x14ac:dyDescent="0.4">
      <c r="A2958" t="s">
        <v>2999</v>
      </c>
      <c r="B2958">
        <v>65</v>
      </c>
      <c r="C2958" t="s">
        <v>27</v>
      </c>
      <c r="D2958" t="s">
        <v>22</v>
      </c>
      <c r="E2958">
        <v>17.309999999999999</v>
      </c>
      <c r="F2958">
        <v>37</v>
      </c>
      <c r="G2958" t="s">
        <v>17</v>
      </c>
      <c r="H2958" t="s">
        <v>24</v>
      </c>
      <c r="I2958" s="2">
        <v>13.99</v>
      </c>
      <c r="J2958">
        <v>1</v>
      </c>
      <c r="K2958" s="2">
        <f t="shared" si="92"/>
        <v>13.99</v>
      </c>
      <c r="L2958" t="s">
        <v>43</v>
      </c>
      <c r="M2958">
        <v>1</v>
      </c>
      <c r="N2958">
        <v>0.46</v>
      </c>
      <c r="O2958" t="str">
        <f t="shared" si="93"/>
        <v>0.4–0.6 hours</v>
      </c>
      <c r="P2958" t="s">
        <v>30</v>
      </c>
    </row>
    <row r="2959" spans="1:16" x14ac:dyDescent="0.4">
      <c r="A2959" t="s">
        <v>3000</v>
      </c>
      <c r="B2959">
        <v>39</v>
      </c>
      <c r="C2959" t="s">
        <v>27</v>
      </c>
      <c r="D2959" t="s">
        <v>32</v>
      </c>
      <c r="E2959">
        <v>3.69</v>
      </c>
      <c r="F2959">
        <v>26</v>
      </c>
      <c r="G2959" t="s">
        <v>28</v>
      </c>
      <c r="H2959" t="s">
        <v>57</v>
      </c>
      <c r="I2959" s="2">
        <v>17.989999999999998</v>
      </c>
      <c r="J2959">
        <v>1</v>
      </c>
      <c r="K2959" s="2">
        <f t="shared" si="92"/>
        <v>17.989999999999998</v>
      </c>
      <c r="L2959" t="s">
        <v>29</v>
      </c>
      <c r="M2959">
        <v>5</v>
      </c>
      <c r="N2959">
        <v>0.14000000000000001</v>
      </c>
      <c r="O2959" t="str">
        <f t="shared" si="93"/>
        <v>0–0.2 hours</v>
      </c>
      <c r="P2959" t="s">
        <v>52</v>
      </c>
    </row>
    <row r="2960" spans="1:16" x14ac:dyDescent="0.4">
      <c r="A2960" t="s">
        <v>3001</v>
      </c>
      <c r="B2960">
        <v>69</v>
      </c>
      <c r="C2960" t="s">
        <v>41</v>
      </c>
      <c r="D2960" t="s">
        <v>22</v>
      </c>
      <c r="E2960">
        <v>42.32</v>
      </c>
      <c r="F2960">
        <v>48</v>
      </c>
      <c r="G2960" t="s">
        <v>33</v>
      </c>
      <c r="H2960" t="s">
        <v>18</v>
      </c>
      <c r="I2960" s="2">
        <v>13.99</v>
      </c>
      <c r="J2960">
        <v>0</v>
      </c>
      <c r="K2960" s="2">
        <f t="shared" si="92"/>
        <v>0</v>
      </c>
      <c r="L2960" t="s">
        <v>19</v>
      </c>
      <c r="M2960">
        <v>3</v>
      </c>
      <c r="N2960">
        <v>0.86</v>
      </c>
      <c r="O2960" t="str">
        <f t="shared" si="93"/>
        <v>0.8–1 hour</v>
      </c>
      <c r="P2960" t="s">
        <v>20</v>
      </c>
    </row>
    <row r="2961" spans="1:16" x14ac:dyDescent="0.4">
      <c r="A2961" t="s">
        <v>3002</v>
      </c>
      <c r="B2961">
        <v>61</v>
      </c>
      <c r="C2961" t="s">
        <v>15</v>
      </c>
      <c r="D2961" t="s">
        <v>32</v>
      </c>
      <c r="E2961">
        <v>31.47</v>
      </c>
      <c r="F2961">
        <v>52</v>
      </c>
      <c r="G2961" t="s">
        <v>23</v>
      </c>
      <c r="H2961" t="s">
        <v>55</v>
      </c>
      <c r="I2961" s="2">
        <v>17.989999999999998</v>
      </c>
      <c r="J2961">
        <v>0</v>
      </c>
      <c r="K2961" s="2">
        <f t="shared" si="92"/>
        <v>0</v>
      </c>
      <c r="L2961" t="s">
        <v>37</v>
      </c>
      <c r="M2961">
        <v>5</v>
      </c>
      <c r="N2961">
        <v>0.59</v>
      </c>
      <c r="O2961" t="str">
        <f t="shared" si="93"/>
        <v>0.4–0.6 hours</v>
      </c>
      <c r="P2961" t="s">
        <v>52</v>
      </c>
    </row>
    <row r="2962" spans="1:16" x14ac:dyDescent="0.4">
      <c r="A2962" t="s">
        <v>3003</v>
      </c>
      <c r="B2962">
        <v>59</v>
      </c>
      <c r="C2962" t="s">
        <v>41</v>
      </c>
      <c r="D2962" t="s">
        <v>22</v>
      </c>
      <c r="E2962">
        <v>16.350000000000001</v>
      </c>
      <c r="F2962">
        <v>1</v>
      </c>
      <c r="G2962" t="s">
        <v>28</v>
      </c>
      <c r="H2962" t="s">
        <v>18</v>
      </c>
      <c r="I2962" s="2">
        <v>13.99</v>
      </c>
      <c r="J2962">
        <v>0</v>
      </c>
      <c r="K2962" s="2">
        <f t="shared" si="92"/>
        <v>0</v>
      </c>
      <c r="L2962" t="s">
        <v>43</v>
      </c>
      <c r="M2962">
        <v>3</v>
      </c>
      <c r="N2962">
        <v>8.18</v>
      </c>
      <c r="O2962" t="str">
        <f t="shared" si="93"/>
        <v>1+ hours</v>
      </c>
      <c r="P2962" t="s">
        <v>20</v>
      </c>
    </row>
    <row r="2963" spans="1:16" x14ac:dyDescent="0.4">
      <c r="A2963" t="s">
        <v>3004</v>
      </c>
      <c r="B2963">
        <v>26</v>
      </c>
      <c r="C2963" t="s">
        <v>15</v>
      </c>
      <c r="D2963" t="s">
        <v>22</v>
      </c>
      <c r="E2963">
        <v>1.24</v>
      </c>
      <c r="F2963">
        <v>56</v>
      </c>
      <c r="G2963" t="s">
        <v>28</v>
      </c>
      <c r="H2963" t="s">
        <v>18</v>
      </c>
      <c r="I2963" s="2">
        <v>13.99</v>
      </c>
      <c r="J2963">
        <v>1</v>
      </c>
      <c r="K2963" s="2">
        <f t="shared" si="92"/>
        <v>13.99</v>
      </c>
      <c r="L2963" t="s">
        <v>37</v>
      </c>
      <c r="M2963">
        <v>1</v>
      </c>
      <c r="N2963">
        <v>0.02</v>
      </c>
      <c r="O2963" t="str">
        <f t="shared" si="93"/>
        <v>0–0.2 hours</v>
      </c>
      <c r="P2963" t="s">
        <v>25</v>
      </c>
    </row>
    <row r="2964" spans="1:16" x14ac:dyDescent="0.4">
      <c r="A2964" t="s">
        <v>3005</v>
      </c>
      <c r="B2964">
        <v>36</v>
      </c>
      <c r="C2964" t="s">
        <v>15</v>
      </c>
      <c r="D2964" t="s">
        <v>32</v>
      </c>
      <c r="E2964">
        <v>2.98</v>
      </c>
      <c r="F2964">
        <v>60</v>
      </c>
      <c r="G2964" t="s">
        <v>49</v>
      </c>
      <c r="H2964" t="s">
        <v>24</v>
      </c>
      <c r="I2964" s="2">
        <v>17.989999999999998</v>
      </c>
      <c r="J2964">
        <v>1</v>
      </c>
      <c r="K2964" s="2">
        <f t="shared" si="92"/>
        <v>17.989999999999998</v>
      </c>
      <c r="L2964" t="s">
        <v>37</v>
      </c>
      <c r="M2964">
        <v>4</v>
      </c>
      <c r="N2964">
        <v>0.05</v>
      </c>
      <c r="O2964" t="str">
        <f t="shared" si="93"/>
        <v>0–0.2 hours</v>
      </c>
      <c r="P2964" t="s">
        <v>30</v>
      </c>
    </row>
    <row r="2965" spans="1:16" x14ac:dyDescent="0.4">
      <c r="A2965" t="s">
        <v>3006</v>
      </c>
      <c r="B2965">
        <v>42</v>
      </c>
      <c r="C2965" t="s">
        <v>27</v>
      </c>
      <c r="D2965" t="s">
        <v>16</v>
      </c>
      <c r="E2965">
        <v>1.85</v>
      </c>
      <c r="F2965">
        <v>6</v>
      </c>
      <c r="G2965" t="s">
        <v>17</v>
      </c>
      <c r="H2965" t="s">
        <v>46</v>
      </c>
      <c r="I2965" s="2">
        <v>8.99</v>
      </c>
      <c r="J2965">
        <v>1</v>
      </c>
      <c r="K2965" s="2">
        <f t="shared" si="92"/>
        <v>8.99</v>
      </c>
      <c r="L2965" t="s">
        <v>29</v>
      </c>
      <c r="M2965">
        <v>5</v>
      </c>
      <c r="N2965">
        <v>0.26</v>
      </c>
      <c r="O2965" t="str">
        <f t="shared" si="93"/>
        <v>0.2–0.4 hours</v>
      </c>
      <c r="P2965" t="s">
        <v>34</v>
      </c>
    </row>
    <row r="2966" spans="1:16" x14ac:dyDescent="0.4">
      <c r="A2966" t="s">
        <v>3007</v>
      </c>
      <c r="B2966">
        <v>45</v>
      </c>
      <c r="C2966" t="s">
        <v>27</v>
      </c>
      <c r="D2966" t="s">
        <v>22</v>
      </c>
      <c r="E2966">
        <v>1.77</v>
      </c>
      <c r="F2966">
        <v>11</v>
      </c>
      <c r="G2966" t="s">
        <v>17</v>
      </c>
      <c r="H2966" t="s">
        <v>24</v>
      </c>
      <c r="I2966" s="2">
        <v>13.99</v>
      </c>
      <c r="J2966">
        <v>1</v>
      </c>
      <c r="K2966" s="2">
        <f t="shared" si="92"/>
        <v>13.99</v>
      </c>
      <c r="L2966" t="s">
        <v>43</v>
      </c>
      <c r="M2966">
        <v>3</v>
      </c>
      <c r="N2966">
        <v>0.15</v>
      </c>
      <c r="O2966" t="str">
        <f t="shared" si="93"/>
        <v>0–0.2 hours</v>
      </c>
      <c r="P2966" t="s">
        <v>39</v>
      </c>
    </row>
    <row r="2967" spans="1:16" x14ac:dyDescent="0.4">
      <c r="A2967" t="s">
        <v>3008</v>
      </c>
      <c r="B2967">
        <v>66</v>
      </c>
      <c r="C2967" t="s">
        <v>15</v>
      </c>
      <c r="D2967" t="s">
        <v>32</v>
      </c>
      <c r="E2967">
        <v>0.42</v>
      </c>
      <c r="F2967">
        <v>28</v>
      </c>
      <c r="G2967" t="s">
        <v>70</v>
      </c>
      <c r="H2967" t="s">
        <v>18</v>
      </c>
      <c r="I2967" s="2">
        <v>17.989999999999998</v>
      </c>
      <c r="J2967">
        <v>1</v>
      </c>
      <c r="K2967" s="2">
        <f t="shared" si="92"/>
        <v>17.989999999999998</v>
      </c>
      <c r="L2967" t="s">
        <v>29</v>
      </c>
      <c r="M2967">
        <v>5</v>
      </c>
      <c r="N2967">
        <v>0.01</v>
      </c>
      <c r="O2967" t="str">
        <f t="shared" si="93"/>
        <v>0–0.2 hours</v>
      </c>
      <c r="P2967" t="s">
        <v>30</v>
      </c>
    </row>
    <row r="2968" spans="1:16" x14ac:dyDescent="0.4">
      <c r="A2968" t="s">
        <v>3009</v>
      </c>
      <c r="B2968">
        <v>64</v>
      </c>
      <c r="C2968" t="s">
        <v>27</v>
      </c>
      <c r="D2968" t="s">
        <v>16</v>
      </c>
      <c r="E2968">
        <v>5.7</v>
      </c>
      <c r="F2968">
        <v>9</v>
      </c>
      <c r="G2968" t="s">
        <v>70</v>
      </c>
      <c r="H2968" t="s">
        <v>55</v>
      </c>
      <c r="I2968" s="2">
        <v>8.99</v>
      </c>
      <c r="J2968">
        <v>0</v>
      </c>
      <c r="K2968" s="2">
        <f t="shared" si="92"/>
        <v>0</v>
      </c>
      <c r="L2968" t="s">
        <v>61</v>
      </c>
      <c r="M2968">
        <v>1</v>
      </c>
      <c r="N2968">
        <v>0.56999999999999995</v>
      </c>
      <c r="O2968" t="str">
        <f t="shared" si="93"/>
        <v>0.4–0.6 hours</v>
      </c>
      <c r="P2968" t="s">
        <v>47</v>
      </c>
    </row>
    <row r="2969" spans="1:16" x14ac:dyDescent="0.4">
      <c r="A2969" t="s">
        <v>3010</v>
      </c>
      <c r="B2969">
        <v>54</v>
      </c>
      <c r="C2969" t="s">
        <v>15</v>
      </c>
      <c r="D2969" t="s">
        <v>16</v>
      </c>
      <c r="E2969">
        <v>0.51</v>
      </c>
      <c r="F2969">
        <v>11</v>
      </c>
      <c r="G2969" t="s">
        <v>49</v>
      </c>
      <c r="H2969" t="s">
        <v>57</v>
      </c>
      <c r="I2969" s="2">
        <v>8.99</v>
      </c>
      <c r="J2969">
        <v>1</v>
      </c>
      <c r="K2969" s="2">
        <f t="shared" si="92"/>
        <v>8.99</v>
      </c>
      <c r="L2969" t="s">
        <v>43</v>
      </c>
      <c r="M2969">
        <v>5</v>
      </c>
      <c r="N2969">
        <v>0.04</v>
      </c>
      <c r="O2969" t="str">
        <f t="shared" si="93"/>
        <v>0–0.2 hours</v>
      </c>
      <c r="P2969" t="s">
        <v>52</v>
      </c>
    </row>
    <row r="2970" spans="1:16" x14ac:dyDescent="0.4">
      <c r="A2970" t="s">
        <v>3011</v>
      </c>
      <c r="B2970">
        <v>69</v>
      </c>
      <c r="C2970" t="s">
        <v>41</v>
      </c>
      <c r="D2970" t="s">
        <v>16</v>
      </c>
      <c r="E2970">
        <v>3.45</v>
      </c>
      <c r="F2970">
        <v>26</v>
      </c>
      <c r="G2970" t="s">
        <v>70</v>
      </c>
      <c r="H2970" t="s">
        <v>24</v>
      </c>
      <c r="I2970" s="2">
        <v>8.99</v>
      </c>
      <c r="J2970">
        <v>1</v>
      </c>
      <c r="K2970" s="2">
        <f t="shared" si="92"/>
        <v>8.99</v>
      </c>
      <c r="L2970" t="s">
        <v>37</v>
      </c>
      <c r="M2970">
        <v>3</v>
      </c>
      <c r="N2970">
        <v>0.13</v>
      </c>
      <c r="O2970" t="str">
        <f t="shared" si="93"/>
        <v>0–0.2 hours</v>
      </c>
      <c r="P2970" t="s">
        <v>30</v>
      </c>
    </row>
    <row r="2971" spans="1:16" x14ac:dyDescent="0.4">
      <c r="A2971" t="s">
        <v>3012</v>
      </c>
      <c r="B2971">
        <v>53</v>
      </c>
      <c r="C2971" t="s">
        <v>41</v>
      </c>
      <c r="D2971" t="s">
        <v>16</v>
      </c>
      <c r="E2971">
        <v>6.45</v>
      </c>
      <c r="F2971">
        <v>6</v>
      </c>
      <c r="G2971" t="s">
        <v>49</v>
      </c>
      <c r="H2971" t="s">
        <v>24</v>
      </c>
      <c r="I2971" s="2">
        <v>8.99</v>
      </c>
      <c r="J2971">
        <v>0</v>
      </c>
      <c r="K2971" s="2">
        <f t="shared" si="92"/>
        <v>0</v>
      </c>
      <c r="L2971" t="s">
        <v>61</v>
      </c>
      <c r="M2971">
        <v>5</v>
      </c>
      <c r="N2971">
        <v>0.92</v>
      </c>
      <c r="O2971" t="str">
        <f t="shared" si="93"/>
        <v>0.8–1 hour</v>
      </c>
      <c r="P2971" t="s">
        <v>52</v>
      </c>
    </row>
    <row r="2972" spans="1:16" x14ac:dyDescent="0.4">
      <c r="A2972" t="s">
        <v>3013</v>
      </c>
      <c r="B2972">
        <v>31</v>
      </c>
      <c r="C2972" t="s">
        <v>15</v>
      </c>
      <c r="D2972" t="s">
        <v>16</v>
      </c>
      <c r="E2972">
        <v>5.16</v>
      </c>
      <c r="F2972">
        <v>41</v>
      </c>
      <c r="G2972" t="s">
        <v>23</v>
      </c>
      <c r="H2972" t="s">
        <v>24</v>
      </c>
      <c r="I2972" s="2">
        <v>8.99</v>
      </c>
      <c r="J2972">
        <v>1</v>
      </c>
      <c r="K2972" s="2">
        <f t="shared" si="92"/>
        <v>8.99</v>
      </c>
      <c r="L2972" t="s">
        <v>37</v>
      </c>
      <c r="M2972">
        <v>2</v>
      </c>
      <c r="N2972">
        <v>0.12</v>
      </c>
      <c r="O2972" t="str">
        <f t="shared" si="93"/>
        <v>0–0.2 hours</v>
      </c>
      <c r="P2972" t="s">
        <v>39</v>
      </c>
    </row>
    <row r="2973" spans="1:16" x14ac:dyDescent="0.4">
      <c r="A2973" t="s">
        <v>3014</v>
      </c>
      <c r="B2973">
        <v>27</v>
      </c>
      <c r="C2973" t="s">
        <v>41</v>
      </c>
      <c r="D2973" t="s">
        <v>16</v>
      </c>
      <c r="E2973">
        <v>1.41</v>
      </c>
      <c r="F2973">
        <v>0</v>
      </c>
      <c r="G2973" t="s">
        <v>70</v>
      </c>
      <c r="H2973" t="s">
        <v>57</v>
      </c>
      <c r="I2973" s="2">
        <v>8.99</v>
      </c>
      <c r="J2973">
        <v>0</v>
      </c>
      <c r="K2973" s="2">
        <f t="shared" si="92"/>
        <v>0</v>
      </c>
      <c r="L2973" t="s">
        <v>37</v>
      </c>
      <c r="M2973">
        <v>5</v>
      </c>
      <c r="N2973">
        <v>1.41</v>
      </c>
      <c r="O2973" t="str">
        <f t="shared" si="93"/>
        <v>1+ hours</v>
      </c>
      <c r="P2973" t="s">
        <v>20</v>
      </c>
    </row>
    <row r="2974" spans="1:16" x14ac:dyDescent="0.4">
      <c r="A2974" t="s">
        <v>3015</v>
      </c>
      <c r="B2974">
        <v>64</v>
      </c>
      <c r="C2974" t="s">
        <v>41</v>
      </c>
      <c r="D2974" t="s">
        <v>32</v>
      </c>
      <c r="E2974">
        <v>0.52</v>
      </c>
      <c r="F2974">
        <v>20</v>
      </c>
      <c r="G2974" t="s">
        <v>23</v>
      </c>
      <c r="H2974" t="s">
        <v>57</v>
      </c>
      <c r="I2974" s="2">
        <v>17.989999999999998</v>
      </c>
      <c r="J2974">
        <v>1</v>
      </c>
      <c r="K2974" s="2">
        <f t="shared" si="92"/>
        <v>17.989999999999998</v>
      </c>
      <c r="L2974" t="s">
        <v>61</v>
      </c>
      <c r="M2974">
        <v>2</v>
      </c>
      <c r="N2974">
        <v>0.02</v>
      </c>
      <c r="O2974" t="str">
        <f t="shared" si="93"/>
        <v>0–0.2 hours</v>
      </c>
      <c r="P2974" t="s">
        <v>25</v>
      </c>
    </row>
    <row r="2975" spans="1:16" x14ac:dyDescent="0.4">
      <c r="A2975" t="s">
        <v>3016</v>
      </c>
      <c r="B2975">
        <v>59</v>
      </c>
      <c r="C2975" t="s">
        <v>27</v>
      </c>
      <c r="D2975" t="s">
        <v>22</v>
      </c>
      <c r="E2975">
        <v>6.25</v>
      </c>
      <c r="F2975">
        <v>56</v>
      </c>
      <c r="G2975" t="s">
        <v>17</v>
      </c>
      <c r="H2975" t="s">
        <v>55</v>
      </c>
      <c r="I2975" s="2">
        <v>13.99</v>
      </c>
      <c r="J2975">
        <v>0</v>
      </c>
      <c r="K2975" s="2">
        <f t="shared" si="92"/>
        <v>0</v>
      </c>
      <c r="L2975" t="s">
        <v>37</v>
      </c>
      <c r="M2975">
        <v>4</v>
      </c>
      <c r="N2975">
        <v>0.11</v>
      </c>
      <c r="O2975" t="str">
        <f t="shared" si="93"/>
        <v>0–0.2 hours</v>
      </c>
      <c r="P2975" t="s">
        <v>39</v>
      </c>
    </row>
    <row r="2976" spans="1:16" x14ac:dyDescent="0.4">
      <c r="A2976" t="s">
        <v>3017</v>
      </c>
      <c r="B2976">
        <v>31</v>
      </c>
      <c r="C2976" t="s">
        <v>27</v>
      </c>
      <c r="D2976" t="s">
        <v>22</v>
      </c>
      <c r="E2976">
        <v>8.58</v>
      </c>
      <c r="F2976">
        <v>16</v>
      </c>
      <c r="G2976" t="s">
        <v>49</v>
      </c>
      <c r="H2976" t="s">
        <v>46</v>
      </c>
      <c r="I2976" s="2">
        <v>13.99</v>
      </c>
      <c r="J2976">
        <v>0</v>
      </c>
      <c r="K2976" s="2">
        <f t="shared" si="92"/>
        <v>0</v>
      </c>
      <c r="L2976" t="s">
        <v>61</v>
      </c>
      <c r="M2976">
        <v>2</v>
      </c>
      <c r="N2976">
        <v>0.5</v>
      </c>
      <c r="O2976" t="str">
        <f t="shared" si="93"/>
        <v>0.4–0.6 hours</v>
      </c>
      <c r="P2976" t="s">
        <v>30</v>
      </c>
    </row>
    <row r="2977" spans="1:16" x14ac:dyDescent="0.4">
      <c r="A2977" t="s">
        <v>3018</v>
      </c>
      <c r="B2977">
        <v>39</v>
      </c>
      <c r="C2977" t="s">
        <v>41</v>
      </c>
      <c r="D2977" t="s">
        <v>32</v>
      </c>
      <c r="E2977">
        <v>9.7799999999999994</v>
      </c>
      <c r="F2977">
        <v>54</v>
      </c>
      <c r="G2977" t="s">
        <v>17</v>
      </c>
      <c r="H2977" t="s">
        <v>55</v>
      </c>
      <c r="I2977" s="2">
        <v>17.989999999999998</v>
      </c>
      <c r="J2977">
        <v>0</v>
      </c>
      <c r="K2977" s="2">
        <f t="shared" si="92"/>
        <v>0</v>
      </c>
      <c r="L2977" t="s">
        <v>61</v>
      </c>
      <c r="M2977">
        <v>4</v>
      </c>
      <c r="N2977">
        <v>0.18</v>
      </c>
      <c r="O2977" t="str">
        <f t="shared" si="93"/>
        <v>0–0.2 hours</v>
      </c>
      <c r="P2977" t="s">
        <v>39</v>
      </c>
    </row>
    <row r="2978" spans="1:16" x14ac:dyDescent="0.4">
      <c r="A2978" t="s">
        <v>3019</v>
      </c>
      <c r="B2978">
        <v>27</v>
      </c>
      <c r="C2978" t="s">
        <v>15</v>
      </c>
      <c r="D2978" t="s">
        <v>16</v>
      </c>
      <c r="E2978">
        <v>0.14000000000000001</v>
      </c>
      <c r="F2978">
        <v>57</v>
      </c>
      <c r="G2978" t="s">
        <v>70</v>
      </c>
      <c r="H2978" t="s">
        <v>46</v>
      </c>
      <c r="I2978" s="2">
        <v>8.99</v>
      </c>
      <c r="J2978">
        <v>1</v>
      </c>
      <c r="K2978" s="2">
        <f t="shared" si="92"/>
        <v>8.99</v>
      </c>
      <c r="L2978" t="s">
        <v>37</v>
      </c>
      <c r="M2978">
        <v>5</v>
      </c>
      <c r="N2978">
        <v>0</v>
      </c>
      <c r="O2978" t="str">
        <f t="shared" si="93"/>
        <v>0–0.2 hours</v>
      </c>
      <c r="P2978" t="s">
        <v>30</v>
      </c>
    </row>
    <row r="2979" spans="1:16" x14ac:dyDescent="0.4">
      <c r="A2979" t="s">
        <v>3020</v>
      </c>
      <c r="B2979">
        <v>69</v>
      </c>
      <c r="C2979" t="s">
        <v>41</v>
      </c>
      <c r="D2979" t="s">
        <v>32</v>
      </c>
      <c r="E2979">
        <v>7.95</v>
      </c>
      <c r="F2979">
        <v>59</v>
      </c>
      <c r="G2979" t="s">
        <v>70</v>
      </c>
      <c r="H2979" t="s">
        <v>24</v>
      </c>
      <c r="I2979" s="2">
        <v>17.989999999999998</v>
      </c>
      <c r="J2979">
        <v>1</v>
      </c>
      <c r="K2979" s="2">
        <f t="shared" si="92"/>
        <v>17.989999999999998</v>
      </c>
      <c r="L2979" t="s">
        <v>29</v>
      </c>
      <c r="M2979">
        <v>2</v>
      </c>
      <c r="N2979">
        <v>0.13</v>
      </c>
      <c r="O2979" t="str">
        <f t="shared" si="93"/>
        <v>0–0.2 hours</v>
      </c>
      <c r="P2979" t="s">
        <v>52</v>
      </c>
    </row>
    <row r="2980" spans="1:16" x14ac:dyDescent="0.4">
      <c r="A2980" t="s">
        <v>3021</v>
      </c>
      <c r="B2980">
        <v>30</v>
      </c>
      <c r="C2980" t="s">
        <v>15</v>
      </c>
      <c r="D2980" t="s">
        <v>16</v>
      </c>
      <c r="E2980">
        <v>14.86</v>
      </c>
      <c r="F2980">
        <v>55</v>
      </c>
      <c r="G2980" t="s">
        <v>33</v>
      </c>
      <c r="H2980" t="s">
        <v>55</v>
      </c>
      <c r="I2980" s="2">
        <v>8.99</v>
      </c>
      <c r="J2980">
        <v>1</v>
      </c>
      <c r="K2980" s="2">
        <f t="shared" si="92"/>
        <v>8.99</v>
      </c>
      <c r="L2980" t="s">
        <v>37</v>
      </c>
      <c r="M2980">
        <v>2</v>
      </c>
      <c r="N2980">
        <v>0.27</v>
      </c>
      <c r="O2980" t="str">
        <f t="shared" si="93"/>
        <v>0.2–0.4 hours</v>
      </c>
      <c r="P2980" t="s">
        <v>52</v>
      </c>
    </row>
    <row r="2981" spans="1:16" x14ac:dyDescent="0.4">
      <c r="A2981" t="s">
        <v>3022</v>
      </c>
      <c r="B2981">
        <v>43</v>
      </c>
      <c r="C2981" t="s">
        <v>15</v>
      </c>
      <c r="D2981" t="s">
        <v>22</v>
      </c>
      <c r="E2981">
        <v>4.09</v>
      </c>
      <c r="F2981">
        <v>7</v>
      </c>
      <c r="G2981" t="s">
        <v>23</v>
      </c>
      <c r="H2981" t="s">
        <v>18</v>
      </c>
      <c r="I2981" s="2">
        <v>13.99</v>
      </c>
      <c r="J2981">
        <v>0</v>
      </c>
      <c r="K2981" s="2">
        <f t="shared" si="92"/>
        <v>0</v>
      </c>
      <c r="L2981" t="s">
        <v>19</v>
      </c>
      <c r="M2981">
        <v>5</v>
      </c>
      <c r="N2981">
        <v>0.51</v>
      </c>
      <c r="O2981" t="str">
        <f t="shared" si="93"/>
        <v>0.4–0.6 hours</v>
      </c>
      <c r="P2981" t="s">
        <v>52</v>
      </c>
    </row>
    <row r="2982" spans="1:16" x14ac:dyDescent="0.4">
      <c r="A2982" t="s">
        <v>3023</v>
      </c>
      <c r="B2982">
        <v>66</v>
      </c>
      <c r="C2982" t="s">
        <v>27</v>
      </c>
      <c r="D2982" t="s">
        <v>16</v>
      </c>
      <c r="E2982">
        <v>1.29</v>
      </c>
      <c r="F2982">
        <v>44</v>
      </c>
      <c r="G2982" t="s">
        <v>33</v>
      </c>
      <c r="H2982" t="s">
        <v>57</v>
      </c>
      <c r="I2982" s="2">
        <v>8.99</v>
      </c>
      <c r="J2982">
        <v>1</v>
      </c>
      <c r="K2982" s="2">
        <f t="shared" si="92"/>
        <v>8.99</v>
      </c>
      <c r="L2982" t="s">
        <v>43</v>
      </c>
      <c r="M2982">
        <v>3</v>
      </c>
      <c r="N2982">
        <v>0.03</v>
      </c>
      <c r="O2982" t="str">
        <f t="shared" si="93"/>
        <v>0–0.2 hours</v>
      </c>
      <c r="P2982" t="s">
        <v>39</v>
      </c>
    </row>
    <row r="2983" spans="1:16" x14ac:dyDescent="0.4">
      <c r="A2983" t="s">
        <v>3024</v>
      </c>
      <c r="B2983">
        <v>31</v>
      </c>
      <c r="C2983" t="s">
        <v>15</v>
      </c>
      <c r="D2983" t="s">
        <v>22</v>
      </c>
      <c r="E2983">
        <v>2.44</v>
      </c>
      <c r="F2983">
        <v>17</v>
      </c>
      <c r="G2983" t="s">
        <v>49</v>
      </c>
      <c r="H2983" t="s">
        <v>18</v>
      </c>
      <c r="I2983" s="2">
        <v>13.99</v>
      </c>
      <c r="J2983">
        <v>1</v>
      </c>
      <c r="K2983" s="2">
        <f t="shared" si="92"/>
        <v>13.99</v>
      </c>
      <c r="L2983" t="s">
        <v>61</v>
      </c>
      <c r="M2983">
        <v>3</v>
      </c>
      <c r="N2983">
        <v>0.14000000000000001</v>
      </c>
      <c r="O2983" t="str">
        <f t="shared" si="93"/>
        <v>0–0.2 hours</v>
      </c>
      <c r="P2983" t="s">
        <v>25</v>
      </c>
    </row>
    <row r="2984" spans="1:16" x14ac:dyDescent="0.4">
      <c r="A2984" t="s">
        <v>3025</v>
      </c>
      <c r="B2984">
        <v>36</v>
      </c>
      <c r="C2984" t="s">
        <v>41</v>
      </c>
      <c r="D2984" t="s">
        <v>32</v>
      </c>
      <c r="E2984">
        <v>6.16</v>
      </c>
      <c r="F2984">
        <v>53</v>
      </c>
      <c r="G2984" t="s">
        <v>23</v>
      </c>
      <c r="H2984" t="s">
        <v>24</v>
      </c>
      <c r="I2984" s="2">
        <v>17.989999999999998</v>
      </c>
      <c r="J2984">
        <v>0</v>
      </c>
      <c r="K2984" s="2">
        <f t="shared" si="92"/>
        <v>0</v>
      </c>
      <c r="L2984" t="s">
        <v>61</v>
      </c>
      <c r="M2984">
        <v>4</v>
      </c>
      <c r="N2984">
        <v>0.11</v>
      </c>
      <c r="O2984" t="str">
        <f t="shared" si="93"/>
        <v>0–0.2 hours</v>
      </c>
      <c r="P2984" t="s">
        <v>25</v>
      </c>
    </row>
    <row r="2985" spans="1:16" x14ac:dyDescent="0.4">
      <c r="A2985" t="s">
        <v>3026</v>
      </c>
      <c r="B2985">
        <v>60</v>
      </c>
      <c r="C2985" t="s">
        <v>15</v>
      </c>
      <c r="D2985" t="s">
        <v>32</v>
      </c>
      <c r="E2985">
        <v>15.16</v>
      </c>
      <c r="F2985">
        <v>45</v>
      </c>
      <c r="G2985" t="s">
        <v>23</v>
      </c>
      <c r="H2985" t="s">
        <v>46</v>
      </c>
      <c r="I2985" s="2">
        <v>17.989999999999998</v>
      </c>
      <c r="J2985">
        <v>1</v>
      </c>
      <c r="K2985" s="2">
        <f t="shared" si="92"/>
        <v>17.989999999999998</v>
      </c>
      <c r="L2985" t="s">
        <v>61</v>
      </c>
      <c r="M2985">
        <v>2</v>
      </c>
      <c r="N2985">
        <v>0.33</v>
      </c>
      <c r="O2985" t="str">
        <f t="shared" si="93"/>
        <v>0.2–0.4 hours</v>
      </c>
      <c r="P2985" t="s">
        <v>52</v>
      </c>
    </row>
    <row r="2986" spans="1:16" x14ac:dyDescent="0.4">
      <c r="A2986" t="s">
        <v>3027</v>
      </c>
      <c r="B2986">
        <v>32</v>
      </c>
      <c r="C2986" t="s">
        <v>41</v>
      </c>
      <c r="D2986" t="s">
        <v>22</v>
      </c>
      <c r="E2986">
        <v>7.57</v>
      </c>
      <c r="F2986">
        <v>18</v>
      </c>
      <c r="G2986" t="s">
        <v>17</v>
      </c>
      <c r="H2986" t="s">
        <v>57</v>
      </c>
      <c r="I2986" s="2">
        <v>13.99</v>
      </c>
      <c r="J2986">
        <v>0</v>
      </c>
      <c r="K2986" s="2">
        <f t="shared" si="92"/>
        <v>0</v>
      </c>
      <c r="L2986" t="s">
        <v>29</v>
      </c>
      <c r="M2986">
        <v>5</v>
      </c>
      <c r="N2986">
        <v>0.4</v>
      </c>
      <c r="O2986" t="str">
        <f t="shared" si="93"/>
        <v>0.2–0.4 hours</v>
      </c>
      <c r="P2986" t="s">
        <v>47</v>
      </c>
    </row>
    <row r="2987" spans="1:16" x14ac:dyDescent="0.4">
      <c r="A2987" t="s">
        <v>3028</v>
      </c>
      <c r="B2987">
        <v>50</v>
      </c>
      <c r="C2987" t="s">
        <v>15</v>
      </c>
      <c r="D2987" t="s">
        <v>32</v>
      </c>
      <c r="E2987">
        <v>27.56</v>
      </c>
      <c r="F2987">
        <v>44</v>
      </c>
      <c r="G2987" t="s">
        <v>17</v>
      </c>
      <c r="H2987" t="s">
        <v>18</v>
      </c>
      <c r="I2987" s="2">
        <v>17.989999999999998</v>
      </c>
      <c r="J2987">
        <v>0</v>
      </c>
      <c r="K2987" s="2">
        <f t="shared" si="92"/>
        <v>0</v>
      </c>
      <c r="L2987" t="s">
        <v>19</v>
      </c>
      <c r="M2987">
        <v>4</v>
      </c>
      <c r="N2987">
        <v>0.61</v>
      </c>
      <c r="O2987" t="str">
        <f t="shared" si="93"/>
        <v>0.6–0.8 hours</v>
      </c>
      <c r="P2987" t="s">
        <v>47</v>
      </c>
    </row>
    <row r="2988" spans="1:16" x14ac:dyDescent="0.4">
      <c r="A2988" t="s">
        <v>3029</v>
      </c>
      <c r="B2988">
        <v>37</v>
      </c>
      <c r="C2988" t="s">
        <v>15</v>
      </c>
      <c r="D2988" t="s">
        <v>16</v>
      </c>
      <c r="E2988">
        <v>3.17</v>
      </c>
      <c r="F2988">
        <v>46</v>
      </c>
      <c r="G2988" t="s">
        <v>17</v>
      </c>
      <c r="H2988" t="s">
        <v>24</v>
      </c>
      <c r="I2988" s="2">
        <v>8.99</v>
      </c>
      <c r="J2988">
        <v>1</v>
      </c>
      <c r="K2988" s="2">
        <f t="shared" si="92"/>
        <v>8.99</v>
      </c>
      <c r="L2988" t="s">
        <v>43</v>
      </c>
      <c r="M2988">
        <v>1</v>
      </c>
      <c r="N2988">
        <v>7.0000000000000007E-2</v>
      </c>
      <c r="O2988" t="str">
        <f t="shared" si="93"/>
        <v>0–0.2 hours</v>
      </c>
      <c r="P2988" t="s">
        <v>30</v>
      </c>
    </row>
    <row r="2989" spans="1:16" x14ac:dyDescent="0.4">
      <c r="A2989" t="s">
        <v>3030</v>
      </c>
      <c r="B2989">
        <v>20</v>
      </c>
      <c r="C2989" t="s">
        <v>41</v>
      </c>
      <c r="D2989" t="s">
        <v>32</v>
      </c>
      <c r="E2989">
        <v>36.39</v>
      </c>
      <c r="F2989">
        <v>49</v>
      </c>
      <c r="G2989" t="s">
        <v>49</v>
      </c>
      <c r="H2989" t="s">
        <v>18</v>
      </c>
      <c r="I2989" s="2">
        <v>17.989999999999998</v>
      </c>
      <c r="J2989">
        <v>0</v>
      </c>
      <c r="K2989" s="2">
        <f t="shared" si="92"/>
        <v>0</v>
      </c>
      <c r="L2989" t="s">
        <v>37</v>
      </c>
      <c r="M2989">
        <v>4</v>
      </c>
      <c r="N2989">
        <v>0.73</v>
      </c>
      <c r="O2989" t="str">
        <f t="shared" si="93"/>
        <v>0.6–0.8 hours</v>
      </c>
      <c r="P2989" t="s">
        <v>47</v>
      </c>
    </row>
    <row r="2990" spans="1:16" x14ac:dyDescent="0.4">
      <c r="A2990" s="1" t="s">
        <v>3031</v>
      </c>
      <c r="B2990">
        <v>65</v>
      </c>
      <c r="C2990" t="s">
        <v>27</v>
      </c>
      <c r="D2990" t="s">
        <v>16</v>
      </c>
      <c r="E2990">
        <v>2.99</v>
      </c>
      <c r="F2990">
        <v>54</v>
      </c>
      <c r="G2990" t="s">
        <v>49</v>
      </c>
      <c r="H2990" t="s">
        <v>46</v>
      </c>
      <c r="I2990" s="2">
        <v>8.99</v>
      </c>
      <c r="J2990">
        <v>1</v>
      </c>
      <c r="K2990" s="2">
        <f t="shared" si="92"/>
        <v>8.99</v>
      </c>
      <c r="L2990" t="s">
        <v>29</v>
      </c>
      <c r="M2990">
        <v>1</v>
      </c>
      <c r="N2990">
        <v>0.05</v>
      </c>
      <c r="O2990" t="str">
        <f t="shared" si="93"/>
        <v>0–0.2 hours</v>
      </c>
      <c r="P2990" t="s">
        <v>30</v>
      </c>
    </row>
    <row r="2991" spans="1:16" x14ac:dyDescent="0.4">
      <c r="A2991" t="s">
        <v>3032</v>
      </c>
      <c r="B2991">
        <v>50</v>
      </c>
      <c r="C2991" t="s">
        <v>15</v>
      </c>
      <c r="D2991" t="s">
        <v>32</v>
      </c>
      <c r="E2991">
        <v>1.04</v>
      </c>
      <c r="F2991">
        <v>51</v>
      </c>
      <c r="G2991" t="s">
        <v>17</v>
      </c>
      <c r="H2991" t="s">
        <v>57</v>
      </c>
      <c r="I2991" s="2">
        <v>17.989999999999998</v>
      </c>
      <c r="J2991">
        <v>1</v>
      </c>
      <c r="K2991" s="2">
        <f t="shared" si="92"/>
        <v>17.989999999999998</v>
      </c>
      <c r="L2991" t="s">
        <v>61</v>
      </c>
      <c r="M2991">
        <v>1</v>
      </c>
      <c r="N2991">
        <v>0.02</v>
      </c>
      <c r="O2991" t="str">
        <f t="shared" si="93"/>
        <v>0–0.2 hours</v>
      </c>
      <c r="P2991" t="s">
        <v>52</v>
      </c>
    </row>
    <row r="2992" spans="1:16" x14ac:dyDescent="0.4">
      <c r="A2992" t="s">
        <v>3033</v>
      </c>
      <c r="B2992">
        <v>48</v>
      </c>
      <c r="C2992" t="s">
        <v>41</v>
      </c>
      <c r="D2992" t="s">
        <v>22</v>
      </c>
      <c r="E2992">
        <v>6.52</v>
      </c>
      <c r="F2992">
        <v>25</v>
      </c>
      <c r="G2992" t="s">
        <v>28</v>
      </c>
      <c r="H2992" t="s">
        <v>24</v>
      </c>
      <c r="I2992" s="2">
        <v>13.99</v>
      </c>
      <c r="J2992">
        <v>0</v>
      </c>
      <c r="K2992" s="2">
        <f t="shared" si="92"/>
        <v>0</v>
      </c>
      <c r="L2992" t="s">
        <v>19</v>
      </c>
      <c r="M2992">
        <v>2</v>
      </c>
      <c r="N2992">
        <v>0.25</v>
      </c>
      <c r="O2992" t="str">
        <f t="shared" si="93"/>
        <v>0.2–0.4 hours</v>
      </c>
      <c r="P2992" t="s">
        <v>25</v>
      </c>
    </row>
    <row r="2993" spans="1:16" x14ac:dyDescent="0.4">
      <c r="A2993" t="s">
        <v>3034</v>
      </c>
      <c r="B2993">
        <v>40</v>
      </c>
      <c r="C2993" t="s">
        <v>41</v>
      </c>
      <c r="D2993" t="s">
        <v>22</v>
      </c>
      <c r="E2993">
        <v>3.11</v>
      </c>
      <c r="F2993">
        <v>51</v>
      </c>
      <c r="G2993" t="s">
        <v>33</v>
      </c>
      <c r="H2993" t="s">
        <v>57</v>
      </c>
      <c r="I2993" s="2">
        <v>13.99</v>
      </c>
      <c r="J2993">
        <v>1</v>
      </c>
      <c r="K2993" s="2">
        <f t="shared" si="92"/>
        <v>13.99</v>
      </c>
      <c r="L2993" t="s">
        <v>19</v>
      </c>
      <c r="M2993">
        <v>5</v>
      </c>
      <c r="N2993">
        <v>0.06</v>
      </c>
      <c r="O2993" t="str">
        <f t="shared" si="93"/>
        <v>0–0.2 hours</v>
      </c>
      <c r="P2993" t="s">
        <v>30</v>
      </c>
    </row>
    <row r="2994" spans="1:16" x14ac:dyDescent="0.4">
      <c r="A2994" t="s">
        <v>3035</v>
      </c>
      <c r="B2994">
        <v>51</v>
      </c>
      <c r="C2994" t="s">
        <v>41</v>
      </c>
      <c r="D2994" t="s">
        <v>32</v>
      </c>
      <c r="E2994">
        <v>9.77</v>
      </c>
      <c r="F2994">
        <v>29</v>
      </c>
      <c r="G2994" t="s">
        <v>28</v>
      </c>
      <c r="H2994" t="s">
        <v>18</v>
      </c>
      <c r="I2994" s="2">
        <v>17.989999999999998</v>
      </c>
      <c r="J2994">
        <v>0</v>
      </c>
      <c r="K2994" s="2">
        <f t="shared" si="92"/>
        <v>0</v>
      </c>
      <c r="L2994" t="s">
        <v>29</v>
      </c>
      <c r="M2994">
        <v>3</v>
      </c>
      <c r="N2994">
        <v>0.33</v>
      </c>
      <c r="O2994" t="str">
        <f t="shared" si="93"/>
        <v>0.2–0.4 hours</v>
      </c>
      <c r="P2994" t="s">
        <v>30</v>
      </c>
    </row>
    <row r="2995" spans="1:16" x14ac:dyDescent="0.4">
      <c r="A2995" t="s">
        <v>3036</v>
      </c>
      <c r="B2995">
        <v>23</v>
      </c>
      <c r="C2995" t="s">
        <v>27</v>
      </c>
      <c r="D2995" t="s">
        <v>16</v>
      </c>
      <c r="E2995">
        <v>4.2699999999999996</v>
      </c>
      <c r="F2995">
        <v>23</v>
      </c>
      <c r="G2995" t="s">
        <v>70</v>
      </c>
      <c r="H2995" t="s">
        <v>18</v>
      </c>
      <c r="I2995" s="2">
        <v>8.99</v>
      </c>
      <c r="J2995">
        <v>1</v>
      </c>
      <c r="K2995" s="2">
        <f t="shared" si="92"/>
        <v>8.99</v>
      </c>
      <c r="L2995" t="s">
        <v>37</v>
      </c>
      <c r="M2995">
        <v>1</v>
      </c>
      <c r="N2995">
        <v>0.18</v>
      </c>
      <c r="O2995" t="str">
        <f t="shared" si="93"/>
        <v>0–0.2 hours</v>
      </c>
      <c r="P2995" t="s">
        <v>25</v>
      </c>
    </row>
    <row r="2996" spans="1:16" x14ac:dyDescent="0.4">
      <c r="A2996" t="s">
        <v>3037</v>
      </c>
      <c r="B2996">
        <v>48</v>
      </c>
      <c r="C2996" t="s">
        <v>15</v>
      </c>
      <c r="D2996" t="s">
        <v>16</v>
      </c>
      <c r="E2996">
        <v>22.19</v>
      </c>
      <c r="F2996">
        <v>34</v>
      </c>
      <c r="G2996" t="s">
        <v>49</v>
      </c>
      <c r="H2996" t="s">
        <v>24</v>
      </c>
      <c r="I2996" s="2">
        <v>8.99</v>
      </c>
      <c r="J2996">
        <v>0</v>
      </c>
      <c r="K2996" s="2">
        <f t="shared" si="92"/>
        <v>0</v>
      </c>
      <c r="L2996" t="s">
        <v>61</v>
      </c>
      <c r="M2996">
        <v>2</v>
      </c>
      <c r="N2996">
        <v>0.63</v>
      </c>
      <c r="O2996" t="str">
        <f t="shared" si="93"/>
        <v>0.6–0.8 hours</v>
      </c>
      <c r="P2996" t="s">
        <v>39</v>
      </c>
    </row>
    <row r="2997" spans="1:16" x14ac:dyDescent="0.4">
      <c r="A2997" t="s">
        <v>3038</v>
      </c>
      <c r="B2997">
        <v>21</v>
      </c>
      <c r="C2997" t="s">
        <v>27</v>
      </c>
      <c r="D2997" t="s">
        <v>22</v>
      </c>
      <c r="E2997">
        <v>6.43</v>
      </c>
      <c r="F2997">
        <v>39</v>
      </c>
      <c r="G2997" t="s">
        <v>17</v>
      </c>
      <c r="H2997" t="s">
        <v>24</v>
      </c>
      <c r="I2997" s="2">
        <v>13.99</v>
      </c>
      <c r="J2997">
        <v>0</v>
      </c>
      <c r="K2997" s="2">
        <f t="shared" si="92"/>
        <v>0</v>
      </c>
      <c r="L2997" t="s">
        <v>61</v>
      </c>
      <c r="M2997">
        <v>5</v>
      </c>
      <c r="N2997">
        <v>0.16</v>
      </c>
      <c r="O2997" t="str">
        <f t="shared" si="93"/>
        <v>0–0.2 hours</v>
      </c>
      <c r="P2997" t="s">
        <v>34</v>
      </c>
    </row>
    <row r="2998" spans="1:16" x14ac:dyDescent="0.4">
      <c r="A2998" t="s">
        <v>3039</v>
      </c>
      <c r="B2998">
        <v>62</v>
      </c>
      <c r="C2998" t="s">
        <v>41</v>
      </c>
      <c r="D2998" t="s">
        <v>32</v>
      </c>
      <c r="E2998">
        <v>2.15</v>
      </c>
      <c r="F2998">
        <v>42</v>
      </c>
      <c r="G2998" t="s">
        <v>23</v>
      </c>
      <c r="H2998" t="s">
        <v>46</v>
      </c>
      <c r="I2998" s="2">
        <v>17.989999999999998</v>
      </c>
      <c r="J2998">
        <v>1</v>
      </c>
      <c r="K2998" s="2">
        <f t="shared" si="92"/>
        <v>17.989999999999998</v>
      </c>
      <c r="L2998" t="s">
        <v>61</v>
      </c>
      <c r="M2998">
        <v>2</v>
      </c>
      <c r="N2998">
        <v>0.05</v>
      </c>
      <c r="O2998" t="str">
        <f t="shared" si="93"/>
        <v>0–0.2 hours</v>
      </c>
      <c r="P2998" t="s">
        <v>47</v>
      </c>
    </row>
    <row r="2999" spans="1:16" x14ac:dyDescent="0.4">
      <c r="A2999" t="s">
        <v>3040</v>
      </c>
      <c r="B2999">
        <v>19</v>
      </c>
      <c r="C2999" t="s">
        <v>41</v>
      </c>
      <c r="D2999" t="s">
        <v>32</v>
      </c>
      <c r="E2999">
        <v>9.32</v>
      </c>
      <c r="F2999">
        <v>0</v>
      </c>
      <c r="G2999" t="s">
        <v>33</v>
      </c>
      <c r="H2999" t="s">
        <v>55</v>
      </c>
      <c r="I2999" s="2">
        <v>17.989999999999998</v>
      </c>
      <c r="J2999">
        <v>0</v>
      </c>
      <c r="K2999" s="2">
        <f t="shared" si="92"/>
        <v>0</v>
      </c>
      <c r="L2999" t="s">
        <v>37</v>
      </c>
      <c r="M2999">
        <v>2</v>
      </c>
      <c r="N2999">
        <v>9.32</v>
      </c>
      <c r="O2999" t="str">
        <f t="shared" si="93"/>
        <v>1+ hours</v>
      </c>
      <c r="P2999" t="s">
        <v>52</v>
      </c>
    </row>
    <row r="3000" spans="1:16" x14ac:dyDescent="0.4">
      <c r="A3000" t="s">
        <v>3041</v>
      </c>
      <c r="B3000">
        <v>55</v>
      </c>
      <c r="C3000" t="s">
        <v>15</v>
      </c>
      <c r="D3000" t="s">
        <v>22</v>
      </c>
      <c r="E3000">
        <v>47.76</v>
      </c>
      <c r="F3000">
        <v>39</v>
      </c>
      <c r="G3000" t="s">
        <v>33</v>
      </c>
      <c r="H3000" t="s">
        <v>55</v>
      </c>
      <c r="I3000" s="2">
        <v>13.99</v>
      </c>
      <c r="J3000">
        <v>0</v>
      </c>
      <c r="K3000" s="2">
        <f t="shared" si="92"/>
        <v>0</v>
      </c>
      <c r="L3000" t="s">
        <v>37</v>
      </c>
      <c r="M3000">
        <v>2</v>
      </c>
      <c r="N3000">
        <v>1.19</v>
      </c>
      <c r="O3000" t="str">
        <f t="shared" si="93"/>
        <v>1+ hours</v>
      </c>
      <c r="P3000" t="s">
        <v>34</v>
      </c>
    </row>
    <row r="3001" spans="1:16" x14ac:dyDescent="0.4">
      <c r="A3001" t="s">
        <v>3042</v>
      </c>
      <c r="B3001">
        <v>27</v>
      </c>
      <c r="C3001" t="s">
        <v>15</v>
      </c>
      <c r="D3001" t="s">
        <v>22</v>
      </c>
      <c r="E3001">
        <v>5.08</v>
      </c>
      <c r="F3001">
        <v>25</v>
      </c>
      <c r="G3001" t="s">
        <v>28</v>
      </c>
      <c r="H3001" t="s">
        <v>57</v>
      </c>
      <c r="I3001" s="2">
        <v>13.99</v>
      </c>
      <c r="J3001">
        <v>0</v>
      </c>
      <c r="K3001" s="2">
        <f t="shared" si="92"/>
        <v>0</v>
      </c>
      <c r="L3001" t="s">
        <v>19</v>
      </c>
      <c r="M3001">
        <v>1</v>
      </c>
      <c r="N3001">
        <v>0.2</v>
      </c>
      <c r="O3001" t="str">
        <f t="shared" si="93"/>
        <v>0–0.2 hours</v>
      </c>
      <c r="P3001" t="s">
        <v>39</v>
      </c>
    </row>
    <row r="3002" spans="1:16" x14ac:dyDescent="0.4">
      <c r="A3002" t="s">
        <v>3043</v>
      </c>
      <c r="B3002">
        <v>42</v>
      </c>
      <c r="C3002" t="s">
        <v>41</v>
      </c>
      <c r="D3002" t="s">
        <v>22</v>
      </c>
      <c r="E3002">
        <v>4.79</v>
      </c>
      <c r="F3002">
        <v>58</v>
      </c>
      <c r="G3002" t="s">
        <v>49</v>
      </c>
      <c r="H3002" t="s">
        <v>18</v>
      </c>
      <c r="I3002" s="2">
        <v>13.99</v>
      </c>
      <c r="J3002">
        <v>1</v>
      </c>
      <c r="K3002" s="2">
        <f t="shared" si="92"/>
        <v>13.99</v>
      </c>
      <c r="L3002" t="s">
        <v>61</v>
      </c>
      <c r="M3002">
        <v>3</v>
      </c>
      <c r="N3002">
        <v>0.08</v>
      </c>
      <c r="O3002" t="str">
        <f t="shared" si="93"/>
        <v>0–0.2 hours</v>
      </c>
      <c r="P3002" t="s">
        <v>25</v>
      </c>
    </row>
    <row r="3003" spans="1:16" x14ac:dyDescent="0.4">
      <c r="A3003" t="s">
        <v>3044</v>
      </c>
      <c r="B3003">
        <v>56</v>
      </c>
      <c r="C3003" t="s">
        <v>15</v>
      </c>
      <c r="D3003" t="s">
        <v>22</v>
      </c>
      <c r="E3003">
        <v>4.09</v>
      </c>
      <c r="F3003">
        <v>56</v>
      </c>
      <c r="G3003" t="s">
        <v>23</v>
      </c>
      <c r="H3003" t="s">
        <v>18</v>
      </c>
      <c r="I3003" s="2">
        <v>13.99</v>
      </c>
      <c r="J3003">
        <v>1</v>
      </c>
      <c r="K3003" s="2">
        <f t="shared" si="92"/>
        <v>13.99</v>
      </c>
      <c r="L3003" t="s">
        <v>43</v>
      </c>
      <c r="M3003">
        <v>3</v>
      </c>
      <c r="N3003">
        <v>7.0000000000000007E-2</v>
      </c>
      <c r="O3003" t="str">
        <f t="shared" si="93"/>
        <v>0–0.2 hours</v>
      </c>
      <c r="P3003" t="s">
        <v>39</v>
      </c>
    </row>
    <row r="3004" spans="1:16" x14ac:dyDescent="0.4">
      <c r="A3004" t="s">
        <v>3045</v>
      </c>
      <c r="B3004">
        <v>42</v>
      </c>
      <c r="C3004" t="s">
        <v>15</v>
      </c>
      <c r="D3004" t="s">
        <v>16</v>
      </c>
      <c r="E3004">
        <v>5.46</v>
      </c>
      <c r="F3004">
        <v>41</v>
      </c>
      <c r="G3004" t="s">
        <v>28</v>
      </c>
      <c r="H3004" t="s">
        <v>46</v>
      </c>
      <c r="I3004" s="2">
        <v>8.99</v>
      </c>
      <c r="J3004">
        <v>1</v>
      </c>
      <c r="K3004" s="2">
        <f t="shared" si="92"/>
        <v>8.99</v>
      </c>
      <c r="L3004" t="s">
        <v>37</v>
      </c>
      <c r="M3004">
        <v>3</v>
      </c>
      <c r="N3004">
        <v>0.13</v>
      </c>
      <c r="O3004" t="str">
        <f t="shared" si="93"/>
        <v>0–0.2 hours</v>
      </c>
      <c r="P3004" t="s">
        <v>20</v>
      </c>
    </row>
    <row r="3005" spans="1:16" x14ac:dyDescent="0.4">
      <c r="A3005" t="s">
        <v>3046</v>
      </c>
      <c r="B3005">
        <v>59</v>
      </c>
      <c r="C3005" t="s">
        <v>15</v>
      </c>
      <c r="D3005" t="s">
        <v>22</v>
      </c>
      <c r="E3005">
        <v>11.65</v>
      </c>
      <c r="F3005">
        <v>44</v>
      </c>
      <c r="G3005" t="s">
        <v>28</v>
      </c>
      <c r="H3005" t="s">
        <v>24</v>
      </c>
      <c r="I3005" s="2">
        <v>13.99</v>
      </c>
      <c r="J3005">
        <v>1</v>
      </c>
      <c r="K3005" s="2">
        <f t="shared" si="92"/>
        <v>13.99</v>
      </c>
      <c r="L3005" t="s">
        <v>29</v>
      </c>
      <c r="M3005">
        <v>1</v>
      </c>
      <c r="N3005">
        <v>0.26</v>
      </c>
      <c r="O3005" t="str">
        <f t="shared" si="93"/>
        <v>0.2–0.4 hours</v>
      </c>
      <c r="P3005" t="s">
        <v>39</v>
      </c>
    </row>
    <row r="3006" spans="1:16" x14ac:dyDescent="0.4">
      <c r="A3006" t="s">
        <v>3047</v>
      </c>
      <c r="B3006">
        <v>22</v>
      </c>
      <c r="C3006" t="s">
        <v>41</v>
      </c>
      <c r="D3006" t="s">
        <v>22</v>
      </c>
      <c r="E3006">
        <v>1.41</v>
      </c>
      <c r="F3006">
        <v>28</v>
      </c>
      <c r="G3006" t="s">
        <v>49</v>
      </c>
      <c r="H3006" t="s">
        <v>46</v>
      </c>
      <c r="I3006" s="2">
        <v>13.99</v>
      </c>
      <c r="J3006">
        <v>1</v>
      </c>
      <c r="K3006" s="2">
        <f t="shared" si="92"/>
        <v>13.99</v>
      </c>
      <c r="L3006" t="s">
        <v>19</v>
      </c>
      <c r="M3006">
        <v>4</v>
      </c>
      <c r="N3006">
        <v>0.05</v>
      </c>
      <c r="O3006" t="str">
        <f t="shared" si="93"/>
        <v>0–0.2 hours</v>
      </c>
      <c r="P3006" t="s">
        <v>25</v>
      </c>
    </row>
    <row r="3007" spans="1:16" x14ac:dyDescent="0.4">
      <c r="A3007" t="s">
        <v>3048</v>
      </c>
      <c r="B3007">
        <v>42</v>
      </c>
      <c r="C3007" t="s">
        <v>15</v>
      </c>
      <c r="D3007" t="s">
        <v>22</v>
      </c>
      <c r="E3007">
        <v>3.69</v>
      </c>
      <c r="F3007">
        <v>45</v>
      </c>
      <c r="G3007" t="s">
        <v>17</v>
      </c>
      <c r="H3007" t="s">
        <v>57</v>
      </c>
      <c r="I3007" s="2">
        <v>13.99</v>
      </c>
      <c r="J3007">
        <v>1</v>
      </c>
      <c r="K3007" s="2">
        <f t="shared" si="92"/>
        <v>13.99</v>
      </c>
      <c r="L3007" t="s">
        <v>19</v>
      </c>
      <c r="M3007">
        <v>2</v>
      </c>
      <c r="N3007">
        <v>0.08</v>
      </c>
      <c r="O3007" t="str">
        <f t="shared" si="93"/>
        <v>0–0.2 hours</v>
      </c>
      <c r="P3007" t="s">
        <v>34</v>
      </c>
    </row>
    <row r="3008" spans="1:16" x14ac:dyDescent="0.4">
      <c r="A3008" t="s">
        <v>3049</v>
      </c>
      <c r="B3008">
        <v>31</v>
      </c>
      <c r="C3008" t="s">
        <v>41</v>
      </c>
      <c r="D3008" t="s">
        <v>16</v>
      </c>
      <c r="E3008">
        <v>10.99</v>
      </c>
      <c r="F3008">
        <v>33</v>
      </c>
      <c r="G3008" t="s">
        <v>28</v>
      </c>
      <c r="H3008" t="s">
        <v>46</v>
      </c>
      <c r="I3008" s="2">
        <v>8.99</v>
      </c>
      <c r="J3008">
        <v>1</v>
      </c>
      <c r="K3008" s="2">
        <f t="shared" si="92"/>
        <v>8.99</v>
      </c>
      <c r="L3008" t="s">
        <v>61</v>
      </c>
      <c r="M3008">
        <v>3</v>
      </c>
      <c r="N3008">
        <v>0.32</v>
      </c>
      <c r="O3008" t="str">
        <f t="shared" si="93"/>
        <v>0.2–0.4 hours</v>
      </c>
      <c r="P3008" t="s">
        <v>25</v>
      </c>
    </row>
    <row r="3009" spans="1:16" x14ac:dyDescent="0.4">
      <c r="A3009" t="s">
        <v>3050</v>
      </c>
      <c r="B3009">
        <v>67</v>
      </c>
      <c r="C3009" t="s">
        <v>27</v>
      </c>
      <c r="D3009" t="s">
        <v>32</v>
      </c>
      <c r="E3009">
        <v>2.92</v>
      </c>
      <c r="F3009">
        <v>38</v>
      </c>
      <c r="G3009" t="s">
        <v>33</v>
      </c>
      <c r="H3009" t="s">
        <v>55</v>
      </c>
      <c r="I3009" s="2">
        <v>17.989999999999998</v>
      </c>
      <c r="J3009">
        <v>1</v>
      </c>
      <c r="K3009" s="2">
        <f t="shared" si="92"/>
        <v>17.989999999999998</v>
      </c>
      <c r="L3009" t="s">
        <v>19</v>
      </c>
      <c r="M3009">
        <v>5</v>
      </c>
      <c r="N3009">
        <v>7.0000000000000007E-2</v>
      </c>
      <c r="O3009" t="str">
        <f t="shared" si="93"/>
        <v>0–0.2 hours</v>
      </c>
      <c r="P3009" t="s">
        <v>20</v>
      </c>
    </row>
    <row r="3010" spans="1:16" x14ac:dyDescent="0.4">
      <c r="A3010" t="s">
        <v>3051</v>
      </c>
      <c r="B3010">
        <v>18</v>
      </c>
      <c r="C3010" t="s">
        <v>41</v>
      </c>
      <c r="D3010" t="s">
        <v>16</v>
      </c>
      <c r="E3010">
        <v>12.68</v>
      </c>
      <c r="F3010">
        <v>18</v>
      </c>
      <c r="G3010" t="s">
        <v>23</v>
      </c>
      <c r="H3010" t="s">
        <v>18</v>
      </c>
      <c r="I3010" s="2">
        <v>8.99</v>
      </c>
      <c r="J3010">
        <v>0</v>
      </c>
      <c r="K3010" s="2">
        <f t="shared" si="92"/>
        <v>0</v>
      </c>
      <c r="L3010" t="s">
        <v>37</v>
      </c>
      <c r="M3010">
        <v>3</v>
      </c>
      <c r="N3010">
        <v>0.67</v>
      </c>
      <c r="O3010" t="str">
        <f t="shared" si="93"/>
        <v>0.6–0.8 hours</v>
      </c>
      <c r="P3010" t="s">
        <v>30</v>
      </c>
    </row>
    <row r="3011" spans="1:16" x14ac:dyDescent="0.4">
      <c r="A3011" t="s">
        <v>3052</v>
      </c>
      <c r="B3011">
        <v>25</v>
      </c>
      <c r="C3011" t="s">
        <v>27</v>
      </c>
      <c r="D3011" t="s">
        <v>16</v>
      </c>
      <c r="E3011">
        <v>1.91</v>
      </c>
      <c r="F3011">
        <v>18</v>
      </c>
      <c r="G3011" t="s">
        <v>17</v>
      </c>
      <c r="H3011" t="s">
        <v>55</v>
      </c>
      <c r="I3011" s="2">
        <v>8.99</v>
      </c>
      <c r="J3011">
        <v>1</v>
      </c>
      <c r="K3011" s="2">
        <f t="shared" ref="K3011:K3074" si="94">SUMIF(J3011,1,I3011)</f>
        <v>8.99</v>
      </c>
      <c r="L3011" t="s">
        <v>29</v>
      </c>
      <c r="M3011">
        <v>3</v>
      </c>
      <c r="N3011">
        <v>0.1</v>
      </c>
      <c r="O3011" t="str">
        <f t="shared" ref="O3011:O3074" si="95">IF(N3011&gt;1,"1+ hours",IF(N3011&lt;=0.2,"0–0.2 hours",IF(N3011&lt;=0.4,"0.2–0.4 hours",IF(N3011&lt;=0.6,"0.4–0.6 hours",IF(N3011&lt;=0.8,"0.6–0.8 hours","0.8–1 hour")))))</f>
        <v>0–0.2 hours</v>
      </c>
      <c r="P3011" t="s">
        <v>52</v>
      </c>
    </row>
    <row r="3012" spans="1:16" x14ac:dyDescent="0.4">
      <c r="A3012" t="s">
        <v>3053</v>
      </c>
      <c r="B3012">
        <v>24</v>
      </c>
      <c r="C3012" t="s">
        <v>41</v>
      </c>
      <c r="D3012" t="s">
        <v>22</v>
      </c>
      <c r="E3012">
        <v>5.37</v>
      </c>
      <c r="F3012">
        <v>2</v>
      </c>
      <c r="G3012" t="s">
        <v>70</v>
      </c>
      <c r="H3012" t="s">
        <v>18</v>
      </c>
      <c r="I3012" s="2">
        <v>13.99</v>
      </c>
      <c r="J3012">
        <v>0</v>
      </c>
      <c r="K3012" s="2">
        <f t="shared" si="94"/>
        <v>0</v>
      </c>
      <c r="L3012" t="s">
        <v>19</v>
      </c>
      <c r="M3012">
        <v>2</v>
      </c>
      <c r="N3012">
        <v>1.79</v>
      </c>
      <c r="O3012" t="str">
        <f t="shared" si="95"/>
        <v>1+ hours</v>
      </c>
      <c r="P3012" t="s">
        <v>47</v>
      </c>
    </row>
    <row r="3013" spans="1:16" x14ac:dyDescent="0.4">
      <c r="A3013" t="s">
        <v>3054</v>
      </c>
      <c r="B3013">
        <v>64</v>
      </c>
      <c r="C3013" t="s">
        <v>41</v>
      </c>
      <c r="D3013" t="s">
        <v>22</v>
      </c>
      <c r="E3013">
        <v>0.31</v>
      </c>
      <c r="F3013">
        <v>52</v>
      </c>
      <c r="G3013" t="s">
        <v>23</v>
      </c>
      <c r="H3013" t="s">
        <v>55</v>
      </c>
      <c r="I3013" s="2">
        <v>13.99</v>
      </c>
      <c r="J3013">
        <v>1</v>
      </c>
      <c r="K3013" s="2">
        <f t="shared" si="94"/>
        <v>13.99</v>
      </c>
      <c r="L3013" t="s">
        <v>37</v>
      </c>
      <c r="M3013">
        <v>1</v>
      </c>
      <c r="N3013">
        <v>0.01</v>
      </c>
      <c r="O3013" t="str">
        <f t="shared" si="95"/>
        <v>0–0.2 hours</v>
      </c>
      <c r="P3013" t="s">
        <v>47</v>
      </c>
    </row>
    <row r="3014" spans="1:16" x14ac:dyDescent="0.4">
      <c r="A3014" t="s">
        <v>3055</v>
      </c>
      <c r="B3014">
        <v>66</v>
      </c>
      <c r="C3014" t="s">
        <v>41</v>
      </c>
      <c r="D3014" t="s">
        <v>16</v>
      </c>
      <c r="E3014">
        <v>27.65</v>
      </c>
      <c r="F3014">
        <v>12</v>
      </c>
      <c r="G3014" t="s">
        <v>23</v>
      </c>
      <c r="H3014" t="s">
        <v>46</v>
      </c>
      <c r="I3014" s="2">
        <v>8.99</v>
      </c>
      <c r="J3014">
        <v>0</v>
      </c>
      <c r="K3014" s="2">
        <f t="shared" si="94"/>
        <v>0</v>
      </c>
      <c r="L3014" t="s">
        <v>37</v>
      </c>
      <c r="M3014">
        <v>1</v>
      </c>
      <c r="N3014">
        <v>2.13</v>
      </c>
      <c r="O3014" t="str">
        <f t="shared" si="95"/>
        <v>1+ hours</v>
      </c>
      <c r="P3014" t="s">
        <v>25</v>
      </c>
    </row>
    <row r="3015" spans="1:16" x14ac:dyDescent="0.4">
      <c r="A3015" t="s">
        <v>3056</v>
      </c>
      <c r="B3015">
        <v>39</v>
      </c>
      <c r="C3015" t="s">
        <v>41</v>
      </c>
      <c r="D3015" t="s">
        <v>32</v>
      </c>
      <c r="E3015">
        <v>7.45</v>
      </c>
      <c r="F3015">
        <v>24</v>
      </c>
      <c r="G3015" t="s">
        <v>17</v>
      </c>
      <c r="H3015" t="s">
        <v>24</v>
      </c>
      <c r="I3015" s="2">
        <v>17.989999999999998</v>
      </c>
      <c r="J3015">
        <v>0</v>
      </c>
      <c r="K3015" s="2">
        <f t="shared" si="94"/>
        <v>0</v>
      </c>
      <c r="L3015" t="s">
        <v>37</v>
      </c>
      <c r="M3015">
        <v>1</v>
      </c>
      <c r="N3015">
        <v>0.3</v>
      </c>
      <c r="O3015" t="str">
        <f t="shared" si="95"/>
        <v>0.2–0.4 hours</v>
      </c>
      <c r="P3015" t="s">
        <v>25</v>
      </c>
    </row>
    <row r="3016" spans="1:16" x14ac:dyDescent="0.4">
      <c r="A3016" t="s">
        <v>3057</v>
      </c>
      <c r="B3016">
        <v>30</v>
      </c>
      <c r="C3016" t="s">
        <v>41</v>
      </c>
      <c r="D3016" t="s">
        <v>16</v>
      </c>
      <c r="E3016">
        <v>5.73</v>
      </c>
      <c r="F3016">
        <v>41</v>
      </c>
      <c r="G3016" t="s">
        <v>33</v>
      </c>
      <c r="H3016" t="s">
        <v>46</v>
      </c>
      <c r="I3016" s="2">
        <v>8.99</v>
      </c>
      <c r="J3016">
        <v>1</v>
      </c>
      <c r="K3016" s="2">
        <f t="shared" si="94"/>
        <v>8.99</v>
      </c>
      <c r="L3016" t="s">
        <v>19</v>
      </c>
      <c r="M3016">
        <v>3</v>
      </c>
      <c r="N3016">
        <v>0.14000000000000001</v>
      </c>
      <c r="O3016" t="str">
        <f t="shared" si="95"/>
        <v>0–0.2 hours</v>
      </c>
      <c r="P3016" t="s">
        <v>39</v>
      </c>
    </row>
    <row r="3017" spans="1:16" x14ac:dyDescent="0.4">
      <c r="A3017" t="s">
        <v>3058</v>
      </c>
      <c r="B3017">
        <v>52</v>
      </c>
      <c r="C3017" t="s">
        <v>27</v>
      </c>
      <c r="D3017" t="s">
        <v>22</v>
      </c>
      <c r="E3017">
        <v>31.15</v>
      </c>
      <c r="F3017">
        <v>57</v>
      </c>
      <c r="G3017" t="s">
        <v>23</v>
      </c>
      <c r="H3017" t="s">
        <v>18</v>
      </c>
      <c r="I3017" s="2">
        <v>13.99</v>
      </c>
      <c r="J3017">
        <v>0</v>
      </c>
      <c r="K3017" s="2">
        <f t="shared" si="94"/>
        <v>0</v>
      </c>
      <c r="L3017" t="s">
        <v>43</v>
      </c>
      <c r="M3017">
        <v>5</v>
      </c>
      <c r="N3017">
        <v>0.54</v>
      </c>
      <c r="O3017" t="str">
        <f t="shared" si="95"/>
        <v>0.4–0.6 hours</v>
      </c>
      <c r="P3017" t="s">
        <v>34</v>
      </c>
    </row>
    <row r="3018" spans="1:16" x14ac:dyDescent="0.4">
      <c r="A3018" t="s">
        <v>3059</v>
      </c>
      <c r="B3018">
        <v>19</v>
      </c>
      <c r="C3018" t="s">
        <v>15</v>
      </c>
      <c r="D3018" t="s">
        <v>32</v>
      </c>
      <c r="E3018">
        <v>8.11</v>
      </c>
      <c r="F3018">
        <v>56</v>
      </c>
      <c r="G3018" t="s">
        <v>70</v>
      </c>
      <c r="H3018" t="s">
        <v>46</v>
      </c>
      <c r="I3018" s="2">
        <v>17.989999999999998</v>
      </c>
      <c r="J3018">
        <v>0</v>
      </c>
      <c r="K3018" s="2">
        <f t="shared" si="94"/>
        <v>0</v>
      </c>
      <c r="L3018" t="s">
        <v>43</v>
      </c>
      <c r="M3018">
        <v>5</v>
      </c>
      <c r="N3018">
        <v>0.14000000000000001</v>
      </c>
      <c r="O3018" t="str">
        <f t="shared" si="95"/>
        <v>0–0.2 hours</v>
      </c>
      <c r="P3018" t="s">
        <v>34</v>
      </c>
    </row>
    <row r="3019" spans="1:16" x14ac:dyDescent="0.4">
      <c r="A3019" t="s">
        <v>3060</v>
      </c>
      <c r="B3019">
        <v>47</v>
      </c>
      <c r="C3019" t="s">
        <v>41</v>
      </c>
      <c r="D3019" t="s">
        <v>32</v>
      </c>
      <c r="E3019">
        <v>7.02</v>
      </c>
      <c r="F3019">
        <v>44</v>
      </c>
      <c r="G3019" t="s">
        <v>70</v>
      </c>
      <c r="H3019" t="s">
        <v>55</v>
      </c>
      <c r="I3019" s="2">
        <v>17.989999999999998</v>
      </c>
      <c r="J3019">
        <v>1</v>
      </c>
      <c r="K3019" s="2">
        <f t="shared" si="94"/>
        <v>17.989999999999998</v>
      </c>
      <c r="L3019" t="s">
        <v>19</v>
      </c>
      <c r="M3019">
        <v>5</v>
      </c>
      <c r="N3019">
        <v>0.16</v>
      </c>
      <c r="O3019" t="str">
        <f t="shared" si="95"/>
        <v>0–0.2 hours</v>
      </c>
      <c r="P3019" t="s">
        <v>20</v>
      </c>
    </row>
    <row r="3020" spans="1:16" x14ac:dyDescent="0.4">
      <c r="A3020" t="s">
        <v>3061</v>
      </c>
      <c r="B3020">
        <v>40</v>
      </c>
      <c r="C3020" t="s">
        <v>27</v>
      </c>
      <c r="D3020" t="s">
        <v>22</v>
      </c>
      <c r="E3020">
        <v>9.36</v>
      </c>
      <c r="F3020">
        <v>27</v>
      </c>
      <c r="G3020" t="s">
        <v>28</v>
      </c>
      <c r="H3020" t="s">
        <v>46</v>
      </c>
      <c r="I3020" s="2">
        <v>13.99</v>
      </c>
      <c r="J3020">
        <v>0</v>
      </c>
      <c r="K3020" s="2">
        <f t="shared" si="94"/>
        <v>0</v>
      </c>
      <c r="L3020" t="s">
        <v>37</v>
      </c>
      <c r="M3020">
        <v>3</v>
      </c>
      <c r="N3020">
        <v>0.33</v>
      </c>
      <c r="O3020" t="str">
        <f t="shared" si="95"/>
        <v>0.2–0.4 hours</v>
      </c>
      <c r="P3020" t="s">
        <v>34</v>
      </c>
    </row>
    <row r="3021" spans="1:16" x14ac:dyDescent="0.4">
      <c r="A3021" t="s">
        <v>3062</v>
      </c>
      <c r="B3021">
        <v>30</v>
      </c>
      <c r="C3021" t="s">
        <v>41</v>
      </c>
      <c r="D3021" t="s">
        <v>22</v>
      </c>
      <c r="E3021">
        <v>9.6999999999999993</v>
      </c>
      <c r="F3021">
        <v>37</v>
      </c>
      <c r="G3021" t="s">
        <v>70</v>
      </c>
      <c r="H3021" t="s">
        <v>24</v>
      </c>
      <c r="I3021" s="2">
        <v>13.99</v>
      </c>
      <c r="J3021">
        <v>1</v>
      </c>
      <c r="K3021" s="2">
        <f t="shared" si="94"/>
        <v>13.99</v>
      </c>
      <c r="L3021" t="s">
        <v>29</v>
      </c>
      <c r="M3021">
        <v>1</v>
      </c>
      <c r="N3021">
        <v>0.26</v>
      </c>
      <c r="O3021" t="str">
        <f t="shared" si="95"/>
        <v>0.2–0.4 hours</v>
      </c>
      <c r="P3021" t="s">
        <v>20</v>
      </c>
    </row>
    <row r="3022" spans="1:16" x14ac:dyDescent="0.4">
      <c r="A3022" t="s">
        <v>3063</v>
      </c>
      <c r="B3022">
        <v>24</v>
      </c>
      <c r="C3022" t="s">
        <v>15</v>
      </c>
      <c r="D3022" t="s">
        <v>16</v>
      </c>
      <c r="E3022">
        <v>15.34</v>
      </c>
      <c r="F3022">
        <v>43</v>
      </c>
      <c r="G3022" t="s">
        <v>23</v>
      </c>
      <c r="H3022" t="s">
        <v>55</v>
      </c>
      <c r="I3022" s="2">
        <v>8.99</v>
      </c>
      <c r="J3022">
        <v>1</v>
      </c>
      <c r="K3022" s="2">
        <f t="shared" si="94"/>
        <v>8.99</v>
      </c>
      <c r="L3022" t="s">
        <v>29</v>
      </c>
      <c r="M3022">
        <v>3</v>
      </c>
      <c r="N3022">
        <v>0.35</v>
      </c>
      <c r="O3022" t="str">
        <f t="shared" si="95"/>
        <v>0.2–0.4 hours</v>
      </c>
      <c r="P3022" t="s">
        <v>47</v>
      </c>
    </row>
    <row r="3023" spans="1:16" x14ac:dyDescent="0.4">
      <c r="A3023" t="s">
        <v>3064</v>
      </c>
      <c r="B3023">
        <v>44</v>
      </c>
      <c r="C3023" t="s">
        <v>41</v>
      </c>
      <c r="D3023" t="s">
        <v>32</v>
      </c>
      <c r="E3023">
        <v>1.68</v>
      </c>
      <c r="F3023">
        <v>16</v>
      </c>
      <c r="G3023" t="s">
        <v>33</v>
      </c>
      <c r="H3023" t="s">
        <v>55</v>
      </c>
      <c r="I3023" s="2">
        <v>17.989999999999998</v>
      </c>
      <c r="J3023">
        <v>1</v>
      </c>
      <c r="K3023" s="2">
        <f t="shared" si="94"/>
        <v>17.989999999999998</v>
      </c>
      <c r="L3023" t="s">
        <v>37</v>
      </c>
      <c r="M3023">
        <v>2</v>
      </c>
      <c r="N3023">
        <v>0.1</v>
      </c>
      <c r="O3023" t="str">
        <f t="shared" si="95"/>
        <v>0–0.2 hours</v>
      </c>
      <c r="P3023" t="s">
        <v>30</v>
      </c>
    </row>
    <row r="3024" spans="1:16" x14ac:dyDescent="0.4">
      <c r="A3024" t="s">
        <v>3065</v>
      </c>
      <c r="B3024">
        <v>36</v>
      </c>
      <c r="C3024" t="s">
        <v>27</v>
      </c>
      <c r="D3024" t="s">
        <v>22</v>
      </c>
      <c r="E3024">
        <v>3.88</v>
      </c>
      <c r="F3024">
        <v>41</v>
      </c>
      <c r="G3024" t="s">
        <v>49</v>
      </c>
      <c r="H3024" t="s">
        <v>46</v>
      </c>
      <c r="I3024" s="2">
        <v>13.99</v>
      </c>
      <c r="J3024">
        <v>1</v>
      </c>
      <c r="K3024" s="2">
        <f t="shared" si="94"/>
        <v>13.99</v>
      </c>
      <c r="L3024" t="s">
        <v>43</v>
      </c>
      <c r="M3024">
        <v>4</v>
      </c>
      <c r="N3024">
        <v>0.09</v>
      </c>
      <c r="O3024" t="str">
        <f t="shared" si="95"/>
        <v>0–0.2 hours</v>
      </c>
      <c r="P3024" t="s">
        <v>34</v>
      </c>
    </row>
    <row r="3025" spans="1:16" x14ac:dyDescent="0.4">
      <c r="A3025" t="s">
        <v>3066</v>
      </c>
      <c r="B3025">
        <v>41</v>
      </c>
      <c r="C3025" t="s">
        <v>27</v>
      </c>
      <c r="D3025" t="s">
        <v>32</v>
      </c>
      <c r="E3025">
        <v>10.47</v>
      </c>
      <c r="F3025">
        <v>37</v>
      </c>
      <c r="G3025" t="s">
        <v>28</v>
      </c>
      <c r="H3025" t="s">
        <v>18</v>
      </c>
      <c r="I3025" s="2">
        <v>17.989999999999998</v>
      </c>
      <c r="J3025">
        <v>0</v>
      </c>
      <c r="K3025" s="2">
        <f t="shared" si="94"/>
        <v>0</v>
      </c>
      <c r="L3025" t="s">
        <v>37</v>
      </c>
      <c r="M3025">
        <v>4</v>
      </c>
      <c r="N3025">
        <v>0.28000000000000003</v>
      </c>
      <c r="O3025" t="str">
        <f t="shared" si="95"/>
        <v>0.2–0.4 hours</v>
      </c>
      <c r="P3025" t="s">
        <v>25</v>
      </c>
    </row>
    <row r="3026" spans="1:16" x14ac:dyDescent="0.4">
      <c r="A3026" t="s">
        <v>3067</v>
      </c>
      <c r="B3026">
        <v>19</v>
      </c>
      <c r="C3026" t="s">
        <v>41</v>
      </c>
      <c r="D3026" t="s">
        <v>22</v>
      </c>
      <c r="E3026">
        <v>8.32</v>
      </c>
      <c r="F3026">
        <v>2</v>
      </c>
      <c r="G3026" t="s">
        <v>28</v>
      </c>
      <c r="H3026" t="s">
        <v>46</v>
      </c>
      <c r="I3026" s="2">
        <v>13.99</v>
      </c>
      <c r="J3026">
        <v>0</v>
      </c>
      <c r="K3026" s="2">
        <f t="shared" si="94"/>
        <v>0</v>
      </c>
      <c r="L3026" t="s">
        <v>43</v>
      </c>
      <c r="M3026">
        <v>2</v>
      </c>
      <c r="N3026">
        <v>2.77</v>
      </c>
      <c r="O3026" t="str">
        <f t="shared" si="95"/>
        <v>1+ hours</v>
      </c>
      <c r="P3026" t="s">
        <v>34</v>
      </c>
    </row>
    <row r="3027" spans="1:16" x14ac:dyDescent="0.4">
      <c r="A3027" t="s">
        <v>3068</v>
      </c>
      <c r="B3027">
        <v>36</v>
      </c>
      <c r="C3027" t="s">
        <v>15</v>
      </c>
      <c r="D3027" t="s">
        <v>32</v>
      </c>
      <c r="E3027">
        <v>54.48</v>
      </c>
      <c r="F3027">
        <v>25</v>
      </c>
      <c r="G3027" t="s">
        <v>17</v>
      </c>
      <c r="H3027" t="s">
        <v>24</v>
      </c>
      <c r="I3027" s="2">
        <v>17.989999999999998</v>
      </c>
      <c r="J3027">
        <v>0</v>
      </c>
      <c r="K3027" s="2">
        <f t="shared" si="94"/>
        <v>0</v>
      </c>
      <c r="L3027" t="s">
        <v>19</v>
      </c>
      <c r="M3027">
        <v>2</v>
      </c>
      <c r="N3027">
        <v>2.1</v>
      </c>
      <c r="O3027" t="str">
        <f t="shared" si="95"/>
        <v>1+ hours</v>
      </c>
      <c r="P3027" t="s">
        <v>52</v>
      </c>
    </row>
    <row r="3028" spans="1:16" x14ac:dyDescent="0.4">
      <c r="A3028" t="s">
        <v>3069</v>
      </c>
      <c r="B3028">
        <v>46</v>
      </c>
      <c r="C3028" t="s">
        <v>15</v>
      </c>
      <c r="D3028" t="s">
        <v>22</v>
      </c>
      <c r="E3028">
        <v>38.53</v>
      </c>
      <c r="F3028">
        <v>49</v>
      </c>
      <c r="G3028" t="s">
        <v>23</v>
      </c>
      <c r="H3028" t="s">
        <v>46</v>
      </c>
      <c r="I3028" s="2">
        <v>13.99</v>
      </c>
      <c r="J3028">
        <v>0</v>
      </c>
      <c r="K3028" s="2">
        <f t="shared" si="94"/>
        <v>0</v>
      </c>
      <c r="L3028" t="s">
        <v>29</v>
      </c>
      <c r="M3028">
        <v>2</v>
      </c>
      <c r="N3028">
        <v>0.77</v>
      </c>
      <c r="O3028" t="str">
        <f t="shared" si="95"/>
        <v>0.6–0.8 hours</v>
      </c>
      <c r="P3028" t="s">
        <v>25</v>
      </c>
    </row>
    <row r="3029" spans="1:16" x14ac:dyDescent="0.4">
      <c r="A3029" t="s">
        <v>3070</v>
      </c>
      <c r="B3029">
        <v>46</v>
      </c>
      <c r="C3029" t="s">
        <v>15</v>
      </c>
      <c r="D3029" t="s">
        <v>16</v>
      </c>
      <c r="E3029">
        <v>6.69</v>
      </c>
      <c r="F3029">
        <v>13</v>
      </c>
      <c r="G3029" t="s">
        <v>33</v>
      </c>
      <c r="H3029" t="s">
        <v>55</v>
      </c>
      <c r="I3029" s="2">
        <v>8.99</v>
      </c>
      <c r="J3029">
        <v>1</v>
      </c>
      <c r="K3029" s="2">
        <f t="shared" si="94"/>
        <v>8.99</v>
      </c>
      <c r="L3029" t="s">
        <v>29</v>
      </c>
      <c r="M3029">
        <v>1</v>
      </c>
      <c r="N3029">
        <v>0.48</v>
      </c>
      <c r="O3029" t="str">
        <f t="shared" si="95"/>
        <v>0.4–0.6 hours</v>
      </c>
      <c r="P3029" t="s">
        <v>39</v>
      </c>
    </row>
    <row r="3030" spans="1:16" x14ac:dyDescent="0.4">
      <c r="A3030" t="s">
        <v>3071</v>
      </c>
      <c r="B3030">
        <v>35</v>
      </c>
      <c r="C3030" t="s">
        <v>15</v>
      </c>
      <c r="D3030" t="s">
        <v>22</v>
      </c>
      <c r="E3030">
        <v>8.18</v>
      </c>
      <c r="F3030">
        <v>36</v>
      </c>
      <c r="G3030" t="s">
        <v>49</v>
      </c>
      <c r="H3030" t="s">
        <v>24</v>
      </c>
      <c r="I3030" s="2">
        <v>13.99</v>
      </c>
      <c r="J3030">
        <v>1</v>
      </c>
      <c r="K3030" s="2">
        <f t="shared" si="94"/>
        <v>13.99</v>
      </c>
      <c r="L3030" t="s">
        <v>37</v>
      </c>
      <c r="M3030">
        <v>2</v>
      </c>
      <c r="N3030">
        <v>0.22</v>
      </c>
      <c r="O3030" t="str">
        <f t="shared" si="95"/>
        <v>0.2–0.4 hours</v>
      </c>
      <c r="P3030" t="s">
        <v>39</v>
      </c>
    </row>
    <row r="3031" spans="1:16" x14ac:dyDescent="0.4">
      <c r="A3031" t="s">
        <v>3072</v>
      </c>
      <c r="B3031">
        <v>67</v>
      </c>
      <c r="C3031" t="s">
        <v>27</v>
      </c>
      <c r="D3031" t="s">
        <v>22</v>
      </c>
      <c r="E3031">
        <v>21.36</v>
      </c>
      <c r="F3031">
        <v>19</v>
      </c>
      <c r="G3031" t="s">
        <v>70</v>
      </c>
      <c r="H3031" t="s">
        <v>55</v>
      </c>
      <c r="I3031" s="2">
        <v>13.99</v>
      </c>
      <c r="J3031">
        <v>0</v>
      </c>
      <c r="K3031" s="2">
        <f t="shared" si="94"/>
        <v>0</v>
      </c>
      <c r="L3031" t="s">
        <v>43</v>
      </c>
      <c r="M3031">
        <v>4</v>
      </c>
      <c r="N3031">
        <v>1.07</v>
      </c>
      <c r="O3031" t="str">
        <f t="shared" si="95"/>
        <v>1+ hours</v>
      </c>
      <c r="P3031" t="s">
        <v>34</v>
      </c>
    </row>
    <row r="3032" spans="1:16" x14ac:dyDescent="0.4">
      <c r="A3032" t="s">
        <v>3073</v>
      </c>
      <c r="B3032">
        <v>66</v>
      </c>
      <c r="C3032" t="s">
        <v>27</v>
      </c>
      <c r="D3032" t="s">
        <v>22</v>
      </c>
      <c r="E3032">
        <v>36.700000000000003</v>
      </c>
      <c r="F3032">
        <v>48</v>
      </c>
      <c r="G3032" t="s">
        <v>49</v>
      </c>
      <c r="H3032" t="s">
        <v>18</v>
      </c>
      <c r="I3032" s="2">
        <v>13.99</v>
      </c>
      <c r="J3032">
        <v>0</v>
      </c>
      <c r="K3032" s="2">
        <f t="shared" si="94"/>
        <v>0</v>
      </c>
      <c r="L3032" t="s">
        <v>29</v>
      </c>
      <c r="M3032">
        <v>3</v>
      </c>
      <c r="N3032">
        <v>0.75</v>
      </c>
      <c r="O3032" t="str">
        <f t="shared" si="95"/>
        <v>0.6–0.8 hours</v>
      </c>
      <c r="P3032" t="s">
        <v>39</v>
      </c>
    </row>
    <row r="3033" spans="1:16" x14ac:dyDescent="0.4">
      <c r="A3033" t="s">
        <v>3074</v>
      </c>
      <c r="B3033">
        <v>20</v>
      </c>
      <c r="C3033" t="s">
        <v>27</v>
      </c>
      <c r="D3033" t="s">
        <v>22</v>
      </c>
      <c r="E3033">
        <v>7.66</v>
      </c>
      <c r="F3033">
        <v>36</v>
      </c>
      <c r="G3033" t="s">
        <v>70</v>
      </c>
      <c r="H3033" t="s">
        <v>55</v>
      </c>
      <c r="I3033" s="2">
        <v>13.99</v>
      </c>
      <c r="J3033">
        <v>0</v>
      </c>
      <c r="K3033" s="2">
        <f t="shared" si="94"/>
        <v>0</v>
      </c>
      <c r="L3033" t="s">
        <v>37</v>
      </c>
      <c r="M3033">
        <v>5</v>
      </c>
      <c r="N3033">
        <v>0.21</v>
      </c>
      <c r="O3033" t="str">
        <f t="shared" si="95"/>
        <v>0.2–0.4 hours</v>
      </c>
      <c r="P3033" t="s">
        <v>25</v>
      </c>
    </row>
    <row r="3034" spans="1:16" x14ac:dyDescent="0.4">
      <c r="A3034" t="s">
        <v>3075</v>
      </c>
      <c r="B3034">
        <v>22</v>
      </c>
      <c r="C3034" t="s">
        <v>15</v>
      </c>
      <c r="D3034" t="s">
        <v>16</v>
      </c>
      <c r="E3034">
        <v>10.85</v>
      </c>
      <c r="F3034">
        <v>44</v>
      </c>
      <c r="G3034" t="s">
        <v>70</v>
      </c>
      <c r="H3034" t="s">
        <v>46</v>
      </c>
      <c r="I3034" s="2">
        <v>8.99</v>
      </c>
      <c r="J3034">
        <v>1</v>
      </c>
      <c r="K3034" s="2">
        <f t="shared" si="94"/>
        <v>8.99</v>
      </c>
      <c r="L3034" t="s">
        <v>19</v>
      </c>
      <c r="M3034">
        <v>4</v>
      </c>
      <c r="N3034">
        <v>0.24</v>
      </c>
      <c r="O3034" t="str">
        <f t="shared" si="95"/>
        <v>0.2–0.4 hours</v>
      </c>
      <c r="P3034" t="s">
        <v>30</v>
      </c>
    </row>
    <row r="3035" spans="1:16" x14ac:dyDescent="0.4">
      <c r="A3035" t="s">
        <v>3076</v>
      </c>
      <c r="B3035">
        <v>62</v>
      </c>
      <c r="C3035" t="s">
        <v>41</v>
      </c>
      <c r="D3035" t="s">
        <v>22</v>
      </c>
      <c r="E3035">
        <v>9.73</v>
      </c>
      <c r="F3035">
        <v>52</v>
      </c>
      <c r="G3035" t="s">
        <v>70</v>
      </c>
      <c r="H3035" t="s">
        <v>57</v>
      </c>
      <c r="I3035" s="2">
        <v>13.99</v>
      </c>
      <c r="J3035">
        <v>1</v>
      </c>
      <c r="K3035" s="2">
        <f t="shared" si="94"/>
        <v>13.99</v>
      </c>
      <c r="L3035" t="s">
        <v>29</v>
      </c>
      <c r="M3035">
        <v>1</v>
      </c>
      <c r="N3035">
        <v>0.18</v>
      </c>
      <c r="O3035" t="str">
        <f t="shared" si="95"/>
        <v>0–0.2 hours</v>
      </c>
      <c r="P3035" t="s">
        <v>30</v>
      </c>
    </row>
    <row r="3036" spans="1:16" x14ac:dyDescent="0.4">
      <c r="A3036" t="s">
        <v>3077</v>
      </c>
      <c r="B3036">
        <v>24</v>
      </c>
      <c r="C3036" t="s">
        <v>41</v>
      </c>
      <c r="D3036" t="s">
        <v>16</v>
      </c>
      <c r="E3036">
        <v>7.95</v>
      </c>
      <c r="F3036">
        <v>33</v>
      </c>
      <c r="G3036" t="s">
        <v>17</v>
      </c>
      <c r="H3036" t="s">
        <v>57</v>
      </c>
      <c r="I3036" s="2">
        <v>8.99</v>
      </c>
      <c r="J3036">
        <v>1</v>
      </c>
      <c r="K3036" s="2">
        <f t="shared" si="94"/>
        <v>8.99</v>
      </c>
      <c r="L3036" t="s">
        <v>43</v>
      </c>
      <c r="M3036">
        <v>3</v>
      </c>
      <c r="N3036">
        <v>0.23</v>
      </c>
      <c r="O3036" t="str">
        <f t="shared" si="95"/>
        <v>0.2–0.4 hours</v>
      </c>
      <c r="P3036" t="s">
        <v>30</v>
      </c>
    </row>
    <row r="3037" spans="1:16" x14ac:dyDescent="0.4">
      <c r="A3037" t="s">
        <v>3078</v>
      </c>
      <c r="B3037">
        <v>55</v>
      </c>
      <c r="C3037" t="s">
        <v>15</v>
      </c>
      <c r="D3037" t="s">
        <v>16</v>
      </c>
      <c r="E3037">
        <v>1.92</v>
      </c>
      <c r="F3037">
        <v>32</v>
      </c>
      <c r="G3037" t="s">
        <v>49</v>
      </c>
      <c r="H3037" t="s">
        <v>46</v>
      </c>
      <c r="I3037" s="2">
        <v>8.99</v>
      </c>
      <c r="J3037">
        <v>1</v>
      </c>
      <c r="K3037" s="2">
        <f t="shared" si="94"/>
        <v>8.99</v>
      </c>
      <c r="L3037" t="s">
        <v>19</v>
      </c>
      <c r="M3037">
        <v>5</v>
      </c>
      <c r="N3037">
        <v>0.06</v>
      </c>
      <c r="O3037" t="str">
        <f t="shared" si="95"/>
        <v>0–0.2 hours</v>
      </c>
      <c r="P3037" t="s">
        <v>34</v>
      </c>
    </row>
    <row r="3038" spans="1:16" x14ac:dyDescent="0.4">
      <c r="A3038" t="s">
        <v>3079</v>
      </c>
      <c r="B3038">
        <v>45</v>
      </c>
      <c r="C3038" t="s">
        <v>15</v>
      </c>
      <c r="D3038" t="s">
        <v>22</v>
      </c>
      <c r="E3038">
        <v>82.63</v>
      </c>
      <c r="F3038">
        <v>44</v>
      </c>
      <c r="G3038" t="s">
        <v>33</v>
      </c>
      <c r="H3038" t="s">
        <v>57</v>
      </c>
      <c r="I3038" s="2">
        <v>13.99</v>
      </c>
      <c r="J3038">
        <v>0</v>
      </c>
      <c r="K3038" s="2">
        <f t="shared" si="94"/>
        <v>0</v>
      </c>
      <c r="L3038" t="s">
        <v>43</v>
      </c>
      <c r="M3038">
        <v>4</v>
      </c>
      <c r="N3038">
        <v>1.84</v>
      </c>
      <c r="O3038" t="str">
        <f t="shared" si="95"/>
        <v>1+ hours</v>
      </c>
      <c r="P3038" t="s">
        <v>20</v>
      </c>
    </row>
    <row r="3039" spans="1:16" x14ac:dyDescent="0.4">
      <c r="A3039" t="s">
        <v>3080</v>
      </c>
      <c r="B3039">
        <v>63</v>
      </c>
      <c r="C3039" t="s">
        <v>15</v>
      </c>
      <c r="D3039" t="s">
        <v>32</v>
      </c>
      <c r="E3039">
        <v>27.92</v>
      </c>
      <c r="F3039">
        <v>14</v>
      </c>
      <c r="G3039" t="s">
        <v>17</v>
      </c>
      <c r="H3039" t="s">
        <v>46</v>
      </c>
      <c r="I3039" s="2">
        <v>17.989999999999998</v>
      </c>
      <c r="J3039">
        <v>0</v>
      </c>
      <c r="K3039" s="2">
        <f t="shared" si="94"/>
        <v>0</v>
      </c>
      <c r="L3039" t="s">
        <v>19</v>
      </c>
      <c r="M3039">
        <v>3</v>
      </c>
      <c r="N3039">
        <v>1.86</v>
      </c>
      <c r="O3039" t="str">
        <f t="shared" si="95"/>
        <v>1+ hours</v>
      </c>
      <c r="P3039" t="s">
        <v>30</v>
      </c>
    </row>
    <row r="3040" spans="1:16" x14ac:dyDescent="0.4">
      <c r="A3040" t="s">
        <v>3081</v>
      </c>
      <c r="B3040">
        <v>44</v>
      </c>
      <c r="C3040" t="s">
        <v>15</v>
      </c>
      <c r="D3040" t="s">
        <v>32</v>
      </c>
      <c r="E3040">
        <v>11.7</v>
      </c>
      <c r="F3040">
        <v>28</v>
      </c>
      <c r="G3040" t="s">
        <v>23</v>
      </c>
      <c r="H3040" t="s">
        <v>55</v>
      </c>
      <c r="I3040" s="2">
        <v>17.989999999999998</v>
      </c>
      <c r="J3040">
        <v>0</v>
      </c>
      <c r="K3040" s="2">
        <f t="shared" si="94"/>
        <v>0</v>
      </c>
      <c r="L3040" t="s">
        <v>37</v>
      </c>
      <c r="M3040">
        <v>3</v>
      </c>
      <c r="N3040">
        <v>0.4</v>
      </c>
      <c r="O3040" t="str">
        <f t="shared" si="95"/>
        <v>0.2–0.4 hours</v>
      </c>
      <c r="P3040" t="s">
        <v>34</v>
      </c>
    </row>
    <row r="3041" spans="1:16" x14ac:dyDescent="0.4">
      <c r="A3041" t="s">
        <v>3082</v>
      </c>
      <c r="B3041">
        <v>45</v>
      </c>
      <c r="C3041" t="s">
        <v>27</v>
      </c>
      <c r="D3041" t="s">
        <v>32</v>
      </c>
      <c r="E3041">
        <v>30.42</v>
      </c>
      <c r="F3041">
        <v>14</v>
      </c>
      <c r="G3041" t="s">
        <v>28</v>
      </c>
      <c r="H3041" t="s">
        <v>24</v>
      </c>
      <c r="I3041" s="2">
        <v>17.989999999999998</v>
      </c>
      <c r="J3041">
        <v>0</v>
      </c>
      <c r="K3041" s="2">
        <f t="shared" si="94"/>
        <v>0</v>
      </c>
      <c r="L3041" t="s">
        <v>37</v>
      </c>
      <c r="M3041">
        <v>3</v>
      </c>
      <c r="N3041">
        <v>2.0299999999999998</v>
      </c>
      <c r="O3041" t="str">
        <f t="shared" si="95"/>
        <v>1+ hours</v>
      </c>
      <c r="P3041" t="s">
        <v>39</v>
      </c>
    </row>
    <row r="3042" spans="1:16" x14ac:dyDescent="0.4">
      <c r="A3042" t="s">
        <v>3083</v>
      </c>
      <c r="B3042">
        <v>39</v>
      </c>
      <c r="C3042" t="s">
        <v>27</v>
      </c>
      <c r="D3042" t="s">
        <v>22</v>
      </c>
      <c r="E3042">
        <v>12.72</v>
      </c>
      <c r="F3042">
        <v>16</v>
      </c>
      <c r="G3042" t="s">
        <v>70</v>
      </c>
      <c r="H3042" t="s">
        <v>55</v>
      </c>
      <c r="I3042" s="2">
        <v>13.99</v>
      </c>
      <c r="J3042">
        <v>0</v>
      </c>
      <c r="K3042" s="2">
        <f t="shared" si="94"/>
        <v>0</v>
      </c>
      <c r="L3042" t="s">
        <v>19</v>
      </c>
      <c r="M3042">
        <v>3</v>
      </c>
      <c r="N3042">
        <v>0.75</v>
      </c>
      <c r="O3042" t="str">
        <f t="shared" si="95"/>
        <v>0.6–0.8 hours</v>
      </c>
      <c r="P3042" t="s">
        <v>34</v>
      </c>
    </row>
    <row r="3043" spans="1:16" x14ac:dyDescent="0.4">
      <c r="A3043" t="s">
        <v>3084</v>
      </c>
      <c r="B3043">
        <v>66</v>
      </c>
      <c r="C3043" t="s">
        <v>15</v>
      </c>
      <c r="D3043" t="s">
        <v>32</v>
      </c>
      <c r="E3043">
        <v>6.66</v>
      </c>
      <c r="F3043">
        <v>39</v>
      </c>
      <c r="G3043" t="s">
        <v>28</v>
      </c>
      <c r="H3043" t="s">
        <v>18</v>
      </c>
      <c r="I3043" s="2">
        <v>17.989999999999998</v>
      </c>
      <c r="J3043">
        <v>1</v>
      </c>
      <c r="K3043" s="2">
        <f t="shared" si="94"/>
        <v>17.989999999999998</v>
      </c>
      <c r="L3043" t="s">
        <v>37</v>
      </c>
      <c r="M3043">
        <v>1</v>
      </c>
      <c r="N3043">
        <v>0.17</v>
      </c>
      <c r="O3043" t="str">
        <f t="shared" si="95"/>
        <v>0–0.2 hours</v>
      </c>
      <c r="P3043" t="s">
        <v>25</v>
      </c>
    </row>
    <row r="3044" spans="1:16" x14ac:dyDescent="0.4">
      <c r="A3044" t="s">
        <v>3085</v>
      </c>
      <c r="B3044">
        <v>65</v>
      </c>
      <c r="C3044" t="s">
        <v>15</v>
      </c>
      <c r="D3044" t="s">
        <v>32</v>
      </c>
      <c r="E3044">
        <v>0.76</v>
      </c>
      <c r="F3044">
        <v>2</v>
      </c>
      <c r="G3044" t="s">
        <v>28</v>
      </c>
      <c r="H3044" t="s">
        <v>24</v>
      </c>
      <c r="I3044" s="2">
        <v>17.989999999999998</v>
      </c>
      <c r="J3044">
        <v>0</v>
      </c>
      <c r="K3044" s="2">
        <f t="shared" si="94"/>
        <v>0</v>
      </c>
      <c r="L3044" t="s">
        <v>37</v>
      </c>
      <c r="M3044">
        <v>2</v>
      </c>
      <c r="N3044">
        <v>0.25</v>
      </c>
      <c r="O3044" t="str">
        <f t="shared" si="95"/>
        <v>0.2–0.4 hours</v>
      </c>
      <c r="P3044" t="s">
        <v>47</v>
      </c>
    </row>
    <row r="3045" spans="1:16" x14ac:dyDescent="0.4">
      <c r="A3045" t="s">
        <v>3086</v>
      </c>
      <c r="B3045">
        <v>26</v>
      </c>
      <c r="C3045" t="s">
        <v>15</v>
      </c>
      <c r="D3045" t="s">
        <v>22</v>
      </c>
      <c r="E3045">
        <v>11.13</v>
      </c>
      <c r="F3045">
        <v>2</v>
      </c>
      <c r="G3045" t="s">
        <v>49</v>
      </c>
      <c r="H3045" t="s">
        <v>46</v>
      </c>
      <c r="I3045" s="2">
        <v>13.99</v>
      </c>
      <c r="J3045">
        <v>0</v>
      </c>
      <c r="K3045" s="2">
        <f t="shared" si="94"/>
        <v>0</v>
      </c>
      <c r="L3045" t="s">
        <v>61</v>
      </c>
      <c r="M3045">
        <v>2</v>
      </c>
      <c r="N3045">
        <v>3.71</v>
      </c>
      <c r="O3045" t="str">
        <f t="shared" si="95"/>
        <v>1+ hours</v>
      </c>
      <c r="P3045" t="s">
        <v>25</v>
      </c>
    </row>
    <row r="3046" spans="1:16" x14ac:dyDescent="0.4">
      <c r="A3046" t="s">
        <v>3087</v>
      </c>
      <c r="B3046">
        <v>21</v>
      </c>
      <c r="C3046" t="s">
        <v>41</v>
      </c>
      <c r="D3046" t="s">
        <v>16</v>
      </c>
      <c r="E3046">
        <v>24.86</v>
      </c>
      <c r="F3046">
        <v>54</v>
      </c>
      <c r="G3046" t="s">
        <v>70</v>
      </c>
      <c r="H3046" t="s">
        <v>18</v>
      </c>
      <c r="I3046" s="2">
        <v>8.99</v>
      </c>
      <c r="J3046">
        <v>1</v>
      </c>
      <c r="K3046" s="2">
        <f t="shared" si="94"/>
        <v>8.99</v>
      </c>
      <c r="L3046" t="s">
        <v>43</v>
      </c>
      <c r="M3046">
        <v>2</v>
      </c>
      <c r="N3046">
        <v>0.45</v>
      </c>
      <c r="O3046" t="str">
        <f t="shared" si="95"/>
        <v>0.4–0.6 hours</v>
      </c>
      <c r="P3046" t="s">
        <v>47</v>
      </c>
    </row>
    <row r="3047" spans="1:16" x14ac:dyDescent="0.4">
      <c r="A3047" t="s">
        <v>3088</v>
      </c>
      <c r="B3047">
        <v>20</v>
      </c>
      <c r="C3047" t="s">
        <v>27</v>
      </c>
      <c r="D3047" t="s">
        <v>22</v>
      </c>
      <c r="E3047">
        <v>22.67</v>
      </c>
      <c r="F3047">
        <v>55</v>
      </c>
      <c r="G3047" t="s">
        <v>23</v>
      </c>
      <c r="H3047" t="s">
        <v>57</v>
      </c>
      <c r="I3047" s="2">
        <v>13.99</v>
      </c>
      <c r="J3047">
        <v>1</v>
      </c>
      <c r="K3047" s="2">
        <f t="shared" si="94"/>
        <v>13.99</v>
      </c>
      <c r="L3047" t="s">
        <v>19</v>
      </c>
      <c r="M3047">
        <v>1</v>
      </c>
      <c r="N3047">
        <v>0.4</v>
      </c>
      <c r="O3047" t="str">
        <f t="shared" si="95"/>
        <v>0.2–0.4 hours</v>
      </c>
      <c r="P3047" t="s">
        <v>52</v>
      </c>
    </row>
    <row r="3048" spans="1:16" x14ac:dyDescent="0.4">
      <c r="A3048" t="s">
        <v>3089</v>
      </c>
      <c r="B3048">
        <v>66</v>
      </c>
      <c r="C3048" t="s">
        <v>41</v>
      </c>
      <c r="D3048" t="s">
        <v>22</v>
      </c>
      <c r="E3048">
        <v>17.66</v>
      </c>
      <c r="F3048">
        <v>19</v>
      </c>
      <c r="G3048" t="s">
        <v>49</v>
      </c>
      <c r="H3048" t="s">
        <v>57</v>
      </c>
      <c r="I3048" s="2">
        <v>13.99</v>
      </c>
      <c r="J3048">
        <v>0</v>
      </c>
      <c r="K3048" s="2">
        <f t="shared" si="94"/>
        <v>0</v>
      </c>
      <c r="L3048" t="s">
        <v>37</v>
      </c>
      <c r="M3048">
        <v>2</v>
      </c>
      <c r="N3048">
        <v>0.88</v>
      </c>
      <c r="O3048" t="str">
        <f t="shared" si="95"/>
        <v>0.8–1 hour</v>
      </c>
      <c r="P3048" t="s">
        <v>39</v>
      </c>
    </row>
    <row r="3049" spans="1:16" x14ac:dyDescent="0.4">
      <c r="A3049" t="s">
        <v>3090</v>
      </c>
      <c r="B3049">
        <v>48</v>
      </c>
      <c r="C3049" t="s">
        <v>41</v>
      </c>
      <c r="D3049" t="s">
        <v>32</v>
      </c>
      <c r="E3049">
        <v>12.66</v>
      </c>
      <c r="F3049">
        <v>45</v>
      </c>
      <c r="G3049" t="s">
        <v>33</v>
      </c>
      <c r="H3049" t="s">
        <v>18</v>
      </c>
      <c r="I3049" s="2">
        <v>17.989999999999998</v>
      </c>
      <c r="J3049">
        <v>1</v>
      </c>
      <c r="K3049" s="2">
        <f t="shared" si="94"/>
        <v>17.989999999999998</v>
      </c>
      <c r="L3049" t="s">
        <v>43</v>
      </c>
      <c r="M3049">
        <v>1</v>
      </c>
      <c r="N3049">
        <v>0.28000000000000003</v>
      </c>
      <c r="O3049" t="str">
        <f t="shared" si="95"/>
        <v>0.2–0.4 hours</v>
      </c>
      <c r="P3049" t="s">
        <v>52</v>
      </c>
    </row>
    <row r="3050" spans="1:16" x14ac:dyDescent="0.4">
      <c r="A3050" t="s">
        <v>3091</v>
      </c>
      <c r="B3050">
        <v>40</v>
      </c>
      <c r="C3050" t="s">
        <v>41</v>
      </c>
      <c r="D3050" t="s">
        <v>32</v>
      </c>
      <c r="E3050">
        <v>1.85</v>
      </c>
      <c r="F3050">
        <v>46</v>
      </c>
      <c r="G3050" t="s">
        <v>70</v>
      </c>
      <c r="H3050" t="s">
        <v>24</v>
      </c>
      <c r="I3050" s="2">
        <v>17.989999999999998</v>
      </c>
      <c r="J3050">
        <v>1</v>
      </c>
      <c r="K3050" s="2">
        <f t="shared" si="94"/>
        <v>17.989999999999998</v>
      </c>
      <c r="L3050" t="s">
        <v>29</v>
      </c>
      <c r="M3050">
        <v>1</v>
      </c>
      <c r="N3050">
        <v>0.04</v>
      </c>
      <c r="O3050" t="str">
        <f t="shared" si="95"/>
        <v>0–0.2 hours</v>
      </c>
      <c r="P3050" t="s">
        <v>20</v>
      </c>
    </row>
    <row r="3051" spans="1:16" x14ac:dyDescent="0.4">
      <c r="A3051" t="s">
        <v>3092</v>
      </c>
      <c r="B3051">
        <v>69</v>
      </c>
      <c r="C3051" t="s">
        <v>27</v>
      </c>
      <c r="D3051" t="s">
        <v>32</v>
      </c>
      <c r="E3051">
        <v>36.479999999999997</v>
      </c>
      <c r="F3051">
        <v>33</v>
      </c>
      <c r="G3051" t="s">
        <v>23</v>
      </c>
      <c r="H3051" t="s">
        <v>46</v>
      </c>
      <c r="I3051" s="2">
        <v>17.989999999999998</v>
      </c>
      <c r="J3051">
        <v>0</v>
      </c>
      <c r="K3051" s="2">
        <f t="shared" si="94"/>
        <v>0</v>
      </c>
      <c r="L3051" t="s">
        <v>37</v>
      </c>
      <c r="M3051">
        <v>3</v>
      </c>
      <c r="N3051">
        <v>1.07</v>
      </c>
      <c r="O3051" t="str">
        <f t="shared" si="95"/>
        <v>1+ hours</v>
      </c>
      <c r="P3051" t="s">
        <v>30</v>
      </c>
    </row>
    <row r="3052" spans="1:16" x14ac:dyDescent="0.4">
      <c r="A3052" t="s">
        <v>3093</v>
      </c>
      <c r="B3052">
        <v>22</v>
      </c>
      <c r="C3052" t="s">
        <v>15</v>
      </c>
      <c r="D3052" t="s">
        <v>22</v>
      </c>
      <c r="E3052">
        <v>1.42</v>
      </c>
      <c r="F3052">
        <v>37</v>
      </c>
      <c r="G3052" t="s">
        <v>70</v>
      </c>
      <c r="H3052" t="s">
        <v>57</v>
      </c>
      <c r="I3052" s="2">
        <v>13.99</v>
      </c>
      <c r="J3052">
        <v>1</v>
      </c>
      <c r="K3052" s="2">
        <f t="shared" si="94"/>
        <v>13.99</v>
      </c>
      <c r="L3052" t="s">
        <v>19</v>
      </c>
      <c r="M3052">
        <v>2</v>
      </c>
      <c r="N3052">
        <v>0.04</v>
      </c>
      <c r="O3052" t="str">
        <f t="shared" si="95"/>
        <v>0–0.2 hours</v>
      </c>
      <c r="P3052" t="s">
        <v>25</v>
      </c>
    </row>
    <row r="3053" spans="1:16" x14ac:dyDescent="0.4">
      <c r="A3053" t="s">
        <v>3094</v>
      </c>
      <c r="B3053">
        <v>67</v>
      </c>
      <c r="C3053" t="s">
        <v>15</v>
      </c>
      <c r="D3053" t="s">
        <v>16</v>
      </c>
      <c r="E3053">
        <v>10.31</v>
      </c>
      <c r="F3053">
        <v>14</v>
      </c>
      <c r="G3053" t="s">
        <v>23</v>
      </c>
      <c r="H3053" t="s">
        <v>57</v>
      </c>
      <c r="I3053" s="2">
        <v>8.99</v>
      </c>
      <c r="J3053">
        <v>0</v>
      </c>
      <c r="K3053" s="2">
        <f t="shared" si="94"/>
        <v>0</v>
      </c>
      <c r="L3053" t="s">
        <v>43</v>
      </c>
      <c r="M3053">
        <v>1</v>
      </c>
      <c r="N3053">
        <v>0.69</v>
      </c>
      <c r="O3053" t="str">
        <f t="shared" si="95"/>
        <v>0.6–0.8 hours</v>
      </c>
      <c r="P3053" t="s">
        <v>20</v>
      </c>
    </row>
    <row r="3054" spans="1:16" x14ac:dyDescent="0.4">
      <c r="A3054" t="s">
        <v>3095</v>
      </c>
      <c r="B3054">
        <v>36</v>
      </c>
      <c r="C3054" t="s">
        <v>27</v>
      </c>
      <c r="D3054" t="s">
        <v>32</v>
      </c>
      <c r="E3054">
        <v>8.8000000000000007</v>
      </c>
      <c r="F3054">
        <v>10</v>
      </c>
      <c r="G3054" t="s">
        <v>33</v>
      </c>
      <c r="H3054" t="s">
        <v>24</v>
      </c>
      <c r="I3054" s="2">
        <v>17.989999999999998</v>
      </c>
      <c r="J3054">
        <v>0</v>
      </c>
      <c r="K3054" s="2">
        <f t="shared" si="94"/>
        <v>0</v>
      </c>
      <c r="L3054" t="s">
        <v>37</v>
      </c>
      <c r="M3054">
        <v>2</v>
      </c>
      <c r="N3054">
        <v>0.8</v>
      </c>
      <c r="O3054" t="str">
        <f t="shared" si="95"/>
        <v>0.6–0.8 hours</v>
      </c>
      <c r="P3054" t="s">
        <v>47</v>
      </c>
    </row>
    <row r="3055" spans="1:16" x14ac:dyDescent="0.4">
      <c r="A3055" t="s">
        <v>3096</v>
      </c>
      <c r="B3055">
        <v>65</v>
      </c>
      <c r="C3055" t="s">
        <v>27</v>
      </c>
      <c r="D3055" t="s">
        <v>32</v>
      </c>
      <c r="E3055">
        <v>6.18</v>
      </c>
      <c r="F3055">
        <v>36</v>
      </c>
      <c r="G3055" t="s">
        <v>23</v>
      </c>
      <c r="H3055" t="s">
        <v>46</v>
      </c>
      <c r="I3055" s="2">
        <v>17.989999999999998</v>
      </c>
      <c r="J3055">
        <v>1</v>
      </c>
      <c r="K3055" s="2">
        <f t="shared" si="94"/>
        <v>17.989999999999998</v>
      </c>
      <c r="L3055" t="s">
        <v>29</v>
      </c>
      <c r="M3055">
        <v>3</v>
      </c>
      <c r="N3055">
        <v>0.17</v>
      </c>
      <c r="O3055" t="str">
        <f t="shared" si="95"/>
        <v>0–0.2 hours</v>
      </c>
      <c r="P3055" t="s">
        <v>30</v>
      </c>
    </row>
    <row r="3056" spans="1:16" x14ac:dyDescent="0.4">
      <c r="A3056" t="s">
        <v>3097</v>
      </c>
      <c r="B3056">
        <v>57</v>
      </c>
      <c r="C3056" t="s">
        <v>15</v>
      </c>
      <c r="D3056" t="s">
        <v>32</v>
      </c>
      <c r="E3056">
        <v>28.19</v>
      </c>
      <c r="F3056">
        <v>10</v>
      </c>
      <c r="G3056" t="s">
        <v>23</v>
      </c>
      <c r="H3056" t="s">
        <v>57</v>
      </c>
      <c r="I3056" s="2">
        <v>17.989999999999998</v>
      </c>
      <c r="J3056">
        <v>0</v>
      </c>
      <c r="K3056" s="2">
        <f t="shared" si="94"/>
        <v>0</v>
      </c>
      <c r="L3056" t="s">
        <v>37</v>
      </c>
      <c r="M3056">
        <v>1</v>
      </c>
      <c r="N3056">
        <v>2.56</v>
      </c>
      <c r="O3056" t="str">
        <f t="shared" si="95"/>
        <v>1+ hours</v>
      </c>
      <c r="P3056" t="s">
        <v>39</v>
      </c>
    </row>
    <row r="3057" spans="1:16" x14ac:dyDescent="0.4">
      <c r="A3057" t="s">
        <v>3098</v>
      </c>
      <c r="B3057">
        <v>23</v>
      </c>
      <c r="C3057" t="s">
        <v>41</v>
      </c>
      <c r="D3057" t="s">
        <v>32</v>
      </c>
      <c r="E3057">
        <v>4.2300000000000004</v>
      </c>
      <c r="F3057">
        <v>14</v>
      </c>
      <c r="G3057" t="s">
        <v>49</v>
      </c>
      <c r="H3057" t="s">
        <v>55</v>
      </c>
      <c r="I3057" s="2">
        <v>17.989999999999998</v>
      </c>
      <c r="J3057">
        <v>0</v>
      </c>
      <c r="K3057" s="2">
        <f t="shared" si="94"/>
        <v>0</v>
      </c>
      <c r="L3057" t="s">
        <v>61</v>
      </c>
      <c r="M3057">
        <v>5</v>
      </c>
      <c r="N3057">
        <v>0.28000000000000003</v>
      </c>
      <c r="O3057" t="str">
        <f t="shared" si="95"/>
        <v>0.2–0.4 hours</v>
      </c>
      <c r="P3057" t="s">
        <v>52</v>
      </c>
    </row>
    <row r="3058" spans="1:16" x14ac:dyDescent="0.4">
      <c r="A3058" t="s">
        <v>3099</v>
      </c>
      <c r="B3058">
        <v>54</v>
      </c>
      <c r="C3058" t="s">
        <v>41</v>
      </c>
      <c r="D3058" t="s">
        <v>32</v>
      </c>
      <c r="E3058">
        <v>4.93</v>
      </c>
      <c r="F3058">
        <v>3</v>
      </c>
      <c r="G3058" t="s">
        <v>28</v>
      </c>
      <c r="H3058" t="s">
        <v>18</v>
      </c>
      <c r="I3058" s="2">
        <v>17.989999999999998</v>
      </c>
      <c r="J3058">
        <v>0</v>
      </c>
      <c r="K3058" s="2">
        <f t="shared" si="94"/>
        <v>0</v>
      </c>
      <c r="L3058" t="s">
        <v>29</v>
      </c>
      <c r="M3058">
        <v>1</v>
      </c>
      <c r="N3058">
        <v>1.23</v>
      </c>
      <c r="O3058" t="str">
        <f t="shared" si="95"/>
        <v>1+ hours</v>
      </c>
      <c r="P3058" t="s">
        <v>52</v>
      </c>
    </row>
    <row r="3059" spans="1:16" x14ac:dyDescent="0.4">
      <c r="A3059" t="s">
        <v>3100</v>
      </c>
      <c r="B3059">
        <v>58</v>
      </c>
      <c r="C3059" t="s">
        <v>27</v>
      </c>
      <c r="D3059" t="s">
        <v>32</v>
      </c>
      <c r="E3059">
        <v>1.21</v>
      </c>
      <c r="F3059">
        <v>24</v>
      </c>
      <c r="G3059" t="s">
        <v>28</v>
      </c>
      <c r="H3059" t="s">
        <v>57</v>
      </c>
      <c r="I3059" s="2">
        <v>17.989999999999998</v>
      </c>
      <c r="J3059">
        <v>0</v>
      </c>
      <c r="K3059" s="2">
        <f t="shared" si="94"/>
        <v>0</v>
      </c>
      <c r="L3059" t="s">
        <v>37</v>
      </c>
      <c r="M3059">
        <v>5</v>
      </c>
      <c r="N3059">
        <v>0.05</v>
      </c>
      <c r="O3059" t="str">
        <f t="shared" si="95"/>
        <v>0–0.2 hours</v>
      </c>
      <c r="P3059" t="s">
        <v>39</v>
      </c>
    </row>
    <row r="3060" spans="1:16" x14ac:dyDescent="0.4">
      <c r="A3060" t="s">
        <v>3101</v>
      </c>
      <c r="B3060">
        <v>44</v>
      </c>
      <c r="C3060" t="s">
        <v>15</v>
      </c>
      <c r="D3060" t="s">
        <v>16</v>
      </c>
      <c r="E3060">
        <v>18.32</v>
      </c>
      <c r="F3060">
        <v>52</v>
      </c>
      <c r="G3060" t="s">
        <v>33</v>
      </c>
      <c r="H3060" t="s">
        <v>57</v>
      </c>
      <c r="I3060" s="2">
        <v>8.99</v>
      </c>
      <c r="J3060">
        <v>1</v>
      </c>
      <c r="K3060" s="2">
        <f t="shared" si="94"/>
        <v>8.99</v>
      </c>
      <c r="L3060" t="s">
        <v>29</v>
      </c>
      <c r="M3060">
        <v>5</v>
      </c>
      <c r="N3060">
        <v>0.35</v>
      </c>
      <c r="O3060" t="str">
        <f t="shared" si="95"/>
        <v>0.2–0.4 hours</v>
      </c>
      <c r="P3060" t="s">
        <v>47</v>
      </c>
    </row>
    <row r="3061" spans="1:16" x14ac:dyDescent="0.4">
      <c r="A3061" t="s">
        <v>3102</v>
      </c>
      <c r="B3061">
        <v>60</v>
      </c>
      <c r="C3061" t="s">
        <v>15</v>
      </c>
      <c r="D3061" t="s">
        <v>22</v>
      </c>
      <c r="E3061">
        <v>12.7</v>
      </c>
      <c r="F3061">
        <v>35</v>
      </c>
      <c r="G3061" t="s">
        <v>17</v>
      </c>
      <c r="H3061" t="s">
        <v>46</v>
      </c>
      <c r="I3061" s="2">
        <v>13.99</v>
      </c>
      <c r="J3061">
        <v>0</v>
      </c>
      <c r="K3061" s="2">
        <f t="shared" si="94"/>
        <v>0</v>
      </c>
      <c r="L3061" t="s">
        <v>61</v>
      </c>
      <c r="M3061">
        <v>5</v>
      </c>
      <c r="N3061">
        <v>0.35</v>
      </c>
      <c r="O3061" t="str">
        <f t="shared" si="95"/>
        <v>0.2–0.4 hours</v>
      </c>
      <c r="P3061" t="s">
        <v>30</v>
      </c>
    </row>
    <row r="3062" spans="1:16" x14ac:dyDescent="0.4">
      <c r="A3062" t="s">
        <v>3103</v>
      </c>
      <c r="B3062">
        <v>65</v>
      </c>
      <c r="C3062" t="s">
        <v>27</v>
      </c>
      <c r="D3062" t="s">
        <v>22</v>
      </c>
      <c r="E3062">
        <v>47.81</v>
      </c>
      <c r="F3062">
        <v>11</v>
      </c>
      <c r="G3062" t="s">
        <v>17</v>
      </c>
      <c r="H3062" t="s">
        <v>55</v>
      </c>
      <c r="I3062" s="2">
        <v>13.99</v>
      </c>
      <c r="J3062">
        <v>0</v>
      </c>
      <c r="K3062" s="2">
        <f t="shared" si="94"/>
        <v>0</v>
      </c>
      <c r="L3062" t="s">
        <v>29</v>
      </c>
      <c r="M3062">
        <v>4</v>
      </c>
      <c r="N3062">
        <v>3.98</v>
      </c>
      <c r="O3062" t="str">
        <f t="shared" si="95"/>
        <v>1+ hours</v>
      </c>
      <c r="P3062" t="s">
        <v>20</v>
      </c>
    </row>
    <row r="3063" spans="1:16" x14ac:dyDescent="0.4">
      <c r="A3063" t="s">
        <v>3104</v>
      </c>
      <c r="B3063">
        <v>59</v>
      </c>
      <c r="C3063" t="s">
        <v>27</v>
      </c>
      <c r="D3063" t="s">
        <v>16</v>
      </c>
      <c r="E3063">
        <v>2.63</v>
      </c>
      <c r="F3063">
        <v>42</v>
      </c>
      <c r="G3063" t="s">
        <v>70</v>
      </c>
      <c r="H3063" t="s">
        <v>24</v>
      </c>
      <c r="I3063" s="2">
        <v>8.99</v>
      </c>
      <c r="J3063">
        <v>1</v>
      </c>
      <c r="K3063" s="2">
        <f t="shared" si="94"/>
        <v>8.99</v>
      </c>
      <c r="L3063" t="s">
        <v>19</v>
      </c>
      <c r="M3063">
        <v>2</v>
      </c>
      <c r="N3063">
        <v>0.06</v>
      </c>
      <c r="O3063" t="str">
        <f t="shared" si="95"/>
        <v>0–0.2 hours</v>
      </c>
      <c r="P3063" t="s">
        <v>30</v>
      </c>
    </row>
    <row r="3064" spans="1:16" x14ac:dyDescent="0.4">
      <c r="A3064" t="s">
        <v>3105</v>
      </c>
      <c r="B3064">
        <v>41</v>
      </c>
      <c r="C3064" t="s">
        <v>27</v>
      </c>
      <c r="D3064" t="s">
        <v>32</v>
      </c>
      <c r="E3064">
        <v>5.18</v>
      </c>
      <c r="F3064">
        <v>33</v>
      </c>
      <c r="G3064" t="s">
        <v>49</v>
      </c>
      <c r="H3064" t="s">
        <v>46</v>
      </c>
      <c r="I3064" s="2">
        <v>17.989999999999998</v>
      </c>
      <c r="J3064">
        <v>1</v>
      </c>
      <c r="K3064" s="2">
        <f t="shared" si="94"/>
        <v>17.989999999999998</v>
      </c>
      <c r="L3064" t="s">
        <v>19</v>
      </c>
      <c r="M3064">
        <v>1</v>
      </c>
      <c r="N3064">
        <v>0.15</v>
      </c>
      <c r="O3064" t="str">
        <f t="shared" si="95"/>
        <v>0–0.2 hours</v>
      </c>
      <c r="P3064" t="s">
        <v>20</v>
      </c>
    </row>
    <row r="3065" spans="1:16" x14ac:dyDescent="0.4">
      <c r="A3065" t="s">
        <v>3106</v>
      </c>
      <c r="B3065">
        <v>64</v>
      </c>
      <c r="C3065" t="s">
        <v>27</v>
      </c>
      <c r="D3065" t="s">
        <v>16</v>
      </c>
      <c r="E3065">
        <v>6.99</v>
      </c>
      <c r="F3065">
        <v>11</v>
      </c>
      <c r="G3065" t="s">
        <v>33</v>
      </c>
      <c r="H3065" t="s">
        <v>57</v>
      </c>
      <c r="I3065" s="2">
        <v>8.99</v>
      </c>
      <c r="J3065">
        <v>0</v>
      </c>
      <c r="K3065" s="2">
        <f t="shared" si="94"/>
        <v>0</v>
      </c>
      <c r="L3065" t="s">
        <v>29</v>
      </c>
      <c r="M3065">
        <v>1</v>
      </c>
      <c r="N3065">
        <v>0.57999999999999996</v>
      </c>
      <c r="O3065" t="str">
        <f t="shared" si="95"/>
        <v>0.4–0.6 hours</v>
      </c>
      <c r="P3065" t="s">
        <v>25</v>
      </c>
    </row>
    <row r="3066" spans="1:16" x14ac:dyDescent="0.4">
      <c r="A3066" t="s">
        <v>3107</v>
      </c>
      <c r="B3066">
        <v>32</v>
      </c>
      <c r="C3066" t="s">
        <v>15</v>
      </c>
      <c r="D3066" t="s">
        <v>16</v>
      </c>
      <c r="E3066">
        <v>0.49</v>
      </c>
      <c r="F3066">
        <v>4</v>
      </c>
      <c r="G3066" t="s">
        <v>70</v>
      </c>
      <c r="H3066" t="s">
        <v>55</v>
      </c>
      <c r="I3066" s="2">
        <v>8.99</v>
      </c>
      <c r="J3066">
        <v>1</v>
      </c>
      <c r="K3066" s="2">
        <f t="shared" si="94"/>
        <v>8.99</v>
      </c>
      <c r="L3066" t="s">
        <v>19</v>
      </c>
      <c r="M3066">
        <v>2</v>
      </c>
      <c r="N3066">
        <v>0.1</v>
      </c>
      <c r="O3066" t="str">
        <f t="shared" si="95"/>
        <v>0–0.2 hours</v>
      </c>
      <c r="P3066" t="s">
        <v>52</v>
      </c>
    </row>
    <row r="3067" spans="1:16" x14ac:dyDescent="0.4">
      <c r="A3067" t="s">
        <v>3108</v>
      </c>
      <c r="B3067">
        <v>27</v>
      </c>
      <c r="C3067" t="s">
        <v>15</v>
      </c>
      <c r="D3067" t="s">
        <v>32</v>
      </c>
      <c r="E3067">
        <v>11.61</v>
      </c>
      <c r="F3067">
        <v>21</v>
      </c>
      <c r="G3067" t="s">
        <v>23</v>
      </c>
      <c r="H3067" t="s">
        <v>46</v>
      </c>
      <c r="I3067" s="2">
        <v>17.989999999999998</v>
      </c>
      <c r="J3067">
        <v>0</v>
      </c>
      <c r="K3067" s="2">
        <f t="shared" si="94"/>
        <v>0</v>
      </c>
      <c r="L3067" t="s">
        <v>61</v>
      </c>
      <c r="M3067">
        <v>4</v>
      </c>
      <c r="N3067">
        <v>0.53</v>
      </c>
      <c r="O3067" t="str">
        <f t="shared" si="95"/>
        <v>0.4–0.6 hours</v>
      </c>
      <c r="P3067" t="s">
        <v>34</v>
      </c>
    </row>
    <row r="3068" spans="1:16" x14ac:dyDescent="0.4">
      <c r="A3068" t="s">
        <v>3109</v>
      </c>
      <c r="B3068">
        <v>48</v>
      </c>
      <c r="C3068" t="s">
        <v>27</v>
      </c>
      <c r="D3068" t="s">
        <v>32</v>
      </c>
      <c r="E3068">
        <v>17.579999999999998</v>
      </c>
      <c r="F3068">
        <v>33</v>
      </c>
      <c r="G3068" t="s">
        <v>23</v>
      </c>
      <c r="H3068" t="s">
        <v>46</v>
      </c>
      <c r="I3068" s="2">
        <v>17.989999999999998</v>
      </c>
      <c r="J3068">
        <v>0</v>
      </c>
      <c r="K3068" s="2">
        <f t="shared" si="94"/>
        <v>0</v>
      </c>
      <c r="L3068" t="s">
        <v>29</v>
      </c>
      <c r="M3068">
        <v>2</v>
      </c>
      <c r="N3068">
        <v>0.52</v>
      </c>
      <c r="O3068" t="str">
        <f t="shared" si="95"/>
        <v>0.4–0.6 hours</v>
      </c>
      <c r="P3068" t="s">
        <v>25</v>
      </c>
    </row>
    <row r="3069" spans="1:16" x14ac:dyDescent="0.4">
      <c r="A3069" t="s">
        <v>3110</v>
      </c>
      <c r="B3069">
        <v>49</v>
      </c>
      <c r="C3069" t="s">
        <v>27</v>
      </c>
      <c r="D3069" t="s">
        <v>16</v>
      </c>
      <c r="E3069">
        <v>18.37</v>
      </c>
      <c r="F3069">
        <v>1</v>
      </c>
      <c r="G3069" t="s">
        <v>70</v>
      </c>
      <c r="H3069" t="s">
        <v>46</v>
      </c>
      <c r="I3069" s="2">
        <v>8.99</v>
      </c>
      <c r="J3069">
        <v>0</v>
      </c>
      <c r="K3069" s="2">
        <f t="shared" si="94"/>
        <v>0</v>
      </c>
      <c r="L3069" t="s">
        <v>43</v>
      </c>
      <c r="M3069">
        <v>2</v>
      </c>
      <c r="N3069">
        <v>9.19</v>
      </c>
      <c r="O3069" t="str">
        <f t="shared" si="95"/>
        <v>1+ hours</v>
      </c>
      <c r="P3069" t="s">
        <v>30</v>
      </c>
    </row>
    <row r="3070" spans="1:16" x14ac:dyDescent="0.4">
      <c r="A3070" t="s">
        <v>3111</v>
      </c>
      <c r="B3070">
        <v>47</v>
      </c>
      <c r="C3070" t="s">
        <v>15</v>
      </c>
      <c r="D3070" t="s">
        <v>16</v>
      </c>
      <c r="E3070">
        <v>1.71</v>
      </c>
      <c r="F3070">
        <v>56</v>
      </c>
      <c r="G3070" t="s">
        <v>33</v>
      </c>
      <c r="H3070" t="s">
        <v>18</v>
      </c>
      <c r="I3070" s="2">
        <v>8.99</v>
      </c>
      <c r="J3070">
        <v>1</v>
      </c>
      <c r="K3070" s="2">
        <f t="shared" si="94"/>
        <v>8.99</v>
      </c>
      <c r="L3070" t="s">
        <v>29</v>
      </c>
      <c r="M3070">
        <v>3</v>
      </c>
      <c r="N3070">
        <v>0.03</v>
      </c>
      <c r="O3070" t="str">
        <f t="shared" si="95"/>
        <v>0–0.2 hours</v>
      </c>
      <c r="P3070" t="s">
        <v>47</v>
      </c>
    </row>
    <row r="3071" spans="1:16" x14ac:dyDescent="0.4">
      <c r="A3071" t="s">
        <v>3112</v>
      </c>
      <c r="B3071">
        <v>61</v>
      </c>
      <c r="C3071" t="s">
        <v>15</v>
      </c>
      <c r="D3071" t="s">
        <v>16</v>
      </c>
      <c r="E3071">
        <v>9.33</v>
      </c>
      <c r="F3071">
        <v>51</v>
      </c>
      <c r="G3071" t="s">
        <v>33</v>
      </c>
      <c r="H3071" t="s">
        <v>55</v>
      </c>
      <c r="I3071" s="2">
        <v>8.99</v>
      </c>
      <c r="J3071">
        <v>1</v>
      </c>
      <c r="K3071" s="2">
        <f t="shared" si="94"/>
        <v>8.99</v>
      </c>
      <c r="L3071" t="s">
        <v>19</v>
      </c>
      <c r="M3071">
        <v>4</v>
      </c>
      <c r="N3071">
        <v>0.18</v>
      </c>
      <c r="O3071" t="str">
        <f t="shared" si="95"/>
        <v>0–0.2 hours</v>
      </c>
      <c r="P3071" t="s">
        <v>39</v>
      </c>
    </row>
    <row r="3072" spans="1:16" x14ac:dyDescent="0.4">
      <c r="A3072" t="s">
        <v>3113</v>
      </c>
      <c r="B3072">
        <v>54</v>
      </c>
      <c r="C3072" t="s">
        <v>27</v>
      </c>
      <c r="D3072" t="s">
        <v>22</v>
      </c>
      <c r="E3072">
        <v>4.28</v>
      </c>
      <c r="F3072">
        <v>36</v>
      </c>
      <c r="G3072" t="s">
        <v>23</v>
      </c>
      <c r="H3072" t="s">
        <v>46</v>
      </c>
      <c r="I3072" s="2">
        <v>13.99</v>
      </c>
      <c r="J3072">
        <v>1</v>
      </c>
      <c r="K3072" s="2">
        <f t="shared" si="94"/>
        <v>13.99</v>
      </c>
      <c r="L3072" t="s">
        <v>43</v>
      </c>
      <c r="M3072">
        <v>4</v>
      </c>
      <c r="N3072">
        <v>0.12</v>
      </c>
      <c r="O3072" t="str">
        <f t="shared" si="95"/>
        <v>0–0.2 hours</v>
      </c>
      <c r="P3072" t="s">
        <v>39</v>
      </c>
    </row>
    <row r="3073" spans="1:16" x14ac:dyDescent="0.4">
      <c r="A3073" t="s">
        <v>3114</v>
      </c>
      <c r="B3073">
        <v>25</v>
      </c>
      <c r="C3073" t="s">
        <v>41</v>
      </c>
      <c r="D3073" t="s">
        <v>32</v>
      </c>
      <c r="E3073">
        <v>13.12</v>
      </c>
      <c r="F3073">
        <v>47</v>
      </c>
      <c r="G3073" t="s">
        <v>28</v>
      </c>
      <c r="H3073" t="s">
        <v>24</v>
      </c>
      <c r="I3073" s="2">
        <v>17.989999999999998</v>
      </c>
      <c r="J3073">
        <v>1</v>
      </c>
      <c r="K3073" s="2">
        <f t="shared" si="94"/>
        <v>17.989999999999998</v>
      </c>
      <c r="L3073" t="s">
        <v>29</v>
      </c>
      <c r="M3073">
        <v>5</v>
      </c>
      <c r="N3073">
        <v>0.27</v>
      </c>
      <c r="O3073" t="str">
        <f t="shared" si="95"/>
        <v>0.2–0.4 hours</v>
      </c>
      <c r="P3073" t="s">
        <v>30</v>
      </c>
    </row>
    <row r="3074" spans="1:16" x14ac:dyDescent="0.4">
      <c r="A3074" t="s">
        <v>3115</v>
      </c>
      <c r="B3074">
        <v>58</v>
      </c>
      <c r="C3074" t="s">
        <v>27</v>
      </c>
      <c r="D3074" t="s">
        <v>16</v>
      </c>
      <c r="E3074">
        <v>21.67</v>
      </c>
      <c r="F3074">
        <v>45</v>
      </c>
      <c r="G3074" t="s">
        <v>23</v>
      </c>
      <c r="H3074" t="s">
        <v>18</v>
      </c>
      <c r="I3074" s="2">
        <v>8.99</v>
      </c>
      <c r="J3074">
        <v>0</v>
      </c>
      <c r="K3074" s="2">
        <f t="shared" si="94"/>
        <v>0</v>
      </c>
      <c r="L3074" t="s">
        <v>37</v>
      </c>
      <c r="M3074">
        <v>4</v>
      </c>
      <c r="N3074">
        <v>0.47</v>
      </c>
      <c r="O3074" t="str">
        <f t="shared" si="95"/>
        <v>0.4–0.6 hours</v>
      </c>
      <c r="P3074" t="s">
        <v>25</v>
      </c>
    </row>
    <row r="3075" spans="1:16" x14ac:dyDescent="0.4">
      <c r="A3075" t="s">
        <v>3116</v>
      </c>
      <c r="B3075">
        <v>49</v>
      </c>
      <c r="C3075" t="s">
        <v>15</v>
      </c>
      <c r="D3075" t="s">
        <v>32</v>
      </c>
      <c r="E3075">
        <v>27.9</v>
      </c>
      <c r="F3075">
        <v>38</v>
      </c>
      <c r="G3075" t="s">
        <v>17</v>
      </c>
      <c r="H3075" t="s">
        <v>46</v>
      </c>
      <c r="I3075" s="2">
        <v>17.989999999999998</v>
      </c>
      <c r="J3075">
        <v>0</v>
      </c>
      <c r="K3075" s="2">
        <f t="shared" ref="K3075:K3138" si="96">SUMIF(J3075,1,I3075)</f>
        <v>0</v>
      </c>
      <c r="L3075" t="s">
        <v>37</v>
      </c>
      <c r="M3075">
        <v>1</v>
      </c>
      <c r="N3075">
        <v>0.72</v>
      </c>
      <c r="O3075" t="str">
        <f t="shared" ref="O3075:O3138" si="97">IF(N3075&gt;1,"1+ hours",IF(N3075&lt;=0.2,"0–0.2 hours",IF(N3075&lt;=0.4,"0.2–0.4 hours",IF(N3075&lt;=0.6,"0.4–0.6 hours",IF(N3075&lt;=0.8,"0.6–0.8 hours","0.8–1 hour")))))</f>
        <v>0.6–0.8 hours</v>
      </c>
      <c r="P3075" t="s">
        <v>52</v>
      </c>
    </row>
    <row r="3076" spans="1:16" x14ac:dyDescent="0.4">
      <c r="A3076" t="s">
        <v>3117</v>
      </c>
      <c r="B3076">
        <v>47</v>
      </c>
      <c r="C3076" t="s">
        <v>15</v>
      </c>
      <c r="D3076" t="s">
        <v>16</v>
      </c>
      <c r="E3076">
        <v>5.91</v>
      </c>
      <c r="F3076">
        <v>53</v>
      </c>
      <c r="G3076" t="s">
        <v>70</v>
      </c>
      <c r="H3076" t="s">
        <v>55</v>
      </c>
      <c r="I3076" s="2">
        <v>8.99</v>
      </c>
      <c r="J3076">
        <v>1</v>
      </c>
      <c r="K3076" s="2">
        <f t="shared" si="96"/>
        <v>8.99</v>
      </c>
      <c r="L3076" t="s">
        <v>61</v>
      </c>
      <c r="M3076">
        <v>2</v>
      </c>
      <c r="N3076">
        <v>0.11</v>
      </c>
      <c r="O3076" t="str">
        <f t="shared" si="97"/>
        <v>0–0.2 hours</v>
      </c>
      <c r="P3076" t="s">
        <v>25</v>
      </c>
    </row>
    <row r="3077" spans="1:16" x14ac:dyDescent="0.4">
      <c r="A3077" t="s">
        <v>3118</v>
      </c>
      <c r="B3077">
        <v>23</v>
      </c>
      <c r="C3077" t="s">
        <v>27</v>
      </c>
      <c r="D3077" t="s">
        <v>16</v>
      </c>
      <c r="E3077">
        <v>25.79</v>
      </c>
      <c r="F3077">
        <v>55</v>
      </c>
      <c r="G3077" t="s">
        <v>28</v>
      </c>
      <c r="H3077" t="s">
        <v>57</v>
      </c>
      <c r="I3077" s="2">
        <v>8.99</v>
      </c>
      <c r="J3077">
        <v>1</v>
      </c>
      <c r="K3077" s="2">
        <f t="shared" si="96"/>
        <v>8.99</v>
      </c>
      <c r="L3077" t="s">
        <v>37</v>
      </c>
      <c r="M3077">
        <v>2</v>
      </c>
      <c r="N3077">
        <v>0.46</v>
      </c>
      <c r="O3077" t="str">
        <f t="shared" si="97"/>
        <v>0.4–0.6 hours</v>
      </c>
      <c r="P3077" t="s">
        <v>20</v>
      </c>
    </row>
    <row r="3078" spans="1:16" x14ac:dyDescent="0.4">
      <c r="A3078" t="s">
        <v>3119</v>
      </c>
      <c r="B3078">
        <v>26</v>
      </c>
      <c r="C3078" t="s">
        <v>41</v>
      </c>
      <c r="D3078" t="s">
        <v>16</v>
      </c>
      <c r="E3078">
        <v>25.49</v>
      </c>
      <c r="F3078">
        <v>35</v>
      </c>
      <c r="G3078" t="s">
        <v>49</v>
      </c>
      <c r="H3078" t="s">
        <v>24</v>
      </c>
      <c r="I3078" s="2">
        <v>8.99</v>
      </c>
      <c r="J3078">
        <v>0</v>
      </c>
      <c r="K3078" s="2">
        <f t="shared" si="96"/>
        <v>0</v>
      </c>
      <c r="L3078" t="s">
        <v>29</v>
      </c>
      <c r="M3078">
        <v>3</v>
      </c>
      <c r="N3078">
        <v>0.71</v>
      </c>
      <c r="O3078" t="str">
        <f t="shared" si="97"/>
        <v>0.6–0.8 hours</v>
      </c>
      <c r="P3078" t="s">
        <v>39</v>
      </c>
    </row>
    <row r="3079" spans="1:16" x14ac:dyDescent="0.4">
      <c r="A3079" t="s">
        <v>3120</v>
      </c>
      <c r="B3079">
        <v>26</v>
      </c>
      <c r="C3079" t="s">
        <v>41</v>
      </c>
      <c r="D3079" t="s">
        <v>22</v>
      </c>
      <c r="E3079">
        <v>4.87</v>
      </c>
      <c r="F3079">
        <v>59</v>
      </c>
      <c r="G3079" t="s">
        <v>33</v>
      </c>
      <c r="H3079" t="s">
        <v>24</v>
      </c>
      <c r="I3079" s="2">
        <v>13.99</v>
      </c>
      <c r="J3079">
        <v>1</v>
      </c>
      <c r="K3079" s="2">
        <f t="shared" si="96"/>
        <v>13.99</v>
      </c>
      <c r="L3079" t="s">
        <v>61</v>
      </c>
      <c r="M3079">
        <v>3</v>
      </c>
      <c r="N3079">
        <v>0.08</v>
      </c>
      <c r="O3079" t="str">
        <f t="shared" si="97"/>
        <v>0–0.2 hours</v>
      </c>
      <c r="P3079" t="s">
        <v>20</v>
      </c>
    </row>
    <row r="3080" spans="1:16" x14ac:dyDescent="0.4">
      <c r="A3080" t="s">
        <v>3121</v>
      </c>
      <c r="B3080">
        <v>28</v>
      </c>
      <c r="C3080" t="s">
        <v>15</v>
      </c>
      <c r="D3080" t="s">
        <v>32</v>
      </c>
      <c r="E3080">
        <v>17.100000000000001</v>
      </c>
      <c r="F3080">
        <v>28</v>
      </c>
      <c r="G3080" t="s">
        <v>17</v>
      </c>
      <c r="H3080" t="s">
        <v>18</v>
      </c>
      <c r="I3080" s="2">
        <v>17.989999999999998</v>
      </c>
      <c r="J3080">
        <v>0</v>
      </c>
      <c r="K3080" s="2">
        <f t="shared" si="96"/>
        <v>0</v>
      </c>
      <c r="L3080" t="s">
        <v>37</v>
      </c>
      <c r="M3080">
        <v>4</v>
      </c>
      <c r="N3080">
        <v>0.59</v>
      </c>
      <c r="O3080" t="str">
        <f t="shared" si="97"/>
        <v>0.4–0.6 hours</v>
      </c>
      <c r="P3080" t="s">
        <v>20</v>
      </c>
    </row>
    <row r="3081" spans="1:16" x14ac:dyDescent="0.4">
      <c r="A3081" t="s">
        <v>3122</v>
      </c>
      <c r="B3081">
        <v>64</v>
      </c>
      <c r="C3081" t="s">
        <v>27</v>
      </c>
      <c r="D3081" t="s">
        <v>22</v>
      </c>
      <c r="E3081">
        <v>0.91</v>
      </c>
      <c r="F3081">
        <v>44</v>
      </c>
      <c r="G3081" t="s">
        <v>49</v>
      </c>
      <c r="H3081" t="s">
        <v>18</v>
      </c>
      <c r="I3081" s="2">
        <v>13.99</v>
      </c>
      <c r="J3081">
        <v>1</v>
      </c>
      <c r="K3081" s="2">
        <f t="shared" si="96"/>
        <v>13.99</v>
      </c>
      <c r="L3081" t="s">
        <v>37</v>
      </c>
      <c r="M3081">
        <v>3</v>
      </c>
      <c r="N3081">
        <v>0.02</v>
      </c>
      <c r="O3081" t="str">
        <f t="shared" si="97"/>
        <v>0–0.2 hours</v>
      </c>
      <c r="P3081" t="s">
        <v>34</v>
      </c>
    </row>
    <row r="3082" spans="1:16" x14ac:dyDescent="0.4">
      <c r="A3082" t="s">
        <v>3123</v>
      </c>
      <c r="B3082">
        <v>58</v>
      </c>
      <c r="C3082" t="s">
        <v>27</v>
      </c>
      <c r="D3082" t="s">
        <v>16</v>
      </c>
      <c r="E3082">
        <v>26.03</v>
      </c>
      <c r="F3082">
        <v>26</v>
      </c>
      <c r="G3082" t="s">
        <v>49</v>
      </c>
      <c r="H3082" t="s">
        <v>55</v>
      </c>
      <c r="I3082" s="2">
        <v>8.99</v>
      </c>
      <c r="J3082">
        <v>0</v>
      </c>
      <c r="K3082" s="2">
        <f t="shared" si="96"/>
        <v>0</v>
      </c>
      <c r="L3082" t="s">
        <v>19</v>
      </c>
      <c r="M3082">
        <v>5</v>
      </c>
      <c r="N3082">
        <v>0.96</v>
      </c>
      <c r="O3082" t="str">
        <f t="shared" si="97"/>
        <v>0.8–1 hour</v>
      </c>
      <c r="P3082" t="s">
        <v>34</v>
      </c>
    </row>
    <row r="3083" spans="1:16" x14ac:dyDescent="0.4">
      <c r="A3083" t="s">
        <v>3124</v>
      </c>
      <c r="B3083">
        <v>40</v>
      </c>
      <c r="C3083" t="s">
        <v>27</v>
      </c>
      <c r="D3083" t="s">
        <v>32</v>
      </c>
      <c r="E3083">
        <v>11.57</v>
      </c>
      <c r="F3083">
        <v>11</v>
      </c>
      <c r="G3083" t="s">
        <v>49</v>
      </c>
      <c r="H3083" t="s">
        <v>46</v>
      </c>
      <c r="I3083" s="2">
        <v>17.989999999999998</v>
      </c>
      <c r="J3083">
        <v>0</v>
      </c>
      <c r="K3083" s="2">
        <f t="shared" si="96"/>
        <v>0</v>
      </c>
      <c r="L3083" t="s">
        <v>37</v>
      </c>
      <c r="M3083">
        <v>3</v>
      </c>
      <c r="N3083">
        <v>0.96</v>
      </c>
      <c r="O3083" t="str">
        <f t="shared" si="97"/>
        <v>0.8–1 hour</v>
      </c>
      <c r="P3083" t="s">
        <v>52</v>
      </c>
    </row>
    <row r="3084" spans="1:16" x14ac:dyDescent="0.4">
      <c r="A3084" t="s">
        <v>3125</v>
      </c>
      <c r="B3084">
        <v>22</v>
      </c>
      <c r="C3084" t="s">
        <v>15</v>
      </c>
      <c r="D3084" t="s">
        <v>16</v>
      </c>
      <c r="E3084">
        <v>11.84</v>
      </c>
      <c r="F3084">
        <v>40</v>
      </c>
      <c r="G3084" t="s">
        <v>17</v>
      </c>
      <c r="H3084" t="s">
        <v>18</v>
      </c>
      <c r="I3084" s="2">
        <v>8.99</v>
      </c>
      <c r="J3084">
        <v>1</v>
      </c>
      <c r="K3084" s="2">
        <f t="shared" si="96"/>
        <v>8.99</v>
      </c>
      <c r="L3084" t="s">
        <v>37</v>
      </c>
      <c r="M3084">
        <v>1</v>
      </c>
      <c r="N3084">
        <v>0.28999999999999998</v>
      </c>
      <c r="O3084" t="str">
        <f t="shared" si="97"/>
        <v>0.2–0.4 hours</v>
      </c>
      <c r="P3084" t="s">
        <v>20</v>
      </c>
    </row>
    <row r="3085" spans="1:16" x14ac:dyDescent="0.4">
      <c r="A3085" t="s">
        <v>3126</v>
      </c>
      <c r="B3085">
        <v>36</v>
      </c>
      <c r="C3085" t="s">
        <v>15</v>
      </c>
      <c r="D3085" t="s">
        <v>16</v>
      </c>
      <c r="E3085">
        <v>21.08</v>
      </c>
      <c r="F3085">
        <v>27</v>
      </c>
      <c r="G3085" t="s">
        <v>17</v>
      </c>
      <c r="H3085" t="s">
        <v>24</v>
      </c>
      <c r="I3085" s="2">
        <v>8.99</v>
      </c>
      <c r="J3085">
        <v>0</v>
      </c>
      <c r="K3085" s="2">
        <f t="shared" si="96"/>
        <v>0</v>
      </c>
      <c r="L3085" t="s">
        <v>37</v>
      </c>
      <c r="M3085">
        <v>2</v>
      </c>
      <c r="N3085">
        <v>0.75</v>
      </c>
      <c r="O3085" t="str">
        <f t="shared" si="97"/>
        <v>0.6–0.8 hours</v>
      </c>
      <c r="P3085" t="s">
        <v>20</v>
      </c>
    </row>
    <row r="3086" spans="1:16" x14ac:dyDescent="0.4">
      <c r="A3086" t="s">
        <v>3127</v>
      </c>
      <c r="B3086">
        <v>46</v>
      </c>
      <c r="C3086" t="s">
        <v>15</v>
      </c>
      <c r="D3086" t="s">
        <v>22</v>
      </c>
      <c r="E3086">
        <v>0.96</v>
      </c>
      <c r="F3086">
        <v>46</v>
      </c>
      <c r="G3086" t="s">
        <v>33</v>
      </c>
      <c r="H3086" t="s">
        <v>55</v>
      </c>
      <c r="I3086" s="2">
        <v>13.99</v>
      </c>
      <c r="J3086">
        <v>1</v>
      </c>
      <c r="K3086" s="2">
        <f t="shared" si="96"/>
        <v>13.99</v>
      </c>
      <c r="L3086" t="s">
        <v>43</v>
      </c>
      <c r="M3086">
        <v>4</v>
      </c>
      <c r="N3086">
        <v>0.02</v>
      </c>
      <c r="O3086" t="str">
        <f t="shared" si="97"/>
        <v>0–0.2 hours</v>
      </c>
      <c r="P3086" t="s">
        <v>25</v>
      </c>
    </row>
    <row r="3087" spans="1:16" x14ac:dyDescent="0.4">
      <c r="A3087" t="s">
        <v>3128</v>
      </c>
      <c r="B3087">
        <v>62</v>
      </c>
      <c r="C3087" t="s">
        <v>27</v>
      </c>
      <c r="D3087" t="s">
        <v>22</v>
      </c>
      <c r="E3087">
        <v>24.45</v>
      </c>
      <c r="F3087">
        <v>13</v>
      </c>
      <c r="G3087" t="s">
        <v>17</v>
      </c>
      <c r="H3087" t="s">
        <v>46</v>
      </c>
      <c r="I3087" s="2">
        <v>13.99</v>
      </c>
      <c r="J3087">
        <v>0</v>
      </c>
      <c r="K3087" s="2">
        <f t="shared" si="96"/>
        <v>0</v>
      </c>
      <c r="L3087" t="s">
        <v>61</v>
      </c>
      <c r="M3087">
        <v>3</v>
      </c>
      <c r="N3087">
        <v>1.75</v>
      </c>
      <c r="O3087" t="str">
        <f t="shared" si="97"/>
        <v>1+ hours</v>
      </c>
      <c r="P3087" t="s">
        <v>52</v>
      </c>
    </row>
    <row r="3088" spans="1:16" x14ac:dyDescent="0.4">
      <c r="A3088" t="s">
        <v>3129</v>
      </c>
      <c r="B3088">
        <v>37</v>
      </c>
      <c r="C3088" t="s">
        <v>15</v>
      </c>
      <c r="D3088" t="s">
        <v>16</v>
      </c>
      <c r="E3088">
        <v>7.72</v>
      </c>
      <c r="F3088">
        <v>31</v>
      </c>
      <c r="G3088" t="s">
        <v>49</v>
      </c>
      <c r="H3088" t="s">
        <v>18</v>
      </c>
      <c r="I3088" s="2">
        <v>8.99</v>
      </c>
      <c r="J3088">
        <v>1</v>
      </c>
      <c r="K3088" s="2">
        <f t="shared" si="96"/>
        <v>8.99</v>
      </c>
      <c r="L3088" t="s">
        <v>29</v>
      </c>
      <c r="M3088">
        <v>5</v>
      </c>
      <c r="N3088">
        <v>0.24</v>
      </c>
      <c r="O3088" t="str">
        <f t="shared" si="97"/>
        <v>0.2–0.4 hours</v>
      </c>
      <c r="P3088" t="s">
        <v>47</v>
      </c>
    </row>
    <row r="3089" spans="1:16" x14ac:dyDescent="0.4">
      <c r="A3089" t="s">
        <v>3130</v>
      </c>
      <c r="B3089">
        <v>45</v>
      </c>
      <c r="C3089" t="s">
        <v>15</v>
      </c>
      <c r="D3089" t="s">
        <v>16</v>
      </c>
      <c r="E3089">
        <v>0.7</v>
      </c>
      <c r="F3089">
        <v>25</v>
      </c>
      <c r="G3089" t="s">
        <v>17</v>
      </c>
      <c r="H3089" t="s">
        <v>55</v>
      </c>
      <c r="I3089" s="2">
        <v>8.99</v>
      </c>
      <c r="J3089">
        <v>1</v>
      </c>
      <c r="K3089" s="2">
        <f t="shared" si="96"/>
        <v>8.99</v>
      </c>
      <c r="L3089" t="s">
        <v>29</v>
      </c>
      <c r="M3089">
        <v>5</v>
      </c>
      <c r="N3089">
        <v>0.03</v>
      </c>
      <c r="O3089" t="str">
        <f t="shared" si="97"/>
        <v>0–0.2 hours</v>
      </c>
      <c r="P3089" t="s">
        <v>20</v>
      </c>
    </row>
    <row r="3090" spans="1:16" x14ac:dyDescent="0.4">
      <c r="A3090" t="s">
        <v>3131</v>
      </c>
      <c r="B3090">
        <v>54</v>
      </c>
      <c r="C3090" t="s">
        <v>27</v>
      </c>
      <c r="D3090" t="s">
        <v>22</v>
      </c>
      <c r="E3090">
        <v>12.34</v>
      </c>
      <c r="F3090">
        <v>32</v>
      </c>
      <c r="G3090" t="s">
        <v>28</v>
      </c>
      <c r="H3090" t="s">
        <v>55</v>
      </c>
      <c r="I3090" s="2">
        <v>13.99</v>
      </c>
      <c r="J3090">
        <v>1</v>
      </c>
      <c r="K3090" s="2">
        <f t="shared" si="96"/>
        <v>13.99</v>
      </c>
      <c r="L3090" t="s">
        <v>19</v>
      </c>
      <c r="M3090">
        <v>3</v>
      </c>
      <c r="N3090">
        <v>0.37</v>
      </c>
      <c r="O3090" t="str">
        <f t="shared" si="97"/>
        <v>0.2–0.4 hours</v>
      </c>
      <c r="P3090" t="s">
        <v>25</v>
      </c>
    </row>
    <row r="3091" spans="1:16" x14ac:dyDescent="0.4">
      <c r="A3091" t="s">
        <v>3132</v>
      </c>
      <c r="B3091">
        <v>32</v>
      </c>
      <c r="C3091" t="s">
        <v>41</v>
      </c>
      <c r="D3091" t="s">
        <v>22</v>
      </c>
      <c r="E3091">
        <v>1.89</v>
      </c>
      <c r="F3091">
        <v>24</v>
      </c>
      <c r="G3091" t="s">
        <v>23</v>
      </c>
      <c r="H3091" t="s">
        <v>18</v>
      </c>
      <c r="I3091" s="2">
        <v>13.99</v>
      </c>
      <c r="J3091">
        <v>1</v>
      </c>
      <c r="K3091" s="2">
        <f t="shared" si="96"/>
        <v>13.99</v>
      </c>
      <c r="L3091" t="s">
        <v>61</v>
      </c>
      <c r="M3091">
        <v>1</v>
      </c>
      <c r="N3091">
        <v>0.08</v>
      </c>
      <c r="O3091" t="str">
        <f t="shared" si="97"/>
        <v>0–0.2 hours</v>
      </c>
      <c r="P3091" t="s">
        <v>39</v>
      </c>
    </row>
    <row r="3092" spans="1:16" x14ac:dyDescent="0.4">
      <c r="A3092" t="s">
        <v>3133</v>
      </c>
      <c r="B3092">
        <v>30</v>
      </c>
      <c r="C3092" t="s">
        <v>27</v>
      </c>
      <c r="D3092" t="s">
        <v>16</v>
      </c>
      <c r="E3092">
        <v>11.4</v>
      </c>
      <c r="F3092">
        <v>50</v>
      </c>
      <c r="G3092" t="s">
        <v>28</v>
      </c>
      <c r="H3092" t="s">
        <v>55</v>
      </c>
      <c r="I3092" s="2">
        <v>8.99</v>
      </c>
      <c r="J3092">
        <v>1</v>
      </c>
      <c r="K3092" s="2">
        <f t="shared" si="96"/>
        <v>8.99</v>
      </c>
      <c r="L3092" t="s">
        <v>37</v>
      </c>
      <c r="M3092">
        <v>5</v>
      </c>
      <c r="N3092">
        <v>0.22</v>
      </c>
      <c r="O3092" t="str">
        <f t="shared" si="97"/>
        <v>0.2–0.4 hours</v>
      </c>
      <c r="P3092" t="s">
        <v>39</v>
      </c>
    </row>
    <row r="3093" spans="1:16" x14ac:dyDescent="0.4">
      <c r="A3093" t="s">
        <v>3134</v>
      </c>
      <c r="B3093">
        <v>18</v>
      </c>
      <c r="C3093" t="s">
        <v>41</v>
      </c>
      <c r="D3093" t="s">
        <v>32</v>
      </c>
      <c r="E3093">
        <v>2.75</v>
      </c>
      <c r="F3093">
        <v>5</v>
      </c>
      <c r="G3093" t="s">
        <v>28</v>
      </c>
      <c r="H3093" t="s">
        <v>18</v>
      </c>
      <c r="I3093" s="2">
        <v>17.989999999999998</v>
      </c>
      <c r="J3093">
        <v>1</v>
      </c>
      <c r="K3093" s="2">
        <f t="shared" si="96"/>
        <v>17.989999999999998</v>
      </c>
      <c r="L3093" t="s">
        <v>29</v>
      </c>
      <c r="M3093">
        <v>1</v>
      </c>
      <c r="N3093">
        <v>0.46</v>
      </c>
      <c r="O3093" t="str">
        <f t="shared" si="97"/>
        <v>0.4–0.6 hours</v>
      </c>
      <c r="P3093" t="s">
        <v>30</v>
      </c>
    </row>
    <row r="3094" spans="1:16" x14ac:dyDescent="0.4">
      <c r="A3094" t="s">
        <v>3135</v>
      </c>
      <c r="B3094">
        <v>18</v>
      </c>
      <c r="C3094" t="s">
        <v>15</v>
      </c>
      <c r="D3094" t="s">
        <v>22</v>
      </c>
      <c r="E3094">
        <v>3.54</v>
      </c>
      <c r="F3094">
        <v>45</v>
      </c>
      <c r="G3094" t="s">
        <v>33</v>
      </c>
      <c r="H3094" t="s">
        <v>24</v>
      </c>
      <c r="I3094" s="2">
        <v>13.99</v>
      </c>
      <c r="J3094">
        <v>1</v>
      </c>
      <c r="K3094" s="2">
        <f t="shared" si="96"/>
        <v>13.99</v>
      </c>
      <c r="L3094" t="s">
        <v>37</v>
      </c>
      <c r="M3094">
        <v>5</v>
      </c>
      <c r="N3094">
        <v>0.08</v>
      </c>
      <c r="O3094" t="str">
        <f t="shared" si="97"/>
        <v>0–0.2 hours</v>
      </c>
      <c r="P3094" t="s">
        <v>34</v>
      </c>
    </row>
    <row r="3095" spans="1:16" x14ac:dyDescent="0.4">
      <c r="A3095" t="s">
        <v>3136</v>
      </c>
      <c r="B3095">
        <v>48</v>
      </c>
      <c r="C3095" t="s">
        <v>15</v>
      </c>
      <c r="D3095" t="s">
        <v>16</v>
      </c>
      <c r="E3095">
        <v>39.47</v>
      </c>
      <c r="F3095">
        <v>32</v>
      </c>
      <c r="G3095" t="s">
        <v>23</v>
      </c>
      <c r="H3095" t="s">
        <v>55</v>
      </c>
      <c r="I3095" s="2">
        <v>8.99</v>
      </c>
      <c r="J3095">
        <v>0</v>
      </c>
      <c r="K3095" s="2">
        <f t="shared" si="96"/>
        <v>0</v>
      </c>
      <c r="L3095" t="s">
        <v>29</v>
      </c>
      <c r="M3095">
        <v>4</v>
      </c>
      <c r="N3095">
        <v>1.2</v>
      </c>
      <c r="O3095" t="str">
        <f t="shared" si="97"/>
        <v>1+ hours</v>
      </c>
      <c r="P3095" t="s">
        <v>20</v>
      </c>
    </row>
    <row r="3096" spans="1:16" x14ac:dyDescent="0.4">
      <c r="A3096" t="s">
        <v>3137</v>
      </c>
      <c r="B3096">
        <v>64</v>
      </c>
      <c r="C3096" t="s">
        <v>27</v>
      </c>
      <c r="D3096" t="s">
        <v>16</v>
      </c>
      <c r="E3096">
        <v>7.82</v>
      </c>
      <c r="F3096">
        <v>34</v>
      </c>
      <c r="G3096" t="s">
        <v>70</v>
      </c>
      <c r="H3096" t="s">
        <v>24</v>
      </c>
      <c r="I3096" s="2">
        <v>8.99</v>
      </c>
      <c r="J3096">
        <v>1</v>
      </c>
      <c r="K3096" s="2">
        <f t="shared" si="96"/>
        <v>8.99</v>
      </c>
      <c r="L3096" t="s">
        <v>37</v>
      </c>
      <c r="M3096">
        <v>2</v>
      </c>
      <c r="N3096">
        <v>0.22</v>
      </c>
      <c r="O3096" t="str">
        <f t="shared" si="97"/>
        <v>0.2–0.4 hours</v>
      </c>
      <c r="P3096" t="s">
        <v>47</v>
      </c>
    </row>
    <row r="3097" spans="1:16" x14ac:dyDescent="0.4">
      <c r="A3097" t="s">
        <v>3138</v>
      </c>
      <c r="B3097">
        <v>67</v>
      </c>
      <c r="C3097" t="s">
        <v>27</v>
      </c>
      <c r="D3097" t="s">
        <v>32</v>
      </c>
      <c r="E3097">
        <v>4.01</v>
      </c>
      <c r="F3097">
        <v>55</v>
      </c>
      <c r="G3097" t="s">
        <v>49</v>
      </c>
      <c r="H3097" t="s">
        <v>46</v>
      </c>
      <c r="I3097" s="2">
        <v>17.989999999999998</v>
      </c>
      <c r="J3097">
        <v>1</v>
      </c>
      <c r="K3097" s="2">
        <f t="shared" si="96"/>
        <v>17.989999999999998</v>
      </c>
      <c r="L3097" t="s">
        <v>37</v>
      </c>
      <c r="M3097">
        <v>4</v>
      </c>
      <c r="N3097">
        <v>7.0000000000000007E-2</v>
      </c>
      <c r="O3097" t="str">
        <f t="shared" si="97"/>
        <v>0–0.2 hours</v>
      </c>
      <c r="P3097" t="s">
        <v>30</v>
      </c>
    </row>
    <row r="3098" spans="1:16" x14ac:dyDescent="0.4">
      <c r="A3098" t="s">
        <v>3139</v>
      </c>
      <c r="B3098">
        <v>30</v>
      </c>
      <c r="C3098" t="s">
        <v>41</v>
      </c>
      <c r="D3098" t="s">
        <v>16</v>
      </c>
      <c r="E3098">
        <v>5.42</v>
      </c>
      <c r="F3098">
        <v>43</v>
      </c>
      <c r="G3098" t="s">
        <v>17</v>
      </c>
      <c r="H3098" t="s">
        <v>57</v>
      </c>
      <c r="I3098" s="2">
        <v>8.99</v>
      </c>
      <c r="J3098">
        <v>1</v>
      </c>
      <c r="K3098" s="2">
        <f t="shared" si="96"/>
        <v>8.99</v>
      </c>
      <c r="L3098" t="s">
        <v>19</v>
      </c>
      <c r="M3098">
        <v>4</v>
      </c>
      <c r="N3098">
        <v>0.12</v>
      </c>
      <c r="O3098" t="str">
        <f t="shared" si="97"/>
        <v>0–0.2 hours</v>
      </c>
      <c r="P3098" t="s">
        <v>30</v>
      </c>
    </row>
    <row r="3099" spans="1:16" x14ac:dyDescent="0.4">
      <c r="A3099" t="s">
        <v>3140</v>
      </c>
      <c r="B3099">
        <v>45</v>
      </c>
      <c r="C3099" t="s">
        <v>41</v>
      </c>
      <c r="D3099" t="s">
        <v>32</v>
      </c>
      <c r="E3099">
        <v>17.850000000000001</v>
      </c>
      <c r="F3099">
        <v>57</v>
      </c>
      <c r="G3099" t="s">
        <v>23</v>
      </c>
      <c r="H3099" t="s">
        <v>55</v>
      </c>
      <c r="I3099" s="2">
        <v>17.989999999999998</v>
      </c>
      <c r="J3099">
        <v>1</v>
      </c>
      <c r="K3099" s="2">
        <f t="shared" si="96"/>
        <v>17.989999999999998</v>
      </c>
      <c r="L3099" t="s">
        <v>29</v>
      </c>
      <c r="M3099">
        <v>3</v>
      </c>
      <c r="N3099">
        <v>0.31</v>
      </c>
      <c r="O3099" t="str">
        <f t="shared" si="97"/>
        <v>0.2–0.4 hours</v>
      </c>
      <c r="P3099" t="s">
        <v>25</v>
      </c>
    </row>
    <row r="3100" spans="1:16" x14ac:dyDescent="0.4">
      <c r="A3100" t="s">
        <v>3141</v>
      </c>
      <c r="B3100">
        <v>28</v>
      </c>
      <c r="C3100" t="s">
        <v>41</v>
      </c>
      <c r="D3100" t="s">
        <v>22</v>
      </c>
      <c r="E3100">
        <v>3.57</v>
      </c>
      <c r="F3100">
        <v>60</v>
      </c>
      <c r="G3100" t="s">
        <v>70</v>
      </c>
      <c r="H3100" t="s">
        <v>24</v>
      </c>
      <c r="I3100" s="2">
        <v>13.99</v>
      </c>
      <c r="J3100">
        <v>1</v>
      </c>
      <c r="K3100" s="2">
        <f t="shared" si="96"/>
        <v>13.99</v>
      </c>
      <c r="L3100" t="s">
        <v>29</v>
      </c>
      <c r="M3100">
        <v>4</v>
      </c>
      <c r="N3100">
        <v>0.06</v>
      </c>
      <c r="O3100" t="str">
        <f t="shared" si="97"/>
        <v>0–0.2 hours</v>
      </c>
      <c r="P3100" t="s">
        <v>34</v>
      </c>
    </row>
    <row r="3101" spans="1:16" x14ac:dyDescent="0.4">
      <c r="A3101" t="s">
        <v>3142</v>
      </c>
      <c r="B3101">
        <v>46</v>
      </c>
      <c r="C3101" t="s">
        <v>41</v>
      </c>
      <c r="D3101" t="s">
        <v>22</v>
      </c>
      <c r="E3101">
        <v>0.86</v>
      </c>
      <c r="F3101">
        <v>23</v>
      </c>
      <c r="G3101" t="s">
        <v>28</v>
      </c>
      <c r="H3101" t="s">
        <v>57</v>
      </c>
      <c r="I3101" s="2">
        <v>13.99</v>
      </c>
      <c r="J3101">
        <v>0</v>
      </c>
      <c r="K3101" s="2">
        <f t="shared" si="96"/>
        <v>0</v>
      </c>
      <c r="L3101" t="s">
        <v>37</v>
      </c>
      <c r="M3101">
        <v>4</v>
      </c>
      <c r="N3101">
        <v>0.04</v>
      </c>
      <c r="O3101" t="str">
        <f t="shared" si="97"/>
        <v>0–0.2 hours</v>
      </c>
      <c r="P3101" t="s">
        <v>34</v>
      </c>
    </row>
    <row r="3102" spans="1:16" x14ac:dyDescent="0.4">
      <c r="A3102" s="1" t="s">
        <v>3143</v>
      </c>
      <c r="B3102">
        <v>45</v>
      </c>
      <c r="C3102" t="s">
        <v>27</v>
      </c>
      <c r="D3102" t="s">
        <v>16</v>
      </c>
      <c r="E3102">
        <v>15.8</v>
      </c>
      <c r="F3102">
        <v>57</v>
      </c>
      <c r="G3102" t="s">
        <v>33</v>
      </c>
      <c r="H3102" t="s">
        <v>24</v>
      </c>
      <c r="I3102" s="2">
        <v>8.99</v>
      </c>
      <c r="J3102">
        <v>1</v>
      </c>
      <c r="K3102" s="2">
        <f t="shared" si="96"/>
        <v>8.99</v>
      </c>
      <c r="L3102" t="s">
        <v>61</v>
      </c>
      <c r="M3102">
        <v>1</v>
      </c>
      <c r="N3102">
        <v>0.27</v>
      </c>
      <c r="O3102" t="str">
        <f t="shared" si="97"/>
        <v>0.2–0.4 hours</v>
      </c>
      <c r="P3102" t="s">
        <v>52</v>
      </c>
    </row>
    <row r="3103" spans="1:16" x14ac:dyDescent="0.4">
      <c r="A3103" t="s">
        <v>3144</v>
      </c>
      <c r="B3103">
        <v>25</v>
      </c>
      <c r="C3103" t="s">
        <v>27</v>
      </c>
      <c r="D3103" t="s">
        <v>22</v>
      </c>
      <c r="E3103">
        <v>10.36</v>
      </c>
      <c r="F3103">
        <v>52</v>
      </c>
      <c r="G3103" t="s">
        <v>17</v>
      </c>
      <c r="H3103" t="s">
        <v>24</v>
      </c>
      <c r="I3103" s="2">
        <v>13.99</v>
      </c>
      <c r="J3103">
        <v>0</v>
      </c>
      <c r="K3103" s="2">
        <f t="shared" si="96"/>
        <v>0</v>
      </c>
      <c r="L3103" t="s">
        <v>61</v>
      </c>
      <c r="M3103">
        <v>4</v>
      </c>
      <c r="N3103">
        <v>0.2</v>
      </c>
      <c r="O3103" t="str">
        <f t="shared" si="97"/>
        <v>0–0.2 hours</v>
      </c>
      <c r="P3103" t="s">
        <v>34</v>
      </c>
    </row>
    <row r="3104" spans="1:16" x14ac:dyDescent="0.4">
      <c r="A3104" t="s">
        <v>3145</v>
      </c>
      <c r="B3104">
        <v>42</v>
      </c>
      <c r="C3104" t="s">
        <v>15</v>
      </c>
      <c r="D3104" t="s">
        <v>22</v>
      </c>
      <c r="E3104">
        <v>7.51</v>
      </c>
      <c r="F3104">
        <v>28</v>
      </c>
      <c r="G3104" t="s">
        <v>23</v>
      </c>
      <c r="H3104" t="s">
        <v>46</v>
      </c>
      <c r="I3104" s="2">
        <v>13.99</v>
      </c>
      <c r="J3104">
        <v>0</v>
      </c>
      <c r="K3104" s="2">
        <f t="shared" si="96"/>
        <v>0</v>
      </c>
      <c r="L3104" t="s">
        <v>19</v>
      </c>
      <c r="M3104">
        <v>1</v>
      </c>
      <c r="N3104">
        <v>0.26</v>
      </c>
      <c r="O3104" t="str">
        <f t="shared" si="97"/>
        <v>0.2–0.4 hours</v>
      </c>
      <c r="P3104" t="s">
        <v>52</v>
      </c>
    </row>
    <row r="3105" spans="1:16" x14ac:dyDescent="0.4">
      <c r="A3105" t="s">
        <v>3146</v>
      </c>
      <c r="B3105">
        <v>33</v>
      </c>
      <c r="C3105" t="s">
        <v>15</v>
      </c>
      <c r="D3105" t="s">
        <v>16</v>
      </c>
      <c r="E3105">
        <v>2.36</v>
      </c>
      <c r="F3105">
        <v>10</v>
      </c>
      <c r="G3105" t="s">
        <v>17</v>
      </c>
      <c r="H3105" t="s">
        <v>24</v>
      </c>
      <c r="I3105" s="2">
        <v>8.99</v>
      </c>
      <c r="J3105">
        <v>1</v>
      </c>
      <c r="K3105" s="2">
        <f t="shared" si="96"/>
        <v>8.99</v>
      </c>
      <c r="L3105" t="s">
        <v>43</v>
      </c>
      <c r="M3105">
        <v>3</v>
      </c>
      <c r="N3105">
        <v>0.21</v>
      </c>
      <c r="O3105" t="str">
        <f t="shared" si="97"/>
        <v>0.2–0.4 hours</v>
      </c>
      <c r="P3105" t="s">
        <v>20</v>
      </c>
    </row>
    <row r="3106" spans="1:16" x14ac:dyDescent="0.4">
      <c r="A3106" t="s">
        <v>3147</v>
      </c>
      <c r="B3106">
        <v>44</v>
      </c>
      <c r="C3106" t="s">
        <v>27</v>
      </c>
      <c r="D3106" t="s">
        <v>16</v>
      </c>
      <c r="E3106">
        <v>9.35</v>
      </c>
      <c r="F3106">
        <v>56</v>
      </c>
      <c r="G3106" t="s">
        <v>17</v>
      </c>
      <c r="H3106" t="s">
        <v>57</v>
      </c>
      <c r="I3106" s="2">
        <v>8.99</v>
      </c>
      <c r="J3106">
        <v>1</v>
      </c>
      <c r="K3106" s="2">
        <f t="shared" si="96"/>
        <v>8.99</v>
      </c>
      <c r="L3106" t="s">
        <v>29</v>
      </c>
      <c r="M3106">
        <v>5</v>
      </c>
      <c r="N3106">
        <v>0.16</v>
      </c>
      <c r="O3106" t="str">
        <f t="shared" si="97"/>
        <v>0–0.2 hours</v>
      </c>
      <c r="P3106" t="s">
        <v>25</v>
      </c>
    </row>
    <row r="3107" spans="1:16" x14ac:dyDescent="0.4">
      <c r="A3107" t="s">
        <v>3148</v>
      </c>
      <c r="B3107">
        <v>19</v>
      </c>
      <c r="C3107" t="s">
        <v>27</v>
      </c>
      <c r="D3107" t="s">
        <v>22</v>
      </c>
      <c r="E3107">
        <v>18.18</v>
      </c>
      <c r="F3107">
        <v>48</v>
      </c>
      <c r="G3107" t="s">
        <v>28</v>
      </c>
      <c r="H3107" t="s">
        <v>18</v>
      </c>
      <c r="I3107" s="2">
        <v>13.99</v>
      </c>
      <c r="J3107">
        <v>1</v>
      </c>
      <c r="K3107" s="2">
        <f t="shared" si="96"/>
        <v>13.99</v>
      </c>
      <c r="L3107" t="s">
        <v>19</v>
      </c>
      <c r="M3107">
        <v>3</v>
      </c>
      <c r="N3107">
        <v>0.37</v>
      </c>
      <c r="O3107" t="str">
        <f t="shared" si="97"/>
        <v>0.2–0.4 hours</v>
      </c>
      <c r="P3107" t="s">
        <v>39</v>
      </c>
    </row>
    <row r="3108" spans="1:16" x14ac:dyDescent="0.4">
      <c r="A3108" t="s">
        <v>3149</v>
      </c>
      <c r="B3108">
        <v>43</v>
      </c>
      <c r="C3108" t="s">
        <v>27</v>
      </c>
      <c r="D3108" t="s">
        <v>16</v>
      </c>
      <c r="E3108">
        <v>11.02</v>
      </c>
      <c r="F3108">
        <v>47</v>
      </c>
      <c r="G3108" t="s">
        <v>33</v>
      </c>
      <c r="H3108" t="s">
        <v>18</v>
      </c>
      <c r="I3108" s="2">
        <v>8.99</v>
      </c>
      <c r="J3108">
        <v>1</v>
      </c>
      <c r="K3108" s="2">
        <f t="shared" si="96"/>
        <v>8.99</v>
      </c>
      <c r="L3108" t="s">
        <v>29</v>
      </c>
      <c r="M3108">
        <v>4</v>
      </c>
      <c r="N3108">
        <v>0.23</v>
      </c>
      <c r="O3108" t="str">
        <f t="shared" si="97"/>
        <v>0.2–0.4 hours</v>
      </c>
      <c r="P3108" t="s">
        <v>39</v>
      </c>
    </row>
    <row r="3109" spans="1:16" x14ac:dyDescent="0.4">
      <c r="A3109" t="s">
        <v>3150</v>
      </c>
      <c r="B3109">
        <v>32</v>
      </c>
      <c r="C3109" t="s">
        <v>27</v>
      </c>
      <c r="D3109" t="s">
        <v>22</v>
      </c>
      <c r="E3109">
        <v>7.07</v>
      </c>
      <c r="F3109">
        <v>21</v>
      </c>
      <c r="G3109" t="s">
        <v>28</v>
      </c>
      <c r="H3109" t="s">
        <v>55</v>
      </c>
      <c r="I3109" s="2">
        <v>13.99</v>
      </c>
      <c r="J3109">
        <v>0</v>
      </c>
      <c r="K3109" s="2">
        <f t="shared" si="96"/>
        <v>0</v>
      </c>
      <c r="L3109" t="s">
        <v>29</v>
      </c>
      <c r="M3109">
        <v>1</v>
      </c>
      <c r="N3109">
        <v>0.32</v>
      </c>
      <c r="O3109" t="str">
        <f t="shared" si="97"/>
        <v>0.2–0.4 hours</v>
      </c>
      <c r="P3109" t="s">
        <v>34</v>
      </c>
    </row>
    <row r="3110" spans="1:16" x14ac:dyDescent="0.4">
      <c r="A3110" t="s">
        <v>3151</v>
      </c>
      <c r="B3110">
        <v>35</v>
      </c>
      <c r="C3110" t="s">
        <v>27</v>
      </c>
      <c r="D3110" t="s">
        <v>32</v>
      </c>
      <c r="E3110">
        <v>8.44</v>
      </c>
      <c r="F3110">
        <v>47</v>
      </c>
      <c r="G3110" t="s">
        <v>28</v>
      </c>
      <c r="H3110" t="s">
        <v>46</v>
      </c>
      <c r="I3110" s="2">
        <v>17.989999999999998</v>
      </c>
      <c r="J3110">
        <v>1</v>
      </c>
      <c r="K3110" s="2">
        <f t="shared" si="96"/>
        <v>17.989999999999998</v>
      </c>
      <c r="L3110" t="s">
        <v>29</v>
      </c>
      <c r="M3110">
        <v>4</v>
      </c>
      <c r="N3110">
        <v>0.18</v>
      </c>
      <c r="O3110" t="str">
        <f t="shared" si="97"/>
        <v>0–0.2 hours</v>
      </c>
      <c r="P3110" t="s">
        <v>25</v>
      </c>
    </row>
    <row r="3111" spans="1:16" x14ac:dyDescent="0.4">
      <c r="A3111" t="s">
        <v>3152</v>
      </c>
      <c r="B3111">
        <v>66</v>
      </c>
      <c r="C3111" t="s">
        <v>41</v>
      </c>
      <c r="D3111" t="s">
        <v>22</v>
      </c>
      <c r="E3111">
        <v>26.72</v>
      </c>
      <c r="F3111">
        <v>35</v>
      </c>
      <c r="G3111" t="s">
        <v>33</v>
      </c>
      <c r="H3111" t="s">
        <v>18</v>
      </c>
      <c r="I3111" s="2">
        <v>13.99</v>
      </c>
      <c r="J3111">
        <v>0</v>
      </c>
      <c r="K3111" s="2">
        <f t="shared" si="96"/>
        <v>0</v>
      </c>
      <c r="L3111" t="s">
        <v>43</v>
      </c>
      <c r="M3111">
        <v>5</v>
      </c>
      <c r="N3111">
        <v>0.74</v>
      </c>
      <c r="O3111" t="str">
        <f t="shared" si="97"/>
        <v>0.6–0.8 hours</v>
      </c>
      <c r="P3111" t="s">
        <v>30</v>
      </c>
    </row>
    <row r="3112" spans="1:16" x14ac:dyDescent="0.4">
      <c r="A3112" t="s">
        <v>3153</v>
      </c>
      <c r="B3112">
        <v>68</v>
      </c>
      <c r="C3112" t="s">
        <v>27</v>
      </c>
      <c r="D3112" t="s">
        <v>22</v>
      </c>
      <c r="E3112">
        <v>1.45</v>
      </c>
      <c r="F3112">
        <v>27</v>
      </c>
      <c r="G3112" t="s">
        <v>70</v>
      </c>
      <c r="H3112" t="s">
        <v>55</v>
      </c>
      <c r="I3112" s="2">
        <v>13.99</v>
      </c>
      <c r="J3112">
        <v>0</v>
      </c>
      <c r="K3112" s="2">
        <f t="shared" si="96"/>
        <v>0</v>
      </c>
      <c r="L3112" t="s">
        <v>37</v>
      </c>
      <c r="M3112">
        <v>5</v>
      </c>
      <c r="N3112">
        <v>0.05</v>
      </c>
      <c r="O3112" t="str">
        <f t="shared" si="97"/>
        <v>0–0.2 hours</v>
      </c>
      <c r="P3112" t="s">
        <v>39</v>
      </c>
    </row>
    <row r="3113" spans="1:16" x14ac:dyDescent="0.4">
      <c r="A3113" t="s">
        <v>3154</v>
      </c>
      <c r="B3113">
        <v>46</v>
      </c>
      <c r="C3113" t="s">
        <v>15</v>
      </c>
      <c r="D3113" t="s">
        <v>16</v>
      </c>
      <c r="E3113">
        <v>0.04</v>
      </c>
      <c r="F3113">
        <v>2</v>
      </c>
      <c r="G3113" t="s">
        <v>49</v>
      </c>
      <c r="H3113" t="s">
        <v>57</v>
      </c>
      <c r="I3113" s="2">
        <v>8.99</v>
      </c>
      <c r="J3113">
        <v>1</v>
      </c>
      <c r="K3113" s="2">
        <f t="shared" si="96"/>
        <v>8.99</v>
      </c>
      <c r="L3113" t="s">
        <v>61</v>
      </c>
      <c r="M3113">
        <v>4</v>
      </c>
      <c r="N3113">
        <v>0.01</v>
      </c>
      <c r="O3113" t="str">
        <f t="shared" si="97"/>
        <v>0–0.2 hours</v>
      </c>
      <c r="P3113" t="s">
        <v>20</v>
      </c>
    </row>
    <row r="3114" spans="1:16" x14ac:dyDescent="0.4">
      <c r="A3114" t="s">
        <v>3155</v>
      </c>
      <c r="B3114">
        <v>20</v>
      </c>
      <c r="C3114" t="s">
        <v>41</v>
      </c>
      <c r="D3114" t="s">
        <v>32</v>
      </c>
      <c r="E3114">
        <v>3.26</v>
      </c>
      <c r="F3114">
        <v>32</v>
      </c>
      <c r="G3114" t="s">
        <v>23</v>
      </c>
      <c r="H3114" t="s">
        <v>24</v>
      </c>
      <c r="I3114" s="2">
        <v>17.989999999999998</v>
      </c>
      <c r="J3114">
        <v>1</v>
      </c>
      <c r="K3114" s="2">
        <f t="shared" si="96"/>
        <v>17.989999999999998</v>
      </c>
      <c r="L3114" t="s">
        <v>43</v>
      </c>
      <c r="M3114">
        <v>2</v>
      </c>
      <c r="N3114">
        <v>0.1</v>
      </c>
      <c r="O3114" t="str">
        <f t="shared" si="97"/>
        <v>0–0.2 hours</v>
      </c>
      <c r="P3114" t="s">
        <v>20</v>
      </c>
    </row>
    <row r="3115" spans="1:16" x14ac:dyDescent="0.4">
      <c r="A3115" t="s">
        <v>3156</v>
      </c>
      <c r="B3115">
        <v>33</v>
      </c>
      <c r="C3115" t="s">
        <v>41</v>
      </c>
      <c r="D3115" t="s">
        <v>22</v>
      </c>
      <c r="E3115">
        <v>4.63</v>
      </c>
      <c r="F3115">
        <v>0</v>
      </c>
      <c r="G3115" t="s">
        <v>23</v>
      </c>
      <c r="H3115" t="s">
        <v>18</v>
      </c>
      <c r="I3115" s="2">
        <v>13.99</v>
      </c>
      <c r="J3115">
        <v>0</v>
      </c>
      <c r="K3115" s="2">
        <f t="shared" si="96"/>
        <v>0</v>
      </c>
      <c r="L3115" t="s">
        <v>37</v>
      </c>
      <c r="M3115">
        <v>1</v>
      </c>
      <c r="N3115">
        <v>4.63</v>
      </c>
      <c r="O3115" t="str">
        <f t="shared" si="97"/>
        <v>1+ hours</v>
      </c>
      <c r="P3115" t="s">
        <v>25</v>
      </c>
    </row>
    <row r="3116" spans="1:16" x14ac:dyDescent="0.4">
      <c r="A3116" t="s">
        <v>3157</v>
      </c>
      <c r="B3116">
        <v>63</v>
      </c>
      <c r="C3116" t="s">
        <v>27</v>
      </c>
      <c r="D3116" t="s">
        <v>32</v>
      </c>
      <c r="E3116">
        <v>6.24</v>
      </c>
      <c r="F3116">
        <v>17</v>
      </c>
      <c r="G3116" t="s">
        <v>70</v>
      </c>
      <c r="H3116" t="s">
        <v>57</v>
      </c>
      <c r="I3116" s="2">
        <v>17.989999999999998</v>
      </c>
      <c r="J3116">
        <v>0</v>
      </c>
      <c r="K3116" s="2">
        <f t="shared" si="96"/>
        <v>0</v>
      </c>
      <c r="L3116" t="s">
        <v>43</v>
      </c>
      <c r="M3116">
        <v>1</v>
      </c>
      <c r="N3116">
        <v>0.35</v>
      </c>
      <c r="O3116" t="str">
        <f t="shared" si="97"/>
        <v>0.2–0.4 hours</v>
      </c>
      <c r="P3116" t="s">
        <v>30</v>
      </c>
    </row>
    <row r="3117" spans="1:16" x14ac:dyDescent="0.4">
      <c r="A3117" t="s">
        <v>3158</v>
      </c>
      <c r="B3117">
        <v>33</v>
      </c>
      <c r="C3117" t="s">
        <v>41</v>
      </c>
      <c r="D3117" t="s">
        <v>16</v>
      </c>
      <c r="E3117">
        <v>21.02</v>
      </c>
      <c r="F3117">
        <v>45</v>
      </c>
      <c r="G3117" t="s">
        <v>28</v>
      </c>
      <c r="H3117" t="s">
        <v>55</v>
      </c>
      <c r="I3117" s="2">
        <v>8.99</v>
      </c>
      <c r="J3117">
        <v>1</v>
      </c>
      <c r="K3117" s="2">
        <f t="shared" si="96"/>
        <v>8.99</v>
      </c>
      <c r="L3117" t="s">
        <v>19</v>
      </c>
      <c r="M3117">
        <v>1</v>
      </c>
      <c r="N3117">
        <v>0.46</v>
      </c>
      <c r="O3117" t="str">
        <f t="shared" si="97"/>
        <v>0.4–0.6 hours</v>
      </c>
      <c r="P3117" t="s">
        <v>30</v>
      </c>
    </row>
    <row r="3118" spans="1:16" x14ac:dyDescent="0.4">
      <c r="A3118" t="s">
        <v>3159</v>
      </c>
      <c r="B3118">
        <v>40</v>
      </c>
      <c r="C3118" t="s">
        <v>15</v>
      </c>
      <c r="D3118" t="s">
        <v>22</v>
      </c>
      <c r="E3118">
        <v>1.46</v>
      </c>
      <c r="F3118">
        <v>44</v>
      </c>
      <c r="G3118" t="s">
        <v>23</v>
      </c>
      <c r="H3118" t="s">
        <v>46</v>
      </c>
      <c r="I3118" s="2">
        <v>13.99</v>
      </c>
      <c r="J3118">
        <v>1</v>
      </c>
      <c r="K3118" s="2">
        <f t="shared" si="96"/>
        <v>13.99</v>
      </c>
      <c r="L3118" t="s">
        <v>61</v>
      </c>
      <c r="M3118">
        <v>3</v>
      </c>
      <c r="N3118">
        <v>0.03</v>
      </c>
      <c r="O3118" t="str">
        <f t="shared" si="97"/>
        <v>0–0.2 hours</v>
      </c>
      <c r="P3118" t="s">
        <v>52</v>
      </c>
    </row>
    <row r="3119" spans="1:16" x14ac:dyDescent="0.4">
      <c r="A3119" t="s">
        <v>3160</v>
      </c>
      <c r="B3119">
        <v>66</v>
      </c>
      <c r="C3119" t="s">
        <v>41</v>
      </c>
      <c r="D3119" t="s">
        <v>16</v>
      </c>
      <c r="E3119">
        <v>7.42</v>
      </c>
      <c r="F3119">
        <v>22</v>
      </c>
      <c r="G3119" t="s">
        <v>17</v>
      </c>
      <c r="H3119" t="s">
        <v>55</v>
      </c>
      <c r="I3119" s="2">
        <v>8.99</v>
      </c>
      <c r="J3119">
        <v>1</v>
      </c>
      <c r="K3119" s="2">
        <f t="shared" si="96"/>
        <v>8.99</v>
      </c>
      <c r="L3119" t="s">
        <v>43</v>
      </c>
      <c r="M3119">
        <v>1</v>
      </c>
      <c r="N3119">
        <v>0.32</v>
      </c>
      <c r="O3119" t="str">
        <f t="shared" si="97"/>
        <v>0.2–0.4 hours</v>
      </c>
      <c r="P3119" t="s">
        <v>52</v>
      </c>
    </row>
    <row r="3120" spans="1:16" x14ac:dyDescent="0.4">
      <c r="A3120" t="s">
        <v>3161</v>
      </c>
      <c r="B3120">
        <v>44</v>
      </c>
      <c r="C3120" t="s">
        <v>27</v>
      </c>
      <c r="D3120" t="s">
        <v>16</v>
      </c>
      <c r="E3120">
        <v>9.89</v>
      </c>
      <c r="F3120">
        <v>39</v>
      </c>
      <c r="G3120" t="s">
        <v>28</v>
      </c>
      <c r="H3120" t="s">
        <v>24</v>
      </c>
      <c r="I3120" s="2">
        <v>8.99</v>
      </c>
      <c r="J3120">
        <v>1</v>
      </c>
      <c r="K3120" s="2">
        <f t="shared" si="96"/>
        <v>8.99</v>
      </c>
      <c r="L3120" t="s">
        <v>19</v>
      </c>
      <c r="M3120">
        <v>4</v>
      </c>
      <c r="N3120">
        <v>0.25</v>
      </c>
      <c r="O3120" t="str">
        <f t="shared" si="97"/>
        <v>0.2–0.4 hours</v>
      </c>
      <c r="P3120" t="s">
        <v>25</v>
      </c>
    </row>
    <row r="3121" spans="1:16" x14ac:dyDescent="0.4">
      <c r="A3121" t="s">
        <v>3162</v>
      </c>
      <c r="B3121">
        <v>41</v>
      </c>
      <c r="C3121" t="s">
        <v>15</v>
      </c>
      <c r="D3121" t="s">
        <v>16</v>
      </c>
      <c r="E3121">
        <v>19.100000000000001</v>
      </c>
      <c r="F3121">
        <v>2</v>
      </c>
      <c r="G3121" t="s">
        <v>23</v>
      </c>
      <c r="H3121" t="s">
        <v>24</v>
      </c>
      <c r="I3121" s="2">
        <v>8.99</v>
      </c>
      <c r="J3121">
        <v>0</v>
      </c>
      <c r="K3121" s="2">
        <f t="shared" si="96"/>
        <v>0</v>
      </c>
      <c r="L3121" t="s">
        <v>43</v>
      </c>
      <c r="M3121">
        <v>1</v>
      </c>
      <c r="N3121">
        <v>6.37</v>
      </c>
      <c r="O3121" t="str">
        <f t="shared" si="97"/>
        <v>1+ hours</v>
      </c>
      <c r="P3121" t="s">
        <v>25</v>
      </c>
    </row>
    <row r="3122" spans="1:16" x14ac:dyDescent="0.4">
      <c r="A3122" t="s">
        <v>3163</v>
      </c>
      <c r="B3122">
        <v>67</v>
      </c>
      <c r="C3122" t="s">
        <v>27</v>
      </c>
      <c r="D3122" t="s">
        <v>22</v>
      </c>
      <c r="E3122">
        <v>5.78</v>
      </c>
      <c r="F3122">
        <v>47</v>
      </c>
      <c r="G3122" t="s">
        <v>17</v>
      </c>
      <c r="H3122" t="s">
        <v>55</v>
      </c>
      <c r="I3122" s="2">
        <v>13.99</v>
      </c>
      <c r="J3122">
        <v>1</v>
      </c>
      <c r="K3122" s="2">
        <f t="shared" si="96"/>
        <v>13.99</v>
      </c>
      <c r="L3122" t="s">
        <v>37</v>
      </c>
      <c r="M3122">
        <v>3</v>
      </c>
      <c r="N3122">
        <v>0.12</v>
      </c>
      <c r="O3122" t="str">
        <f t="shared" si="97"/>
        <v>0–0.2 hours</v>
      </c>
      <c r="P3122" t="s">
        <v>20</v>
      </c>
    </row>
    <row r="3123" spans="1:16" x14ac:dyDescent="0.4">
      <c r="A3123" t="s">
        <v>3164</v>
      </c>
      <c r="B3123">
        <v>29</v>
      </c>
      <c r="C3123" t="s">
        <v>27</v>
      </c>
      <c r="D3123" t="s">
        <v>32</v>
      </c>
      <c r="E3123">
        <v>5.97</v>
      </c>
      <c r="F3123">
        <v>2</v>
      </c>
      <c r="G3123" t="s">
        <v>23</v>
      </c>
      <c r="H3123" t="s">
        <v>57</v>
      </c>
      <c r="I3123" s="2">
        <v>17.989999999999998</v>
      </c>
      <c r="J3123">
        <v>0</v>
      </c>
      <c r="K3123" s="2">
        <f t="shared" si="96"/>
        <v>0</v>
      </c>
      <c r="L3123" t="s">
        <v>43</v>
      </c>
      <c r="M3123">
        <v>4</v>
      </c>
      <c r="N3123">
        <v>1.99</v>
      </c>
      <c r="O3123" t="str">
        <f t="shared" si="97"/>
        <v>1+ hours</v>
      </c>
      <c r="P3123" t="s">
        <v>20</v>
      </c>
    </row>
    <row r="3124" spans="1:16" x14ac:dyDescent="0.4">
      <c r="A3124" t="s">
        <v>3165</v>
      </c>
      <c r="B3124">
        <v>34</v>
      </c>
      <c r="C3124" t="s">
        <v>27</v>
      </c>
      <c r="D3124" t="s">
        <v>22</v>
      </c>
      <c r="E3124">
        <v>0.22</v>
      </c>
      <c r="F3124">
        <v>52</v>
      </c>
      <c r="G3124" t="s">
        <v>33</v>
      </c>
      <c r="H3124" t="s">
        <v>57</v>
      </c>
      <c r="I3124" s="2">
        <v>13.99</v>
      </c>
      <c r="J3124">
        <v>1</v>
      </c>
      <c r="K3124" s="2">
        <f t="shared" si="96"/>
        <v>13.99</v>
      </c>
      <c r="L3124" t="s">
        <v>43</v>
      </c>
      <c r="M3124">
        <v>4</v>
      </c>
      <c r="N3124">
        <v>0</v>
      </c>
      <c r="O3124" t="str">
        <f t="shared" si="97"/>
        <v>0–0.2 hours</v>
      </c>
      <c r="P3124" t="s">
        <v>52</v>
      </c>
    </row>
    <row r="3125" spans="1:16" x14ac:dyDescent="0.4">
      <c r="A3125" t="s">
        <v>3166</v>
      </c>
      <c r="B3125">
        <v>23</v>
      </c>
      <c r="C3125" t="s">
        <v>15</v>
      </c>
      <c r="D3125" t="s">
        <v>22</v>
      </c>
      <c r="E3125">
        <v>20.75</v>
      </c>
      <c r="F3125">
        <v>51</v>
      </c>
      <c r="G3125" t="s">
        <v>28</v>
      </c>
      <c r="H3125" t="s">
        <v>55</v>
      </c>
      <c r="I3125" s="2">
        <v>13.99</v>
      </c>
      <c r="J3125">
        <v>0</v>
      </c>
      <c r="K3125" s="2">
        <f t="shared" si="96"/>
        <v>0</v>
      </c>
      <c r="L3125" t="s">
        <v>61</v>
      </c>
      <c r="M3125">
        <v>4</v>
      </c>
      <c r="N3125">
        <v>0.4</v>
      </c>
      <c r="O3125" t="str">
        <f t="shared" si="97"/>
        <v>0.2–0.4 hours</v>
      </c>
      <c r="P3125" t="s">
        <v>52</v>
      </c>
    </row>
    <row r="3126" spans="1:16" x14ac:dyDescent="0.4">
      <c r="A3126" s="1" t="s">
        <v>3167</v>
      </c>
      <c r="B3126">
        <v>44</v>
      </c>
      <c r="C3126" t="s">
        <v>15</v>
      </c>
      <c r="D3126" t="s">
        <v>16</v>
      </c>
      <c r="E3126">
        <v>3.53</v>
      </c>
      <c r="F3126">
        <v>56</v>
      </c>
      <c r="G3126" t="s">
        <v>70</v>
      </c>
      <c r="H3126" t="s">
        <v>55</v>
      </c>
      <c r="I3126" s="2">
        <v>8.99</v>
      </c>
      <c r="J3126">
        <v>1</v>
      </c>
      <c r="K3126" s="2">
        <f t="shared" si="96"/>
        <v>8.99</v>
      </c>
      <c r="L3126" t="s">
        <v>29</v>
      </c>
      <c r="M3126">
        <v>1</v>
      </c>
      <c r="N3126">
        <v>0.06</v>
      </c>
      <c r="O3126" t="str">
        <f t="shared" si="97"/>
        <v>0–0.2 hours</v>
      </c>
      <c r="P3126" t="s">
        <v>47</v>
      </c>
    </row>
    <row r="3127" spans="1:16" x14ac:dyDescent="0.4">
      <c r="A3127" t="s">
        <v>3168</v>
      </c>
      <c r="B3127">
        <v>62</v>
      </c>
      <c r="C3127" t="s">
        <v>41</v>
      </c>
      <c r="D3127" t="s">
        <v>16</v>
      </c>
      <c r="E3127">
        <v>7.6</v>
      </c>
      <c r="F3127">
        <v>38</v>
      </c>
      <c r="G3127" t="s">
        <v>33</v>
      </c>
      <c r="H3127" t="s">
        <v>46</v>
      </c>
      <c r="I3127" s="2">
        <v>8.99</v>
      </c>
      <c r="J3127">
        <v>1</v>
      </c>
      <c r="K3127" s="2">
        <f t="shared" si="96"/>
        <v>8.99</v>
      </c>
      <c r="L3127" t="s">
        <v>43</v>
      </c>
      <c r="M3127">
        <v>1</v>
      </c>
      <c r="N3127">
        <v>0.19</v>
      </c>
      <c r="O3127" t="str">
        <f t="shared" si="97"/>
        <v>0–0.2 hours</v>
      </c>
      <c r="P3127" t="s">
        <v>39</v>
      </c>
    </row>
    <row r="3128" spans="1:16" x14ac:dyDescent="0.4">
      <c r="A3128" t="s">
        <v>3169</v>
      </c>
      <c r="B3128">
        <v>49</v>
      </c>
      <c r="C3128" t="s">
        <v>41</v>
      </c>
      <c r="D3128" t="s">
        <v>16</v>
      </c>
      <c r="E3128">
        <v>11.25</v>
      </c>
      <c r="F3128">
        <v>9</v>
      </c>
      <c r="G3128" t="s">
        <v>49</v>
      </c>
      <c r="H3128" t="s">
        <v>24</v>
      </c>
      <c r="I3128" s="2">
        <v>8.99</v>
      </c>
      <c r="J3128">
        <v>0</v>
      </c>
      <c r="K3128" s="2">
        <f t="shared" si="96"/>
        <v>0</v>
      </c>
      <c r="L3128" t="s">
        <v>37</v>
      </c>
      <c r="M3128">
        <v>1</v>
      </c>
      <c r="N3128">
        <v>1.1200000000000001</v>
      </c>
      <c r="O3128" t="str">
        <f t="shared" si="97"/>
        <v>1+ hours</v>
      </c>
      <c r="P3128" t="s">
        <v>20</v>
      </c>
    </row>
    <row r="3129" spans="1:16" x14ac:dyDescent="0.4">
      <c r="A3129" t="s">
        <v>3170</v>
      </c>
      <c r="B3129">
        <v>68</v>
      </c>
      <c r="C3129" t="s">
        <v>15</v>
      </c>
      <c r="D3129" t="s">
        <v>22</v>
      </c>
      <c r="E3129">
        <v>35.61</v>
      </c>
      <c r="F3129">
        <v>40</v>
      </c>
      <c r="G3129" t="s">
        <v>49</v>
      </c>
      <c r="H3129" t="s">
        <v>55</v>
      </c>
      <c r="I3129" s="2">
        <v>13.99</v>
      </c>
      <c r="J3129">
        <v>0</v>
      </c>
      <c r="K3129" s="2">
        <f t="shared" si="96"/>
        <v>0</v>
      </c>
      <c r="L3129" t="s">
        <v>37</v>
      </c>
      <c r="M3129">
        <v>4</v>
      </c>
      <c r="N3129">
        <v>0.87</v>
      </c>
      <c r="O3129" t="str">
        <f t="shared" si="97"/>
        <v>0.8–1 hour</v>
      </c>
      <c r="P3129" t="s">
        <v>52</v>
      </c>
    </row>
    <row r="3130" spans="1:16" x14ac:dyDescent="0.4">
      <c r="A3130" t="s">
        <v>3171</v>
      </c>
      <c r="B3130">
        <v>20</v>
      </c>
      <c r="C3130" t="s">
        <v>27</v>
      </c>
      <c r="D3130" t="s">
        <v>32</v>
      </c>
      <c r="E3130">
        <v>9.92</v>
      </c>
      <c r="F3130">
        <v>25</v>
      </c>
      <c r="G3130" t="s">
        <v>70</v>
      </c>
      <c r="H3130" t="s">
        <v>55</v>
      </c>
      <c r="I3130" s="2">
        <v>17.989999999999998</v>
      </c>
      <c r="J3130">
        <v>0</v>
      </c>
      <c r="K3130" s="2">
        <f t="shared" si="96"/>
        <v>0</v>
      </c>
      <c r="L3130" t="s">
        <v>19</v>
      </c>
      <c r="M3130">
        <v>2</v>
      </c>
      <c r="N3130">
        <v>0.38</v>
      </c>
      <c r="O3130" t="str">
        <f t="shared" si="97"/>
        <v>0.2–0.4 hours</v>
      </c>
      <c r="P3130" t="s">
        <v>25</v>
      </c>
    </row>
    <row r="3131" spans="1:16" x14ac:dyDescent="0.4">
      <c r="A3131" t="s">
        <v>3172</v>
      </c>
      <c r="B3131">
        <v>28</v>
      </c>
      <c r="C3131" t="s">
        <v>27</v>
      </c>
      <c r="D3131" t="s">
        <v>32</v>
      </c>
      <c r="E3131">
        <v>0.12</v>
      </c>
      <c r="F3131">
        <v>9</v>
      </c>
      <c r="G3131" t="s">
        <v>23</v>
      </c>
      <c r="H3131" t="s">
        <v>18</v>
      </c>
      <c r="I3131" s="2">
        <v>17.989999999999998</v>
      </c>
      <c r="J3131">
        <v>1</v>
      </c>
      <c r="K3131" s="2">
        <f t="shared" si="96"/>
        <v>17.989999999999998</v>
      </c>
      <c r="L3131" t="s">
        <v>29</v>
      </c>
      <c r="M3131">
        <v>2</v>
      </c>
      <c r="N3131">
        <v>0.01</v>
      </c>
      <c r="O3131" t="str">
        <f t="shared" si="97"/>
        <v>0–0.2 hours</v>
      </c>
      <c r="P3131" t="s">
        <v>39</v>
      </c>
    </row>
    <row r="3132" spans="1:16" x14ac:dyDescent="0.4">
      <c r="A3132" t="s">
        <v>3173</v>
      </c>
      <c r="B3132">
        <v>53</v>
      </c>
      <c r="C3132" t="s">
        <v>15</v>
      </c>
      <c r="D3132" t="s">
        <v>22</v>
      </c>
      <c r="E3132">
        <v>52.23</v>
      </c>
      <c r="F3132">
        <v>7</v>
      </c>
      <c r="G3132" t="s">
        <v>33</v>
      </c>
      <c r="H3132" t="s">
        <v>55</v>
      </c>
      <c r="I3132" s="2">
        <v>13.99</v>
      </c>
      <c r="J3132">
        <v>0</v>
      </c>
      <c r="K3132" s="2">
        <f t="shared" si="96"/>
        <v>0</v>
      </c>
      <c r="L3132" t="s">
        <v>43</v>
      </c>
      <c r="M3132">
        <v>3</v>
      </c>
      <c r="N3132">
        <v>6.53</v>
      </c>
      <c r="O3132" t="str">
        <f t="shared" si="97"/>
        <v>1+ hours</v>
      </c>
      <c r="P3132" t="s">
        <v>30</v>
      </c>
    </row>
    <row r="3133" spans="1:16" x14ac:dyDescent="0.4">
      <c r="A3133" t="s">
        <v>3174</v>
      </c>
      <c r="B3133">
        <v>29</v>
      </c>
      <c r="C3133" t="s">
        <v>41</v>
      </c>
      <c r="D3133" t="s">
        <v>22</v>
      </c>
      <c r="E3133">
        <v>11.46</v>
      </c>
      <c r="F3133">
        <v>54</v>
      </c>
      <c r="G3133" t="s">
        <v>70</v>
      </c>
      <c r="H3133" t="s">
        <v>46</v>
      </c>
      <c r="I3133" s="2">
        <v>13.99</v>
      </c>
      <c r="J3133">
        <v>1</v>
      </c>
      <c r="K3133" s="2">
        <f t="shared" si="96"/>
        <v>13.99</v>
      </c>
      <c r="L3133" t="s">
        <v>19</v>
      </c>
      <c r="M3133">
        <v>4</v>
      </c>
      <c r="N3133">
        <v>0.21</v>
      </c>
      <c r="O3133" t="str">
        <f t="shared" si="97"/>
        <v>0.2–0.4 hours</v>
      </c>
      <c r="P3133" t="s">
        <v>30</v>
      </c>
    </row>
    <row r="3134" spans="1:16" x14ac:dyDescent="0.4">
      <c r="A3134" t="s">
        <v>3175</v>
      </c>
      <c r="B3134">
        <v>33</v>
      </c>
      <c r="C3134" t="s">
        <v>41</v>
      </c>
      <c r="D3134" t="s">
        <v>32</v>
      </c>
      <c r="E3134">
        <v>13.95</v>
      </c>
      <c r="F3134">
        <v>53</v>
      </c>
      <c r="G3134" t="s">
        <v>70</v>
      </c>
      <c r="H3134" t="s">
        <v>46</v>
      </c>
      <c r="I3134" s="2">
        <v>17.989999999999998</v>
      </c>
      <c r="J3134">
        <v>0</v>
      </c>
      <c r="K3134" s="2">
        <f t="shared" si="96"/>
        <v>0</v>
      </c>
      <c r="L3134" t="s">
        <v>61</v>
      </c>
      <c r="M3134">
        <v>4</v>
      </c>
      <c r="N3134">
        <v>0.26</v>
      </c>
      <c r="O3134" t="str">
        <f t="shared" si="97"/>
        <v>0.2–0.4 hours</v>
      </c>
      <c r="P3134" t="s">
        <v>34</v>
      </c>
    </row>
    <row r="3135" spans="1:16" x14ac:dyDescent="0.4">
      <c r="A3135" t="s">
        <v>3176</v>
      </c>
      <c r="B3135">
        <v>57</v>
      </c>
      <c r="C3135" t="s">
        <v>27</v>
      </c>
      <c r="D3135" t="s">
        <v>16</v>
      </c>
      <c r="E3135">
        <v>24.97</v>
      </c>
      <c r="F3135">
        <v>53</v>
      </c>
      <c r="G3135" t="s">
        <v>28</v>
      </c>
      <c r="H3135" t="s">
        <v>18</v>
      </c>
      <c r="I3135" s="2">
        <v>8.99</v>
      </c>
      <c r="J3135">
        <v>1</v>
      </c>
      <c r="K3135" s="2">
        <f t="shared" si="96"/>
        <v>8.99</v>
      </c>
      <c r="L3135" t="s">
        <v>19</v>
      </c>
      <c r="M3135">
        <v>5</v>
      </c>
      <c r="N3135">
        <v>0.46</v>
      </c>
      <c r="O3135" t="str">
        <f t="shared" si="97"/>
        <v>0.4–0.6 hours</v>
      </c>
      <c r="P3135" t="s">
        <v>34</v>
      </c>
    </row>
    <row r="3136" spans="1:16" x14ac:dyDescent="0.4">
      <c r="A3136" t="s">
        <v>3177</v>
      </c>
      <c r="B3136">
        <v>42</v>
      </c>
      <c r="C3136" t="s">
        <v>41</v>
      </c>
      <c r="D3136" t="s">
        <v>32</v>
      </c>
      <c r="E3136">
        <v>18.09</v>
      </c>
      <c r="F3136">
        <v>10</v>
      </c>
      <c r="G3136" t="s">
        <v>49</v>
      </c>
      <c r="H3136" t="s">
        <v>18</v>
      </c>
      <c r="I3136" s="2">
        <v>17.989999999999998</v>
      </c>
      <c r="J3136">
        <v>0</v>
      </c>
      <c r="K3136" s="2">
        <f t="shared" si="96"/>
        <v>0</v>
      </c>
      <c r="L3136" t="s">
        <v>37</v>
      </c>
      <c r="M3136">
        <v>2</v>
      </c>
      <c r="N3136">
        <v>1.64</v>
      </c>
      <c r="O3136" t="str">
        <f t="shared" si="97"/>
        <v>1+ hours</v>
      </c>
      <c r="P3136" t="s">
        <v>34</v>
      </c>
    </row>
    <row r="3137" spans="1:16" x14ac:dyDescent="0.4">
      <c r="A3137" t="s">
        <v>3178</v>
      </c>
      <c r="B3137">
        <v>27</v>
      </c>
      <c r="C3137" t="s">
        <v>27</v>
      </c>
      <c r="D3137" t="s">
        <v>22</v>
      </c>
      <c r="E3137">
        <v>33.25</v>
      </c>
      <c r="F3137">
        <v>34</v>
      </c>
      <c r="G3137" t="s">
        <v>49</v>
      </c>
      <c r="H3137" t="s">
        <v>46</v>
      </c>
      <c r="I3137" s="2">
        <v>13.99</v>
      </c>
      <c r="J3137">
        <v>0</v>
      </c>
      <c r="K3137" s="2">
        <f t="shared" si="96"/>
        <v>0</v>
      </c>
      <c r="L3137" t="s">
        <v>37</v>
      </c>
      <c r="M3137">
        <v>3</v>
      </c>
      <c r="N3137">
        <v>0.95</v>
      </c>
      <c r="O3137" t="str">
        <f t="shared" si="97"/>
        <v>0.8–1 hour</v>
      </c>
      <c r="P3137" t="s">
        <v>52</v>
      </c>
    </row>
    <row r="3138" spans="1:16" x14ac:dyDescent="0.4">
      <c r="A3138" t="s">
        <v>3179</v>
      </c>
      <c r="B3138">
        <v>18</v>
      </c>
      <c r="C3138" t="s">
        <v>41</v>
      </c>
      <c r="D3138" t="s">
        <v>22</v>
      </c>
      <c r="E3138">
        <v>3.62</v>
      </c>
      <c r="F3138">
        <v>20</v>
      </c>
      <c r="G3138" t="s">
        <v>49</v>
      </c>
      <c r="H3138" t="s">
        <v>57</v>
      </c>
      <c r="I3138" s="2">
        <v>13.99</v>
      </c>
      <c r="J3138">
        <v>1</v>
      </c>
      <c r="K3138" s="2">
        <f t="shared" si="96"/>
        <v>13.99</v>
      </c>
      <c r="L3138" t="s">
        <v>19</v>
      </c>
      <c r="M3138">
        <v>1</v>
      </c>
      <c r="N3138">
        <v>0.17</v>
      </c>
      <c r="O3138" t="str">
        <f t="shared" si="97"/>
        <v>0–0.2 hours</v>
      </c>
      <c r="P3138" t="s">
        <v>25</v>
      </c>
    </row>
    <row r="3139" spans="1:16" x14ac:dyDescent="0.4">
      <c r="A3139" t="s">
        <v>3180</v>
      </c>
      <c r="B3139">
        <v>53</v>
      </c>
      <c r="C3139" t="s">
        <v>27</v>
      </c>
      <c r="D3139" t="s">
        <v>32</v>
      </c>
      <c r="E3139">
        <v>1.62</v>
      </c>
      <c r="F3139">
        <v>60</v>
      </c>
      <c r="G3139" t="s">
        <v>17</v>
      </c>
      <c r="H3139" t="s">
        <v>18</v>
      </c>
      <c r="I3139" s="2">
        <v>17.989999999999998</v>
      </c>
      <c r="J3139">
        <v>1</v>
      </c>
      <c r="K3139" s="2">
        <f t="shared" ref="K3139:K3202" si="98">SUMIF(J3139,1,I3139)</f>
        <v>17.989999999999998</v>
      </c>
      <c r="L3139" t="s">
        <v>37</v>
      </c>
      <c r="M3139">
        <v>3</v>
      </c>
      <c r="N3139">
        <v>0.03</v>
      </c>
      <c r="O3139" t="str">
        <f t="shared" ref="O3139:O3202" si="99">IF(N3139&gt;1,"1+ hours",IF(N3139&lt;=0.2,"0–0.2 hours",IF(N3139&lt;=0.4,"0.2–0.4 hours",IF(N3139&lt;=0.6,"0.4–0.6 hours",IF(N3139&lt;=0.8,"0.6–0.8 hours","0.8–1 hour")))))</f>
        <v>0–0.2 hours</v>
      </c>
      <c r="P3139" t="s">
        <v>30</v>
      </c>
    </row>
    <row r="3140" spans="1:16" x14ac:dyDescent="0.4">
      <c r="A3140" t="s">
        <v>3181</v>
      </c>
      <c r="B3140">
        <v>41</v>
      </c>
      <c r="C3140" t="s">
        <v>27</v>
      </c>
      <c r="D3140" t="s">
        <v>32</v>
      </c>
      <c r="E3140">
        <v>7.53</v>
      </c>
      <c r="F3140">
        <v>28</v>
      </c>
      <c r="G3140" t="s">
        <v>33</v>
      </c>
      <c r="H3140" t="s">
        <v>55</v>
      </c>
      <c r="I3140" s="2">
        <v>17.989999999999998</v>
      </c>
      <c r="J3140">
        <v>0</v>
      </c>
      <c r="K3140" s="2">
        <f t="shared" si="98"/>
        <v>0</v>
      </c>
      <c r="L3140" t="s">
        <v>37</v>
      </c>
      <c r="M3140">
        <v>2</v>
      </c>
      <c r="N3140">
        <v>0.26</v>
      </c>
      <c r="O3140" t="str">
        <f t="shared" si="99"/>
        <v>0.2–0.4 hours</v>
      </c>
      <c r="P3140" t="s">
        <v>47</v>
      </c>
    </row>
    <row r="3141" spans="1:16" x14ac:dyDescent="0.4">
      <c r="A3141" t="s">
        <v>3182</v>
      </c>
      <c r="B3141">
        <v>35</v>
      </c>
      <c r="C3141" t="s">
        <v>41</v>
      </c>
      <c r="D3141" t="s">
        <v>16</v>
      </c>
      <c r="E3141">
        <v>5.07</v>
      </c>
      <c r="F3141">
        <v>41</v>
      </c>
      <c r="G3141" t="s">
        <v>49</v>
      </c>
      <c r="H3141" t="s">
        <v>18</v>
      </c>
      <c r="I3141" s="2">
        <v>8.99</v>
      </c>
      <c r="J3141">
        <v>1</v>
      </c>
      <c r="K3141" s="2">
        <f t="shared" si="98"/>
        <v>8.99</v>
      </c>
      <c r="L3141" t="s">
        <v>37</v>
      </c>
      <c r="M3141">
        <v>2</v>
      </c>
      <c r="N3141">
        <v>0.12</v>
      </c>
      <c r="O3141" t="str">
        <f t="shared" si="99"/>
        <v>0–0.2 hours</v>
      </c>
      <c r="P3141" t="s">
        <v>34</v>
      </c>
    </row>
    <row r="3142" spans="1:16" x14ac:dyDescent="0.4">
      <c r="A3142" t="s">
        <v>3183</v>
      </c>
      <c r="B3142">
        <v>69</v>
      </c>
      <c r="C3142" t="s">
        <v>41</v>
      </c>
      <c r="D3142" t="s">
        <v>32</v>
      </c>
      <c r="E3142">
        <v>36.44</v>
      </c>
      <c r="F3142">
        <v>10</v>
      </c>
      <c r="G3142" t="s">
        <v>70</v>
      </c>
      <c r="H3142" t="s">
        <v>46</v>
      </c>
      <c r="I3142" s="2">
        <v>17.989999999999998</v>
      </c>
      <c r="J3142">
        <v>0</v>
      </c>
      <c r="K3142" s="2">
        <f t="shared" si="98"/>
        <v>0</v>
      </c>
      <c r="L3142" t="s">
        <v>37</v>
      </c>
      <c r="M3142">
        <v>4</v>
      </c>
      <c r="N3142">
        <v>3.31</v>
      </c>
      <c r="O3142" t="str">
        <f t="shared" si="99"/>
        <v>1+ hours</v>
      </c>
      <c r="P3142" t="s">
        <v>52</v>
      </c>
    </row>
    <row r="3143" spans="1:16" x14ac:dyDescent="0.4">
      <c r="A3143" t="s">
        <v>3184</v>
      </c>
      <c r="B3143">
        <v>53</v>
      </c>
      <c r="C3143" t="s">
        <v>41</v>
      </c>
      <c r="D3143" t="s">
        <v>32</v>
      </c>
      <c r="E3143">
        <v>6.61</v>
      </c>
      <c r="F3143">
        <v>54</v>
      </c>
      <c r="G3143" t="s">
        <v>23</v>
      </c>
      <c r="H3143" t="s">
        <v>46</v>
      </c>
      <c r="I3143" s="2">
        <v>17.989999999999998</v>
      </c>
      <c r="J3143">
        <v>1</v>
      </c>
      <c r="K3143" s="2">
        <f t="shared" si="98"/>
        <v>17.989999999999998</v>
      </c>
      <c r="L3143" t="s">
        <v>43</v>
      </c>
      <c r="M3143">
        <v>2</v>
      </c>
      <c r="N3143">
        <v>0.12</v>
      </c>
      <c r="O3143" t="str">
        <f t="shared" si="99"/>
        <v>0–0.2 hours</v>
      </c>
      <c r="P3143" t="s">
        <v>47</v>
      </c>
    </row>
    <row r="3144" spans="1:16" x14ac:dyDescent="0.4">
      <c r="A3144" t="s">
        <v>3185</v>
      </c>
      <c r="B3144">
        <v>51</v>
      </c>
      <c r="C3144" t="s">
        <v>27</v>
      </c>
      <c r="D3144" t="s">
        <v>32</v>
      </c>
      <c r="E3144">
        <v>35.22</v>
      </c>
      <c r="F3144">
        <v>53</v>
      </c>
      <c r="G3144" t="s">
        <v>28</v>
      </c>
      <c r="H3144" t="s">
        <v>46</v>
      </c>
      <c r="I3144" s="2">
        <v>17.989999999999998</v>
      </c>
      <c r="J3144">
        <v>0</v>
      </c>
      <c r="K3144" s="2">
        <f t="shared" si="98"/>
        <v>0</v>
      </c>
      <c r="L3144" t="s">
        <v>43</v>
      </c>
      <c r="M3144">
        <v>5</v>
      </c>
      <c r="N3144">
        <v>0.65</v>
      </c>
      <c r="O3144" t="str">
        <f t="shared" si="99"/>
        <v>0.6–0.8 hours</v>
      </c>
      <c r="P3144" t="s">
        <v>52</v>
      </c>
    </row>
    <row r="3145" spans="1:16" x14ac:dyDescent="0.4">
      <c r="A3145" t="s">
        <v>3186</v>
      </c>
      <c r="B3145">
        <v>67</v>
      </c>
      <c r="C3145" t="s">
        <v>41</v>
      </c>
      <c r="D3145" t="s">
        <v>32</v>
      </c>
      <c r="E3145">
        <v>27.23</v>
      </c>
      <c r="F3145">
        <v>45</v>
      </c>
      <c r="G3145" t="s">
        <v>33</v>
      </c>
      <c r="H3145" t="s">
        <v>24</v>
      </c>
      <c r="I3145" s="2">
        <v>17.989999999999998</v>
      </c>
      <c r="J3145">
        <v>0</v>
      </c>
      <c r="K3145" s="2">
        <f t="shared" si="98"/>
        <v>0</v>
      </c>
      <c r="L3145" t="s">
        <v>43</v>
      </c>
      <c r="M3145">
        <v>2</v>
      </c>
      <c r="N3145">
        <v>0.59</v>
      </c>
      <c r="O3145" t="str">
        <f t="shared" si="99"/>
        <v>0.4–0.6 hours</v>
      </c>
      <c r="P3145" t="s">
        <v>52</v>
      </c>
    </row>
    <row r="3146" spans="1:16" x14ac:dyDescent="0.4">
      <c r="A3146" t="s">
        <v>3187</v>
      </c>
      <c r="B3146">
        <v>38</v>
      </c>
      <c r="C3146" t="s">
        <v>27</v>
      </c>
      <c r="D3146" t="s">
        <v>32</v>
      </c>
      <c r="E3146">
        <v>20.14</v>
      </c>
      <c r="F3146">
        <v>40</v>
      </c>
      <c r="G3146" t="s">
        <v>17</v>
      </c>
      <c r="H3146" t="s">
        <v>55</v>
      </c>
      <c r="I3146" s="2">
        <v>17.989999999999998</v>
      </c>
      <c r="J3146">
        <v>0</v>
      </c>
      <c r="K3146" s="2">
        <f t="shared" si="98"/>
        <v>0</v>
      </c>
      <c r="L3146" t="s">
        <v>43</v>
      </c>
      <c r="M3146">
        <v>3</v>
      </c>
      <c r="N3146">
        <v>0.49</v>
      </c>
      <c r="O3146" t="str">
        <f t="shared" si="99"/>
        <v>0.4–0.6 hours</v>
      </c>
      <c r="P3146" t="s">
        <v>30</v>
      </c>
    </row>
    <row r="3147" spans="1:16" x14ac:dyDescent="0.4">
      <c r="A3147" t="s">
        <v>3188</v>
      </c>
      <c r="B3147">
        <v>29</v>
      </c>
      <c r="C3147" t="s">
        <v>41</v>
      </c>
      <c r="D3147" t="s">
        <v>16</v>
      </c>
      <c r="E3147">
        <v>11.32</v>
      </c>
      <c r="F3147">
        <v>48</v>
      </c>
      <c r="G3147" t="s">
        <v>17</v>
      </c>
      <c r="H3147" t="s">
        <v>18</v>
      </c>
      <c r="I3147" s="2">
        <v>8.99</v>
      </c>
      <c r="J3147">
        <v>1</v>
      </c>
      <c r="K3147" s="2">
        <f t="shared" si="98"/>
        <v>8.99</v>
      </c>
      <c r="L3147" t="s">
        <v>61</v>
      </c>
      <c r="M3147">
        <v>2</v>
      </c>
      <c r="N3147">
        <v>0.23</v>
      </c>
      <c r="O3147" t="str">
        <f t="shared" si="99"/>
        <v>0.2–0.4 hours</v>
      </c>
      <c r="P3147" t="s">
        <v>25</v>
      </c>
    </row>
    <row r="3148" spans="1:16" x14ac:dyDescent="0.4">
      <c r="A3148" t="s">
        <v>3189</v>
      </c>
      <c r="B3148">
        <v>34</v>
      </c>
      <c r="C3148" t="s">
        <v>15</v>
      </c>
      <c r="D3148" t="s">
        <v>32</v>
      </c>
      <c r="E3148">
        <v>1.92</v>
      </c>
      <c r="F3148">
        <v>44</v>
      </c>
      <c r="G3148" t="s">
        <v>49</v>
      </c>
      <c r="H3148" t="s">
        <v>18</v>
      </c>
      <c r="I3148" s="2">
        <v>17.989999999999998</v>
      </c>
      <c r="J3148">
        <v>1</v>
      </c>
      <c r="K3148" s="2">
        <f t="shared" si="98"/>
        <v>17.989999999999998</v>
      </c>
      <c r="L3148" t="s">
        <v>19</v>
      </c>
      <c r="M3148">
        <v>2</v>
      </c>
      <c r="N3148">
        <v>0.04</v>
      </c>
      <c r="O3148" t="str">
        <f t="shared" si="99"/>
        <v>0–0.2 hours</v>
      </c>
      <c r="P3148" t="s">
        <v>52</v>
      </c>
    </row>
    <row r="3149" spans="1:16" x14ac:dyDescent="0.4">
      <c r="A3149" t="s">
        <v>3190</v>
      </c>
      <c r="B3149">
        <v>18</v>
      </c>
      <c r="C3149" t="s">
        <v>27</v>
      </c>
      <c r="D3149" t="s">
        <v>32</v>
      </c>
      <c r="E3149">
        <v>0.82</v>
      </c>
      <c r="F3149">
        <v>59</v>
      </c>
      <c r="G3149" t="s">
        <v>49</v>
      </c>
      <c r="H3149" t="s">
        <v>57</v>
      </c>
      <c r="I3149" s="2">
        <v>17.989999999999998</v>
      </c>
      <c r="J3149">
        <v>1</v>
      </c>
      <c r="K3149" s="2">
        <f t="shared" si="98"/>
        <v>17.989999999999998</v>
      </c>
      <c r="L3149" t="s">
        <v>43</v>
      </c>
      <c r="M3149">
        <v>3</v>
      </c>
      <c r="N3149">
        <v>0.01</v>
      </c>
      <c r="O3149" t="str">
        <f t="shared" si="99"/>
        <v>0–0.2 hours</v>
      </c>
      <c r="P3149" t="s">
        <v>20</v>
      </c>
    </row>
    <row r="3150" spans="1:16" x14ac:dyDescent="0.4">
      <c r="A3150" t="s">
        <v>3191</v>
      </c>
      <c r="B3150">
        <v>28</v>
      </c>
      <c r="C3150" t="s">
        <v>27</v>
      </c>
      <c r="D3150" t="s">
        <v>22</v>
      </c>
      <c r="E3150">
        <v>6.72</v>
      </c>
      <c r="F3150">
        <v>15</v>
      </c>
      <c r="G3150" t="s">
        <v>70</v>
      </c>
      <c r="H3150" t="s">
        <v>55</v>
      </c>
      <c r="I3150" s="2">
        <v>13.99</v>
      </c>
      <c r="J3150">
        <v>0</v>
      </c>
      <c r="K3150" s="2">
        <f t="shared" si="98"/>
        <v>0</v>
      </c>
      <c r="L3150" t="s">
        <v>43</v>
      </c>
      <c r="M3150">
        <v>5</v>
      </c>
      <c r="N3150">
        <v>0.42</v>
      </c>
      <c r="O3150" t="str">
        <f t="shared" si="99"/>
        <v>0.4–0.6 hours</v>
      </c>
      <c r="P3150" t="s">
        <v>47</v>
      </c>
    </row>
    <row r="3151" spans="1:16" x14ac:dyDescent="0.4">
      <c r="A3151" t="s">
        <v>3192</v>
      </c>
      <c r="B3151">
        <v>57</v>
      </c>
      <c r="C3151" t="s">
        <v>27</v>
      </c>
      <c r="D3151" t="s">
        <v>32</v>
      </c>
      <c r="E3151">
        <v>12.51</v>
      </c>
      <c r="F3151">
        <v>4</v>
      </c>
      <c r="G3151" t="s">
        <v>17</v>
      </c>
      <c r="H3151" t="s">
        <v>18</v>
      </c>
      <c r="I3151" s="2">
        <v>17.989999999999998</v>
      </c>
      <c r="J3151">
        <v>0</v>
      </c>
      <c r="K3151" s="2">
        <f t="shared" si="98"/>
        <v>0</v>
      </c>
      <c r="L3151" t="s">
        <v>19</v>
      </c>
      <c r="M3151">
        <v>2</v>
      </c>
      <c r="N3151">
        <v>2.5</v>
      </c>
      <c r="O3151" t="str">
        <f t="shared" si="99"/>
        <v>1+ hours</v>
      </c>
      <c r="P3151" t="s">
        <v>52</v>
      </c>
    </row>
    <row r="3152" spans="1:16" x14ac:dyDescent="0.4">
      <c r="A3152" t="s">
        <v>3193</v>
      </c>
      <c r="B3152">
        <v>34</v>
      </c>
      <c r="C3152" t="s">
        <v>15</v>
      </c>
      <c r="D3152" t="s">
        <v>32</v>
      </c>
      <c r="E3152">
        <v>16.670000000000002</v>
      </c>
      <c r="F3152">
        <v>11</v>
      </c>
      <c r="G3152" t="s">
        <v>28</v>
      </c>
      <c r="H3152" t="s">
        <v>57</v>
      </c>
      <c r="I3152" s="2">
        <v>17.989999999999998</v>
      </c>
      <c r="J3152">
        <v>0</v>
      </c>
      <c r="K3152" s="2">
        <f t="shared" si="98"/>
        <v>0</v>
      </c>
      <c r="L3152" t="s">
        <v>29</v>
      </c>
      <c r="M3152">
        <v>1</v>
      </c>
      <c r="N3152">
        <v>1.39</v>
      </c>
      <c r="O3152" t="str">
        <f t="shared" si="99"/>
        <v>1+ hours</v>
      </c>
      <c r="P3152" t="s">
        <v>20</v>
      </c>
    </row>
    <row r="3153" spans="1:16" x14ac:dyDescent="0.4">
      <c r="A3153" t="s">
        <v>3194</v>
      </c>
      <c r="B3153">
        <v>32</v>
      </c>
      <c r="C3153" t="s">
        <v>41</v>
      </c>
      <c r="D3153" t="s">
        <v>22</v>
      </c>
      <c r="E3153">
        <v>15.29</v>
      </c>
      <c r="F3153">
        <v>23</v>
      </c>
      <c r="G3153" t="s">
        <v>28</v>
      </c>
      <c r="H3153" t="s">
        <v>57</v>
      </c>
      <c r="I3153" s="2">
        <v>13.99</v>
      </c>
      <c r="J3153">
        <v>0</v>
      </c>
      <c r="K3153" s="2">
        <f t="shared" si="98"/>
        <v>0</v>
      </c>
      <c r="L3153" t="s">
        <v>61</v>
      </c>
      <c r="M3153">
        <v>5</v>
      </c>
      <c r="N3153">
        <v>0.64</v>
      </c>
      <c r="O3153" t="str">
        <f t="shared" si="99"/>
        <v>0.6–0.8 hours</v>
      </c>
      <c r="P3153" t="s">
        <v>52</v>
      </c>
    </row>
    <row r="3154" spans="1:16" x14ac:dyDescent="0.4">
      <c r="A3154" t="s">
        <v>3195</v>
      </c>
      <c r="B3154">
        <v>60</v>
      </c>
      <c r="C3154" t="s">
        <v>27</v>
      </c>
      <c r="D3154" t="s">
        <v>32</v>
      </c>
      <c r="E3154">
        <v>1.0900000000000001</v>
      </c>
      <c r="F3154">
        <v>6</v>
      </c>
      <c r="G3154" t="s">
        <v>49</v>
      </c>
      <c r="H3154" t="s">
        <v>46</v>
      </c>
      <c r="I3154" s="2">
        <v>17.989999999999998</v>
      </c>
      <c r="J3154">
        <v>1</v>
      </c>
      <c r="K3154" s="2">
        <f t="shared" si="98"/>
        <v>17.989999999999998</v>
      </c>
      <c r="L3154" t="s">
        <v>61</v>
      </c>
      <c r="M3154">
        <v>1</v>
      </c>
      <c r="N3154">
        <v>0.16</v>
      </c>
      <c r="O3154" t="str">
        <f t="shared" si="99"/>
        <v>0–0.2 hours</v>
      </c>
      <c r="P3154" t="s">
        <v>34</v>
      </c>
    </row>
    <row r="3155" spans="1:16" x14ac:dyDescent="0.4">
      <c r="A3155" t="s">
        <v>3196</v>
      </c>
      <c r="B3155">
        <v>21</v>
      </c>
      <c r="C3155" t="s">
        <v>27</v>
      </c>
      <c r="D3155" t="s">
        <v>16</v>
      </c>
      <c r="E3155">
        <v>17.28</v>
      </c>
      <c r="F3155">
        <v>18</v>
      </c>
      <c r="G3155" t="s">
        <v>17</v>
      </c>
      <c r="H3155" t="s">
        <v>24</v>
      </c>
      <c r="I3155" s="2">
        <v>8.99</v>
      </c>
      <c r="J3155">
        <v>0</v>
      </c>
      <c r="K3155" s="2">
        <f t="shared" si="98"/>
        <v>0</v>
      </c>
      <c r="L3155" t="s">
        <v>43</v>
      </c>
      <c r="M3155">
        <v>4</v>
      </c>
      <c r="N3155">
        <v>0.91</v>
      </c>
      <c r="O3155" t="str">
        <f t="shared" si="99"/>
        <v>0.8–1 hour</v>
      </c>
      <c r="P3155" t="s">
        <v>52</v>
      </c>
    </row>
    <row r="3156" spans="1:16" x14ac:dyDescent="0.4">
      <c r="A3156" t="s">
        <v>3197</v>
      </c>
      <c r="B3156">
        <v>70</v>
      </c>
      <c r="C3156" t="s">
        <v>15</v>
      </c>
      <c r="D3156" t="s">
        <v>32</v>
      </c>
      <c r="E3156">
        <v>5.52</v>
      </c>
      <c r="F3156">
        <v>29</v>
      </c>
      <c r="G3156" t="s">
        <v>49</v>
      </c>
      <c r="H3156" t="s">
        <v>55</v>
      </c>
      <c r="I3156" s="2">
        <v>17.989999999999998</v>
      </c>
      <c r="J3156">
        <v>0</v>
      </c>
      <c r="K3156" s="2">
        <f t="shared" si="98"/>
        <v>0</v>
      </c>
      <c r="L3156" t="s">
        <v>29</v>
      </c>
      <c r="M3156">
        <v>4</v>
      </c>
      <c r="N3156">
        <v>0.18</v>
      </c>
      <c r="O3156" t="str">
        <f t="shared" si="99"/>
        <v>0–0.2 hours</v>
      </c>
      <c r="P3156" t="s">
        <v>52</v>
      </c>
    </row>
    <row r="3157" spans="1:16" x14ac:dyDescent="0.4">
      <c r="A3157" t="s">
        <v>3198</v>
      </c>
      <c r="B3157">
        <v>69</v>
      </c>
      <c r="C3157" t="s">
        <v>15</v>
      </c>
      <c r="D3157" t="s">
        <v>16</v>
      </c>
      <c r="E3157">
        <v>22.17</v>
      </c>
      <c r="F3157">
        <v>51</v>
      </c>
      <c r="G3157" t="s">
        <v>23</v>
      </c>
      <c r="H3157" t="s">
        <v>46</v>
      </c>
      <c r="I3157" s="2">
        <v>8.99</v>
      </c>
      <c r="J3157">
        <v>1</v>
      </c>
      <c r="K3157" s="2">
        <f t="shared" si="98"/>
        <v>8.99</v>
      </c>
      <c r="L3157" t="s">
        <v>19</v>
      </c>
      <c r="M3157">
        <v>2</v>
      </c>
      <c r="N3157">
        <v>0.43</v>
      </c>
      <c r="O3157" t="str">
        <f t="shared" si="99"/>
        <v>0.4–0.6 hours</v>
      </c>
      <c r="P3157" t="s">
        <v>30</v>
      </c>
    </row>
    <row r="3158" spans="1:16" x14ac:dyDescent="0.4">
      <c r="A3158" t="s">
        <v>3199</v>
      </c>
      <c r="B3158">
        <v>36</v>
      </c>
      <c r="C3158" t="s">
        <v>41</v>
      </c>
      <c r="D3158" t="s">
        <v>32</v>
      </c>
      <c r="E3158">
        <v>0.98</v>
      </c>
      <c r="F3158">
        <v>55</v>
      </c>
      <c r="G3158" t="s">
        <v>33</v>
      </c>
      <c r="H3158" t="s">
        <v>24</v>
      </c>
      <c r="I3158" s="2">
        <v>17.989999999999998</v>
      </c>
      <c r="J3158">
        <v>1</v>
      </c>
      <c r="K3158" s="2">
        <f t="shared" si="98"/>
        <v>17.989999999999998</v>
      </c>
      <c r="L3158" t="s">
        <v>37</v>
      </c>
      <c r="M3158">
        <v>2</v>
      </c>
      <c r="N3158">
        <v>0.02</v>
      </c>
      <c r="O3158" t="str">
        <f t="shared" si="99"/>
        <v>0–0.2 hours</v>
      </c>
      <c r="P3158" t="s">
        <v>47</v>
      </c>
    </row>
    <row r="3159" spans="1:16" x14ac:dyDescent="0.4">
      <c r="A3159" t="s">
        <v>3200</v>
      </c>
      <c r="B3159">
        <v>70</v>
      </c>
      <c r="C3159" t="s">
        <v>15</v>
      </c>
      <c r="D3159" t="s">
        <v>16</v>
      </c>
      <c r="E3159">
        <v>61.47</v>
      </c>
      <c r="F3159">
        <v>7</v>
      </c>
      <c r="G3159" t="s">
        <v>23</v>
      </c>
      <c r="H3159" t="s">
        <v>24</v>
      </c>
      <c r="I3159" s="2">
        <v>8.99</v>
      </c>
      <c r="J3159">
        <v>0</v>
      </c>
      <c r="K3159" s="2">
        <f t="shared" si="98"/>
        <v>0</v>
      </c>
      <c r="L3159" t="s">
        <v>43</v>
      </c>
      <c r="M3159">
        <v>1</v>
      </c>
      <c r="N3159">
        <v>7.68</v>
      </c>
      <c r="O3159" t="str">
        <f t="shared" si="99"/>
        <v>1+ hours</v>
      </c>
      <c r="P3159" t="s">
        <v>39</v>
      </c>
    </row>
    <row r="3160" spans="1:16" x14ac:dyDescent="0.4">
      <c r="A3160" t="s">
        <v>3201</v>
      </c>
      <c r="B3160">
        <v>22</v>
      </c>
      <c r="C3160" t="s">
        <v>41</v>
      </c>
      <c r="D3160" t="s">
        <v>16</v>
      </c>
      <c r="E3160">
        <v>20.87</v>
      </c>
      <c r="F3160">
        <v>45</v>
      </c>
      <c r="G3160" t="s">
        <v>33</v>
      </c>
      <c r="H3160" t="s">
        <v>57</v>
      </c>
      <c r="I3160" s="2">
        <v>8.99</v>
      </c>
      <c r="J3160">
        <v>1</v>
      </c>
      <c r="K3160" s="2">
        <f t="shared" si="98"/>
        <v>8.99</v>
      </c>
      <c r="L3160" t="s">
        <v>43</v>
      </c>
      <c r="M3160">
        <v>1</v>
      </c>
      <c r="N3160">
        <v>0.45</v>
      </c>
      <c r="O3160" t="str">
        <f t="shared" si="99"/>
        <v>0.4–0.6 hours</v>
      </c>
      <c r="P3160" t="s">
        <v>30</v>
      </c>
    </row>
    <row r="3161" spans="1:16" x14ac:dyDescent="0.4">
      <c r="A3161" t="s">
        <v>3202</v>
      </c>
      <c r="B3161">
        <v>52</v>
      </c>
      <c r="C3161" t="s">
        <v>27</v>
      </c>
      <c r="D3161" t="s">
        <v>16</v>
      </c>
      <c r="E3161">
        <v>3.59</v>
      </c>
      <c r="F3161">
        <v>42</v>
      </c>
      <c r="G3161" t="s">
        <v>17</v>
      </c>
      <c r="H3161" t="s">
        <v>18</v>
      </c>
      <c r="I3161" s="2">
        <v>8.99</v>
      </c>
      <c r="J3161">
        <v>1</v>
      </c>
      <c r="K3161" s="2">
        <f t="shared" si="98"/>
        <v>8.99</v>
      </c>
      <c r="L3161" t="s">
        <v>19</v>
      </c>
      <c r="M3161">
        <v>4</v>
      </c>
      <c r="N3161">
        <v>0.08</v>
      </c>
      <c r="O3161" t="str">
        <f t="shared" si="99"/>
        <v>0–0.2 hours</v>
      </c>
      <c r="P3161" t="s">
        <v>25</v>
      </c>
    </row>
    <row r="3162" spans="1:16" x14ac:dyDescent="0.4">
      <c r="A3162" t="s">
        <v>3203</v>
      </c>
      <c r="B3162">
        <v>19</v>
      </c>
      <c r="C3162" t="s">
        <v>27</v>
      </c>
      <c r="D3162" t="s">
        <v>22</v>
      </c>
      <c r="E3162">
        <v>8.85</v>
      </c>
      <c r="F3162">
        <v>20</v>
      </c>
      <c r="G3162" t="s">
        <v>33</v>
      </c>
      <c r="H3162" t="s">
        <v>46</v>
      </c>
      <c r="I3162" s="2">
        <v>13.99</v>
      </c>
      <c r="J3162">
        <v>0</v>
      </c>
      <c r="K3162" s="2">
        <f t="shared" si="98"/>
        <v>0</v>
      </c>
      <c r="L3162" t="s">
        <v>43</v>
      </c>
      <c r="M3162">
        <v>4</v>
      </c>
      <c r="N3162">
        <v>0.42</v>
      </c>
      <c r="O3162" t="str">
        <f t="shared" si="99"/>
        <v>0.4–0.6 hours</v>
      </c>
      <c r="P3162" t="s">
        <v>30</v>
      </c>
    </row>
    <row r="3163" spans="1:16" x14ac:dyDescent="0.4">
      <c r="A3163" t="s">
        <v>3204</v>
      </c>
      <c r="B3163">
        <v>42</v>
      </c>
      <c r="C3163" t="s">
        <v>41</v>
      </c>
      <c r="D3163" t="s">
        <v>16</v>
      </c>
      <c r="E3163">
        <v>7.09</v>
      </c>
      <c r="F3163">
        <v>21</v>
      </c>
      <c r="G3163" t="s">
        <v>17</v>
      </c>
      <c r="H3163" t="s">
        <v>18</v>
      </c>
      <c r="I3163" s="2">
        <v>8.99</v>
      </c>
      <c r="J3163">
        <v>1</v>
      </c>
      <c r="K3163" s="2">
        <f t="shared" si="98"/>
        <v>8.99</v>
      </c>
      <c r="L3163" t="s">
        <v>37</v>
      </c>
      <c r="M3163">
        <v>1</v>
      </c>
      <c r="N3163">
        <v>0.32</v>
      </c>
      <c r="O3163" t="str">
        <f t="shared" si="99"/>
        <v>0.2–0.4 hours</v>
      </c>
      <c r="P3163" t="s">
        <v>20</v>
      </c>
    </row>
    <row r="3164" spans="1:16" x14ac:dyDescent="0.4">
      <c r="A3164" t="s">
        <v>3205</v>
      </c>
      <c r="B3164">
        <v>35</v>
      </c>
      <c r="C3164" t="s">
        <v>15</v>
      </c>
      <c r="D3164" t="s">
        <v>16</v>
      </c>
      <c r="E3164">
        <v>1.21</v>
      </c>
      <c r="F3164">
        <v>4</v>
      </c>
      <c r="G3164" t="s">
        <v>33</v>
      </c>
      <c r="H3164" t="s">
        <v>55</v>
      </c>
      <c r="I3164" s="2">
        <v>8.99</v>
      </c>
      <c r="J3164">
        <v>1</v>
      </c>
      <c r="K3164" s="2">
        <f t="shared" si="98"/>
        <v>8.99</v>
      </c>
      <c r="L3164" t="s">
        <v>19</v>
      </c>
      <c r="M3164">
        <v>2</v>
      </c>
      <c r="N3164">
        <v>0.24</v>
      </c>
      <c r="O3164" t="str">
        <f t="shared" si="99"/>
        <v>0.2–0.4 hours</v>
      </c>
      <c r="P3164" t="s">
        <v>20</v>
      </c>
    </row>
    <row r="3165" spans="1:16" x14ac:dyDescent="0.4">
      <c r="A3165" t="s">
        <v>3206</v>
      </c>
      <c r="B3165">
        <v>18</v>
      </c>
      <c r="C3165" t="s">
        <v>27</v>
      </c>
      <c r="D3165" t="s">
        <v>22</v>
      </c>
      <c r="E3165">
        <v>2.2599999999999998</v>
      </c>
      <c r="F3165">
        <v>48</v>
      </c>
      <c r="G3165" t="s">
        <v>17</v>
      </c>
      <c r="H3165" t="s">
        <v>55</v>
      </c>
      <c r="I3165" s="2">
        <v>13.99</v>
      </c>
      <c r="J3165">
        <v>1</v>
      </c>
      <c r="K3165" s="2">
        <f t="shared" si="98"/>
        <v>13.99</v>
      </c>
      <c r="L3165" t="s">
        <v>43</v>
      </c>
      <c r="M3165">
        <v>1</v>
      </c>
      <c r="N3165">
        <v>0.05</v>
      </c>
      <c r="O3165" t="str">
        <f t="shared" si="99"/>
        <v>0–0.2 hours</v>
      </c>
      <c r="P3165" t="s">
        <v>20</v>
      </c>
    </row>
    <row r="3166" spans="1:16" x14ac:dyDescent="0.4">
      <c r="A3166" t="s">
        <v>3207</v>
      </c>
      <c r="B3166">
        <v>21</v>
      </c>
      <c r="C3166" t="s">
        <v>15</v>
      </c>
      <c r="D3166" t="s">
        <v>32</v>
      </c>
      <c r="E3166">
        <v>16.71</v>
      </c>
      <c r="F3166">
        <v>12</v>
      </c>
      <c r="G3166" t="s">
        <v>70</v>
      </c>
      <c r="H3166" t="s">
        <v>55</v>
      </c>
      <c r="I3166" s="2">
        <v>17.989999999999998</v>
      </c>
      <c r="J3166">
        <v>0</v>
      </c>
      <c r="K3166" s="2">
        <f t="shared" si="98"/>
        <v>0</v>
      </c>
      <c r="L3166" t="s">
        <v>61</v>
      </c>
      <c r="M3166">
        <v>3</v>
      </c>
      <c r="N3166">
        <v>1.29</v>
      </c>
      <c r="O3166" t="str">
        <f t="shared" si="99"/>
        <v>1+ hours</v>
      </c>
      <c r="P3166" t="s">
        <v>25</v>
      </c>
    </row>
    <row r="3167" spans="1:16" x14ac:dyDescent="0.4">
      <c r="A3167" t="s">
        <v>3208</v>
      </c>
      <c r="B3167">
        <v>57</v>
      </c>
      <c r="C3167" t="s">
        <v>41</v>
      </c>
      <c r="D3167" t="s">
        <v>16</v>
      </c>
      <c r="E3167">
        <v>2.89</v>
      </c>
      <c r="F3167">
        <v>27</v>
      </c>
      <c r="G3167" t="s">
        <v>17</v>
      </c>
      <c r="H3167" t="s">
        <v>24</v>
      </c>
      <c r="I3167" s="2">
        <v>8.99</v>
      </c>
      <c r="J3167">
        <v>1</v>
      </c>
      <c r="K3167" s="2">
        <f t="shared" si="98"/>
        <v>8.99</v>
      </c>
      <c r="L3167" t="s">
        <v>43</v>
      </c>
      <c r="M3167">
        <v>4</v>
      </c>
      <c r="N3167">
        <v>0.1</v>
      </c>
      <c r="O3167" t="str">
        <f t="shared" si="99"/>
        <v>0–0.2 hours</v>
      </c>
      <c r="P3167" t="s">
        <v>34</v>
      </c>
    </row>
    <row r="3168" spans="1:16" x14ac:dyDescent="0.4">
      <c r="A3168" t="s">
        <v>3209</v>
      </c>
      <c r="B3168">
        <v>38</v>
      </c>
      <c r="C3168" t="s">
        <v>27</v>
      </c>
      <c r="D3168" t="s">
        <v>16</v>
      </c>
      <c r="E3168">
        <v>3.08</v>
      </c>
      <c r="F3168">
        <v>53</v>
      </c>
      <c r="G3168" t="s">
        <v>70</v>
      </c>
      <c r="H3168" t="s">
        <v>55</v>
      </c>
      <c r="I3168" s="2">
        <v>8.99</v>
      </c>
      <c r="J3168">
        <v>1</v>
      </c>
      <c r="K3168" s="2">
        <f t="shared" si="98"/>
        <v>8.99</v>
      </c>
      <c r="L3168" t="s">
        <v>19</v>
      </c>
      <c r="M3168">
        <v>2</v>
      </c>
      <c r="N3168">
        <v>0.06</v>
      </c>
      <c r="O3168" t="str">
        <f t="shared" si="99"/>
        <v>0–0.2 hours</v>
      </c>
      <c r="P3168" t="s">
        <v>47</v>
      </c>
    </row>
    <row r="3169" spans="1:16" x14ac:dyDescent="0.4">
      <c r="A3169" t="s">
        <v>3210</v>
      </c>
      <c r="B3169">
        <v>50</v>
      </c>
      <c r="C3169" t="s">
        <v>15</v>
      </c>
      <c r="D3169" t="s">
        <v>32</v>
      </c>
      <c r="E3169">
        <v>7.44</v>
      </c>
      <c r="F3169">
        <v>32</v>
      </c>
      <c r="G3169" t="s">
        <v>49</v>
      </c>
      <c r="H3169" t="s">
        <v>57</v>
      </c>
      <c r="I3169" s="2">
        <v>17.989999999999998</v>
      </c>
      <c r="J3169">
        <v>0</v>
      </c>
      <c r="K3169" s="2">
        <f t="shared" si="98"/>
        <v>0</v>
      </c>
      <c r="L3169" t="s">
        <v>61</v>
      </c>
      <c r="M3169">
        <v>4</v>
      </c>
      <c r="N3169">
        <v>0.23</v>
      </c>
      <c r="O3169" t="str">
        <f t="shared" si="99"/>
        <v>0.2–0.4 hours</v>
      </c>
      <c r="P3169" t="s">
        <v>47</v>
      </c>
    </row>
    <row r="3170" spans="1:16" x14ac:dyDescent="0.4">
      <c r="A3170" t="s">
        <v>3211</v>
      </c>
      <c r="B3170">
        <v>57</v>
      </c>
      <c r="C3170" t="s">
        <v>41</v>
      </c>
      <c r="D3170" t="s">
        <v>22</v>
      </c>
      <c r="E3170">
        <v>18.93</v>
      </c>
      <c r="F3170">
        <v>42</v>
      </c>
      <c r="G3170" t="s">
        <v>17</v>
      </c>
      <c r="H3170" t="s">
        <v>18</v>
      </c>
      <c r="I3170" s="2">
        <v>13.99</v>
      </c>
      <c r="J3170">
        <v>1</v>
      </c>
      <c r="K3170" s="2">
        <f t="shared" si="98"/>
        <v>13.99</v>
      </c>
      <c r="L3170" t="s">
        <v>19</v>
      </c>
      <c r="M3170">
        <v>5</v>
      </c>
      <c r="N3170">
        <v>0.44</v>
      </c>
      <c r="O3170" t="str">
        <f t="shared" si="99"/>
        <v>0.4–0.6 hours</v>
      </c>
      <c r="P3170" t="s">
        <v>39</v>
      </c>
    </row>
    <row r="3171" spans="1:16" x14ac:dyDescent="0.4">
      <c r="A3171" t="s">
        <v>3212</v>
      </c>
      <c r="B3171">
        <v>65</v>
      </c>
      <c r="C3171" t="s">
        <v>15</v>
      </c>
      <c r="D3171" t="s">
        <v>32</v>
      </c>
      <c r="E3171">
        <v>9.7100000000000009</v>
      </c>
      <c r="F3171">
        <v>47</v>
      </c>
      <c r="G3171" t="s">
        <v>17</v>
      </c>
      <c r="H3171" t="s">
        <v>55</v>
      </c>
      <c r="I3171" s="2">
        <v>17.989999999999998</v>
      </c>
      <c r="J3171">
        <v>0</v>
      </c>
      <c r="K3171" s="2">
        <f t="shared" si="98"/>
        <v>0</v>
      </c>
      <c r="L3171" t="s">
        <v>43</v>
      </c>
      <c r="M3171">
        <v>4</v>
      </c>
      <c r="N3171">
        <v>0.2</v>
      </c>
      <c r="O3171" t="str">
        <f t="shared" si="99"/>
        <v>0–0.2 hours</v>
      </c>
      <c r="P3171" t="s">
        <v>52</v>
      </c>
    </row>
    <row r="3172" spans="1:16" x14ac:dyDescent="0.4">
      <c r="A3172" t="s">
        <v>3213</v>
      </c>
      <c r="B3172">
        <v>29</v>
      </c>
      <c r="C3172" t="s">
        <v>41</v>
      </c>
      <c r="D3172" t="s">
        <v>32</v>
      </c>
      <c r="E3172">
        <v>1.61</v>
      </c>
      <c r="F3172">
        <v>59</v>
      </c>
      <c r="G3172" t="s">
        <v>70</v>
      </c>
      <c r="H3172" t="s">
        <v>55</v>
      </c>
      <c r="I3172" s="2">
        <v>17.989999999999998</v>
      </c>
      <c r="J3172">
        <v>1</v>
      </c>
      <c r="K3172" s="2">
        <f t="shared" si="98"/>
        <v>17.989999999999998</v>
      </c>
      <c r="L3172" t="s">
        <v>61</v>
      </c>
      <c r="M3172">
        <v>2</v>
      </c>
      <c r="N3172">
        <v>0.03</v>
      </c>
      <c r="O3172" t="str">
        <f t="shared" si="99"/>
        <v>0–0.2 hours</v>
      </c>
      <c r="P3172" t="s">
        <v>34</v>
      </c>
    </row>
    <row r="3173" spans="1:16" x14ac:dyDescent="0.4">
      <c r="A3173" t="s">
        <v>3214</v>
      </c>
      <c r="B3173">
        <v>62</v>
      </c>
      <c r="C3173" t="s">
        <v>27</v>
      </c>
      <c r="D3173" t="s">
        <v>32</v>
      </c>
      <c r="E3173">
        <v>4.2</v>
      </c>
      <c r="F3173">
        <v>37</v>
      </c>
      <c r="G3173" t="s">
        <v>17</v>
      </c>
      <c r="H3173" t="s">
        <v>46</v>
      </c>
      <c r="I3173" s="2">
        <v>17.989999999999998</v>
      </c>
      <c r="J3173">
        <v>1</v>
      </c>
      <c r="K3173" s="2">
        <f t="shared" si="98"/>
        <v>17.989999999999998</v>
      </c>
      <c r="L3173" t="s">
        <v>29</v>
      </c>
      <c r="M3173">
        <v>1</v>
      </c>
      <c r="N3173">
        <v>0.11</v>
      </c>
      <c r="O3173" t="str">
        <f t="shared" si="99"/>
        <v>0–0.2 hours</v>
      </c>
      <c r="P3173" t="s">
        <v>47</v>
      </c>
    </row>
    <row r="3174" spans="1:16" x14ac:dyDescent="0.4">
      <c r="A3174" t="s">
        <v>3215</v>
      </c>
      <c r="B3174">
        <v>58</v>
      </c>
      <c r="C3174" t="s">
        <v>15</v>
      </c>
      <c r="D3174" t="s">
        <v>16</v>
      </c>
      <c r="E3174">
        <v>15.24</v>
      </c>
      <c r="F3174">
        <v>16</v>
      </c>
      <c r="G3174" t="s">
        <v>28</v>
      </c>
      <c r="H3174" t="s">
        <v>57</v>
      </c>
      <c r="I3174" s="2">
        <v>8.99</v>
      </c>
      <c r="J3174">
        <v>0</v>
      </c>
      <c r="K3174" s="2">
        <f t="shared" si="98"/>
        <v>0</v>
      </c>
      <c r="L3174" t="s">
        <v>29</v>
      </c>
      <c r="M3174">
        <v>5</v>
      </c>
      <c r="N3174">
        <v>0.9</v>
      </c>
      <c r="O3174" t="str">
        <f t="shared" si="99"/>
        <v>0.8–1 hour</v>
      </c>
      <c r="P3174" t="s">
        <v>47</v>
      </c>
    </row>
    <row r="3175" spans="1:16" x14ac:dyDescent="0.4">
      <c r="A3175" t="s">
        <v>3216</v>
      </c>
      <c r="B3175">
        <v>50</v>
      </c>
      <c r="C3175" t="s">
        <v>41</v>
      </c>
      <c r="D3175" t="s">
        <v>32</v>
      </c>
      <c r="E3175">
        <v>5.93</v>
      </c>
      <c r="F3175">
        <v>51</v>
      </c>
      <c r="G3175" t="s">
        <v>28</v>
      </c>
      <c r="H3175" t="s">
        <v>55</v>
      </c>
      <c r="I3175" s="2">
        <v>17.989999999999998</v>
      </c>
      <c r="J3175">
        <v>1</v>
      </c>
      <c r="K3175" s="2">
        <f t="shared" si="98"/>
        <v>17.989999999999998</v>
      </c>
      <c r="L3175" t="s">
        <v>29</v>
      </c>
      <c r="M3175">
        <v>1</v>
      </c>
      <c r="N3175">
        <v>0.11</v>
      </c>
      <c r="O3175" t="str">
        <f t="shared" si="99"/>
        <v>0–0.2 hours</v>
      </c>
      <c r="P3175" t="s">
        <v>34</v>
      </c>
    </row>
    <row r="3176" spans="1:16" x14ac:dyDescent="0.4">
      <c r="A3176" t="s">
        <v>3217</v>
      </c>
      <c r="B3176">
        <v>28</v>
      </c>
      <c r="C3176" t="s">
        <v>15</v>
      </c>
      <c r="D3176" t="s">
        <v>22</v>
      </c>
      <c r="E3176">
        <v>9.61</v>
      </c>
      <c r="F3176">
        <v>50</v>
      </c>
      <c r="G3176" t="s">
        <v>70</v>
      </c>
      <c r="H3176" t="s">
        <v>24</v>
      </c>
      <c r="I3176" s="2">
        <v>13.99</v>
      </c>
      <c r="J3176">
        <v>1</v>
      </c>
      <c r="K3176" s="2">
        <f t="shared" si="98"/>
        <v>13.99</v>
      </c>
      <c r="L3176" t="s">
        <v>29</v>
      </c>
      <c r="M3176">
        <v>4</v>
      </c>
      <c r="N3176">
        <v>0.19</v>
      </c>
      <c r="O3176" t="str">
        <f t="shared" si="99"/>
        <v>0–0.2 hours</v>
      </c>
      <c r="P3176" t="s">
        <v>30</v>
      </c>
    </row>
    <row r="3177" spans="1:16" x14ac:dyDescent="0.4">
      <c r="A3177" t="s">
        <v>3218</v>
      </c>
      <c r="B3177">
        <v>49</v>
      </c>
      <c r="C3177" t="s">
        <v>27</v>
      </c>
      <c r="D3177" t="s">
        <v>22</v>
      </c>
      <c r="E3177">
        <v>17.61</v>
      </c>
      <c r="F3177">
        <v>60</v>
      </c>
      <c r="G3177" t="s">
        <v>49</v>
      </c>
      <c r="H3177" t="s">
        <v>46</v>
      </c>
      <c r="I3177" s="2">
        <v>13.99</v>
      </c>
      <c r="J3177">
        <v>1</v>
      </c>
      <c r="K3177" s="2">
        <f t="shared" si="98"/>
        <v>13.99</v>
      </c>
      <c r="L3177" t="s">
        <v>43</v>
      </c>
      <c r="M3177">
        <v>1</v>
      </c>
      <c r="N3177">
        <v>0.28999999999999998</v>
      </c>
      <c r="O3177" t="str">
        <f t="shared" si="99"/>
        <v>0.2–0.4 hours</v>
      </c>
      <c r="P3177" t="s">
        <v>25</v>
      </c>
    </row>
    <row r="3178" spans="1:16" x14ac:dyDescent="0.4">
      <c r="A3178" t="s">
        <v>3219</v>
      </c>
      <c r="B3178">
        <v>25</v>
      </c>
      <c r="C3178" t="s">
        <v>27</v>
      </c>
      <c r="D3178" t="s">
        <v>16</v>
      </c>
      <c r="E3178">
        <v>5.49</v>
      </c>
      <c r="F3178">
        <v>41</v>
      </c>
      <c r="G3178" t="s">
        <v>33</v>
      </c>
      <c r="H3178" t="s">
        <v>55</v>
      </c>
      <c r="I3178" s="2">
        <v>8.99</v>
      </c>
      <c r="J3178">
        <v>1</v>
      </c>
      <c r="K3178" s="2">
        <f t="shared" si="98"/>
        <v>8.99</v>
      </c>
      <c r="L3178" t="s">
        <v>37</v>
      </c>
      <c r="M3178">
        <v>3</v>
      </c>
      <c r="N3178">
        <v>0.13</v>
      </c>
      <c r="O3178" t="str">
        <f t="shared" si="99"/>
        <v>0–0.2 hours</v>
      </c>
      <c r="P3178" t="s">
        <v>52</v>
      </c>
    </row>
    <row r="3179" spans="1:16" x14ac:dyDescent="0.4">
      <c r="A3179" t="s">
        <v>3220</v>
      </c>
      <c r="B3179">
        <v>40</v>
      </c>
      <c r="C3179" t="s">
        <v>27</v>
      </c>
      <c r="D3179" t="s">
        <v>22</v>
      </c>
      <c r="E3179">
        <v>7.66</v>
      </c>
      <c r="F3179">
        <v>57</v>
      </c>
      <c r="G3179" t="s">
        <v>28</v>
      </c>
      <c r="H3179" t="s">
        <v>55</v>
      </c>
      <c r="I3179" s="2">
        <v>13.99</v>
      </c>
      <c r="J3179">
        <v>1</v>
      </c>
      <c r="K3179" s="2">
        <f t="shared" si="98"/>
        <v>13.99</v>
      </c>
      <c r="L3179" t="s">
        <v>29</v>
      </c>
      <c r="M3179">
        <v>1</v>
      </c>
      <c r="N3179">
        <v>0.13</v>
      </c>
      <c r="O3179" t="str">
        <f t="shared" si="99"/>
        <v>0–0.2 hours</v>
      </c>
      <c r="P3179" t="s">
        <v>20</v>
      </c>
    </row>
    <row r="3180" spans="1:16" x14ac:dyDescent="0.4">
      <c r="A3180" t="s">
        <v>3221</v>
      </c>
      <c r="B3180">
        <v>29</v>
      </c>
      <c r="C3180" t="s">
        <v>27</v>
      </c>
      <c r="D3180" t="s">
        <v>22</v>
      </c>
      <c r="E3180">
        <v>4.88</v>
      </c>
      <c r="F3180">
        <v>39</v>
      </c>
      <c r="G3180" t="s">
        <v>33</v>
      </c>
      <c r="H3180" t="s">
        <v>24</v>
      </c>
      <c r="I3180" s="2">
        <v>13.99</v>
      </c>
      <c r="J3180">
        <v>1</v>
      </c>
      <c r="K3180" s="2">
        <f t="shared" si="98"/>
        <v>13.99</v>
      </c>
      <c r="L3180" t="s">
        <v>61</v>
      </c>
      <c r="M3180">
        <v>4</v>
      </c>
      <c r="N3180">
        <v>0.12</v>
      </c>
      <c r="O3180" t="str">
        <f t="shared" si="99"/>
        <v>0–0.2 hours</v>
      </c>
      <c r="P3180" t="s">
        <v>34</v>
      </c>
    </row>
    <row r="3181" spans="1:16" x14ac:dyDescent="0.4">
      <c r="A3181" t="s">
        <v>3222</v>
      </c>
      <c r="B3181">
        <v>43</v>
      </c>
      <c r="C3181" t="s">
        <v>27</v>
      </c>
      <c r="D3181" t="s">
        <v>22</v>
      </c>
      <c r="E3181">
        <v>12.58</v>
      </c>
      <c r="F3181">
        <v>16</v>
      </c>
      <c r="G3181" t="s">
        <v>33</v>
      </c>
      <c r="H3181" t="s">
        <v>55</v>
      </c>
      <c r="I3181" s="2">
        <v>13.99</v>
      </c>
      <c r="J3181">
        <v>0</v>
      </c>
      <c r="K3181" s="2">
        <f t="shared" si="98"/>
        <v>0</v>
      </c>
      <c r="L3181" t="s">
        <v>61</v>
      </c>
      <c r="M3181">
        <v>4</v>
      </c>
      <c r="N3181">
        <v>0.74</v>
      </c>
      <c r="O3181" t="str">
        <f t="shared" si="99"/>
        <v>0.6–0.8 hours</v>
      </c>
      <c r="P3181" t="s">
        <v>34</v>
      </c>
    </row>
    <row r="3182" spans="1:16" x14ac:dyDescent="0.4">
      <c r="A3182" t="s">
        <v>3223</v>
      </c>
      <c r="B3182">
        <v>69</v>
      </c>
      <c r="C3182" t="s">
        <v>15</v>
      </c>
      <c r="D3182" t="s">
        <v>32</v>
      </c>
      <c r="E3182">
        <v>26.07</v>
      </c>
      <c r="F3182">
        <v>5</v>
      </c>
      <c r="G3182" t="s">
        <v>33</v>
      </c>
      <c r="H3182" t="s">
        <v>46</v>
      </c>
      <c r="I3182" s="2">
        <v>17.989999999999998</v>
      </c>
      <c r="J3182">
        <v>0</v>
      </c>
      <c r="K3182" s="2">
        <f t="shared" si="98"/>
        <v>0</v>
      </c>
      <c r="L3182" t="s">
        <v>43</v>
      </c>
      <c r="M3182">
        <v>1</v>
      </c>
      <c r="N3182">
        <v>4.34</v>
      </c>
      <c r="O3182" t="str">
        <f t="shared" si="99"/>
        <v>1+ hours</v>
      </c>
      <c r="P3182" t="s">
        <v>39</v>
      </c>
    </row>
    <row r="3183" spans="1:16" x14ac:dyDescent="0.4">
      <c r="A3183" t="s">
        <v>3224</v>
      </c>
      <c r="B3183">
        <v>37</v>
      </c>
      <c r="C3183" t="s">
        <v>15</v>
      </c>
      <c r="D3183" t="s">
        <v>32</v>
      </c>
      <c r="E3183">
        <v>14.54</v>
      </c>
      <c r="F3183">
        <v>22</v>
      </c>
      <c r="G3183" t="s">
        <v>70</v>
      </c>
      <c r="H3183" t="s">
        <v>57</v>
      </c>
      <c r="I3183" s="2">
        <v>17.989999999999998</v>
      </c>
      <c r="J3183">
        <v>0</v>
      </c>
      <c r="K3183" s="2">
        <f t="shared" si="98"/>
        <v>0</v>
      </c>
      <c r="L3183" t="s">
        <v>37</v>
      </c>
      <c r="M3183">
        <v>2</v>
      </c>
      <c r="N3183">
        <v>0.63</v>
      </c>
      <c r="O3183" t="str">
        <f t="shared" si="99"/>
        <v>0.6–0.8 hours</v>
      </c>
      <c r="P3183" t="s">
        <v>30</v>
      </c>
    </row>
    <row r="3184" spans="1:16" x14ac:dyDescent="0.4">
      <c r="A3184" t="s">
        <v>3225</v>
      </c>
      <c r="B3184">
        <v>31</v>
      </c>
      <c r="C3184" t="s">
        <v>27</v>
      </c>
      <c r="D3184" t="s">
        <v>16</v>
      </c>
      <c r="E3184">
        <v>9.44</v>
      </c>
      <c r="F3184">
        <v>46</v>
      </c>
      <c r="G3184" t="s">
        <v>28</v>
      </c>
      <c r="H3184" t="s">
        <v>57</v>
      </c>
      <c r="I3184" s="2">
        <v>8.99</v>
      </c>
      <c r="J3184">
        <v>1</v>
      </c>
      <c r="K3184" s="2">
        <f t="shared" si="98"/>
        <v>8.99</v>
      </c>
      <c r="L3184" t="s">
        <v>43</v>
      </c>
      <c r="M3184">
        <v>2</v>
      </c>
      <c r="N3184">
        <v>0.2</v>
      </c>
      <c r="O3184" t="str">
        <f t="shared" si="99"/>
        <v>0–0.2 hours</v>
      </c>
      <c r="P3184" t="s">
        <v>20</v>
      </c>
    </row>
    <row r="3185" spans="1:16" x14ac:dyDescent="0.4">
      <c r="A3185" t="s">
        <v>3226</v>
      </c>
      <c r="B3185">
        <v>27</v>
      </c>
      <c r="C3185" t="s">
        <v>15</v>
      </c>
      <c r="D3185" t="s">
        <v>16</v>
      </c>
      <c r="E3185">
        <v>5.84</v>
      </c>
      <c r="F3185">
        <v>42</v>
      </c>
      <c r="G3185" t="s">
        <v>23</v>
      </c>
      <c r="H3185" t="s">
        <v>24</v>
      </c>
      <c r="I3185" s="2">
        <v>8.99</v>
      </c>
      <c r="J3185">
        <v>1</v>
      </c>
      <c r="K3185" s="2">
        <f t="shared" si="98"/>
        <v>8.99</v>
      </c>
      <c r="L3185" t="s">
        <v>29</v>
      </c>
      <c r="M3185">
        <v>1</v>
      </c>
      <c r="N3185">
        <v>0.14000000000000001</v>
      </c>
      <c r="O3185" t="str">
        <f t="shared" si="99"/>
        <v>0–0.2 hours</v>
      </c>
      <c r="P3185" t="s">
        <v>34</v>
      </c>
    </row>
    <row r="3186" spans="1:16" x14ac:dyDescent="0.4">
      <c r="A3186" t="s">
        <v>3227</v>
      </c>
      <c r="B3186">
        <v>65</v>
      </c>
      <c r="C3186" t="s">
        <v>41</v>
      </c>
      <c r="D3186" t="s">
        <v>32</v>
      </c>
      <c r="E3186">
        <v>0.74</v>
      </c>
      <c r="F3186">
        <v>20</v>
      </c>
      <c r="G3186" t="s">
        <v>23</v>
      </c>
      <c r="H3186" t="s">
        <v>46</v>
      </c>
      <c r="I3186" s="2">
        <v>17.989999999999998</v>
      </c>
      <c r="J3186">
        <v>1</v>
      </c>
      <c r="K3186" s="2">
        <f t="shared" si="98"/>
        <v>17.989999999999998</v>
      </c>
      <c r="L3186" t="s">
        <v>37</v>
      </c>
      <c r="M3186">
        <v>3</v>
      </c>
      <c r="N3186">
        <v>0.04</v>
      </c>
      <c r="O3186" t="str">
        <f t="shared" si="99"/>
        <v>0–0.2 hours</v>
      </c>
      <c r="P3186" t="s">
        <v>25</v>
      </c>
    </row>
    <row r="3187" spans="1:16" x14ac:dyDescent="0.4">
      <c r="A3187" t="s">
        <v>3228</v>
      </c>
      <c r="B3187">
        <v>29</v>
      </c>
      <c r="C3187" t="s">
        <v>27</v>
      </c>
      <c r="D3187" t="s">
        <v>16</v>
      </c>
      <c r="E3187">
        <v>12.37</v>
      </c>
      <c r="F3187">
        <v>44</v>
      </c>
      <c r="G3187" t="s">
        <v>33</v>
      </c>
      <c r="H3187" t="s">
        <v>24</v>
      </c>
      <c r="I3187" s="2">
        <v>8.99</v>
      </c>
      <c r="J3187">
        <v>1</v>
      </c>
      <c r="K3187" s="2">
        <f t="shared" si="98"/>
        <v>8.99</v>
      </c>
      <c r="L3187" t="s">
        <v>19</v>
      </c>
      <c r="M3187">
        <v>3</v>
      </c>
      <c r="N3187">
        <v>0.27</v>
      </c>
      <c r="O3187" t="str">
        <f t="shared" si="99"/>
        <v>0.2–0.4 hours</v>
      </c>
      <c r="P3187" t="s">
        <v>30</v>
      </c>
    </row>
    <row r="3188" spans="1:16" x14ac:dyDescent="0.4">
      <c r="A3188" t="s">
        <v>3229</v>
      </c>
      <c r="B3188">
        <v>63</v>
      </c>
      <c r="C3188" t="s">
        <v>41</v>
      </c>
      <c r="D3188" t="s">
        <v>22</v>
      </c>
      <c r="E3188">
        <v>5.16</v>
      </c>
      <c r="F3188">
        <v>53</v>
      </c>
      <c r="G3188" t="s">
        <v>70</v>
      </c>
      <c r="H3188" t="s">
        <v>55</v>
      </c>
      <c r="I3188" s="2">
        <v>13.99</v>
      </c>
      <c r="J3188">
        <v>0</v>
      </c>
      <c r="K3188" s="2">
        <f t="shared" si="98"/>
        <v>0</v>
      </c>
      <c r="L3188" t="s">
        <v>37</v>
      </c>
      <c r="M3188">
        <v>5</v>
      </c>
      <c r="N3188">
        <v>0.1</v>
      </c>
      <c r="O3188" t="str">
        <f t="shared" si="99"/>
        <v>0–0.2 hours</v>
      </c>
      <c r="P3188" t="s">
        <v>39</v>
      </c>
    </row>
    <row r="3189" spans="1:16" x14ac:dyDescent="0.4">
      <c r="A3189" t="s">
        <v>3230</v>
      </c>
      <c r="B3189">
        <v>54</v>
      </c>
      <c r="C3189" t="s">
        <v>27</v>
      </c>
      <c r="D3189" t="s">
        <v>32</v>
      </c>
      <c r="E3189">
        <v>14.52</v>
      </c>
      <c r="F3189">
        <v>24</v>
      </c>
      <c r="G3189" t="s">
        <v>17</v>
      </c>
      <c r="H3189" t="s">
        <v>18</v>
      </c>
      <c r="I3189" s="2">
        <v>17.989999999999998</v>
      </c>
      <c r="J3189">
        <v>0</v>
      </c>
      <c r="K3189" s="2">
        <f t="shared" si="98"/>
        <v>0</v>
      </c>
      <c r="L3189" t="s">
        <v>37</v>
      </c>
      <c r="M3189">
        <v>2</v>
      </c>
      <c r="N3189">
        <v>0.57999999999999996</v>
      </c>
      <c r="O3189" t="str">
        <f t="shared" si="99"/>
        <v>0.4–0.6 hours</v>
      </c>
      <c r="P3189" t="s">
        <v>25</v>
      </c>
    </row>
    <row r="3190" spans="1:16" x14ac:dyDescent="0.4">
      <c r="A3190" t="s">
        <v>3231</v>
      </c>
      <c r="B3190">
        <v>27</v>
      </c>
      <c r="C3190" t="s">
        <v>41</v>
      </c>
      <c r="D3190" t="s">
        <v>16</v>
      </c>
      <c r="E3190">
        <v>6.11</v>
      </c>
      <c r="F3190">
        <v>35</v>
      </c>
      <c r="G3190" t="s">
        <v>28</v>
      </c>
      <c r="H3190" t="s">
        <v>24</v>
      </c>
      <c r="I3190" s="2">
        <v>8.99</v>
      </c>
      <c r="J3190">
        <v>1</v>
      </c>
      <c r="K3190" s="2">
        <f t="shared" si="98"/>
        <v>8.99</v>
      </c>
      <c r="L3190" t="s">
        <v>61</v>
      </c>
      <c r="M3190">
        <v>3</v>
      </c>
      <c r="N3190">
        <v>0.17</v>
      </c>
      <c r="O3190" t="str">
        <f t="shared" si="99"/>
        <v>0–0.2 hours</v>
      </c>
      <c r="P3190" t="s">
        <v>25</v>
      </c>
    </row>
    <row r="3191" spans="1:16" x14ac:dyDescent="0.4">
      <c r="A3191" t="s">
        <v>3232</v>
      </c>
      <c r="B3191">
        <v>70</v>
      </c>
      <c r="C3191" t="s">
        <v>41</v>
      </c>
      <c r="D3191" t="s">
        <v>16</v>
      </c>
      <c r="E3191">
        <v>11.19</v>
      </c>
      <c r="F3191">
        <v>40</v>
      </c>
      <c r="G3191" t="s">
        <v>23</v>
      </c>
      <c r="H3191" t="s">
        <v>18</v>
      </c>
      <c r="I3191" s="2">
        <v>8.99</v>
      </c>
      <c r="J3191">
        <v>1</v>
      </c>
      <c r="K3191" s="2">
        <f t="shared" si="98"/>
        <v>8.99</v>
      </c>
      <c r="L3191" t="s">
        <v>43</v>
      </c>
      <c r="M3191">
        <v>2</v>
      </c>
      <c r="N3191">
        <v>0.27</v>
      </c>
      <c r="O3191" t="str">
        <f t="shared" si="99"/>
        <v>0.2–0.4 hours</v>
      </c>
      <c r="P3191" t="s">
        <v>20</v>
      </c>
    </row>
    <row r="3192" spans="1:16" x14ac:dyDescent="0.4">
      <c r="A3192" t="s">
        <v>3233</v>
      </c>
      <c r="B3192">
        <v>31</v>
      </c>
      <c r="C3192" t="s">
        <v>15</v>
      </c>
      <c r="D3192" t="s">
        <v>22</v>
      </c>
      <c r="E3192">
        <v>0.67</v>
      </c>
      <c r="F3192">
        <v>22</v>
      </c>
      <c r="G3192" t="s">
        <v>33</v>
      </c>
      <c r="H3192" t="s">
        <v>18</v>
      </c>
      <c r="I3192" s="2">
        <v>13.99</v>
      </c>
      <c r="J3192">
        <v>1</v>
      </c>
      <c r="K3192" s="2">
        <f t="shared" si="98"/>
        <v>13.99</v>
      </c>
      <c r="L3192" t="s">
        <v>19</v>
      </c>
      <c r="M3192">
        <v>5</v>
      </c>
      <c r="N3192">
        <v>0.03</v>
      </c>
      <c r="O3192" t="str">
        <f t="shared" si="99"/>
        <v>0–0.2 hours</v>
      </c>
      <c r="P3192" t="s">
        <v>30</v>
      </c>
    </row>
    <row r="3193" spans="1:16" x14ac:dyDescent="0.4">
      <c r="A3193" t="s">
        <v>3234</v>
      </c>
      <c r="B3193">
        <v>36</v>
      </c>
      <c r="C3193" t="s">
        <v>41</v>
      </c>
      <c r="D3193" t="s">
        <v>22</v>
      </c>
      <c r="E3193">
        <v>12.66</v>
      </c>
      <c r="F3193">
        <v>34</v>
      </c>
      <c r="G3193" t="s">
        <v>70</v>
      </c>
      <c r="H3193" t="s">
        <v>55</v>
      </c>
      <c r="I3193" s="2">
        <v>13.99</v>
      </c>
      <c r="J3193">
        <v>1</v>
      </c>
      <c r="K3193" s="2">
        <f t="shared" si="98"/>
        <v>13.99</v>
      </c>
      <c r="L3193" t="s">
        <v>43</v>
      </c>
      <c r="M3193">
        <v>1</v>
      </c>
      <c r="N3193">
        <v>0.36</v>
      </c>
      <c r="O3193" t="str">
        <f t="shared" si="99"/>
        <v>0.2–0.4 hours</v>
      </c>
      <c r="P3193" t="s">
        <v>52</v>
      </c>
    </row>
    <row r="3194" spans="1:16" x14ac:dyDescent="0.4">
      <c r="A3194" t="s">
        <v>3235</v>
      </c>
      <c r="B3194">
        <v>19</v>
      </c>
      <c r="C3194" t="s">
        <v>41</v>
      </c>
      <c r="D3194" t="s">
        <v>32</v>
      </c>
      <c r="E3194">
        <v>5.04</v>
      </c>
      <c r="F3194">
        <v>22</v>
      </c>
      <c r="G3194" t="s">
        <v>23</v>
      </c>
      <c r="H3194" t="s">
        <v>55</v>
      </c>
      <c r="I3194" s="2">
        <v>17.989999999999998</v>
      </c>
      <c r="J3194">
        <v>0</v>
      </c>
      <c r="K3194" s="2">
        <f t="shared" si="98"/>
        <v>0</v>
      </c>
      <c r="L3194" t="s">
        <v>37</v>
      </c>
      <c r="M3194">
        <v>1</v>
      </c>
      <c r="N3194">
        <v>0.22</v>
      </c>
      <c r="O3194" t="str">
        <f t="shared" si="99"/>
        <v>0.2–0.4 hours</v>
      </c>
      <c r="P3194" t="s">
        <v>20</v>
      </c>
    </row>
    <row r="3195" spans="1:16" x14ac:dyDescent="0.4">
      <c r="A3195" t="s">
        <v>3236</v>
      </c>
      <c r="B3195">
        <v>47</v>
      </c>
      <c r="C3195" t="s">
        <v>41</v>
      </c>
      <c r="D3195" t="s">
        <v>32</v>
      </c>
      <c r="E3195">
        <v>1.75</v>
      </c>
      <c r="F3195">
        <v>12</v>
      </c>
      <c r="G3195" t="s">
        <v>23</v>
      </c>
      <c r="H3195" t="s">
        <v>55</v>
      </c>
      <c r="I3195" s="2">
        <v>17.989999999999998</v>
      </c>
      <c r="J3195">
        <v>0</v>
      </c>
      <c r="K3195" s="2">
        <f t="shared" si="98"/>
        <v>0</v>
      </c>
      <c r="L3195" t="s">
        <v>61</v>
      </c>
      <c r="M3195">
        <v>5</v>
      </c>
      <c r="N3195">
        <v>0.13</v>
      </c>
      <c r="O3195" t="str">
        <f t="shared" si="99"/>
        <v>0–0.2 hours</v>
      </c>
      <c r="P3195" t="s">
        <v>30</v>
      </c>
    </row>
    <row r="3196" spans="1:16" x14ac:dyDescent="0.4">
      <c r="A3196" t="s">
        <v>3237</v>
      </c>
      <c r="B3196">
        <v>20</v>
      </c>
      <c r="C3196" t="s">
        <v>15</v>
      </c>
      <c r="D3196" t="s">
        <v>16</v>
      </c>
      <c r="E3196">
        <v>26.06</v>
      </c>
      <c r="F3196">
        <v>1</v>
      </c>
      <c r="G3196" t="s">
        <v>23</v>
      </c>
      <c r="H3196" t="s">
        <v>24</v>
      </c>
      <c r="I3196" s="2">
        <v>8.99</v>
      </c>
      <c r="J3196">
        <v>0</v>
      </c>
      <c r="K3196" s="2">
        <f t="shared" si="98"/>
        <v>0</v>
      </c>
      <c r="L3196" t="s">
        <v>37</v>
      </c>
      <c r="M3196">
        <v>1</v>
      </c>
      <c r="N3196">
        <v>13.03</v>
      </c>
      <c r="O3196" t="str">
        <f t="shared" si="99"/>
        <v>1+ hours</v>
      </c>
      <c r="P3196" t="s">
        <v>25</v>
      </c>
    </row>
    <row r="3197" spans="1:16" x14ac:dyDescent="0.4">
      <c r="A3197" t="s">
        <v>3238</v>
      </c>
      <c r="B3197">
        <v>56</v>
      </c>
      <c r="C3197" t="s">
        <v>15</v>
      </c>
      <c r="D3197" t="s">
        <v>16</v>
      </c>
      <c r="E3197">
        <v>30.55</v>
      </c>
      <c r="F3197">
        <v>11</v>
      </c>
      <c r="G3197" t="s">
        <v>17</v>
      </c>
      <c r="H3197" t="s">
        <v>18</v>
      </c>
      <c r="I3197" s="2">
        <v>8.99</v>
      </c>
      <c r="J3197">
        <v>0</v>
      </c>
      <c r="K3197" s="2">
        <f t="shared" si="98"/>
        <v>0</v>
      </c>
      <c r="L3197" t="s">
        <v>61</v>
      </c>
      <c r="M3197">
        <v>1</v>
      </c>
      <c r="N3197">
        <v>2.5499999999999998</v>
      </c>
      <c r="O3197" t="str">
        <f t="shared" si="99"/>
        <v>1+ hours</v>
      </c>
      <c r="P3197" t="s">
        <v>47</v>
      </c>
    </row>
    <row r="3198" spans="1:16" x14ac:dyDescent="0.4">
      <c r="A3198" t="s">
        <v>3239</v>
      </c>
      <c r="B3198">
        <v>48</v>
      </c>
      <c r="C3198" t="s">
        <v>41</v>
      </c>
      <c r="D3198" t="s">
        <v>16</v>
      </c>
      <c r="E3198">
        <v>13.29</v>
      </c>
      <c r="F3198">
        <v>45</v>
      </c>
      <c r="G3198" t="s">
        <v>33</v>
      </c>
      <c r="H3198" t="s">
        <v>57</v>
      </c>
      <c r="I3198" s="2">
        <v>8.99</v>
      </c>
      <c r="J3198">
        <v>1</v>
      </c>
      <c r="K3198" s="2">
        <f t="shared" si="98"/>
        <v>8.99</v>
      </c>
      <c r="L3198" t="s">
        <v>37</v>
      </c>
      <c r="M3198">
        <v>2</v>
      </c>
      <c r="N3198">
        <v>0.28999999999999998</v>
      </c>
      <c r="O3198" t="str">
        <f t="shared" si="99"/>
        <v>0.2–0.4 hours</v>
      </c>
      <c r="P3198" t="s">
        <v>39</v>
      </c>
    </row>
    <row r="3199" spans="1:16" x14ac:dyDescent="0.4">
      <c r="A3199" t="s">
        <v>3240</v>
      </c>
      <c r="B3199">
        <v>48</v>
      </c>
      <c r="C3199" t="s">
        <v>27</v>
      </c>
      <c r="D3199" t="s">
        <v>16</v>
      </c>
      <c r="E3199">
        <v>19.86</v>
      </c>
      <c r="F3199">
        <v>26</v>
      </c>
      <c r="G3199" t="s">
        <v>23</v>
      </c>
      <c r="H3199" t="s">
        <v>55</v>
      </c>
      <c r="I3199" s="2">
        <v>8.99</v>
      </c>
      <c r="J3199">
        <v>0</v>
      </c>
      <c r="K3199" s="2">
        <f t="shared" si="98"/>
        <v>0</v>
      </c>
      <c r="L3199" t="s">
        <v>37</v>
      </c>
      <c r="M3199">
        <v>5</v>
      </c>
      <c r="N3199">
        <v>0.74</v>
      </c>
      <c r="O3199" t="str">
        <f t="shared" si="99"/>
        <v>0.6–0.8 hours</v>
      </c>
      <c r="P3199" t="s">
        <v>25</v>
      </c>
    </row>
    <row r="3200" spans="1:16" x14ac:dyDescent="0.4">
      <c r="A3200" t="s">
        <v>3241</v>
      </c>
      <c r="B3200">
        <v>64</v>
      </c>
      <c r="C3200" t="s">
        <v>27</v>
      </c>
      <c r="D3200" t="s">
        <v>22</v>
      </c>
      <c r="E3200">
        <v>7.4</v>
      </c>
      <c r="F3200">
        <v>49</v>
      </c>
      <c r="G3200" t="s">
        <v>17</v>
      </c>
      <c r="H3200" t="s">
        <v>55</v>
      </c>
      <c r="I3200" s="2">
        <v>13.99</v>
      </c>
      <c r="J3200">
        <v>1</v>
      </c>
      <c r="K3200" s="2">
        <f t="shared" si="98"/>
        <v>13.99</v>
      </c>
      <c r="L3200" t="s">
        <v>29</v>
      </c>
      <c r="M3200">
        <v>2</v>
      </c>
      <c r="N3200">
        <v>0.15</v>
      </c>
      <c r="O3200" t="str">
        <f t="shared" si="99"/>
        <v>0–0.2 hours</v>
      </c>
      <c r="P3200" t="s">
        <v>34</v>
      </c>
    </row>
    <row r="3201" spans="1:16" x14ac:dyDescent="0.4">
      <c r="A3201" t="s">
        <v>3242</v>
      </c>
      <c r="B3201">
        <v>25</v>
      </c>
      <c r="C3201" t="s">
        <v>41</v>
      </c>
      <c r="D3201" t="s">
        <v>22</v>
      </c>
      <c r="E3201">
        <v>5.73</v>
      </c>
      <c r="F3201">
        <v>37</v>
      </c>
      <c r="G3201" t="s">
        <v>17</v>
      </c>
      <c r="H3201" t="s">
        <v>46</v>
      </c>
      <c r="I3201" s="2">
        <v>13.99</v>
      </c>
      <c r="J3201">
        <v>1</v>
      </c>
      <c r="K3201" s="2">
        <f t="shared" si="98"/>
        <v>13.99</v>
      </c>
      <c r="L3201" t="s">
        <v>37</v>
      </c>
      <c r="M3201">
        <v>1</v>
      </c>
      <c r="N3201">
        <v>0.15</v>
      </c>
      <c r="O3201" t="str">
        <f t="shared" si="99"/>
        <v>0–0.2 hours</v>
      </c>
      <c r="P3201" t="s">
        <v>52</v>
      </c>
    </row>
    <row r="3202" spans="1:16" x14ac:dyDescent="0.4">
      <c r="A3202" t="s">
        <v>3243</v>
      </c>
      <c r="B3202">
        <v>48</v>
      </c>
      <c r="C3202" t="s">
        <v>27</v>
      </c>
      <c r="D3202" t="s">
        <v>32</v>
      </c>
      <c r="E3202">
        <v>1.84</v>
      </c>
      <c r="F3202">
        <v>9</v>
      </c>
      <c r="G3202" t="s">
        <v>70</v>
      </c>
      <c r="H3202" t="s">
        <v>46</v>
      </c>
      <c r="I3202" s="2">
        <v>17.989999999999998</v>
      </c>
      <c r="J3202">
        <v>1</v>
      </c>
      <c r="K3202" s="2">
        <f t="shared" si="98"/>
        <v>17.989999999999998</v>
      </c>
      <c r="L3202" t="s">
        <v>29</v>
      </c>
      <c r="M3202">
        <v>2</v>
      </c>
      <c r="N3202">
        <v>0.18</v>
      </c>
      <c r="O3202" t="str">
        <f t="shared" si="99"/>
        <v>0–0.2 hours</v>
      </c>
      <c r="P3202" t="s">
        <v>47</v>
      </c>
    </row>
    <row r="3203" spans="1:16" x14ac:dyDescent="0.4">
      <c r="A3203" t="s">
        <v>3244</v>
      </c>
      <c r="B3203">
        <v>50</v>
      </c>
      <c r="C3203" t="s">
        <v>15</v>
      </c>
      <c r="D3203" t="s">
        <v>22</v>
      </c>
      <c r="E3203">
        <v>4.3600000000000003</v>
      </c>
      <c r="F3203">
        <v>9</v>
      </c>
      <c r="G3203" t="s">
        <v>28</v>
      </c>
      <c r="H3203" t="s">
        <v>57</v>
      </c>
      <c r="I3203" s="2">
        <v>13.99</v>
      </c>
      <c r="J3203">
        <v>1</v>
      </c>
      <c r="K3203" s="2">
        <f t="shared" ref="K3203:K3266" si="100">SUMIF(J3203,1,I3203)</f>
        <v>13.99</v>
      </c>
      <c r="L3203" t="s">
        <v>43</v>
      </c>
      <c r="M3203">
        <v>2</v>
      </c>
      <c r="N3203">
        <v>0.44</v>
      </c>
      <c r="O3203" t="str">
        <f t="shared" ref="O3203:O3266" si="101">IF(N3203&gt;1,"1+ hours",IF(N3203&lt;=0.2,"0–0.2 hours",IF(N3203&lt;=0.4,"0.2–0.4 hours",IF(N3203&lt;=0.6,"0.4–0.6 hours",IF(N3203&lt;=0.8,"0.6–0.8 hours","0.8–1 hour")))))</f>
        <v>0.4–0.6 hours</v>
      </c>
      <c r="P3203" t="s">
        <v>20</v>
      </c>
    </row>
    <row r="3204" spans="1:16" x14ac:dyDescent="0.4">
      <c r="A3204" t="s">
        <v>3245</v>
      </c>
      <c r="B3204">
        <v>38</v>
      </c>
      <c r="C3204" t="s">
        <v>15</v>
      </c>
      <c r="D3204" t="s">
        <v>22</v>
      </c>
      <c r="E3204">
        <v>0.08</v>
      </c>
      <c r="F3204">
        <v>35</v>
      </c>
      <c r="G3204" t="s">
        <v>23</v>
      </c>
      <c r="H3204" t="s">
        <v>46</v>
      </c>
      <c r="I3204" s="2">
        <v>13.99</v>
      </c>
      <c r="J3204">
        <v>1</v>
      </c>
      <c r="K3204" s="2">
        <f t="shared" si="100"/>
        <v>13.99</v>
      </c>
      <c r="L3204" t="s">
        <v>19</v>
      </c>
      <c r="M3204">
        <v>1</v>
      </c>
      <c r="N3204">
        <v>0</v>
      </c>
      <c r="O3204" t="str">
        <f t="shared" si="101"/>
        <v>0–0.2 hours</v>
      </c>
      <c r="P3204" t="s">
        <v>47</v>
      </c>
    </row>
    <row r="3205" spans="1:16" x14ac:dyDescent="0.4">
      <c r="A3205" t="s">
        <v>3246</v>
      </c>
      <c r="B3205">
        <v>46</v>
      </c>
      <c r="C3205" t="s">
        <v>41</v>
      </c>
      <c r="D3205" t="s">
        <v>32</v>
      </c>
      <c r="E3205">
        <v>10.11</v>
      </c>
      <c r="F3205">
        <v>52</v>
      </c>
      <c r="G3205" t="s">
        <v>49</v>
      </c>
      <c r="H3205" t="s">
        <v>57</v>
      </c>
      <c r="I3205" s="2">
        <v>17.989999999999998</v>
      </c>
      <c r="J3205">
        <v>1</v>
      </c>
      <c r="K3205" s="2">
        <f t="shared" si="100"/>
        <v>17.989999999999998</v>
      </c>
      <c r="L3205" t="s">
        <v>61</v>
      </c>
      <c r="M3205">
        <v>1</v>
      </c>
      <c r="N3205">
        <v>0.19</v>
      </c>
      <c r="O3205" t="str">
        <f t="shared" si="101"/>
        <v>0–0.2 hours</v>
      </c>
      <c r="P3205" t="s">
        <v>52</v>
      </c>
    </row>
    <row r="3206" spans="1:16" x14ac:dyDescent="0.4">
      <c r="A3206" t="s">
        <v>3247</v>
      </c>
      <c r="B3206">
        <v>18</v>
      </c>
      <c r="C3206" t="s">
        <v>15</v>
      </c>
      <c r="D3206" t="s">
        <v>32</v>
      </c>
      <c r="E3206">
        <v>12.72</v>
      </c>
      <c r="F3206">
        <v>15</v>
      </c>
      <c r="G3206" t="s">
        <v>23</v>
      </c>
      <c r="H3206" t="s">
        <v>57</v>
      </c>
      <c r="I3206" s="2">
        <v>17.989999999999998</v>
      </c>
      <c r="J3206">
        <v>0</v>
      </c>
      <c r="K3206" s="2">
        <f t="shared" si="100"/>
        <v>0</v>
      </c>
      <c r="L3206" t="s">
        <v>37</v>
      </c>
      <c r="M3206">
        <v>1</v>
      </c>
      <c r="N3206">
        <v>0.8</v>
      </c>
      <c r="O3206" t="str">
        <f t="shared" si="101"/>
        <v>0.6–0.8 hours</v>
      </c>
      <c r="P3206" t="s">
        <v>20</v>
      </c>
    </row>
    <row r="3207" spans="1:16" x14ac:dyDescent="0.4">
      <c r="A3207" t="s">
        <v>3248</v>
      </c>
      <c r="B3207">
        <v>30</v>
      </c>
      <c r="C3207" t="s">
        <v>27</v>
      </c>
      <c r="D3207" t="s">
        <v>22</v>
      </c>
      <c r="E3207">
        <v>15.45</v>
      </c>
      <c r="F3207">
        <v>11</v>
      </c>
      <c r="G3207" t="s">
        <v>23</v>
      </c>
      <c r="H3207" t="s">
        <v>24</v>
      </c>
      <c r="I3207" s="2">
        <v>13.99</v>
      </c>
      <c r="J3207">
        <v>0</v>
      </c>
      <c r="K3207" s="2">
        <f t="shared" si="100"/>
        <v>0</v>
      </c>
      <c r="L3207" t="s">
        <v>61</v>
      </c>
      <c r="M3207">
        <v>1</v>
      </c>
      <c r="N3207">
        <v>1.29</v>
      </c>
      <c r="O3207" t="str">
        <f t="shared" si="101"/>
        <v>1+ hours</v>
      </c>
      <c r="P3207" t="s">
        <v>25</v>
      </c>
    </row>
    <row r="3208" spans="1:16" x14ac:dyDescent="0.4">
      <c r="A3208" t="s">
        <v>3249</v>
      </c>
      <c r="B3208">
        <v>48</v>
      </c>
      <c r="C3208" t="s">
        <v>41</v>
      </c>
      <c r="D3208" t="s">
        <v>32</v>
      </c>
      <c r="E3208">
        <v>2.84</v>
      </c>
      <c r="F3208">
        <v>35</v>
      </c>
      <c r="G3208" t="s">
        <v>70</v>
      </c>
      <c r="H3208" t="s">
        <v>55</v>
      </c>
      <c r="I3208" s="2">
        <v>17.989999999999998</v>
      </c>
      <c r="J3208">
        <v>1</v>
      </c>
      <c r="K3208" s="2">
        <f t="shared" si="100"/>
        <v>17.989999999999998</v>
      </c>
      <c r="L3208" t="s">
        <v>37</v>
      </c>
      <c r="M3208">
        <v>2</v>
      </c>
      <c r="N3208">
        <v>0.08</v>
      </c>
      <c r="O3208" t="str">
        <f t="shared" si="101"/>
        <v>0–0.2 hours</v>
      </c>
      <c r="P3208" t="s">
        <v>20</v>
      </c>
    </row>
    <row r="3209" spans="1:16" x14ac:dyDescent="0.4">
      <c r="A3209" t="s">
        <v>3250</v>
      </c>
      <c r="B3209">
        <v>22</v>
      </c>
      <c r="C3209" t="s">
        <v>41</v>
      </c>
      <c r="D3209" t="s">
        <v>16</v>
      </c>
      <c r="E3209">
        <v>4.6399999999999997</v>
      </c>
      <c r="F3209">
        <v>30</v>
      </c>
      <c r="G3209" t="s">
        <v>23</v>
      </c>
      <c r="H3209" t="s">
        <v>18</v>
      </c>
      <c r="I3209" s="2">
        <v>8.99</v>
      </c>
      <c r="J3209">
        <v>1</v>
      </c>
      <c r="K3209" s="2">
        <f t="shared" si="100"/>
        <v>8.99</v>
      </c>
      <c r="L3209" t="s">
        <v>29</v>
      </c>
      <c r="M3209">
        <v>3</v>
      </c>
      <c r="N3209">
        <v>0.15</v>
      </c>
      <c r="O3209" t="str">
        <f t="shared" si="101"/>
        <v>0–0.2 hours</v>
      </c>
      <c r="P3209" t="s">
        <v>25</v>
      </c>
    </row>
    <row r="3210" spans="1:16" x14ac:dyDescent="0.4">
      <c r="A3210" t="s">
        <v>3251</v>
      </c>
      <c r="B3210">
        <v>36</v>
      </c>
      <c r="C3210" t="s">
        <v>41</v>
      </c>
      <c r="D3210" t="s">
        <v>32</v>
      </c>
      <c r="E3210">
        <v>11.69</v>
      </c>
      <c r="F3210">
        <v>23</v>
      </c>
      <c r="G3210" t="s">
        <v>28</v>
      </c>
      <c r="H3210" t="s">
        <v>18</v>
      </c>
      <c r="I3210" s="2">
        <v>17.989999999999998</v>
      </c>
      <c r="J3210">
        <v>0</v>
      </c>
      <c r="K3210" s="2">
        <f t="shared" si="100"/>
        <v>0</v>
      </c>
      <c r="L3210" t="s">
        <v>19</v>
      </c>
      <c r="M3210">
        <v>3</v>
      </c>
      <c r="N3210">
        <v>0.49</v>
      </c>
      <c r="O3210" t="str">
        <f t="shared" si="101"/>
        <v>0.4–0.6 hours</v>
      </c>
      <c r="P3210" t="s">
        <v>30</v>
      </c>
    </row>
    <row r="3211" spans="1:16" x14ac:dyDescent="0.4">
      <c r="A3211" t="s">
        <v>3252</v>
      </c>
      <c r="B3211">
        <v>42</v>
      </c>
      <c r="C3211" t="s">
        <v>15</v>
      </c>
      <c r="D3211" t="s">
        <v>22</v>
      </c>
      <c r="E3211">
        <v>14.09</v>
      </c>
      <c r="F3211">
        <v>57</v>
      </c>
      <c r="G3211" t="s">
        <v>17</v>
      </c>
      <c r="H3211" t="s">
        <v>24</v>
      </c>
      <c r="I3211" s="2">
        <v>13.99</v>
      </c>
      <c r="J3211">
        <v>0</v>
      </c>
      <c r="K3211" s="2">
        <f t="shared" si="100"/>
        <v>0</v>
      </c>
      <c r="L3211" t="s">
        <v>37</v>
      </c>
      <c r="M3211">
        <v>4</v>
      </c>
      <c r="N3211">
        <v>0.24</v>
      </c>
      <c r="O3211" t="str">
        <f t="shared" si="101"/>
        <v>0.2–0.4 hours</v>
      </c>
      <c r="P3211" t="s">
        <v>20</v>
      </c>
    </row>
    <row r="3212" spans="1:16" x14ac:dyDescent="0.4">
      <c r="A3212" t="s">
        <v>3253</v>
      </c>
      <c r="B3212">
        <v>48</v>
      </c>
      <c r="C3212" t="s">
        <v>27</v>
      </c>
      <c r="D3212" t="s">
        <v>22</v>
      </c>
      <c r="E3212">
        <v>49.33</v>
      </c>
      <c r="F3212">
        <v>37</v>
      </c>
      <c r="G3212" t="s">
        <v>23</v>
      </c>
      <c r="H3212" t="s">
        <v>24</v>
      </c>
      <c r="I3212" s="2">
        <v>13.99</v>
      </c>
      <c r="J3212">
        <v>0</v>
      </c>
      <c r="K3212" s="2">
        <f t="shared" si="100"/>
        <v>0</v>
      </c>
      <c r="L3212" t="s">
        <v>61</v>
      </c>
      <c r="M3212">
        <v>3</v>
      </c>
      <c r="N3212">
        <v>1.3</v>
      </c>
      <c r="O3212" t="str">
        <f t="shared" si="101"/>
        <v>1+ hours</v>
      </c>
      <c r="P3212" t="s">
        <v>20</v>
      </c>
    </row>
    <row r="3213" spans="1:16" x14ac:dyDescent="0.4">
      <c r="A3213" t="s">
        <v>3254</v>
      </c>
      <c r="B3213">
        <v>30</v>
      </c>
      <c r="C3213" t="s">
        <v>41</v>
      </c>
      <c r="D3213" t="s">
        <v>22</v>
      </c>
      <c r="E3213">
        <v>3.17</v>
      </c>
      <c r="F3213">
        <v>24</v>
      </c>
      <c r="G3213" t="s">
        <v>33</v>
      </c>
      <c r="H3213" t="s">
        <v>57</v>
      </c>
      <c r="I3213" s="2">
        <v>13.99</v>
      </c>
      <c r="J3213">
        <v>0</v>
      </c>
      <c r="K3213" s="2">
        <f t="shared" si="100"/>
        <v>0</v>
      </c>
      <c r="L3213" t="s">
        <v>43</v>
      </c>
      <c r="M3213">
        <v>5</v>
      </c>
      <c r="N3213">
        <v>0.13</v>
      </c>
      <c r="O3213" t="str">
        <f t="shared" si="101"/>
        <v>0–0.2 hours</v>
      </c>
      <c r="P3213" t="s">
        <v>47</v>
      </c>
    </row>
    <row r="3214" spans="1:16" x14ac:dyDescent="0.4">
      <c r="A3214" t="s">
        <v>3255</v>
      </c>
      <c r="B3214">
        <v>35</v>
      </c>
      <c r="C3214" t="s">
        <v>27</v>
      </c>
      <c r="D3214" t="s">
        <v>16</v>
      </c>
      <c r="E3214">
        <v>6.03</v>
      </c>
      <c r="F3214">
        <v>42</v>
      </c>
      <c r="G3214" t="s">
        <v>23</v>
      </c>
      <c r="H3214" t="s">
        <v>24</v>
      </c>
      <c r="I3214" s="2">
        <v>8.99</v>
      </c>
      <c r="J3214">
        <v>1</v>
      </c>
      <c r="K3214" s="2">
        <f t="shared" si="100"/>
        <v>8.99</v>
      </c>
      <c r="L3214" t="s">
        <v>61</v>
      </c>
      <c r="M3214">
        <v>3</v>
      </c>
      <c r="N3214">
        <v>0.14000000000000001</v>
      </c>
      <c r="O3214" t="str">
        <f t="shared" si="101"/>
        <v>0–0.2 hours</v>
      </c>
      <c r="P3214" t="s">
        <v>30</v>
      </c>
    </row>
    <row r="3215" spans="1:16" x14ac:dyDescent="0.4">
      <c r="A3215" t="s">
        <v>3256</v>
      </c>
      <c r="B3215">
        <v>29</v>
      </c>
      <c r="C3215" t="s">
        <v>15</v>
      </c>
      <c r="D3215" t="s">
        <v>22</v>
      </c>
      <c r="E3215">
        <v>1.6</v>
      </c>
      <c r="F3215">
        <v>7</v>
      </c>
      <c r="G3215" t="s">
        <v>28</v>
      </c>
      <c r="H3215" t="s">
        <v>57</v>
      </c>
      <c r="I3215" s="2">
        <v>13.99</v>
      </c>
      <c r="J3215">
        <v>0</v>
      </c>
      <c r="K3215" s="2">
        <f t="shared" si="100"/>
        <v>0</v>
      </c>
      <c r="L3215" t="s">
        <v>37</v>
      </c>
      <c r="M3215">
        <v>4</v>
      </c>
      <c r="N3215">
        <v>0.2</v>
      </c>
      <c r="O3215" t="str">
        <f t="shared" si="101"/>
        <v>0–0.2 hours</v>
      </c>
      <c r="P3215" t="s">
        <v>25</v>
      </c>
    </row>
    <row r="3216" spans="1:16" x14ac:dyDescent="0.4">
      <c r="A3216" t="s">
        <v>3257</v>
      </c>
      <c r="B3216">
        <v>42</v>
      </c>
      <c r="C3216" t="s">
        <v>15</v>
      </c>
      <c r="D3216" t="s">
        <v>32</v>
      </c>
      <c r="E3216">
        <v>9.19</v>
      </c>
      <c r="F3216">
        <v>5</v>
      </c>
      <c r="G3216" t="s">
        <v>49</v>
      </c>
      <c r="H3216" t="s">
        <v>24</v>
      </c>
      <c r="I3216" s="2">
        <v>17.989999999999998</v>
      </c>
      <c r="J3216">
        <v>0</v>
      </c>
      <c r="K3216" s="2">
        <f t="shared" si="100"/>
        <v>0</v>
      </c>
      <c r="L3216" t="s">
        <v>43</v>
      </c>
      <c r="M3216">
        <v>5</v>
      </c>
      <c r="N3216">
        <v>1.53</v>
      </c>
      <c r="O3216" t="str">
        <f t="shared" si="101"/>
        <v>1+ hours</v>
      </c>
      <c r="P3216" t="s">
        <v>34</v>
      </c>
    </row>
    <row r="3217" spans="1:16" x14ac:dyDescent="0.4">
      <c r="A3217" t="s">
        <v>3258</v>
      </c>
      <c r="B3217">
        <v>20</v>
      </c>
      <c r="C3217" t="s">
        <v>41</v>
      </c>
      <c r="D3217" t="s">
        <v>16</v>
      </c>
      <c r="E3217">
        <v>16.96</v>
      </c>
      <c r="F3217">
        <v>53</v>
      </c>
      <c r="G3217" t="s">
        <v>70</v>
      </c>
      <c r="H3217" t="s">
        <v>57</v>
      </c>
      <c r="I3217" s="2">
        <v>8.99</v>
      </c>
      <c r="J3217">
        <v>1</v>
      </c>
      <c r="K3217" s="2">
        <f t="shared" si="100"/>
        <v>8.99</v>
      </c>
      <c r="L3217" t="s">
        <v>19</v>
      </c>
      <c r="M3217">
        <v>1</v>
      </c>
      <c r="N3217">
        <v>0.31</v>
      </c>
      <c r="O3217" t="str">
        <f t="shared" si="101"/>
        <v>0.2–0.4 hours</v>
      </c>
      <c r="P3217" t="s">
        <v>20</v>
      </c>
    </row>
    <row r="3218" spans="1:16" x14ac:dyDescent="0.4">
      <c r="A3218" t="s">
        <v>3259</v>
      </c>
      <c r="B3218">
        <v>44</v>
      </c>
      <c r="C3218" t="s">
        <v>15</v>
      </c>
      <c r="D3218" t="s">
        <v>16</v>
      </c>
      <c r="E3218">
        <v>1.06</v>
      </c>
      <c r="F3218">
        <v>37</v>
      </c>
      <c r="G3218" t="s">
        <v>28</v>
      </c>
      <c r="H3218" t="s">
        <v>55</v>
      </c>
      <c r="I3218" s="2">
        <v>8.99</v>
      </c>
      <c r="J3218">
        <v>1</v>
      </c>
      <c r="K3218" s="2">
        <f t="shared" si="100"/>
        <v>8.99</v>
      </c>
      <c r="L3218" t="s">
        <v>29</v>
      </c>
      <c r="M3218">
        <v>1</v>
      </c>
      <c r="N3218">
        <v>0.03</v>
      </c>
      <c r="O3218" t="str">
        <f t="shared" si="101"/>
        <v>0–0.2 hours</v>
      </c>
      <c r="P3218" t="s">
        <v>47</v>
      </c>
    </row>
    <row r="3219" spans="1:16" x14ac:dyDescent="0.4">
      <c r="A3219" t="s">
        <v>3260</v>
      </c>
      <c r="B3219">
        <v>54</v>
      </c>
      <c r="C3219" t="s">
        <v>27</v>
      </c>
      <c r="D3219" t="s">
        <v>22</v>
      </c>
      <c r="E3219">
        <v>6.61</v>
      </c>
      <c r="F3219">
        <v>26</v>
      </c>
      <c r="G3219" t="s">
        <v>33</v>
      </c>
      <c r="H3219" t="s">
        <v>57</v>
      </c>
      <c r="I3219" s="2">
        <v>13.99</v>
      </c>
      <c r="J3219">
        <v>0</v>
      </c>
      <c r="K3219" s="2">
        <f t="shared" si="100"/>
        <v>0</v>
      </c>
      <c r="L3219" t="s">
        <v>19</v>
      </c>
      <c r="M3219">
        <v>3</v>
      </c>
      <c r="N3219">
        <v>0.24</v>
      </c>
      <c r="O3219" t="str">
        <f t="shared" si="101"/>
        <v>0.2–0.4 hours</v>
      </c>
      <c r="P3219" t="s">
        <v>20</v>
      </c>
    </row>
    <row r="3220" spans="1:16" x14ac:dyDescent="0.4">
      <c r="A3220" t="s">
        <v>3261</v>
      </c>
      <c r="B3220">
        <v>66</v>
      </c>
      <c r="C3220" t="s">
        <v>27</v>
      </c>
      <c r="D3220" t="s">
        <v>32</v>
      </c>
      <c r="E3220">
        <v>20.010000000000002</v>
      </c>
      <c r="F3220">
        <v>30</v>
      </c>
      <c r="G3220" t="s">
        <v>17</v>
      </c>
      <c r="H3220" t="s">
        <v>57</v>
      </c>
      <c r="I3220" s="2">
        <v>17.989999999999998</v>
      </c>
      <c r="J3220">
        <v>0</v>
      </c>
      <c r="K3220" s="2">
        <f t="shared" si="100"/>
        <v>0</v>
      </c>
      <c r="L3220" t="s">
        <v>43</v>
      </c>
      <c r="M3220">
        <v>2</v>
      </c>
      <c r="N3220">
        <v>0.65</v>
      </c>
      <c r="O3220" t="str">
        <f t="shared" si="101"/>
        <v>0.6–0.8 hours</v>
      </c>
      <c r="P3220" t="s">
        <v>34</v>
      </c>
    </row>
    <row r="3221" spans="1:16" x14ac:dyDescent="0.4">
      <c r="A3221" t="s">
        <v>3262</v>
      </c>
      <c r="B3221">
        <v>60</v>
      </c>
      <c r="C3221" t="s">
        <v>15</v>
      </c>
      <c r="D3221" t="s">
        <v>16</v>
      </c>
      <c r="E3221">
        <v>9.99</v>
      </c>
      <c r="F3221">
        <v>34</v>
      </c>
      <c r="G3221" t="s">
        <v>23</v>
      </c>
      <c r="H3221" t="s">
        <v>18</v>
      </c>
      <c r="I3221" s="2">
        <v>8.99</v>
      </c>
      <c r="J3221">
        <v>1</v>
      </c>
      <c r="K3221" s="2">
        <f t="shared" si="100"/>
        <v>8.99</v>
      </c>
      <c r="L3221" t="s">
        <v>43</v>
      </c>
      <c r="M3221">
        <v>3</v>
      </c>
      <c r="N3221">
        <v>0.28999999999999998</v>
      </c>
      <c r="O3221" t="str">
        <f t="shared" si="101"/>
        <v>0.2–0.4 hours</v>
      </c>
      <c r="P3221" t="s">
        <v>30</v>
      </c>
    </row>
    <row r="3222" spans="1:16" x14ac:dyDescent="0.4">
      <c r="A3222" t="s">
        <v>3263</v>
      </c>
      <c r="B3222">
        <v>21</v>
      </c>
      <c r="C3222" t="s">
        <v>15</v>
      </c>
      <c r="D3222" t="s">
        <v>32</v>
      </c>
      <c r="E3222">
        <v>8.5299999999999994</v>
      </c>
      <c r="F3222">
        <v>36</v>
      </c>
      <c r="G3222" t="s">
        <v>23</v>
      </c>
      <c r="H3222" t="s">
        <v>46</v>
      </c>
      <c r="I3222" s="2">
        <v>17.989999999999998</v>
      </c>
      <c r="J3222">
        <v>1</v>
      </c>
      <c r="K3222" s="2">
        <f t="shared" si="100"/>
        <v>17.989999999999998</v>
      </c>
      <c r="L3222" t="s">
        <v>29</v>
      </c>
      <c r="M3222">
        <v>4</v>
      </c>
      <c r="N3222">
        <v>0.23</v>
      </c>
      <c r="O3222" t="str">
        <f t="shared" si="101"/>
        <v>0.2–0.4 hours</v>
      </c>
      <c r="P3222" t="s">
        <v>39</v>
      </c>
    </row>
    <row r="3223" spans="1:16" x14ac:dyDescent="0.4">
      <c r="A3223" t="s">
        <v>3264</v>
      </c>
      <c r="B3223">
        <v>51</v>
      </c>
      <c r="C3223" t="s">
        <v>27</v>
      </c>
      <c r="D3223" t="s">
        <v>32</v>
      </c>
      <c r="E3223">
        <v>4.9000000000000004</v>
      </c>
      <c r="F3223">
        <v>23</v>
      </c>
      <c r="G3223" t="s">
        <v>33</v>
      </c>
      <c r="H3223" t="s">
        <v>55</v>
      </c>
      <c r="I3223" s="2">
        <v>17.989999999999998</v>
      </c>
      <c r="J3223">
        <v>1</v>
      </c>
      <c r="K3223" s="2">
        <f t="shared" si="100"/>
        <v>17.989999999999998</v>
      </c>
      <c r="L3223" t="s">
        <v>19</v>
      </c>
      <c r="M3223">
        <v>5</v>
      </c>
      <c r="N3223">
        <v>0.2</v>
      </c>
      <c r="O3223" t="str">
        <f t="shared" si="101"/>
        <v>0–0.2 hours</v>
      </c>
      <c r="P3223" t="s">
        <v>47</v>
      </c>
    </row>
    <row r="3224" spans="1:16" x14ac:dyDescent="0.4">
      <c r="A3224" t="s">
        <v>3265</v>
      </c>
      <c r="B3224">
        <v>41</v>
      </c>
      <c r="C3224" t="s">
        <v>41</v>
      </c>
      <c r="D3224" t="s">
        <v>22</v>
      </c>
      <c r="E3224">
        <v>8.6</v>
      </c>
      <c r="F3224">
        <v>47</v>
      </c>
      <c r="G3224" t="s">
        <v>17</v>
      </c>
      <c r="H3224" t="s">
        <v>24</v>
      </c>
      <c r="I3224" s="2">
        <v>13.99</v>
      </c>
      <c r="J3224">
        <v>1</v>
      </c>
      <c r="K3224" s="2">
        <f t="shared" si="100"/>
        <v>13.99</v>
      </c>
      <c r="L3224" t="s">
        <v>43</v>
      </c>
      <c r="M3224">
        <v>2</v>
      </c>
      <c r="N3224">
        <v>0.18</v>
      </c>
      <c r="O3224" t="str">
        <f t="shared" si="101"/>
        <v>0–0.2 hours</v>
      </c>
      <c r="P3224" t="s">
        <v>20</v>
      </c>
    </row>
    <row r="3225" spans="1:16" x14ac:dyDescent="0.4">
      <c r="A3225" t="s">
        <v>3266</v>
      </c>
      <c r="B3225">
        <v>36</v>
      </c>
      <c r="C3225" t="s">
        <v>41</v>
      </c>
      <c r="D3225" t="s">
        <v>32</v>
      </c>
      <c r="E3225">
        <v>13.68</v>
      </c>
      <c r="F3225">
        <v>3</v>
      </c>
      <c r="G3225" t="s">
        <v>49</v>
      </c>
      <c r="H3225" t="s">
        <v>57</v>
      </c>
      <c r="I3225" s="2">
        <v>17.989999999999998</v>
      </c>
      <c r="J3225">
        <v>0</v>
      </c>
      <c r="K3225" s="2">
        <f t="shared" si="100"/>
        <v>0</v>
      </c>
      <c r="L3225" t="s">
        <v>29</v>
      </c>
      <c r="M3225">
        <v>3</v>
      </c>
      <c r="N3225">
        <v>3.42</v>
      </c>
      <c r="O3225" t="str">
        <f t="shared" si="101"/>
        <v>1+ hours</v>
      </c>
      <c r="P3225" t="s">
        <v>47</v>
      </c>
    </row>
    <row r="3226" spans="1:16" x14ac:dyDescent="0.4">
      <c r="A3226" t="s">
        <v>3267</v>
      </c>
      <c r="B3226">
        <v>36</v>
      </c>
      <c r="C3226" t="s">
        <v>41</v>
      </c>
      <c r="D3226" t="s">
        <v>32</v>
      </c>
      <c r="E3226">
        <v>7.25</v>
      </c>
      <c r="F3226">
        <v>36</v>
      </c>
      <c r="G3226" t="s">
        <v>33</v>
      </c>
      <c r="H3226" t="s">
        <v>57</v>
      </c>
      <c r="I3226" s="2">
        <v>17.989999999999998</v>
      </c>
      <c r="J3226">
        <v>0</v>
      </c>
      <c r="K3226" s="2">
        <f t="shared" si="100"/>
        <v>0</v>
      </c>
      <c r="L3226" t="s">
        <v>61</v>
      </c>
      <c r="M3226">
        <v>5</v>
      </c>
      <c r="N3226">
        <v>0.2</v>
      </c>
      <c r="O3226" t="str">
        <f t="shared" si="101"/>
        <v>0–0.2 hours</v>
      </c>
      <c r="P3226" t="s">
        <v>47</v>
      </c>
    </row>
    <row r="3227" spans="1:16" x14ac:dyDescent="0.4">
      <c r="A3227" t="s">
        <v>3268</v>
      </c>
      <c r="B3227">
        <v>54</v>
      </c>
      <c r="C3227" t="s">
        <v>41</v>
      </c>
      <c r="D3227" t="s">
        <v>32</v>
      </c>
      <c r="E3227">
        <v>2.2799999999999998</v>
      </c>
      <c r="F3227">
        <v>47</v>
      </c>
      <c r="G3227" t="s">
        <v>28</v>
      </c>
      <c r="H3227" t="s">
        <v>57</v>
      </c>
      <c r="I3227" s="2">
        <v>17.989999999999998</v>
      </c>
      <c r="J3227">
        <v>1</v>
      </c>
      <c r="K3227" s="2">
        <f t="shared" si="100"/>
        <v>17.989999999999998</v>
      </c>
      <c r="L3227" t="s">
        <v>29</v>
      </c>
      <c r="M3227">
        <v>3</v>
      </c>
      <c r="N3227">
        <v>0.05</v>
      </c>
      <c r="O3227" t="str">
        <f t="shared" si="101"/>
        <v>0–0.2 hours</v>
      </c>
      <c r="P3227" t="s">
        <v>30</v>
      </c>
    </row>
    <row r="3228" spans="1:16" x14ac:dyDescent="0.4">
      <c r="A3228" s="1" t="s">
        <v>3269</v>
      </c>
      <c r="B3228">
        <v>31</v>
      </c>
      <c r="C3228" t="s">
        <v>15</v>
      </c>
      <c r="D3228" t="s">
        <v>22</v>
      </c>
      <c r="E3228">
        <v>18.09</v>
      </c>
      <c r="F3228">
        <v>34</v>
      </c>
      <c r="G3228" t="s">
        <v>23</v>
      </c>
      <c r="H3228" t="s">
        <v>18</v>
      </c>
      <c r="I3228" s="2">
        <v>13.99</v>
      </c>
      <c r="J3228">
        <v>0</v>
      </c>
      <c r="K3228" s="2">
        <f t="shared" si="100"/>
        <v>0</v>
      </c>
      <c r="L3228" t="s">
        <v>19</v>
      </c>
      <c r="M3228">
        <v>4</v>
      </c>
      <c r="N3228">
        <v>0.52</v>
      </c>
      <c r="O3228" t="str">
        <f t="shared" si="101"/>
        <v>0.4–0.6 hours</v>
      </c>
      <c r="P3228" t="s">
        <v>20</v>
      </c>
    </row>
    <row r="3229" spans="1:16" x14ac:dyDescent="0.4">
      <c r="A3229" t="s">
        <v>3270</v>
      </c>
      <c r="B3229">
        <v>64</v>
      </c>
      <c r="C3229" t="s">
        <v>27</v>
      </c>
      <c r="D3229" t="s">
        <v>32</v>
      </c>
      <c r="E3229">
        <v>9.3699999999999992</v>
      </c>
      <c r="F3229">
        <v>16</v>
      </c>
      <c r="G3229" t="s">
        <v>49</v>
      </c>
      <c r="H3229" t="s">
        <v>57</v>
      </c>
      <c r="I3229" s="2">
        <v>17.989999999999998</v>
      </c>
      <c r="J3229">
        <v>0</v>
      </c>
      <c r="K3229" s="2">
        <f t="shared" si="100"/>
        <v>0</v>
      </c>
      <c r="L3229" t="s">
        <v>29</v>
      </c>
      <c r="M3229">
        <v>5</v>
      </c>
      <c r="N3229">
        <v>0.55000000000000004</v>
      </c>
      <c r="O3229" t="str">
        <f t="shared" si="101"/>
        <v>0.4–0.6 hours</v>
      </c>
      <c r="P3229" t="s">
        <v>30</v>
      </c>
    </row>
    <row r="3230" spans="1:16" x14ac:dyDescent="0.4">
      <c r="A3230" t="s">
        <v>3271</v>
      </c>
      <c r="B3230">
        <v>55</v>
      </c>
      <c r="C3230" t="s">
        <v>27</v>
      </c>
      <c r="D3230" t="s">
        <v>16</v>
      </c>
      <c r="E3230">
        <v>11.36</v>
      </c>
      <c r="F3230">
        <v>0</v>
      </c>
      <c r="G3230" t="s">
        <v>70</v>
      </c>
      <c r="H3230" t="s">
        <v>46</v>
      </c>
      <c r="I3230" s="2">
        <v>8.99</v>
      </c>
      <c r="J3230">
        <v>0</v>
      </c>
      <c r="K3230" s="2">
        <f t="shared" si="100"/>
        <v>0</v>
      </c>
      <c r="L3230" t="s">
        <v>43</v>
      </c>
      <c r="M3230">
        <v>4</v>
      </c>
      <c r="N3230">
        <v>11.36</v>
      </c>
      <c r="O3230" t="str">
        <f t="shared" si="101"/>
        <v>1+ hours</v>
      </c>
      <c r="P3230" t="s">
        <v>47</v>
      </c>
    </row>
    <row r="3231" spans="1:16" x14ac:dyDescent="0.4">
      <c r="A3231" t="s">
        <v>3272</v>
      </c>
      <c r="B3231">
        <v>51</v>
      </c>
      <c r="C3231" t="s">
        <v>27</v>
      </c>
      <c r="D3231" t="s">
        <v>16</v>
      </c>
      <c r="E3231">
        <v>6.21</v>
      </c>
      <c r="F3231">
        <v>40</v>
      </c>
      <c r="G3231" t="s">
        <v>49</v>
      </c>
      <c r="H3231" t="s">
        <v>18</v>
      </c>
      <c r="I3231" s="2">
        <v>8.99</v>
      </c>
      <c r="J3231">
        <v>1</v>
      </c>
      <c r="K3231" s="2">
        <f t="shared" si="100"/>
        <v>8.99</v>
      </c>
      <c r="L3231" t="s">
        <v>37</v>
      </c>
      <c r="M3231">
        <v>5</v>
      </c>
      <c r="N3231">
        <v>0.15</v>
      </c>
      <c r="O3231" t="str">
        <f t="shared" si="101"/>
        <v>0–0.2 hours</v>
      </c>
      <c r="P3231" t="s">
        <v>25</v>
      </c>
    </row>
    <row r="3232" spans="1:16" x14ac:dyDescent="0.4">
      <c r="A3232" t="s">
        <v>3273</v>
      </c>
      <c r="B3232">
        <v>66</v>
      </c>
      <c r="C3232" t="s">
        <v>27</v>
      </c>
      <c r="D3232" t="s">
        <v>32</v>
      </c>
      <c r="E3232">
        <v>1.37</v>
      </c>
      <c r="F3232">
        <v>36</v>
      </c>
      <c r="G3232" t="s">
        <v>70</v>
      </c>
      <c r="H3232" t="s">
        <v>55</v>
      </c>
      <c r="I3232" s="2">
        <v>17.989999999999998</v>
      </c>
      <c r="J3232">
        <v>1</v>
      </c>
      <c r="K3232" s="2">
        <f t="shared" si="100"/>
        <v>17.989999999999998</v>
      </c>
      <c r="L3232" t="s">
        <v>43</v>
      </c>
      <c r="M3232">
        <v>5</v>
      </c>
      <c r="N3232">
        <v>0.04</v>
      </c>
      <c r="O3232" t="str">
        <f t="shared" si="101"/>
        <v>0–0.2 hours</v>
      </c>
      <c r="P3232" t="s">
        <v>20</v>
      </c>
    </row>
    <row r="3233" spans="1:16" x14ac:dyDescent="0.4">
      <c r="A3233" t="s">
        <v>3274</v>
      </c>
      <c r="B3233">
        <v>57</v>
      </c>
      <c r="C3233" t="s">
        <v>41</v>
      </c>
      <c r="D3233" t="s">
        <v>22</v>
      </c>
      <c r="E3233">
        <v>8.27</v>
      </c>
      <c r="F3233">
        <v>59</v>
      </c>
      <c r="G3233" t="s">
        <v>23</v>
      </c>
      <c r="H3233" t="s">
        <v>55</v>
      </c>
      <c r="I3233" s="2">
        <v>13.99</v>
      </c>
      <c r="J3233">
        <v>0</v>
      </c>
      <c r="K3233" s="2">
        <f t="shared" si="100"/>
        <v>0</v>
      </c>
      <c r="L3233" t="s">
        <v>37</v>
      </c>
      <c r="M3233">
        <v>4</v>
      </c>
      <c r="N3233">
        <v>0.14000000000000001</v>
      </c>
      <c r="O3233" t="str">
        <f t="shared" si="101"/>
        <v>0–0.2 hours</v>
      </c>
      <c r="P3233" t="s">
        <v>39</v>
      </c>
    </row>
    <row r="3234" spans="1:16" x14ac:dyDescent="0.4">
      <c r="A3234" t="s">
        <v>3275</v>
      </c>
      <c r="B3234">
        <v>68</v>
      </c>
      <c r="C3234" t="s">
        <v>27</v>
      </c>
      <c r="D3234" t="s">
        <v>22</v>
      </c>
      <c r="E3234">
        <v>26.58</v>
      </c>
      <c r="F3234">
        <v>36</v>
      </c>
      <c r="G3234" t="s">
        <v>33</v>
      </c>
      <c r="H3234" t="s">
        <v>55</v>
      </c>
      <c r="I3234" s="2">
        <v>13.99</v>
      </c>
      <c r="J3234">
        <v>0</v>
      </c>
      <c r="K3234" s="2">
        <f t="shared" si="100"/>
        <v>0</v>
      </c>
      <c r="L3234" t="s">
        <v>37</v>
      </c>
      <c r="M3234">
        <v>4</v>
      </c>
      <c r="N3234">
        <v>0.72</v>
      </c>
      <c r="O3234" t="str">
        <f t="shared" si="101"/>
        <v>0.6–0.8 hours</v>
      </c>
      <c r="P3234" t="s">
        <v>39</v>
      </c>
    </row>
    <row r="3235" spans="1:16" x14ac:dyDescent="0.4">
      <c r="A3235" t="s">
        <v>3276</v>
      </c>
      <c r="B3235">
        <v>31</v>
      </c>
      <c r="C3235" t="s">
        <v>27</v>
      </c>
      <c r="D3235" t="s">
        <v>16</v>
      </c>
      <c r="E3235">
        <v>9.11</v>
      </c>
      <c r="F3235">
        <v>51</v>
      </c>
      <c r="G3235" t="s">
        <v>49</v>
      </c>
      <c r="H3235" t="s">
        <v>46</v>
      </c>
      <c r="I3235" s="2">
        <v>8.99</v>
      </c>
      <c r="J3235">
        <v>1</v>
      </c>
      <c r="K3235" s="2">
        <f t="shared" si="100"/>
        <v>8.99</v>
      </c>
      <c r="L3235" t="s">
        <v>43</v>
      </c>
      <c r="M3235">
        <v>3</v>
      </c>
      <c r="N3235">
        <v>0.18</v>
      </c>
      <c r="O3235" t="str">
        <f t="shared" si="101"/>
        <v>0–0.2 hours</v>
      </c>
      <c r="P3235" t="s">
        <v>47</v>
      </c>
    </row>
    <row r="3236" spans="1:16" x14ac:dyDescent="0.4">
      <c r="A3236" t="s">
        <v>3277</v>
      </c>
      <c r="B3236">
        <v>39</v>
      </c>
      <c r="C3236" t="s">
        <v>15</v>
      </c>
      <c r="D3236" t="s">
        <v>32</v>
      </c>
      <c r="E3236">
        <v>12.34</v>
      </c>
      <c r="F3236">
        <v>30</v>
      </c>
      <c r="G3236" t="s">
        <v>17</v>
      </c>
      <c r="H3236" t="s">
        <v>18</v>
      </c>
      <c r="I3236" s="2">
        <v>17.989999999999998</v>
      </c>
      <c r="J3236">
        <v>0</v>
      </c>
      <c r="K3236" s="2">
        <f t="shared" si="100"/>
        <v>0</v>
      </c>
      <c r="L3236" t="s">
        <v>37</v>
      </c>
      <c r="M3236">
        <v>5</v>
      </c>
      <c r="N3236">
        <v>0.4</v>
      </c>
      <c r="O3236" t="str">
        <f t="shared" si="101"/>
        <v>0.2–0.4 hours</v>
      </c>
      <c r="P3236" t="s">
        <v>47</v>
      </c>
    </row>
    <row r="3237" spans="1:16" x14ac:dyDescent="0.4">
      <c r="A3237" t="s">
        <v>3278</v>
      </c>
      <c r="B3237">
        <v>31</v>
      </c>
      <c r="C3237" t="s">
        <v>27</v>
      </c>
      <c r="D3237" t="s">
        <v>16</v>
      </c>
      <c r="E3237">
        <v>6.71</v>
      </c>
      <c r="F3237">
        <v>7</v>
      </c>
      <c r="G3237" t="s">
        <v>49</v>
      </c>
      <c r="H3237" t="s">
        <v>57</v>
      </c>
      <c r="I3237" s="2">
        <v>8.99</v>
      </c>
      <c r="J3237">
        <v>0</v>
      </c>
      <c r="K3237" s="2">
        <f t="shared" si="100"/>
        <v>0</v>
      </c>
      <c r="L3237" t="s">
        <v>29</v>
      </c>
      <c r="M3237">
        <v>5</v>
      </c>
      <c r="N3237">
        <v>0.84</v>
      </c>
      <c r="O3237" t="str">
        <f t="shared" si="101"/>
        <v>0.8–1 hour</v>
      </c>
      <c r="P3237" t="s">
        <v>25</v>
      </c>
    </row>
    <row r="3238" spans="1:16" x14ac:dyDescent="0.4">
      <c r="A3238" t="s">
        <v>3279</v>
      </c>
      <c r="B3238">
        <v>63</v>
      </c>
      <c r="C3238" t="s">
        <v>41</v>
      </c>
      <c r="D3238" t="s">
        <v>22</v>
      </c>
      <c r="E3238">
        <v>8.51</v>
      </c>
      <c r="F3238">
        <v>55</v>
      </c>
      <c r="G3238" t="s">
        <v>49</v>
      </c>
      <c r="H3238" t="s">
        <v>46</v>
      </c>
      <c r="I3238" s="2">
        <v>13.99</v>
      </c>
      <c r="J3238">
        <v>1</v>
      </c>
      <c r="K3238" s="2">
        <f t="shared" si="100"/>
        <v>13.99</v>
      </c>
      <c r="L3238" t="s">
        <v>19</v>
      </c>
      <c r="M3238">
        <v>4</v>
      </c>
      <c r="N3238">
        <v>0.15</v>
      </c>
      <c r="O3238" t="str">
        <f t="shared" si="101"/>
        <v>0–0.2 hours</v>
      </c>
      <c r="P3238" t="s">
        <v>25</v>
      </c>
    </row>
    <row r="3239" spans="1:16" x14ac:dyDescent="0.4">
      <c r="A3239" t="s">
        <v>3280</v>
      </c>
      <c r="B3239">
        <v>46</v>
      </c>
      <c r="C3239" t="s">
        <v>27</v>
      </c>
      <c r="D3239" t="s">
        <v>16</v>
      </c>
      <c r="E3239">
        <v>6.75</v>
      </c>
      <c r="F3239">
        <v>37</v>
      </c>
      <c r="G3239" t="s">
        <v>49</v>
      </c>
      <c r="H3239" t="s">
        <v>55</v>
      </c>
      <c r="I3239" s="2">
        <v>8.99</v>
      </c>
      <c r="J3239">
        <v>1</v>
      </c>
      <c r="K3239" s="2">
        <f t="shared" si="100"/>
        <v>8.99</v>
      </c>
      <c r="L3239" t="s">
        <v>19</v>
      </c>
      <c r="M3239">
        <v>2</v>
      </c>
      <c r="N3239">
        <v>0.18</v>
      </c>
      <c r="O3239" t="str">
        <f t="shared" si="101"/>
        <v>0–0.2 hours</v>
      </c>
      <c r="P3239" t="s">
        <v>47</v>
      </c>
    </row>
    <row r="3240" spans="1:16" x14ac:dyDescent="0.4">
      <c r="A3240" t="s">
        <v>3281</v>
      </c>
      <c r="B3240">
        <v>22</v>
      </c>
      <c r="C3240" t="s">
        <v>41</v>
      </c>
      <c r="D3240" t="s">
        <v>22</v>
      </c>
      <c r="E3240">
        <v>7.67</v>
      </c>
      <c r="F3240">
        <v>53</v>
      </c>
      <c r="G3240" t="s">
        <v>49</v>
      </c>
      <c r="H3240" t="s">
        <v>18</v>
      </c>
      <c r="I3240" s="2">
        <v>13.99</v>
      </c>
      <c r="J3240">
        <v>1</v>
      </c>
      <c r="K3240" s="2">
        <f t="shared" si="100"/>
        <v>13.99</v>
      </c>
      <c r="L3240" t="s">
        <v>29</v>
      </c>
      <c r="M3240">
        <v>3</v>
      </c>
      <c r="N3240">
        <v>0.14000000000000001</v>
      </c>
      <c r="O3240" t="str">
        <f t="shared" si="101"/>
        <v>0–0.2 hours</v>
      </c>
      <c r="P3240" t="s">
        <v>52</v>
      </c>
    </row>
    <row r="3241" spans="1:16" x14ac:dyDescent="0.4">
      <c r="A3241" t="s">
        <v>3282</v>
      </c>
      <c r="B3241">
        <v>59</v>
      </c>
      <c r="C3241" t="s">
        <v>15</v>
      </c>
      <c r="D3241" t="s">
        <v>32</v>
      </c>
      <c r="E3241">
        <v>16.600000000000001</v>
      </c>
      <c r="F3241">
        <v>23</v>
      </c>
      <c r="G3241" t="s">
        <v>28</v>
      </c>
      <c r="H3241" t="s">
        <v>46</v>
      </c>
      <c r="I3241" s="2">
        <v>17.989999999999998</v>
      </c>
      <c r="J3241">
        <v>0</v>
      </c>
      <c r="K3241" s="2">
        <f t="shared" si="100"/>
        <v>0</v>
      </c>
      <c r="L3241" t="s">
        <v>29</v>
      </c>
      <c r="M3241">
        <v>3</v>
      </c>
      <c r="N3241">
        <v>0.69</v>
      </c>
      <c r="O3241" t="str">
        <f t="shared" si="101"/>
        <v>0.6–0.8 hours</v>
      </c>
      <c r="P3241" t="s">
        <v>30</v>
      </c>
    </row>
    <row r="3242" spans="1:16" x14ac:dyDescent="0.4">
      <c r="A3242" t="s">
        <v>3283</v>
      </c>
      <c r="B3242">
        <v>36</v>
      </c>
      <c r="C3242" t="s">
        <v>27</v>
      </c>
      <c r="D3242" t="s">
        <v>22</v>
      </c>
      <c r="E3242">
        <v>22.11</v>
      </c>
      <c r="F3242">
        <v>6</v>
      </c>
      <c r="G3242" t="s">
        <v>23</v>
      </c>
      <c r="H3242" t="s">
        <v>46</v>
      </c>
      <c r="I3242" s="2">
        <v>13.99</v>
      </c>
      <c r="J3242">
        <v>0</v>
      </c>
      <c r="K3242" s="2">
        <f t="shared" si="100"/>
        <v>0</v>
      </c>
      <c r="L3242" t="s">
        <v>61</v>
      </c>
      <c r="M3242">
        <v>4</v>
      </c>
      <c r="N3242">
        <v>3.16</v>
      </c>
      <c r="O3242" t="str">
        <f t="shared" si="101"/>
        <v>1+ hours</v>
      </c>
      <c r="P3242" t="s">
        <v>20</v>
      </c>
    </row>
    <row r="3243" spans="1:16" x14ac:dyDescent="0.4">
      <c r="A3243" t="s">
        <v>3284</v>
      </c>
      <c r="B3243">
        <v>55</v>
      </c>
      <c r="C3243" t="s">
        <v>15</v>
      </c>
      <c r="D3243" t="s">
        <v>32</v>
      </c>
      <c r="E3243">
        <v>0.44</v>
      </c>
      <c r="F3243">
        <v>27</v>
      </c>
      <c r="G3243" t="s">
        <v>33</v>
      </c>
      <c r="H3243" t="s">
        <v>18</v>
      </c>
      <c r="I3243" s="2">
        <v>17.989999999999998</v>
      </c>
      <c r="J3243">
        <v>1</v>
      </c>
      <c r="K3243" s="2">
        <f t="shared" si="100"/>
        <v>17.989999999999998</v>
      </c>
      <c r="L3243" t="s">
        <v>29</v>
      </c>
      <c r="M3243">
        <v>3</v>
      </c>
      <c r="N3243">
        <v>0.02</v>
      </c>
      <c r="O3243" t="str">
        <f t="shared" si="101"/>
        <v>0–0.2 hours</v>
      </c>
      <c r="P3243" t="s">
        <v>30</v>
      </c>
    </row>
    <row r="3244" spans="1:16" x14ac:dyDescent="0.4">
      <c r="A3244" t="s">
        <v>3285</v>
      </c>
      <c r="B3244">
        <v>58</v>
      </c>
      <c r="C3244" t="s">
        <v>15</v>
      </c>
      <c r="D3244" t="s">
        <v>16</v>
      </c>
      <c r="E3244">
        <v>37.24</v>
      </c>
      <c r="F3244">
        <v>8</v>
      </c>
      <c r="G3244" t="s">
        <v>23</v>
      </c>
      <c r="H3244" t="s">
        <v>18</v>
      </c>
      <c r="I3244" s="2">
        <v>8.99</v>
      </c>
      <c r="J3244">
        <v>0</v>
      </c>
      <c r="K3244" s="2">
        <f t="shared" si="100"/>
        <v>0</v>
      </c>
      <c r="L3244" t="s">
        <v>19</v>
      </c>
      <c r="M3244">
        <v>3</v>
      </c>
      <c r="N3244">
        <v>4.1399999999999997</v>
      </c>
      <c r="O3244" t="str">
        <f t="shared" si="101"/>
        <v>1+ hours</v>
      </c>
      <c r="P3244" t="s">
        <v>39</v>
      </c>
    </row>
    <row r="3245" spans="1:16" x14ac:dyDescent="0.4">
      <c r="A3245" t="s">
        <v>3286</v>
      </c>
      <c r="B3245">
        <v>57</v>
      </c>
      <c r="C3245" t="s">
        <v>15</v>
      </c>
      <c r="D3245" t="s">
        <v>16</v>
      </c>
      <c r="E3245">
        <v>10.24</v>
      </c>
      <c r="F3245">
        <v>19</v>
      </c>
      <c r="G3245" t="s">
        <v>17</v>
      </c>
      <c r="H3245" t="s">
        <v>18</v>
      </c>
      <c r="I3245" s="2">
        <v>8.99</v>
      </c>
      <c r="J3245">
        <v>0</v>
      </c>
      <c r="K3245" s="2">
        <f t="shared" si="100"/>
        <v>0</v>
      </c>
      <c r="L3245" t="s">
        <v>43</v>
      </c>
      <c r="M3245">
        <v>2</v>
      </c>
      <c r="N3245">
        <v>0.51</v>
      </c>
      <c r="O3245" t="str">
        <f t="shared" si="101"/>
        <v>0.4–0.6 hours</v>
      </c>
      <c r="P3245" t="s">
        <v>47</v>
      </c>
    </row>
    <row r="3246" spans="1:16" x14ac:dyDescent="0.4">
      <c r="A3246" t="s">
        <v>3287</v>
      </c>
      <c r="B3246">
        <v>67</v>
      </c>
      <c r="C3246" t="s">
        <v>15</v>
      </c>
      <c r="D3246" t="s">
        <v>32</v>
      </c>
      <c r="E3246">
        <v>28.86</v>
      </c>
      <c r="F3246">
        <v>1</v>
      </c>
      <c r="G3246" t="s">
        <v>49</v>
      </c>
      <c r="H3246" t="s">
        <v>46</v>
      </c>
      <c r="I3246" s="2">
        <v>17.989999999999998</v>
      </c>
      <c r="J3246">
        <v>0</v>
      </c>
      <c r="K3246" s="2">
        <f t="shared" si="100"/>
        <v>0</v>
      </c>
      <c r="L3246" t="s">
        <v>19</v>
      </c>
      <c r="M3246">
        <v>2</v>
      </c>
      <c r="N3246">
        <v>14.43</v>
      </c>
      <c r="O3246" t="str">
        <f t="shared" si="101"/>
        <v>1+ hours</v>
      </c>
      <c r="P3246" t="s">
        <v>30</v>
      </c>
    </row>
    <row r="3247" spans="1:16" x14ac:dyDescent="0.4">
      <c r="A3247" t="s">
        <v>3288</v>
      </c>
      <c r="B3247">
        <v>54</v>
      </c>
      <c r="C3247" t="s">
        <v>41</v>
      </c>
      <c r="D3247" t="s">
        <v>16</v>
      </c>
      <c r="E3247">
        <v>25.24</v>
      </c>
      <c r="F3247">
        <v>43</v>
      </c>
      <c r="G3247" t="s">
        <v>49</v>
      </c>
      <c r="H3247" t="s">
        <v>18</v>
      </c>
      <c r="I3247" s="2">
        <v>8.99</v>
      </c>
      <c r="J3247">
        <v>0</v>
      </c>
      <c r="K3247" s="2">
        <f t="shared" si="100"/>
        <v>0</v>
      </c>
      <c r="L3247" t="s">
        <v>37</v>
      </c>
      <c r="M3247">
        <v>5</v>
      </c>
      <c r="N3247">
        <v>0.56999999999999995</v>
      </c>
      <c r="O3247" t="str">
        <f t="shared" si="101"/>
        <v>0.4–0.6 hours</v>
      </c>
      <c r="P3247" t="s">
        <v>47</v>
      </c>
    </row>
    <row r="3248" spans="1:16" x14ac:dyDescent="0.4">
      <c r="A3248" t="s">
        <v>3289</v>
      </c>
      <c r="B3248">
        <v>46</v>
      </c>
      <c r="C3248" t="s">
        <v>41</v>
      </c>
      <c r="D3248" t="s">
        <v>32</v>
      </c>
      <c r="E3248">
        <v>1.48</v>
      </c>
      <c r="F3248">
        <v>10</v>
      </c>
      <c r="G3248" t="s">
        <v>28</v>
      </c>
      <c r="H3248" t="s">
        <v>57</v>
      </c>
      <c r="I3248" s="2">
        <v>17.989999999999998</v>
      </c>
      <c r="J3248">
        <v>0</v>
      </c>
      <c r="K3248" s="2">
        <f t="shared" si="100"/>
        <v>0</v>
      </c>
      <c r="L3248" t="s">
        <v>61</v>
      </c>
      <c r="M3248">
        <v>4</v>
      </c>
      <c r="N3248">
        <v>0.13</v>
      </c>
      <c r="O3248" t="str">
        <f t="shared" si="101"/>
        <v>0–0.2 hours</v>
      </c>
      <c r="P3248" t="s">
        <v>39</v>
      </c>
    </row>
    <row r="3249" spans="1:16" x14ac:dyDescent="0.4">
      <c r="A3249" t="s">
        <v>3290</v>
      </c>
      <c r="B3249">
        <v>37</v>
      </c>
      <c r="C3249" t="s">
        <v>41</v>
      </c>
      <c r="D3249" t="s">
        <v>22</v>
      </c>
      <c r="E3249">
        <v>5.43</v>
      </c>
      <c r="F3249">
        <v>46</v>
      </c>
      <c r="G3249" t="s">
        <v>17</v>
      </c>
      <c r="H3249" t="s">
        <v>18</v>
      </c>
      <c r="I3249" s="2">
        <v>13.99</v>
      </c>
      <c r="J3249">
        <v>0</v>
      </c>
      <c r="K3249" s="2">
        <f t="shared" si="100"/>
        <v>0</v>
      </c>
      <c r="L3249" t="s">
        <v>43</v>
      </c>
      <c r="M3249">
        <v>5</v>
      </c>
      <c r="N3249">
        <v>0.12</v>
      </c>
      <c r="O3249" t="str">
        <f t="shared" si="101"/>
        <v>0–0.2 hours</v>
      </c>
      <c r="P3249" t="s">
        <v>52</v>
      </c>
    </row>
    <row r="3250" spans="1:16" x14ac:dyDescent="0.4">
      <c r="A3250" t="s">
        <v>3291</v>
      </c>
      <c r="B3250">
        <v>60</v>
      </c>
      <c r="C3250" t="s">
        <v>15</v>
      </c>
      <c r="D3250" t="s">
        <v>16</v>
      </c>
      <c r="E3250">
        <v>6.84</v>
      </c>
      <c r="F3250">
        <v>40</v>
      </c>
      <c r="G3250" t="s">
        <v>70</v>
      </c>
      <c r="H3250" t="s">
        <v>57</v>
      </c>
      <c r="I3250" s="2">
        <v>8.99</v>
      </c>
      <c r="J3250">
        <v>1</v>
      </c>
      <c r="K3250" s="2">
        <f t="shared" si="100"/>
        <v>8.99</v>
      </c>
      <c r="L3250" t="s">
        <v>29</v>
      </c>
      <c r="M3250">
        <v>2</v>
      </c>
      <c r="N3250">
        <v>0.17</v>
      </c>
      <c r="O3250" t="str">
        <f t="shared" si="101"/>
        <v>0–0.2 hours</v>
      </c>
      <c r="P3250" t="s">
        <v>25</v>
      </c>
    </row>
    <row r="3251" spans="1:16" x14ac:dyDescent="0.4">
      <c r="A3251" t="s">
        <v>3292</v>
      </c>
      <c r="B3251">
        <v>61</v>
      </c>
      <c r="C3251" t="s">
        <v>27</v>
      </c>
      <c r="D3251" t="s">
        <v>32</v>
      </c>
      <c r="E3251">
        <v>1.3</v>
      </c>
      <c r="F3251">
        <v>44</v>
      </c>
      <c r="G3251" t="s">
        <v>70</v>
      </c>
      <c r="H3251" t="s">
        <v>24</v>
      </c>
      <c r="I3251" s="2">
        <v>17.989999999999998</v>
      </c>
      <c r="J3251">
        <v>1</v>
      </c>
      <c r="K3251" s="2">
        <f t="shared" si="100"/>
        <v>17.989999999999998</v>
      </c>
      <c r="L3251" t="s">
        <v>43</v>
      </c>
      <c r="M3251">
        <v>5</v>
      </c>
      <c r="N3251">
        <v>0.03</v>
      </c>
      <c r="O3251" t="str">
        <f t="shared" si="101"/>
        <v>0–0.2 hours</v>
      </c>
      <c r="P3251" t="s">
        <v>39</v>
      </c>
    </row>
    <row r="3252" spans="1:16" x14ac:dyDescent="0.4">
      <c r="A3252" t="s">
        <v>3293</v>
      </c>
      <c r="B3252">
        <v>59</v>
      </c>
      <c r="C3252" t="s">
        <v>41</v>
      </c>
      <c r="D3252" t="s">
        <v>22</v>
      </c>
      <c r="E3252">
        <v>17.329999999999998</v>
      </c>
      <c r="F3252">
        <v>59</v>
      </c>
      <c r="G3252" t="s">
        <v>33</v>
      </c>
      <c r="H3252" t="s">
        <v>18</v>
      </c>
      <c r="I3252" s="2">
        <v>13.99</v>
      </c>
      <c r="J3252">
        <v>0</v>
      </c>
      <c r="K3252" s="2">
        <f t="shared" si="100"/>
        <v>0</v>
      </c>
      <c r="L3252" t="s">
        <v>37</v>
      </c>
      <c r="M3252">
        <v>5</v>
      </c>
      <c r="N3252">
        <v>0.28999999999999998</v>
      </c>
      <c r="O3252" t="str">
        <f t="shared" si="101"/>
        <v>0.2–0.4 hours</v>
      </c>
      <c r="P3252" t="s">
        <v>47</v>
      </c>
    </row>
    <row r="3253" spans="1:16" x14ac:dyDescent="0.4">
      <c r="A3253" t="s">
        <v>3294</v>
      </c>
      <c r="B3253">
        <v>20</v>
      </c>
      <c r="C3253" t="s">
        <v>41</v>
      </c>
      <c r="D3253" t="s">
        <v>16</v>
      </c>
      <c r="E3253">
        <v>0.61</v>
      </c>
      <c r="F3253">
        <v>3</v>
      </c>
      <c r="G3253" t="s">
        <v>28</v>
      </c>
      <c r="H3253" t="s">
        <v>46</v>
      </c>
      <c r="I3253" s="2">
        <v>8.99</v>
      </c>
      <c r="J3253">
        <v>1</v>
      </c>
      <c r="K3253" s="2">
        <f t="shared" si="100"/>
        <v>8.99</v>
      </c>
      <c r="L3253" t="s">
        <v>43</v>
      </c>
      <c r="M3253">
        <v>3</v>
      </c>
      <c r="N3253">
        <v>0.15</v>
      </c>
      <c r="O3253" t="str">
        <f t="shared" si="101"/>
        <v>0–0.2 hours</v>
      </c>
      <c r="P3253" t="s">
        <v>52</v>
      </c>
    </row>
    <row r="3254" spans="1:16" x14ac:dyDescent="0.4">
      <c r="A3254" t="s">
        <v>3295</v>
      </c>
      <c r="B3254">
        <v>47</v>
      </c>
      <c r="C3254" t="s">
        <v>27</v>
      </c>
      <c r="D3254" t="s">
        <v>32</v>
      </c>
      <c r="E3254">
        <v>2.2000000000000002</v>
      </c>
      <c r="F3254">
        <v>39</v>
      </c>
      <c r="G3254" t="s">
        <v>33</v>
      </c>
      <c r="H3254" t="s">
        <v>18</v>
      </c>
      <c r="I3254" s="2">
        <v>17.989999999999998</v>
      </c>
      <c r="J3254">
        <v>1</v>
      </c>
      <c r="K3254" s="2">
        <f t="shared" si="100"/>
        <v>17.989999999999998</v>
      </c>
      <c r="L3254" t="s">
        <v>37</v>
      </c>
      <c r="M3254">
        <v>2</v>
      </c>
      <c r="N3254">
        <v>0.06</v>
      </c>
      <c r="O3254" t="str">
        <f t="shared" si="101"/>
        <v>0–0.2 hours</v>
      </c>
      <c r="P3254" t="s">
        <v>47</v>
      </c>
    </row>
    <row r="3255" spans="1:16" x14ac:dyDescent="0.4">
      <c r="A3255" t="s">
        <v>3296</v>
      </c>
      <c r="B3255">
        <v>69</v>
      </c>
      <c r="C3255" t="s">
        <v>41</v>
      </c>
      <c r="D3255" t="s">
        <v>16</v>
      </c>
      <c r="E3255">
        <v>5.31</v>
      </c>
      <c r="F3255">
        <v>52</v>
      </c>
      <c r="G3255" t="s">
        <v>49</v>
      </c>
      <c r="H3255" t="s">
        <v>24</v>
      </c>
      <c r="I3255" s="2">
        <v>8.99</v>
      </c>
      <c r="J3255">
        <v>1</v>
      </c>
      <c r="K3255" s="2">
        <f t="shared" si="100"/>
        <v>8.99</v>
      </c>
      <c r="L3255" t="s">
        <v>43</v>
      </c>
      <c r="M3255">
        <v>4</v>
      </c>
      <c r="N3255">
        <v>0.1</v>
      </c>
      <c r="O3255" t="str">
        <f t="shared" si="101"/>
        <v>0–0.2 hours</v>
      </c>
      <c r="P3255" t="s">
        <v>20</v>
      </c>
    </row>
    <row r="3256" spans="1:16" x14ac:dyDescent="0.4">
      <c r="A3256" t="s">
        <v>3297</v>
      </c>
      <c r="B3256">
        <v>65</v>
      </c>
      <c r="C3256" t="s">
        <v>15</v>
      </c>
      <c r="D3256" t="s">
        <v>22</v>
      </c>
      <c r="E3256">
        <v>28.56</v>
      </c>
      <c r="F3256">
        <v>18</v>
      </c>
      <c r="G3256" t="s">
        <v>17</v>
      </c>
      <c r="H3256" t="s">
        <v>46</v>
      </c>
      <c r="I3256" s="2">
        <v>13.99</v>
      </c>
      <c r="J3256">
        <v>0</v>
      </c>
      <c r="K3256" s="2">
        <f t="shared" si="100"/>
        <v>0</v>
      </c>
      <c r="L3256" t="s">
        <v>29</v>
      </c>
      <c r="M3256">
        <v>4</v>
      </c>
      <c r="N3256">
        <v>1.5</v>
      </c>
      <c r="O3256" t="str">
        <f t="shared" si="101"/>
        <v>1+ hours</v>
      </c>
      <c r="P3256" t="s">
        <v>52</v>
      </c>
    </row>
    <row r="3257" spans="1:16" x14ac:dyDescent="0.4">
      <c r="A3257" t="s">
        <v>3298</v>
      </c>
      <c r="B3257">
        <v>58</v>
      </c>
      <c r="C3257" t="s">
        <v>27</v>
      </c>
      <c r="D3257" t="s">
        <v>32</v>
      </c>
      <c r="E3257">
        <v>16.329999999999998</v>
      </c>
      <c r="F3257">
        <v>43</v>
      </c>
      <c r="G3257" t="s">
        <v>23</v>
      </c>
      <c r="H3257" t="s">
        <v>46</v>
      </c>
      <c r="I3257" s="2">
        <v>17.989999999999998</v>
      </c>
      <c r="J3257">
        <v>1</v>
      </c>
      <c r="K3257" s="2">
        <f t="shared" si="100"/>
        <v>17.989999999999998</v>
      </c>
      <c r="L3257" t="s">
        <v>19</v>
      </c>
      <c r="M3257">
        <v>1</v>
      </c>
      <c r="N3257">
        <v>0.37</v>
      </c>
      <c r="O3257" t="str">
        <f t="shared" si="101"/>
        <v>0.2–0.4 hours</v>
      </c>
      <c r="P3257" t="s">
        <v>47</v>
      </c>
    </row>
    <row r="3258" spans="1:16" x14ac:dyDescent="0.4">
      <c r="A3258" t="s">
        <v>3299</v>
      </c>
      <c r="B3258">
        <v>36</v>
      </c>
      <c r="C3258" t="s">
        <v>15</v>
      </c>
      <c r="D3258" t="s">
        <v>16</v>
      </c>
      <c r="E3258">
        <v>5.39</v>
      </c>
      <c r="F3258">
        <v>4</v>
      </c>
      <c r="G3258" t="s">
        <v>28</v>
      </c>
      <c r="H3258" t="s">
        <v>57</v>
      </c>
      <c r="I3258" s="2">
        <v>8.99</v>
      </c>
      <c r="J3258">
        <v>0</v>
      </c>
      <c r="K3258" s="2">
        <f t="shared" si="100"/>
        <v>0</v>
      </c>
      <c r="L3258" t="s">
        <v>37</v>
      </c>
      <c r="M3258">
        <v>2</v>
      </c>
      <c r="N3258">
        <v>1.08</v>
      </c>
      <c r="O3258" t="str">
        <f t="shared" si="101"/>
        <v>1+ hours</v>
      </c>
      <c r="P3258" t="s">
        <v>30</v>
      </c>
    </row>
    <row r="3259" spans="1:16" x14ac:dyDescent="0.4">
      <c r="A3259" t="s">
        <v>3300</v>
      </c>
      <c r="B3259">
        <v>32</v>
      </c>
      <c r="C3259" t="s">
        <v>15</v>
      </c>
      <c r="D3259" t="s">
        <v>32</v>
      </c>
      <c r="E3259">
        <v>9.15</v>
      </c>
      <c r="F3259">
        <v>58</v>
      </c>
      <c r="G3259" t="s">
        <v>23</v>
      </c>
      <c r="H3259" t="s">
        <v>57</v>
      </c>
      <c r="I3259" s="2">
        <v>17.989999999999998</v>
      </c>
      <c r="J3259">
        <v>1</v>
      </c>
      <c r="K3259" s="2">
        <f t="shared" si="100"/>
        <v>17.989999999999998</v>
      </c>
      <c r="L3259" t="s">
        <v>61</v>
      </c>
      <c r="M3259">
        <v>2</v>
      </c>
      <c r="N3259">
        <v>0.16</v>
      </c>
      <c r="O3259" t="str">
        <f t="shared" si="101"/>
        <v>0–0.2 hours</v>
      </c>
      <c r="P3259" t="s">
        <v>39</v>
      </c>
    </row>
    <row r="3260" spans="1:16" x14ac:dyDescent="0.4">
      <c r="A3260" t="s">
        <v>3301</v>
      </c>
      <c r="B3260">
        <v>63</v>
      </c>
      <c r="C3260" t="s">
        <v>15</v>
      </c>
      <c r="D3260" t="s">
        <v>22</v>
      </c>
      <c r="E3260">
        <v>1.77</v>
      </c>
      <c r="F3260">
        <v>56</v>
      </c>
      <c r="G3260" t="s">
        <v>70</v>
      </c>
      <c r="H3260" t="s">
        <v>24</v>
      </c>
      <c r="I3260" s="2">
        <v>13.99</v>
      </c>
      <c r="J3260">
        <v>1</v>
      </c>
      <c r="K3260" s="2">
        <f t="shared" si="100"/>
        <v>13.99</v>
      </c>
      <c r="L3260" t="s">
        <v>37</v>
      </c>
      <c r="M3260">
        <v>5</v>
      </c>
      <c r="N3260">
        <v>0.03</v>
      </c>
      <c r="O3260" t="str">
        <f t="shared" si="101"/>
        <v>0–0.2 hours</v>
      </c>
      <c r="P3260" t="s">
        <v>34</v>
      </c>
    </row>
    <row r="3261" spans="1:16" x14ac:dyDescent="0.4">
      <c r="A3261" t="s">
        <v>3302</v>
      </c>
      <c r="B3261">
        <v>67</v>
      </c>
      <c r="C3261" t="s">
        <v>15</v>
      </c>
      <c r="D3261" t="s">
        <v>16</v>
      </c>
      <c r="E3261">
        <v>25.25</v>
      </c>
      <c r="F3261">
        <v>25</v>
      </c>
      <c r="G3261" t="s">
        <v>28</v>
      </c>
      <c r="H3261" t="s">
        <v>18</v>
      </c>
      <c r="I3261" s="2">
        <v>8.99</v>
      </c>
      <c r="J3261">
        <v>0</v>
      </c>
      <c r="K3261" s="2">
        <f t="shared" si="100"/>
        <v>0</v>
      </c>
      <c r="L3261" t="s">
        <v>37</v>
      </c>
      <c r="M3261">
        <v>3</v>
      </c>
      <c r="N3261">
        <v>0.97</v>
      </c>
      <c r="O3261" t="str">
        <f t="shared" si="101"/>
        <v>0.8–1 hour</v>
      </c>
      <c r="P3261" t="s">
        <v>47</v>
      </c>
    </row>
    <row r="3262" spans="1:16" x14ac:dyDescent="0.4">
      <c r="A3262" t="s">
        <v>3303</v>
      </c>
      <c r="B3262">
        <v>43</v>
      </c>
      <c r="C3262" t="s">
        <v>27</v>
      </c>
      <c r="D3262" t="s">
        <v>16</v>
      </c>
      <c r="E3262">
        <v>15.64</v>
      </c>
      <c r="F3262">
        <v>8</v>
      </c>
      <c r="G3262" t="s">
        <v>33</v>
      </c>
      <c r="H3262" t="s">
        <v>24</v>
      </c>
      <c r="I3262" s="2">
        <v>8.99</v>
      </c>
      <c r="J3262">
        <v>0</v>
      </c>
      <c r="K3262" s="2">
        <f t="shared" si="100"/>
        <v>0</v>
      </c>
      <c r="L3262" t="s">
        <v>37</v>
      </c>
      <c r="M3262">
        <v>1</v>
      </c>
      <c r="N3262">
        <v>1.74</v>
      </c>
      <c r="O3262" t="str">
        <f t="shared" si="101"/>
        <v>1+ hours</v>
      </c>
      <c r="P3262" t="s">
        <v>20</v>
      </c>
    </row>
    <row r="3263" spans="1:16" x14ac:dyDescent="0.4">
      <c r="A3263" t="s">
        <v>3304</v>
      </c>
      <c r="B3263">
        <v>52</v>
      </c>
      <c r="C3263" t="s">
        <v>15</v>
      </c>
      <c r="D3263" t="s">
        <v>16</v>
      </c>
      <c r="E3263">
        <v>5.56</v>
      </c>
      <c r="F3263">
        <v>48</v>
      </c>
      <c r="G3263" t="s">
        <v>17</v>
      </c>
      <c r="H3263" t="s">
        <v>55</v>
      </c>
      <c r="I3263" s="2">
        <v>8.99</v>
      </c>
      <c r="J3263">
        <v>1</v>
      </c>
      <c r="K3263" s="2">
        <f t="shared" si="100"/>
        <v>8.99</v>
      </c>
      <c r="L3263" t="s">
        <v>43</v>
      </c>
      <c r="M3263">
        <v>1</v>
      </c>
      <c r="N3263">
        <v>0.11</v>
      </c>
      <c r="O3263" t="str">
        <f t="shared" si="101"/>
        <v>0–0.2 hours</v>
      </c>
      <c r="P3263" t="s">
        <v>39</v>
      </c>
    </row>
    <row r="3264" spans="1:16" x14ac:dyDescent="0.4">
      <c r="A3264" t="s">
        <v>3305</v>
      </c>
      <c r="B3264">
        <v>57</v>
      </c>
      <c r="C3264" t="s">
        <v>15</v>
      </c>
      <c r="D3264" t="s">
        <v>22</v>
      </c>
      <c r="E3264">
        <v>35.520000000000003</v>
      </c>
      <c r="F3264">
        <v>12</v>
      </c>
      <c r="G3264" t="s">
        <v>33</v>
      </c>
      <c r="H3264" t="s">
        <v>24</v>
      </c>
      <c r="I3264" s="2">
        <v>13.99</v>
      </c>
      <c r="J3264">
        <v>0</v>
      </c>
      <c r="K3264" s="2">
        <f t="shared" si="100"/>
        <v>0</v>
      </c>
      <c r="L3264" t="s">
        <v>37</v>
      </c>
      <c r="M3264">
        <v>4</v>
      </c>
      <c r="N3264">
        <v>2.73</v>
      </c>
      <c r="O3264" t="str">
        <f t="shared" si="101"/>
        <v>1+ hours</v>
      </c>
      <c r="P3264" t="s">
        <v>47</v>
      </c>
    </row>
    <row r="3265" spans="1:16" x14ac:dyDescent="0.4">
      <c r="A3265" t="s">
        <v>3306</v>
      </c>
      <c r="B3265">
        <v>21</v>
      </c>
      <c r="C3265" t="s">
        <v>15</v>
      </c>
      <c r="D3265" t="s">
        <v>32</v>
      </c>
      <c r="E3265">
        <v>6.27</v>
      </c>
      <c r="F3265">
        <v>53</v>
      </c>
      <c r="G3265" t="s">
        <v>70</v>
      </c>
      <c r="H3265" t="s">
        <v>55</v>
      </c>
      <c r="I3265" s="2">
        <v>17.989999999999998</v>
      </c>
      <c r="J3265">
        <v>1</v>
      </c>
      <c r="K3265" s="2">
        <f t="shared" si="100"/>
        <v>17.989999999999998</v>
      </c>
      <c r="L3265" t="s">
        <v>29</v>
      </c>
      <c r="M3265">
        <v>5</v>
      </c>
      <c r="N3265">
        <v>0.12</v>
      </c>
      <c r="O3265" t="str">
        <f t="shared" si="101"/>
        <v>0–0.2 hours</v>
      </c>
      <c r="P3265" t="s">
        <v>39</v>
      </c>
    </row>
    <row r="3266" spans="1:16" x14ac:dyDescent="0.4">
      <c r="A3266" t="s">
        <v>3307</v>
      </c>
      <c r="B3266">
        <v>56</v>
      </c>
      <c r="C3266" t="s">
        <v>15</v>
      </c>
      <c r="D3266" t="s">
        <v>32</v>
      </c>
      <c r="E3266">
        <v>9.9600000000000009</v>
      </c>
      <c r="F3266">
        <v>51</v>
      </c>
      <c r="G3266" t="s">
        <v>33</v>
      </c>
      <c r="H3266" t="s">
        <v>57</v>
      </c>
      <c r="I3266" s="2">
        <v>17.989999999999998</v>
      </c>
      <c r="J3266">
        <v>1</v>
      </c>
      <c r="K3266" s="2">
        <f t="shared" si="100"/>
        <v>17.989999999999998</v>
      </c>
      <c r="L3266" t="s">
        <v>19</v>
      </c>
      <c r="M3266">
        <v>3</v>
      </c>
      <c r="N3266">
        <v>0.19</v>
      </c>
      <c r="O3266" t="str">
        <f t="shared" si="101"/>
        <v>0–0.2 hours</v>
      </c>
      <c r="P3266" t="s">
        <v>30</v>
      </c>
    </row>
    <row r="3267" spans="1:16" x14ac:dyDescent="0.4">
      <c r="A3267" t="s">
        <v>3308</v>
      </c>
      <c r="B3267">
        <v>64</v>
      </c>
      <c r="C3267" t="s">
        <v>27</v>
      </c>
      <c r="D3267" t="s">
        <v>22</v>
      </c>
      <c r="E3267">
        <v>0.02</v>
      </c>
      <c r="F3267">
        <v>36</v>
      </c>
      <c r="G3267" t="s">
        <v>49</v>
      </c>
      <c r="H3267" t="s">
        <v>18</v>
      </c>
      <c r="I3267" s="2">
        <v>13.99</v>
      </c>
      <c r="J3267">
        <v>1</v>
      </c>
      <c r="K3267" s="2">
        <f t="shared" ref="K3267:K3330" si="102">SUMIF(J3267,1,I3267)</f>
        <v>13.99</v>
      </c>
      <c r="L3267" t="s">
        <v>19</v>
      </c>
      <c r="M3267">
        <v>3</v>
      </c>
      <c r="N3267">
        <v>0</v>
      </c>
      <c r="O3267" t="str">
        <f t="shared" ref="O3267:O3330" si="103">IF(N3267&gt;1,"1+ hours",IF(N3267&lt;=0.2,"0–0.2 hours",IF(N3267&lt;=0.4,"0.2–0.4 hours",IF(N3267&lt;=0.6,"0.4–0.6 hours",IF(N3267&lt;=0.8,"0.6–0.8 hours","0.8–1 hour")))))</f>
        <v>0–0.2 hours</v>
      </c>
      <c r="P3267" t="s">
        <v>52</v>
      </c>
    </row>
    <row r="3268" spans="1:16" x14ac:dyDescent="0.4">
      <c r="A3268" s="1" t="s">
        <v>3309</v>
      </c>
      <c r="B3268">
        <v>54</v>
      </c>
      <c r="C3268" t="s">
        <v>41</v>
      </c>
      <c r="D3268" t="s">
        <v>16</v>
      </c>
      <c r="E3268">
        <v>20</v>
      </c>
      <c r="F3268">
        <v>45</v>
      </c>
      <c r="G3268" t="s">
        <v>23</v>
      </c>
      <c r="H3268" t="s">
        <v>55</v>
      </c>
      <c r="I3268" s="2">
        <v>8.99</v>
      </c>
      <c r="J3268">
        <v>1</v>
      </c>
      <c r="K3268" s="2">
        <f t="shared" si="102"/>
        <v>8.99</v>
      </c>
      <c r="L3268" t="s">
        <v>61</v>
      </c>
      <c r="M3268">
        <v>2</v>
      </c>
      <c r="N3268">
        <v>0.43</v>
      </c>
      <c r="O3268" t="str">
        <f t="shared" si="103"/>
        <v>0.4–0.6 hours</v>
      </c>
      <c r="P3268" t="s">
        <v>39</v>
      </c>
    </row>
    <row r="3269" spans="1:16" x14ac:dyDescent="0.4">
      <c r="A3269" t="s">
        <v>3310</v>
      </c>
      <c r="B3269">
        <v>62</v>
      </c>
      <c r="C3269" t="s">
        <v>27</v>
      </c>
      <c r="D3269" t="s">
        <v>32</v>
      </c>
      <c r="E3269">
        <v>3.99</v>
      </c>
      <c r="F3269">
        <v>25</v>
      </c>
      <c r="G3269" t="s">
        <v>49</v>
      </c>
      <c r="H3269" t="s">
        <v>18</v>
      </c>
      <c r="I3269" s="2">
        <v>17.989999999999998</v>
      </c>
      <c r="J3269">
        <v>1</v>
      </c>
      <c r="K3269" s="2">
        <f t="shared" si="102"/>
        <v>17.989999999999998</v>
      </c>
      <c r="L3269" t="s">
        <v>29</v>
      </c>
      <c r="M3269">
        <v>5</v>
      </c>
      <c r="N3269">
        <v>0.15</v>
      </c>
      <c r="O3269" t="str">
        <f t="shared" si="103"/>
        <v>0–0.2 hours</v>
      </c>
      <c r="P3269" t="s">
        <v>52</v>
      </c>
    </row>
    <row r="3270" spans="1:16" x14ac:dyDescent="0.4">
      <c r="A3270" t="s">
        <v>3311</v>
      </c>
      <c r="B3270">
        <v>63</v>
      </c>
      <c r="C3270" t="s">
        <v>41</v>
      </c>
      <c r="D3270" t="s">
        <v>22</v>
      </c>
      <c r="E3270">
        <v>2.31</v>
      </c>
      <c r="F3270">
        <v>29</v>
      </c>
      <c r="G3270" t="s">
        <v>33</v>
      </c>
      <c r="H3270" t="s">
        <v>46</v>
      </c>
      <c r="I3270" s="2">
        <v>13.99</v>
      </c>
      <c r="J3270">
        <v>1</v>
      </c>
      <c r="K3270" s="2">
        <f t="shared" si="102"/>
        <v>13.99</v>
      </c>
      <c r="L3270" t="s">
        <v>19</v>
      </c>
      <c r="M3270">
        <v>2</v>
      </c>
      <c r="N3270">
        <v>0.08</v>
      </c>
      <c r="O3270" t="str">
        <f t="shared" si="103"/>
        <v>0–0.2 hours</v>
      </c>
      <c r="P3270" t="s">
        <v>39</v>
      </c>
    </row>
    <row r="3271" spans="1:16" x14ac:dyDescent="0.4">
      <c r="A3271" t="s">
        <v>3312</v>
      </c>
      <c r="B3271">
        <v>69</v>
      </c>
      <c r="C3271" t="s">
        <v>27</v>
      </c>
      <c r="D3271" t="s">
        <v>22</v>
      </c>
      <c r="E3271">
        <v>10.33</v>
      </c>
      <c r="F3271">
        <v>42</v>
      </c>
      <c r="G3271" t="s">
        <v>23</v>
      </c>
      <c r="H3271" t="s">
        <v>57</v>
      </c>
      <c r="I3271" s="2">
        <v>13.99</v>
      </c>
      <c r="J3271">
        <v>1</v>
      </c>
      <c r="K3271" s="2">
        <f t="shared" si="102"/>
        <v>13.99</v>
      </c>
      <c r="L3271" t="s">
        <v>37</v>
      </c>
      <c r="M3271">
        <v>3</v>
      </c>
      <c r="N3271">
        <v>0.24</v>
      </c>
      <c r="O3271" t="str">
        <f t="shared" si="103"/>
        <v>0.2–0.4 hours</v>
      </c>
      <c r="P3271" t="s">
        <v>20</v>
      </c>
    </row>
    <row r="3272" spans="1:16" x14ac:dyDescent="0.4">
      <c r="A3272" t="s">
        <v>3313</v>
      </c>
      <c r="B3272">
        <v>38</v>
      </c>
      <c r="C3272" t="s">
        <v>15</v>
      </c>
      <c r="D3272" t="s">
        <v>32</v>
      </c>
      <c r="E3272">
        <v>0.55000000000000004</v>
      </c>
      <c r="F3272">
        <v>3</v>
      </c>
      <c r="G3272" t="s">
        <v>17</v>
      </c>
      <c r="H3272" t="s">
        <v>55</v>
      </c>
      <c r="I3272" s="2">
        <v>17.989999999999998</v>
      </c>
      <c r="J3272">
        <v>1</v>
      </c>
      <c r="K3272" s="2">
        <f t="shared" si="102"/>
        <v>17.989999999999998</v>
      </c>
      <c r="L3272" t="s">
        <v>37</v>
      </c>
      <c r="M3272">
        <v>1</v>
      </c>
      <c r="N3272">
        <v>0.14000000000000001</v>
      </c>
      <c r="O3272" t="str">
        <f t="shared" si="103"/>
        <v>0–0.2 hours</v>
      </c>
      <c r="P3272" t="s">
        <v>52</v>
      </c>
    </row>
    <row r="3273" spans="1:16" x14ac:dyDescent="0.4">
      <c r="A3273" t="s">
        <v>3314</v>
      </c>
      <c r="B3273">
        <v>69</v>
      </c>
      <c r="C3273" t="s">
        <v>27</v>
      </c>
      <c r="D3273" t="s">
        <v>22</v>
      </c>
      <c r="E3273">
        <v>9.14</v>
      </c>
      <c r="F3273">
        <v>48</v>
      </c>
      <c r="G3273" t="s">
        <v>49</v>
      </c>
      <c r="H3273" t="s">
        <v>46</v>
      </c>
      <c r="I3273" s="2">
        <v>13.99</v>
      </c>
      <c r="J3273">
        <v>0</v>
      </c>
      <c r="K3273" s="2">
        <f t="shared" si="102"/>
        <v>0</v>
      </c>
      <c r="L3273" t="s">
        <v>37</v>
      </c>
      <c r="M3273">
        <v>5</v>
      </c>
      <c r="N3273">
        <v>0.19</v>
      </c>
      <c r="O3273" t="str">
        <f t="shared" si="103"/>
        <v>0–0.2 hours</v>
      </c>
      <c r="P3273" t="s">
        <v>20</v>
      </c>
    </row>
    <row r="3274" spans="1:16" x14ac:dyDescent="0.4">
      <c r="A3274" t="s">
        <v>3315</v>
      </c>
      <c r="B3274">
        <v>18</v>
      </c>
      <c r="C3274" t="s">
        <v>27</v>
      </c>
      <c r="D3274" t="s">
        <v>16</v>
      </c>
      <c r="E3274">
        <v>4.37</v>
      </c>
      <c r="F3274">
        <v>46</v>
      </c>
      <c r="G3274" t="s">
        <v>23</v>
      </c>
      <c r="H3274" t="s">
        <v>18</v>
      </c>
      <c r="I3274" s="2">
        <v>8.99</v>
      </c>
      <c r="J3274">
        <v>1</v>
      </c>
      <c r="K3274" s="2">
        <f t="shared" si="102"/>
        <v>8.99</v>
      </c>
      <c r="L3274" t="s">
        <v>43</v>
      </c>
      <c r="M3274">
        <v>1</v>
      </c>
      <c r="N3274">
        <v>0.09</v>
      </c>
      <c r="O3274" t="str">
        <f t="shared" si="103"/>
        <v>0–0.2 hours</v>
      </c>
      <c r="P3274" t="s">
        <v>20</v>
      </c>
    </row>
    <row r="3275" spans="1:16" x14ac:dyDescent="0.4">
      <c r="A3275" t="s">
        <v>3316</v>
      </c>
      <c r="B3275">
        <v>26</v>
      </c>
      <c r="C3275" t="s">
        <v>41</v>
      </c>
      <c r="D3275" t="s">
        <v>22</v>
      </c>
      <c r="E3275">
        <v>10.42</v>
      </c>
      <c r="F3275">
        <v>28</v>
      </c>
      <c r="G3275" t="s">
        <v>49</v>
      </c>
      <c r="H3275" t="s">
        <v>46</v>
      </c>
      <c r="I3275" s="2">
        <v>13.99</v>
      </c>
      <c r="J3275">
        <v>0</v>
      </c>
      <c r="K3275" s="2">
        <f t="shared" si="102"/>
        <v>0</v>
      </c>
      <c r="L3275" t="s">
        <v>29</v>
      </c>
      <c r="M3275">
        <v>1</v>
      </c>
      <c r="N3275">
        <v>0.36</v>
      </c>
      <c r="O3275" t="str">
        <f t="shared" si="103"/>
        <v>0.2–0.4 hours</v>
      </c>
      <c r="P3275" t="s">
        <v>47</v>
      </c>
    </row>
    <row r="3276" spans="1:16" x14ac:dyDescent="0.4">
      <c r="A3276" t="s">
        <v>3317</v>
      </c>
      <c r="B3276">
        <v>44</v>
      </c>
      <c r="C3276" t="s">
        <v>27</v>
      </c>
      <c r="D3276" t="s">
        <v>22</v>
      </c>
      <c r="E3276">
        <v>3.08</v>
      </c>
      <c r="F3276">
        <v>58</v>
      </c>
      <c r="G3276" t="s">
        <v>28</v>
      </c>
      <c r="H3276" t="s">
        <v>18</v>
      </c>
      <c r="I3276" s="2">
        <v>13.99</v>
      </c>
      <c r="J3276">
        <v>1</v>
      </c>
      <c r="K3276" s="2">
        <f t="shared" si="102"/>
        <v>13.99</v>
      </c>
      <c r="L3276" t="s">
        <v>43</v>
      </c>
      <c r="M3276">
        <v>1</v>
      </c>
      <c r="N3276">
        <v>0.05</v>
      </c>
      <c r="O3276" t="str">
        <f t="shared" si="103"/>
        <v>0–0.2 hours</v>
      </c>
      <c r="P3276" t="s">
        <v>39</v>
      </c>
    </row>
    <row r="3277" spans="1:16" x14ac:dyDescent="0.4">
      <c r="A3277" t="s">
        <v>3318</v>
      </c>
      <c r="B3277">
        <v>43</v>
      </c>
      <c r="C3277" t="s">
        <v>27</v>
      </c>
      <c r="D3277" t="s">
        <v>22</v>
      </c>
      <c r="E3277">
        <v>1.86</v>
      </c>
      <c r="F3277">
        <v>52</v>
      </c>
      <c r="G3277" t="s">
        <v>28</v>
      </c>
      <c r="H3277" t="s">
        <v>57</v>
      </c>
      <c r="I3277" s="2">
        <v>13.99</v>
      </c>
      <c r="J3277">
        <v>1</v>
      </c>
      <c r="K3277" s="2">
        <f t="shared" si="102"/>
        <v>13.99</v>
      </c>
      <c r="L3277" t="s">
        <v>19</v>
      </c>
      <c r="M3277">
        <v>3</v>
      </c>
      <c r="N3277">
        <v>0.04</v>
      </c>
      <c r="O3277" t="str">
        <f t="shared" si="103"/>
        <v>0–0.2 hours</v>
      </c>
      <c r="P3277" t="s">
        <v>47</v>
      </c>
    </row>
    <row r="3278" spans="1:16" x14ac:dyDescent="0.4">
      <c r="A3278" t="s">
        <v>3319</v>
      </c>
      <c r="B3278">
        <v>39</v>
      </c>
      <c r="C3278" t="s">
        <v>27</v>
      </c>
      <c r="D3278" t="s">
        <v>22</v>
      </c>
      <c r="E3278">
        <v>6.5</v>
      </c>
      <c r="F3278">
        <v>12</v>
      </c>
      <c r="G3278" t="s">
        <v>28</v>
      </c>
      <c r="H3278" t="s">
        <v>57</v>
      </c>
      <c r="I3278" s="2">
        <v>13.99</v>
      </c>
      <c r="J3278">
        <v>0</v>
      </c>
      <c r="K3278" s="2">
        <f t="shared" si="102"/>
        <v>0</v>
      </c>
      <c r="L3278" t="s">
        <v>29</v>
      </c>
      <c r="M3278">
        <v>4</v>
      </c>
      <c r="N3278">
        <v>0.5</v>
      </c>
      <c r="O3278" t="str">
        <f t="shared" si="103"/>
        <v>0.4–0.6 hours</v>
      </c>
      <c r="P3278" t="s">
        <v>25</v>
      </c>
    </row>
    <row r="3279" spans="1:16" x14ac:dyDescent="0.4">
      <c r="A3279" t="s">
        <v>3320</v>
      </c>
      <c r="B3279">
        <v>70</v>
      </c>
      <c r="C3279" t="s">
        <v>15</v>
      </c>
      <c r="D3279" t="s">
        <v>16</v>
      </c>
      <c r="E3279">
        <v>9.65</v>
      </c>
      <c r="F3279">
        <v>12</v>
      </c>
      <c r="G3279" t="s">
        <v>70</v>
      </c>
      <c r="H3279" t="s">
        <v>55</v>
      </c>
      <c r="I3279" s="2">
        <v>8.99</v>
      </c>
      <c r="J3279">
        <v>0</v>
      </c>
      <c r="K3279" s="2">
        <f t="shared" si="102"/>
        <v>0</v>
      </c>
      <c r="L3279" t="s">
        <v>29</v>
      </c>
      <c r="M3279">
        <v>5</v>
      </c>
      <c r="N3279">
        <v>0.74</v>
      </c>
      <c r="O3279" t="str">
        <f t="shared" si="103"/>
        <v>0.6–0.8 hours</v>
      </c>
      <c r="P3279" t="s">
        <v>52</v>
      </c>
    </row>
    <row r="3280" spans="1:16" x14ac:dyDescent="0.4">
      <c r="A3280" t="s">
        <v>3321</v>
      </c>
      <c r="B3280">
        <v>19</v>
      </c>
      <c r="C3280" t="s">
        <v>27</v>
      </c>
      <c r="D3280" t="s">
        <v>32</v>
      </c>
      <c r="E3280">
        <v>0.1</v>
      </c>
      <c r="F3280">
        <v>24</v>
      </c>
      <c r="G3280" t="s">
        <v>17</v>
      </c>
      <c r="H3280" t="s">
        <v>24</v>
      </c>
      <c r="I3280" s="2">
        <v>17.989999999999998</v>
      </c>
      <c r="J3280">
        <v>0</v>
      </c>
      <c r="K3280" s="2">
        <f t="shared" si="102"/>
        <v>0</v>
      </c>
      <c r="L3280" t="s">
        <v>37</v>
      </c>
      <c r="M3280">
        <v>5</v>
      </c>
      <c r="N3280">
        <v>0</v>
      </c>
      <c r="O3280" t="str">
        <f t="shared" si="103"/>
        <v>0–0.2 hours</v>
      </c>
      <c r="P3280" t="s">
        <v>25</v>
      </c>
    </row>
    <row r="3281" spans="1:16" x14ac:dyDescent="0.4">
      <c r="A3281" t="s">
        <v>3322</v>
      </c>
      <c r="B3281">
        <v>23</v>
      </c>
      <c r="C3281" t="s">
        <v>15</v>
      </c>
      <c r="D3281" t="s">
        <v>32</v>
      </c>
      <c r="E3281">
        <v>33.47</v>
      </c>
      <c r="F3281">
        <v>29</v>
      </c>
      <c r="G3281" t="s">
        <v>23</v>
      </c>
      <c r="H3281" t="s">
        <v>46</v>
      </c>
      <c r="I3281" s="2">
        <v>17.989999999999998</v>
      </c>
      <c r="J3281">
        <v>0</v>
      </c>
      <c r="K3281" s="2">
        <f t="shared" si="102"/>
        <v>0</v>
      </c>
      <c r="L3281" t="s">
        <v>43</v>
      </c>
      <c r="M3281">
        <v>3</v>
      </c>
      <c r="N3281">
        <v>1.1200000000000001</v>
      </c>
      <c r="O3281" t="str">
        <f t="shared" si="103"/>
        <v>1+ hours</v>
      </c>
      <c r="P3281" t="s">
        <v>39</v>
      </c>
    </row>
    <row r="3282" spans="1:16" x14ac:dyDescent="0.4">
      <c r="A3282" t="s">
        <v>3323</v>
      </c>
      <c r="B3282">
        <v>39</v>
      </c>
      <c r="C3282" t="s">
        <v>27</v>
      </c>
      <c r="D3282" t="s">
        <v>32</v>
      </c>
      <c r="E3282">
        <v>4.67</v>
      </c>
      <c r="F3282">
        <v>9</v>
      </c>
      <c r="G3282" t="s">
        <v>33</v>
      </c>
      <c r="H3282" t="s">
        <v>18</v>
      </c>
      <c r="I3282" s="2">
        <v>17.989999999999998</v>
      </c>
      <c r="J3282">
        <v>1</v>
      </c>
      <c r="K3282" s="2">
        <f t="shared" si="102"/>
        <v>17.989999999999998</v>
      </c>
      <c r="L3282" t="s">
        <v>29</v>
      </c>
      <c r="M3282">
        <v>3</v>
      </c>
      <c r="N3282">
        <v>0.47</v>
      </c>
      <c r="O3282" t="str">
        <f t="shared" si="103"/>
        <v>0.4–0.6 hours</v>
      </c>
      <c r="P3282" t="s">
        <v>25</v>
      </c>
    </row>
    <row r="3283" spans="1:16" x14ac:dyDescent="0.4">
      <c r="A3283" t="s">
        <v>3324</v>
      </c>
      <c r="B3283">
        <v>19</v>
      </c>
      <c r="C3283" t="s">
        <v>27</v>
      </c>
      <c r="D3283" t="s">
        <v>32</v>
      </c>
      <c r="E3283">
        <v>1.73</v>
      </c>
      <c r="F3283">
        <v>22</v>
      </c>
      <c r="G3283" t="s">
        <v>33</v>
      </c>
      <c r="H3283" t="s">
        <v>46</v>
      </c>
      <c r="I3283" s="2">
        <v>17.989999999999998</v>
      </c>
      <c r="J3283">
        <v>1</v>
      </c>
      <c r="K3283" s="2">
        <f t="shared" si="102"/>
        <v>17.989999999999998</v>
      </c>
      <c r="L3283" t="s">
        <v>61</v>
      </c>
      <c r="M3283">
        <v>3</v>
      </c>
      <c r="N3283">
        <v>0.08</v>
      </c>
      <c r="O3283" t="str">
        <f t="shared" si="103"/>
        <v>0–0.2 hours</v>
      </c>
      <c r="P3283" t="s">
        <v>25</v>
      </c>
    </row>
    <row r="3284" spans="1:16" x14ac:dyDescent="0.4">
      <c r="A3284" t="s">
        <v>3325</v>
      </c>
      <c r="B3284">
        <v>30</v>
      </c>
      <c r="C3284" t="s">
        <v>41</v>
      </c>
      <c r="D3284" t="s">
        <v>16</v>
      </c>
      <c r="E3284">
        <v>0.25</v>
      </c>
      <c r="F3284">
        <v>29</v>
      </c>
      <c r="G3284" t="s">
        <v>23</v>
      </c>
      <c r="H3284" t="s">
        <v>57</v>
      </c>
      <c r="I3284" s="2">
        <v>8.99</v>
      </c>
      <c r="J3284">
        <v>1</v>
      </c>
      <c r="K3284" s="2">
        <f t="shared" si="102"/>
        <v>8.99</v>
      </c>
      <c r="L3284" t="s">
        <v>19</v>
      </c>
      <c r="M3284">
        <v>2</v>
      </c>
      <c r="N3284">
        <v>0.01</v>
      </c>
      <c r="O3284" t="str">
        <f t="shared" si="103"/>
        <v>0–0.2 hours</v>
      </c>
      <c r="P3284" t="s">
        <v>47</v>
      </c>
    </row>
    <row r="3285" spans="1:16" x14ac:dyDescent="0.4">
      <c r="A3285" t="s">
        <v>3326</v>
      </c>
      <c r="B3285">
        <v>22</v>
      </c>
      <c r="C3285" t="s">
        <v>15</v>
      </c>
      <c r="D3285" t="s">
        <v>32</v>
      </c>
      <c r="E3285">
        <v>17.649999999999999</v>
      </c>
      <c r="F3285">
        <v>9</v>
      </c>
      <c r="G3285" t="s">
        <v>17</v>
      </c>
      <c r="H3285" t="s">
        <v>18</v>
      </c>
      <c r="I3285" s="2">
        <v>17.989999999999998</v>
      </c>
      <c r="J3285">
        <v>0</v>
      </c>
      <c r="K3285" s="2">
        <f t="shared" si="102"/>
        <v>0</v>
      </c>
      <c r="L3285" t="s">
        <v>43</v>
      </c>
      <c r="M3285">
        <v>2</v>
      </c>
      <c r="N3285">
        <v>1.76</v>
      </c>
      <c r="O3285" t="str">
        <f t="shared" si="103"/>
        <v>1+ hours</v>
      </c>
      <c r="P3285" t="s">
        <v>30</v>
      </c>
    </row>
    <row r="3286" spans="1:16" x14ac:dyDescent="0.4">
      <c r="A3286" t="s">
        <v>3327</v>
      </c>
      <c r="B3286">
        <v>56</v>
      </c>
      <c r="C3286" t="s">
        <v>41</v>
      </c>
      <c r="D3286" t="s">
        <v>22</v>
      </c>
      <c r="E3286">
        <v>0.49</v>
      </c>
      <c r="F3286">
        <v>44</v>
      </c>
      <c r="G3286" t="s">
        <v>23</v>
      </c>
      <c r="H3286" t="s">
        <v>18</v>
      </c>
      <c r="I3286" s="2">
        <v>13.99</v>
      </c>
      <c r="J3286">
        <v>1</v>
      </c>
      <c r="K3286" s="2">
        <f t="shared" si="102"/>
        <v>13.99</v>
      </c>
      <c r="L3286" t="s">
        <v>19</v>
      </c>
      <c r="M3286">
        <v>3</v>
      </c>
      <c r="N3286">
        <v>0.01</v>
      </c>
      <c r="O3286" t="str">
        <f t="shared" si="103"/>
        <v>0–0.2 hours</v>
      </c>
      <c r="P3286" t="s">
        <v>39</v>
      </c>
    </row>
    <row r="3287" spans="1:16" x14ac:dyDescent="0.4">
      <c r="A3287" t="s">
        <v>3328</v>
      </c>
      <c r="B3287">
        <v>61</v>
      </c>
      <c r="C3287" t="s">
        <v>41</v>
      </c>
      <c r="D3287" t="s">
        <v>22</v>
      </c>
      <c r="E3287">
        <v>83.55</v>
      </c>
      <c r="F3287">
        <v>25</v>
      </c>
      <c r="G3287" t="s">
        <v>49</v>
      </c>
      <c r="H3287" t="s">
        <v>55</v>
      </c>
      <c r="I3287" s="2">
        <v>13.99</v>
      </c>
      <c r="J3287">
        <v>0</v>
      </c>
      <c r="K3287" s="2">
        <f t="shared" si="102"/>
        <v>0</v>
      </c>
      <c r="L3287" t="s">
        <v>37</v>
      </c>
      <c r="M3287">
        <v>5</v>
      </c>
      <c r="N3287">
        <v>3.21</v>
      </c>
      <c r="O3287" t="str">
        <f t="shared" si="103"/>
        <v>1+ hours</v>
      </c>
      <c r="P3287" t="s">
        <v>39</v>
      </c>
    </row>
    <row r="3288" spans="1:16" x14ac:dyDescent="0.4">
      <c r="A3288" t="s">
        <v>3329</v>
      </c>
      <c r="B3288">
        <v>24</v>
      </c>
      <c r="C3288" t="s">
        <v>15</v>
      </c>
      <c r="D3288" t="s">
        <v>16</v>
      </c>
      <c r="E3288">
        <v>1.25</v>
      </c>
      <c r="F3288">
        <v>27</v>
      </c>
      <c r="G3288" t="s">
        <v>49</v>
      </c>
      <c r="H3288" t="s">
        <v>55</v>
      </c>
      <c r="I3288" s="2">
        <v>8.99</v>
      </c>
      <c r="J3288">
        <v>1</v>
      </c>
      <c r="K3288" s="2">
        <f t="shared" si="102"/>
        <v>8.99</v>
      </c>
      <c r="L3288" t="s">
        <v>61</v>
      </c>
      <c r="M3288">
        <v>2</v>
      </c>
      <c r="N3288">
        <v>0.04</v>
      </c>
      <c r="O3288" t="str">
        <f t="shared" si="103"/>
        <v>0–0.2 hours</v>
      </c>
      <c r="P3288" t="s">
        <v>20</v>
      </c>
    </row>
    <row r="3289" spans="1:16" x14ac:dyDescent="0.4">
      <c r="A3289" t="s">
        <v>3330</v>
      </c>
      <c r="B3289">
        <v>26</v>
      </c>
      <c r="C3289" t="s">
        <v>27</v>
      </c>
      <c r="D3289" t="s">
        <v>16</v>
      </c>
      <c r="E3289">
        <v>11.36</v>
      </c>
      <c r="F3289">
        <v>22</v>
      </c>
      <c r="G3289" t="s">
        <v>17</v>
      </c>
      <c r="H3289" t="s">
        <v>46</v>
      </c>
      <c r="I3289" s="2">
        <v>8.99</v>
      </c>
      <c r="J3289">
        <v>0</v>
      </c>
      <c r="K3289" s="2">
        <f t="shared" si="102"/>
        <v>0</v>
      </c>
      <c r="L3289" t="s">
        <v>43</v>
      </c>
      <c r="M3289">
        <v>2</v>
      </c>
      <c r="N3289">
        <v>0.49</v>
      </c>
      <c r="O3289" t="str">
        <f t="shared" si="103"/>
        <v>0.4–0.6 hours</v>
      </c>
      <c r="P3289" t="s">
        <v>34</v>
      </c>
    </row>
    <row r="3290" spans="1:16" x14ac:dyDescent="0.4">
      <c r="A3290" t="s">
        <v>3331</v>
      </c>
      <c r="B3290">
        <v>47</v>
      </c>
      <c r="C3290" t="s">
        <v>15</v>
      </c>
      <c r="D3290" t="s">
        <v>22</v>
      </c>
      <c r="E3290">
        <v>19.899999999999999</v>
      </c>
      <c r="F3290">
        <v>31</v>
      </c>
      <c r="G3290" t="s">
        <v>49</v>
      </c>
      <c r="H3290" t="s">
        <v>57</v>
      </c>
      <c r="I3290" s="2">
        <v>13.99</v>
      </c>
      <c r="J3290">
        <v>0</v>
      </c>
      <c r="K3290" s="2">
        <f t="shared" si="102"/>
        <v>0</v>
      </c>
      <c r="L3290" t="s">
        <v>43</v>
      </c>
      <c r="M3290">
        <v>2</v>
      </c>
      <c r="N3290">
        <v>0.62</v>
      </c>
      <c r="O3290" t="str">
        <f t="shared" si="103"/>
        <v>0.6–0.8 hours</v>
      </c>
      <c r="P3290" t="s">
        <v>39</v>
      </c>
    </row>
    <row r="3291" spans="1:16" x14ac:dyDescent="0.4">
      <c r="A3291" t="s">
        <v>3332</v>
      </c>
      <c r="B3291">
        <v>66</v>
      </c>
      <c r="C3291" t="s">
        <v>15</v>
      </c>
      <c r="D3291" t="s">
        <v>22</v>
      </c>
      <c r="E3291">
        <v>4.41</v>
      </c>
      <c r="F3291">
        <v>48</v>
      </c>
      <c r="G3291" t="s">
        <v>28</v>
      </c>
      <c r="H3291" t="s">
        <v>24</v>
      </c>
      <c r="I3291" s="2">
        <v>13.99</v>
      </c>
      <c r="J3291">
        <v>1</v>
      </c>
      <c r="K3291" s="2">
        <f t="shared" si="102"/>
        <v>13.99</v>
      </c>
      <c r="L3291" t="s">
        <v>19</v>
      </c>
      <c r="M3291">
        <v>5</v>
      </c>
      <c r="N3291">
        <v>0.09</v>
      </c>
      <c r="O3291" t="str">
        <f t="shared" si="103"/>
        <v>0–0.2 hours</v>
      </c>
      <c r="P3291" t="s">
        <v>25</v>
      </c>
    </row>
    <row r="3292" spans="1:16" x14ac:dyDescent="0.4">
      <c r="A3292" t="s">
        <v>3333</v>
      </c>
      <c r="B3292">
        <v>36</v>
      </c>
      <c r="C3292" t="s">
        <v>27</v>
      </c>
      <c r="D3292" t="s">
        <v>22</v>
      </c>
      <c r="E3292">
        <v>9.16</v>
      </c>
      <c r="F3292">
        <v>47</v>
      </c>
      <c r="G3292" t="s">
        <v>49</v>
      </c>
      <c r="H3292" t="s">
        <v>55</v>
      </c>
      <c r="I3292" s="2">
        <v>13.99</v>
      </c>
      <c r="J3292">
        <v>1</v>
      </c>
      <c r="K3292" s="2">
        <f t="shared" si="102"/>
        <v>13.99</v>
      </c>
      <c r="L3292" t="s">
        <v>29</v>
      </c>
      <c r="M3292">
        <v>5</v>
      </c>
      <c r="N3292">
        <v>0.19</v>
      </c>
      <c r="O3292" t="str">
        <f t="shared" si="103"/>
        <v>0–0.2 hours</v>
      </c>
      <c r="P3292" t="s">
        <v>20</v>
      </c>
    </row>
    <row r="3293" spans="1:16" x14ac:dyDescent="0.4">
      <c r="A3293" t="s">
        <v>3334</v>
      </c>
      <c r="B3293">
        <v>49</v>
      </c>
      <c r="C3293" t="s">
        <v>41</v>
      </c>
      <c r="D3293" t="s">
        <v>22</v>
      </c>
      <c r="E3293">
        <v>15.37</v>
      </c>
      <c r="F3293">
        <v>34</v>
      </c>
      <c r="G3293" t="s">
        <v>23</v>
      </c>
      <c r="H3293" t="s">
        <v>46</v>
      </c>
      <c r="I3293" s="2">
        <v>13.99</v>
      </c>
      <c r="J3293">
        <v>0</v>
      </c>
      <c r="K3293" s="2">
        <f t="shared" si="102"/>
        <v>0</v>
      </c>
      <c r="L3293" t="s">
        <v>43</v>
      </c>
      <c r="M3293">
        <v>5</v>
      </c>
      <c r="N3293">
        <v>0.44</v>
      </c>
      <c r="O3293" t="str">
        <f t="shared" si="103"/>
        <v>0.4–0.6 hours</v>
      </c>
      <c r="P3293" t="s">
        <v>20</v>
      </c>
    </row>
    <row r="3294" spans="1:16" x14ac:dyDescent="0.4">
      <c r="A3294" t="s">
        <v>3335</v>
      </c>
      <c r="B3294">
        <v>69</v>
      </c>
      <c r="C3294" t="s">
        <v>27</v>
      </c>
      <c r="D3294" t="s">
        <v>22</v>
      </c>
      <c r="E3294">
        <v>4.5599999999999996</v>
      </c>
      <c r="F3294">
        <v>37</v>
      </c>
      <c r="G3294" t="s">
        <v>49</v>
      </c>
      <c r="H3294" t="s">
        <v>18</v>
      </c>
      <c r="I3294" s="2">
        <v>13.99</v>
      </c>
      <c r="J3294">
        <v>1</v>
      </c>
      <c r="K3294" s="2">
        <f t="shared" si="102"/>
        <v>13.99</v>
      </c>
      <c r="L3294" t="s">
        <v>43</v>
      </c>
      <c r="M3294">
        <v>2</v>
      </c>
      <c r="N3294">
        <v>0.12</v>
      </c>
      <c r="O3294" t="str">
        <f t="shared" si="103"/>
        <v>0–0.2 hours</v>
      </c>
      <c r="P3294" t="s">
        <v>30</v>
      </c>
    </row>
    <row r="3295" spans="1:16" x14ac:dyDescent="0.4">
      <c r="A3295" t="s">
        <v>3336</v>
      </c>
      <c r="B3295">
        <v>18</v>
      </c>
      <c r="C3295" t="s">
        <v>27</v>
      </c>
      <c r="D3295" t="s">
        <v>16</v>
      </c>
      <c r="E3295">
        <v>7.65</v>
      </c>
      <c r="F3295">
        <v>49</v>
      </c>
      <c r="G3295" t="s">
        <v>23</v>
      </c>
      <c r="H3295" t="s">
        <v>55</v>
      </c>
      <c r="I3295" s="2">
        <v>8.99</v>
      </c>
      <c r="J3295">
        <v>1</v>
      </c>
      <c r="K3295" s="2">
        <f t="shared" si="102"/>
        <v>8.99</v>
      </c>
      <c r="L3295" t="s">
        <v>37</v>
      </c>
      <c r="M3295">
        <v>1</v>
      </c>
      <c r="N3295">
        <v>0.15</v>
      </c>
      <c r="O3295" t="str">
        <f t="shared" si="103"/>
        <v>0–0.2 hours</v>
      </c>
      <c r="P3295" t="s">
        <v>30</v>
      </c>
    </row>
    <row r="3296" spans="1:16" x14ac:dyDescent="0.4">
      <c r="A3296" t="s">
        <v>3337</v>
      </c>
      <c r="B3296">
        <v>29</v>
      </c>
      <c r="C3296" t="s">
        <v>27</v>
      </c>
      <c r="D3296" t="s">
        <v>22</v>
      </c>
      <c r="E3296">
        <v>6.87</v>
      </c>
      <c r="F3296">
        <v>27</v>
      </c>
      <c r="G3296" t="s">
        <v>17</v>
      </c>
      <c r="H3296" t="s">
        <v>57</v>
      </c>
      <c r="I3296" s="2">
        <v>13.99</v>
      </c>
      <c r="J3296">
        <v>0</v>
      </c>
      <c r="K3296" s="2">
        <f t="shared" si="102"/>
        <v>0</v>
      </c>
      <c r="L3296" t="s">
        <v>19</v>
      </c>
      <c r="M3296">
        <v>4</v>
      </c>
      <c r="N3296">
        <v>0.25</v>
      </c>
      <c r="O3296" t="str">
        <f t="shared" si="103"/>
        <v>0.2–0.4 hours</v>
      </c>
      <c r="P3296" t="s">
        <v>39</v>
      </c>
    </row>
    <row r="3297" spans="1:16" x14ac:dyDescent="0.4">
      <c r="A3297" t="s">
        <v>3338</v>
      </c>
      <c r="B3297">
        <v>49</v>
      </c>
      <c r="C3297" t="s">
        <v>27</v>
      </c>
      <c r="D3297" t="s">
        <v>22</v>
      </c>
      <c r="E3297">
        <v>30.07</v>
      </c>
      <c r="F3297">
        <v>34</v>
      </c>
      <c r="G3297" t="s">
        <v>28</v>
      </c>
      <c r="H3297" t="s">
        <v>18</v>
      </c>
      <c r="I3297" s="2">
        <v>13.99</v>
      </c>
      <c r="J3297">
        <v>0</v>
      </c>
      <c r="K3297" s="2">
        <f t="shared" si="102"/>
        <v>0</v>
      </c>
      <c r="L3297" t="s">
        <v>37</v>
      </c>
      <c r="M3297">
        <v>4</v>
      </c>
      <c r="N3297">
        <v>0.86</v>
      </c>
      <c r="O3297" t="str">
        <f t="shared" si="103"/>
        <v>0.8–1 hour</v>
      </c>
      <c r="P3297" t="s">
        <v>25</v>
      </c>
    </row>
    <row r="3298" spans="1:16" x14ac:dyDescent="0.4">
      <c r="A3298" t="s">
        <v>3339</v>
      </c>
      <c r="B3298">
        <v>20</v>
      </c>
      <c r="C3298" t="s">
        <v>15</v>
      </c>
      <c r="D3298" t="s">
        <v>32</v>
      </c>
      <c r="E3298">
        <v>25.68</v>
      </c>
      <c r="F3298">
        <v>3</v>
      </c>
      <c r="G3298" t="s">
        <v>28</v>
      </c>
      <c r="H3298" t="s">
        <v>46</v>
      </c>
      <c r="I3298" s="2">
        <v>17.989999999999998</v>
      </c>
      <c r="J3298">
        <v>0</v>
      </c>
      <c r="K3298" s="2">
        <f t="shared" si="102"/>
        <v>0</v>
      </c>
      <c r="L3298" t="s">
        <v>61</v>
      </c>
      <c r="M3298">
        <v>5</v>
      </c>
      <c r="N3298">
        <v>6.42</v>
      </c>
      <c r="O3298" t="str">
        <f t="shared" si="103"/>
        <v>1+ hours</v>
      </c>
      <c r="P3298" t="s">
        <v>47</v>
      </c>
    </row>
    <row r="3299" spans="1:16" x14ac:dyDescent="0.4">
      <c r="A3299" t="s">
        <v>3340</v>
      </c>
      <c r="B3299">
        <v>70</v>
      </c>
      <c r="C3299" t="s">
        <v>41</v>
      </c>
      <c r="D3299" t="s">
        <v>16</v>
      </c>
      <c r="E3299">
        <v>2.2200000000000002</v>
      </c>
      <c r="F3299">
        <v>12</v>
      </c>
      <c r="G3299" t="s">
        <v>28</v>
      </c>
      <c r="H3299" t="s">
        <v>46</v>
      </c>
      <c r="I3299" s="2">
        <v>8.99</v>
      </c>
      <c r="J3299">
        <v>1</v>
      </c>
      <c r="K3299" s="2">
        <f t="shared" si="102"/>
        <v>8.99</v>
      </c>
      <c r="L3299" t="s">
        <v>43</v>
      </c>
      <c r="M3299">
        <v>3</v>
      </c>
      <c r="N3299">
        <v>0.17</v>
      </c>
      <c r="O3299" t="str">
        <f t="shared" si="103"/>
        <v>0–0.2 hours</v>
      </c>
      <c r="P3299" t="s">
        <v>39</v>
      </c>
    </row>
    <row r="3300" spans="1:16" x14ac:dyDescent="0.4">
      <c r="A3300" t="s">
        <v>3341</v>
      </c>
      <c r="B3300">
        <v>26</v>
      </c>
      <c r="C3300" t="s">
        <v>41</v>
      </c>
      <c r="D3300" t="s">
        <v>32</v>
      </c>
      <c r="E3300">
        <v>13.17</v>
      </c>
      <c r="F3300">
        <v>37</v>
      </c>
      <c r="G3300" t="s">
        <v>49</v>
      </c>
      <c r="H3300" t="s">
        <v>57</v>
      </c>
      <c r="I3300" s="2">
        <v>17.989999999999998</v>
      </c>
      <c r="J3300">
        <v>0</v>
      </c>
      <c r="K3300" s="2">
        <f t="shared" si="102"/>
        <v>0</v>
      </c>
      <c r="L3300" t="s">
        <v>61</v>
      </c>
      <c r="M3300">
        <v>4</v>
      </c>
      <c r="N3300">
        <v>0.35</v>
      </c>
      <c r="O3300" t="str">
        <f t="shared" si="103"/>
        <v>0.2–0.4 hours</v>
      </c>
      <c r="P3300" t="s">
        <v>20</v>
      </c>
    </row>
    <row r="3301" spans="1:16" x14ac:dyDescent="0.4">
      <c r="A3301" t="s">
        <v>3342</v>
      </c>
      <c r="B3301">
        <v>65</v>
      </c>
      <c r="C3301" t="s">
        <v>27</v>
      </c>
      <c r="D3301" t="s">
        <v>22</v>
      </c>
      <c r="E3301">
        <v>13.88</v>
      </c>
      <c r="F3301">
        <v>57</v>
      </c>
      <c r="G3301" t="s">
        <v>33</v>
      </c>
      <c r="H3301" t="s">
        <v>46</v>
      </c>
      <c r="I3301" s="2">
        <v>13.99</v>
      </c>
      <c r="J3301">
        <v>1</v>
      </c>
      <c r="K3301" s="2">
        <f t="shared" si="102"/>
        <v>13.99</v>
      </c>
      <c r="L3301" t="s">
        <v>29</v>
      </c>
      <c r="M3301">
        <v>5</v>
      </c>
      <c r="N3301">
        <v>0.24</v>
      </c>
      <c r="O3301" t="str">
        <f t="shared" si="103"/>
        <v>0.2–0.4 hours</v>
      </c>
      <c r="P3301" t="s">
        <v>47</v>
      </c>
    </row>
    <row r="3302" spans="1:16" x14ac:dyDescent="0.4">
      <c r="A3302" t="s">
        <v>3343</v>
      </c>
      <c r="B3302">
        <v>53</v>
      </c>
      <c r="C3302" t="s">
        <v>15</v>
      </c>
      <c r="D3302" t="s">
        <v>22</v>
      </c>
      <c r="E3302">
        <v>1.55</v>
      </c>
      <c r="F3302">
        <v>30</v>
      </c>
      <c r="G3302" t="s">
        <v>28</v>
      </c>
      <c r="H3302" t="s">
        <v>46</v>
      </c>
      <c r="I3302" s="2">
        <v>13.99</v>
      </c>
      <c r="J3302">
        <v>1</v>
      </c>
      <c r="K3302" s="2">
        <f t="shared" si="102"/>
        <v>13.99</v>
      </c>
      <c r="L3302" t="s">
        <v>61</v>
      </c>
      <c r="M3302">
        <v>3</v>
      </c>
      <c r="N3302">
        <v>0.05</v>
      </c>
      <c r="O3302" t="str">
        <f t="shared" si="103"/>
        <v>0–0.2 hours</v>
      </c>
      <c r="P3302" t="s">
        <v>52</v>
      </c>
    </row>
    <row r="3303" spans="1:16" x14ac:dyDescent="0.4">
      <c r="A3303" t="s">
        <v>3344</v>
      </c>
      <c r="B3303">
        <v>33</v>
      </c>
      <c r="C3303" t="s">
        <v>15</v>
      </c>
      <c r="D3303" t="s">
        <v>22</v>
      </c>
      <c r="E3303">
        <v>11.4</v>
      </c>
      <c r="F3303">
        <v>42</v>
      </c>
      <c r="G3303" t="s">
        <v>70</v>
      </c>
      <c r="H3303" t="s">
        <v>55</v>
      </c>
      <c r="I3303" s="2">
        <v>13.99</v>
      </c>
      <c r="J3303">
        <v>1</v>
      </c>
      <c r="K3303" s="2">
        <f t="shared" si="102"/>
        <v>13.99</v>
      </c>
      <c r="L3303" t="s">
        <v>29</v>
      </c>
      <c r="M3303">
        <v>4</v>
      </c>
      <c r="N3303">
        <v>0.27</v>
      </c>
      <c r="O3303" t="str">
        <f t="shared" si="103"/>
        <v>0.2–0.4 hours</v>
      </c>
      <c r="P3303" t="s">
        <v>20</v>
      </c>
    </row>
    <row r="3304" spans="1:16" x14ac:dyDescent="0.4">
      <c r="A3304" t="s">
        <v>3345</v>
      </c>
      <c r="B3304">
        <v>33</v>
      </c>
      <c r="C3304" t="s">
        <v>41</v>
      </c>
      <c r="D3304" t="s">
        <v>22</v>
      </c>
      <c r="E3304">
        <v>6.6</v>
      </c>
      <c r="F3304">
        <v>55</v>
      </c>
      <c r="G3304" t="s">
        <v>23</v>
      </c>
      <c r="H3304" t="s">
        <v>55</v>
      </c>
      <c r="I3304" s="2">
        <v>13.99</v>
      </c>
      <c r="J3304">
        <v>1</v>
      </c>
      <c r="K3304" s="2">
        <f t="shared" si="102"/>
        <v>13.99</v>
      </c>
      <c r="L3304" t="s">
        <v>19</v>
      </c>
      <c r="M3304">
        <v>2</v>
      </c>
      <c r="N3304">
        <v>0.12</v>
      </c>
      <c r="O3304" t="str">
        <f t="shared" si="103"/>
        <v>0–0.2 hours</v>
      </c>
      <c r="P3304" t="s">
        <v>52</v>
      </c>
    </row>
    <row r="3305" spans="1:16" x14ac:dyDescent="0.4">
      <c r="A3305" s="1" t="s">
        <v>3346</v>
      </c>
      <c r="B3305">
        <v>19</v>
      </c>
      <c r="C3305" t="s">
        <v>27</v>
      </c>
      <c r="D3305" t="s">
        <v>32</v>
      </c>
      <c r="E3305">
        <v>8.2899999999999991</v>
      </c>
      <c r="F3305">
        <v>28</v>
      </c>
      <c r="G3305" t="s">
        <v>23</v>
      </c>
      <c r="H3305" t="s">
        <v>18</v>
      </c>
      <c r="I3305" s="2">
        <v>17.989999999999998</v>
      </c>
      <c r="J3305">
        <v>0</v>
      </c>
      <c r="K3305" s="2">
        <f t="shared" si="102"/>
        <v>0</v>
      </c>
      <c r="L3305" t="s">
        <v>29</v>
      </c>
      <c r="M3305">
        <v>5</v>
      </c>
      <c r="N3305">
        <v>0.28999999999999998</v>
      </c>
      <c r="O3305" t="str">
        <f t="shared" si="103"/>
        <v>0.2–0.4 hours</v>
      </c>
      <c r="P3305" t="s">
        <v>30</v>
      </c>
    </row>
    <row r="3306" spans="1:16" x14ac:dyDescent="0.4">
      <c r="A3306" t="s">
        <v>3347</v>
      </c>
      <c r="B3306">
        <v>58</v>
      </c>
      <c r="C3306" t="s">
        <v>41</v>
      </c>
      <c r="D3306" t="s">
        <v>22</v>
      </c>
      <c r="E3306">
        <v>4.38</v>
      </c>
      <c r="F3306">
        <v>25</v>
      </c>
      <c r="G3306" t="s">
        <v>17</v>
      </c>
      <c r="H3306" t="s">
        <v>57</v>
      </c>
      <c r="I3306" s="2">
        <v>13.99</v>
      </c>
      <c r="J3306">
        <v>1</v>
      </c>
      <c r="K3306" s="2">
        <f t="shared" si="102"/>
        <v>13.99</v>
      </c>
      <c r="L3306" t="s">
        <v>61</v>
      </c>
      <c r="M3306">
        <v>1</v>
      </c>
      <c r="N3306">
        <v>0.17</v>
      </c>
      <c r="O3306" t="str">
        <f t="shared" si="103"/>
        <v>0–0.2 hours</v>
      </c>
      <c r="P3306" t="s">
        <v>39</v>
      </c>
    </row>
    <row r="3307" spans="1:16" x14ac:dyDescent="0.4">
      <c r="A3307" t="s">
        <v>3348</v>
      </c>
      <c r="B3307">
        <v>63</v>
      </c>
      <c r="C3307" t="s">
        <v>15</v>
      </c>
      <c r="D3307" t="s">
        <v>16</v>
      </c>
      <c r="E3307">
        <v>14.16</v>
      </c>
      <c r="F3307">
        <v>45</v>
      </c>
      <c r="G3307" t="s">
        <v>23</v>
      </c>
      <c r="H3307" t="s">
        <v>46</v>
      </c>
      <c r="I3307" s="2">
        <v>8.99</v>
      </c>
      <c r="J3307">
        <v>1</v>
      </c>
      <c r="K3307" s="2">
        <f t="shared" si="102"/>
        <v>8.99</v>
      </c>
      <c r="L3307" t="s">
        <v>61</v>
      </c>
      <c r="M3307">
        <v>4</v>
      </c>
      <c r="N3307">
        <v>0.31</v>
      </c>
      <c r="O3307" t="str">
        <f t="shared" si="103"/>
        <v>0.2–0.4 hours</v>
      </c>
      <c r="P3307" t="s">
        <v>39</v>
      </c>
    </row>
    <row r="3308" spans="1:16" x14ac:dyDescent="0.4">
      <c r="A3308" t="s">
        <v>3349</v>
      </c>
      <c r="B3308">
        <v>50</v>
      </c>
      <c r="C3308" t="s">
        <v>27</v>
      </c>
      <c r="D3308" t="s">
        <v>22</v>
      </c>
      <c r="E3308">
        <v>23.31</v>
      </c>
      <c r="F3308">
        <v>5</v>
      </c>
      <c r="G3308" t="s">
        <v>49</v>
      </c>
      <c r="H3308" t="s">
        <v>57</v>
      </c>
      <c r="I3308" s="2">
        <v>13.99</v>
      </c>
      <c r="J3308">
        <v>0</v>
      </c>
      <c r="K3308" s="2">
        <f t="shared" si="102"/>
        <v>0</v>
      </c>
      <c r="L3308" t="s">
        <v>61</v>
      </c>
      <c r="M3308">
        <v>1</v>
      </c>
      <c r="N3308">
        <v>3.88</v>
      </c>
      <c r="O3308" t="str">
        <f t="shared" si="103"/>
        <v>1+ hours</v>
      </c>
      <c r="P3308" t="s">
        <v>20</v>
      </c>
    </row>
    <row r="3309" spans="1:16" x14ac:dyDescent="0.4">
      <c r="A3309" t="s">
        <v>3350</v>
      </c>
      <c r="B3309">
        <v>43</v>
      </c>
      <c r="C3309" t="s">
        <v>15</v>
      </c>
      <c r="D3309" t="s">
        <v>32</v>
      </c>
      <c r="E3309">
        <v>4.96</v>
      </c>
      <c r="F3309">
        <v>34</v>
      </c>
      <c r="G3309" t="s">
        <v>23</v>
      </c>
      <c r="H3309" t="s">
        <v>18</v>
      </c>
      <c r="I3309" s="2">
        <v>17.989999999999998</v>
      </c>
      <c r="J3309">
        <v>1</v>
      </c>
      <c r="K3309" s="2">
        <f t="shared" si="102"/>
        <v>17.989999999999998</v>
      </c>
      <c r="L3309" t="s">
        <v>29</v>
      </c>
      <c r="M3309">
        <v>3</v>
      </c>
      <c r="N3309">
        <v>0.14000000000000001</v>
      </c>
      <c r="O3309" t="str">
        <f t="shared" si="103"/>
        <v>0–0.2 hours</v>
      </c>
      <c r="P3309" t="s">
        <v>52</v>
      </c>
    </row>
    <row r="3310" spans="1:16" x14ac:dyDescent="0.4">
      <c r="A3310" t="s">
        <v>3351</v>
      </c>
      <c r="B3310">
        <v>46</v>
      </c>
      <c r="C3310" t="s">
        <v>41</v>
      </c>
      <c r="D3310" t="s">
        <v>22</v>
      </c>
      <c r="E3310">
        <v>18.14</v>
      </c>
      <c r="F3310">
        <v>45</v>
      </c>
      <c r="G3310" t="s">
        <v>23</v>
      </c>
      <c r="H3310" t="s">
        <v>55</v>
      </c>
      <c r="I3310" s="2">
        <v>13.99</v>
      </c>
      <c r="J3310">
        <v>1</v>
      </c>
      <c r="K3310" s="2">
        <f t="shared" si="102"/>
        <v>13.99</v>
      </c>
      <c r="L3310" t="s">
        <v>61</v>
      </c>
      <c r="M3310">
        <v>2</v>
      </c>
      <c r="N3310">
        <v>0.39</v>
      </c>
      <c r="O3310" t="str">
        <f t="shared" si="103"/>
        <v>0.2–0.4 hours</v>
      </c>
      <c r="P3310" t="s">
        <v>25</v>
      </c>
    </row>
    <row r="3311" spans="1:16" x14ac:dyDescent="0.4">
      <c r="A3311" t="s">
        <v>3352</v>
      </c>
      <c r="B3311">
        <v>19</v>
      </c>
      <c r="C3311" t="s">
        <v>15</v>
      </c>
      <c r="D3311" t="s">
        <v>16</v>
      </c>
      <c r="E3311">
        <v>4.42</v>
      </c>
      <c r="F3311">
        <v>0</v>
      </c>
      <c r="G3311" t="s">
        <v>23</v>
      </c>
      <c r="H3311" t="s">
        <v>46</v>
      </c>
      <c r="I3311" s="2">
        <v>8.99</v>
      </c>
      <c r="J3311">
        <v>0</v>
      </c>
      <c r="K3311" s="2">
        <f t="shared" si="102"/>
        <v>0</v>
      </c>
      <c r="L3311" t="s">
        <v>61</v>
      </c>
      <c r="M3311">
        <v>3</v>
      </c>
      <c r="N3311">
        <v>4.42</v>
      </c>
      <c r="O3311" t="str">
        <f t="shared" si="103"/>
        <v>1+ hours</v>
      </c>
      <c r="P3311" t="s">
        <v>30</v>
      </c>
    </row>
    <row r="3312" spans="1:16" x14ac:dyDescent="0.4">
      <c r="A3312" t="s">
        <v>3353</v>
      </c>
      <c r="B3312">
        <v>64</v>
      </c>
      <c r="C3312" t="s">
        <v>15</v>
      </c>
      <c r="D3312" t="s">
        <v>22</v>
      </c>
      <c r="E3312">
        <v>19.87</v>
      </c>
      <c r="F3312">
        <v>41</v>
      </c>
      <c r="G3312" t="s">
        <v>49</v>
      </c>
      <c r="H3312" t="s">
        <v>24</v>
      </c>
      <c r="I3312" s="2">
        <v>13.99</v>
      </c>
      <c r="J3312">
        <v>0</v>
      </c>
      <c r="K3312" s="2">
        <f t="shared" si="102"/>
        <v>0</v>
      </c>
      <c r="L3312" t="s">
        <v>61</v>
      </c>
      <c r="M3312">
        <v>5</v>
      </c>
      <c r="N3312">
        <v>0.47</v>
      </c>
      <c r="O3312" t="str">
        <f t="shared" si="103"/>
        <v>0.4–0.6 hours</v>
      </c>
      <c r="P3312" t="s">
        <v>39</v>
      </c>
    </row>
    <row r="3313" spans="1:16" x14ac:dyDescent="0.4">
      <c r="A3313" t="s">
        <v>3354</v>
      </c>
      <c r="B3313">
        <v>59</v>
      </c>
      <c r="C3313" t="s">
        <v>41</v>
      </c>
      <c r="D3313" t="s">
        <v>22</v>
      </c>
      <c r="E3313">
        <v>25.89</v>
      </c>
      <c r="F3313">
        <v>58</v>
      </c>
      <c r="G3313" t="s">
        <v>70</v>
      </c>
      <c r="H3313" t="s">
        <v>55</v>
      </c>
      <c r="I3313" s="2">
        <v>13.99</v>
      </c>
      <c r="J3313">
        <v>0</v>
      </c>
      <c r="K3313" s="2">
        <f t="shared" si="102"/>
        <v>0</v>
      </c>
      <c r="L3313" t="s">
        <v>37</v>
      </c>
      <c r="M3313">
        <v>1</v>
      </c>
      <c r="N3313">
        <v>0.44</v>
      </c>
      <c r="O3313" t="str">
        <f t="shared" si="103"/>
        <v>0.4–0.6 hours</v>
      </c>
      <c r="P3313" t="s">
        <v>52</v>
      </c>
    </row>
    <row r="3314" spans="1:16" x14ac:dyDescent="0.4">
      <c r="A3314" t="s">
        <v>3355</v>
      </c>
      <c r="B3314">
        <v>66</v>
      </c>
      <c r="C3314" t="s">
        <v>15</v>
      </c>
      <c r="D3314" t="s">
        <v>32</v>
      </c>
      <c r="E3314">
        <v>51.07</v>
      </c>
      <c r="F3314">
        <v>9</v>
      </c>
      <c r="G3314" t="s">
        <v>17</v>
      </c>
      <c r="H3314" t="s">
        <v>46</v>
      </c>
      <c r="I3314" s="2">
        <v>17.989999999999998</v>
      </c>
      <c r="J3314">
        <v>0</v>
      </c>
      <c r="K3314" s="2">
        <f t="shared" si="102"/>
        <v>0</v>
      </c>
      <c r="L3314" t="s">
        <v>29</v>
      </c>
      <c r="M3314">
        <v>5</v>
      </c>
      <c r="N3314">
        <v>5.1100000000000003</v>
      </c>
      <c r="O3314" t="str">
        <f t="shared" si="103"/>
        <v>1+ hours</v>
      </c>
      <c r="P3314" t="s">
        <v>20</v>
      </c>
    </row>
    <row r="3315" spans="1:16" x14ac:dyDescent="0.4">
      <c r="A3315" t="s">
        <v>3356</v>
      </c>
      <c r="B3315">
        <v>51</v>
      </c>
      <c r="C3315" t="s">
        <v>27</v>
      </c>
      <c r="D3315" t="s">
        <v>32</v>
      </c>
      <c r="E3315">
        <v>3.89</v>
      </c>
      <c r="F3315">
        <v>1</v>
      </c>
      <c r="G3315" t="s">
        <v>23</v>
      </c>
      <c r="H3315" t="s">
        <v>57</v>
      </c>
      <c r="I3315" s="2">
        <v>17.989999999999998</v>
      </c>
      <c r="J3315">
        <v>0</v>
      </c>
      <c r="K3315" s="2">
        <f t="shared" si="102"/>
        <v>0</v>
      </c>
      <c r="L3315" t="s">
        <v>61</v>
      </c>
      <c r="M3315">
        <v>2</v>
      </c>
      <c r="N3315">
        <v>1.95</v>
      </c>
      <c r="O3315" t="str">
        <f t="shared" si="103"/>
        <v>1+ hours</v>
      </c>
      <c r="P3315" t="s">
        <v>30</v>
      </c>
    </row>
    <row r="3316" spans="1:16" x14ac:dyDescent="0.4">
      <c r="A3316" t="s">
        <v>3357</v>
      </c>
      <c r="B3316">
        <v>27</v>
      </c>
      <c r="C3316" t="s">
        <v>15</v>
      </c>
      <c r="D3316" t="s">
        <v>22</v>
      </c>
      <c r="E3316">
        <v>10.69</v>
      </c>
      <c r="F3316">
        <v>4</v>
      </c>
      <c r="G3316" t="s">
        <v>28</v>
      </c>
      <c r="H3316" t="s">
        <v>24</v>
      </c>
      <c r="I3316" s="2">
        <v>13.99</v>
      </c>
      <c r="J3316">
        <v>0</v>
      </c>
      <c r="K3316" s="2">
        <f t="shared" si="102"/>
        <v>0</v>
      </c>
      <c r="L3316" t="s">
        <v>29</v>
      </c>
      <c r="M3316">
        <v>3</v>
      </c>
      <c r="N3316">
        <v>2.14</v>
      </c>
      <c r="O3316" t="str">
        <f t="shared" si="103"/>
        <v>1+ hours</v>
      </c>
      <c r="P3316" t="s">
        <v>30</v>
      </c>
    </row>
    <row r="3317" spans="1:16" x14ac:dyDescent="0.4">
      <c r="A3317" t="s">
        <v>3358</v>
      </c>
      <c r="B3317">
        <v>60</v>
      </c>
      <c r="C3317" t="s">
        <v>27</v>
      </c>
      <c r="D3317" t="s">
        <v>22</v>
      </c>
      <c r="E3317">
        <v>1.1299999999999999</v>
      </c>
      <c r="F3317">
        <v>12</v>
      </c>
      <c r="G3317" t="s">
        <v>28</v>
      </c>
      <c r="H3317" t="s">
        <v>46</v>
      </c>
      <c r="I3317" s="2">
        <v>13.99</v>
      </c>
      <c r="J3317">
        <v>1</v>
      </c>
      <c r="K3317" s="2">
        <f t="shared" si="102"/>
        <v>13.99</v>
      </c>
      <c r="L3317" t="s">
        <v>61</v>
      </c>
      <c r="M3317">
        <v>2</v>
      </c>
      <c r="N3317">
        <v>0.09</v>
      </c>
      <c r="O3317" t="str">
        <f t="shared" si="103"/>
        <v>0–0.2 hours</v>
      </c>
      <c r="P3317" t="s">
        <v>39</v>
      </c>
    </row>
    <row r="3318" spans="1:16" x14ac:dyDescent="0.4">
      <c r="A3318" t="s">
        <v>3359</v>
      </c>
      <c r="B3318">
        <v>41</v>
      </c>
      <c r="C3318" t="s">
        <v>27</v>
      </c>
      <c r="D3318" t="s">
        <v>16</v>
      </c>
      <c r="E3318">
        <v>23.74</v>
      </c>
      <c r="F3318">
        <v>8</v>
      </c>
      <c r="G3318" t="s">
        <v>70</v>
      </c>
      <c r="H3318" t="s">
        <v>24</v>
      </c>
      <c r="I3318" s="2">
        <v>8.99</v>
      </c>
      <c r="J3318">
        <v>0</v>
      </c>
      <c r="K3318" s="2">
        <f t="shared" si="102"/>
        <v>0</v>
      </c>
      <c r="L3318" t="s">
        <v>29</v>
      </c>
      <c r="M3318">
        <v>2</v>
      </c>
      <c r="N3318">
        <v>2.64</v>
      </c>
      <c r="O3318" t="str">
        <f t="shared" si="103"/>
        <v>1+ hours</v>
      </c>
      <c r="P3318" t="s">
        <v>52</v>
      </c>
    </row>
    <row r="3319" spans="1:16" x14ac:dyDescent="0.4">
      <c r="A3319" t="s">
        <v>3360</v>
      </c>
      <c r="B3319">
        <v>37</v>
      </c>
      <c r="C3319" t="s">
        <v>15</v>
      </c>
      <c r="D3319" t="s">
        <v>32</v>
      </c>
      <c r="E3319">
        <v>11.15</v>
      </c>
      <c r="F3319">
        <v>60</v>
      </c>
      <c r="G3319" t="s">
        <v>33</v>
      </c>
      <c r="H3319" t="s">
        <v>55</v>
      </c>
      <c r="I3319" s="2">
        <v>17.989999999999998</v>
      </c>
      <c r="J3319">
        <v>0</v>
      </c>
      <c r="K3319" s="2">
        <f t="shared" si="102"/>
        <v>0</v>
      </c>
      <c r="L3319" t="s">
        <v>43</v>
      </c>
      <c r="M3319">
        <v>4</v>
      </c>
      <c r="N3319">
        <v>0.18</v>
      </c>
      <c r="O3319" t="str">
        <f t="shared" si="103"/>
        <v>0–0.2 hours</v>
      </c>
      <c r="P3319" t="s">
        <v>52</v>
      </c>
    </row>
    <row r="3320" spans="1:16" x14ac:dyDescent="0.4">
      <c r="A3320" t="s">
        <v>3361</v>
      </c>
      <c r="B3320">
        <v>26</v>
      </c>
      <c r="C3320" t="s">
        <v>27</v>
      </c>
      <c r="D3320" t="s">
        <v>32</v>
      </c>
      <c r="E3320">
        <v>2.92</v>
      </c>
      <c r="F3320">
        <v>32</v>
      </c>
      <c r="G3320" t="s">
        <v>49</v>
      </c>
      <c r="H3320" t="s">
        <v>57</v>
      </c>
      <c r="I3320" s="2">
        <v>17.989999999999998</v>
      </c>
      <c r="J3320">
        <v>1</v>
      </c>
      <c r="K3320" s="2">
        <f t="shared" si="102"/>
        <v>17.989999999999998</v>
      </c>
      <c r="L3320" t="s">
        <v>29</v>
      </c>
      <c r="M3320">
        <v>2</v>
      </c>
      <c r="N3320">
        <v>0.09</v>
      </c>
      <c r="O3320" t="str">
        <f t="shared" si="103"/>
        <v>0–0.2 hours</v>
      </c>
      <c r="P3320" t="s">
        <v>25</v>
      </c>
    </row>
    <row r="3321" spans="1:16" x14ac:dyDescent="0.4">
      <c r="A3321" t="s">
        <v>3362</v>
      </c>
      <c r="B3321">
        <v>69</v>
      </c>
      <c r="C3321" t="s">
        <v>15</v>
      </c>
      <c r="D3321" t="s">
        <v>32</v>
      </c>
      <c r="E3321">
        <v>13.61</v>
      </c>
      <c r="F3321">
        <v>5</v>
      </c>
      <c r="G3321" t="s">
        <v>23</v>
      </c>
      <c r="H3321" t="s">
        <v>18</v>
      </c>
      <c r="I3321" s="2">
        <v>17.989999999999998</v>
      </c>
      <c r="J3321">
        <v>0</v>
      </c>
      <c r="K3321" s="2">
        <f t="shared" si="102"/>
        <v>0</v>
      </c>
      <c r="L3321" t="s">
        <v>61</v>
      </c>
      <c r="M3321">
        <v>3</v>
      </c>
      <c r="N3321">
        <v>2.27</v>
      </c>
      <c r="O3321" t="str">
        <f t="shared" si="103"/>
        <v>1+ hours</v>
      </c>
      <c r="P3321" t="s">
        <v>39</v>
      </c>
    </row>
    <row r="3322" spans="1:16" x14ac:dyDescent="0.4">
      <c r="A3322" t="s">
        <v>3363</v>
      </c>
      <c r="B3322">
        <v>42</v>
      </c>
      <c r="C3322" t="s">
        <v>15</v>
      </c>
      <c r="D3322" t="s">
        <v>16</v>
      </c>
      <c r="E3322">
        <v>2.65</v>
      </c>
      <c r="F3322">
        <v>30</v>
      </c>
      <c r="G3322" t="s">
        <v>17</v>
      </c>
      <c r="H3322" t="s">
        <v>18</v>
      </c>
      <c r="I3322" s="2">
        <v>8.99</v>
      </c>
      <c r="J3322">
        <v>1</v>
      </c>
      <c r="K3322" s="2">
        <f t="shared" si="102"/>
        <v>8.99</v>
      </c>
      <c r="L3322" t="s">
        <v>19</v>
      </c>
      <c r="M3322">
        <v>1</v>
      </c>
      <c r="N3322">
        <v>0.09</v>
      </c>
      <c r="O3322" t="str">
        <f t="shared" si="103"/>
        <v>0–0.2 hours</v>
      </c>
      <c r="P3322" t="s">
        <v>52</v>
      </c>
    </row>
    <row r="3323" spans="1:16" x14ac:dyDescent="0.4">
      <c r="A3323" t="s">
        <v>3364</v>
      </c>
      <c r="B3323">
        <v>19</v>
      </c>
      <c r="C3323" t="s">
        <v>27</v>
      </c>
      <c r="D3323" t="s">
        <v>32</v>
      </c>
      <c r="E3323">
        <v>7.43</v>
      </c>
      <c r="F3323">
        <v>10</v>
      </c>
      <c r="G3323" t="s">
        <v>23</v>
      </c>
      <c r="H3323" t="s">
        <v>57</v>
      </c>
      <c r="I3323" s="2">
        <v>17.989999999999998</v>
      </c>
      <c r="J3323">
        <v>0</v>
      </c>
      <c r="K3323" s="2">
        <f t="shared" si="102"/>
        <v>0</v>
      </c>
      <c r="L3323" t="s">
        <v>37</v>
      </c>
      <c r="M3323">
        <v>4</v>
      </c>
      <c r="N3323">
        <v>0.68</v>
      </c>
      <c r="O3323" t="str">
        <f t="shared" si="103"/>
        <v>0.6–0.8 hours</v>
      </c>
      <c r="P3323" t="s">
        <v>30</v>
      </c>
    </row>
    <row r="3324" spans="1:16" x14ac:dyDescent="0.4">
      <c r="A3324" t="s">
        <v>3365</v>
      </c>
      <c r="B3324">
        <v>61</v>
      </c>
      <c r="C3324" t="s">
        <v>41</v>
      </c>
      <c r="D3324" t="s">
        <v>22</v>
      </c>
      <c r="E3324">
        <v>5.61</v>
      </c>
      <c r="F3324">
        <v>56</v>
      </c>
      <c r="G3324" t="s">
        <v>23</v>
      </c>
      <c r="H3324" t="s">
        <v>46</v>
      </c>
      <c r="I3324" s="2">
        <v>13.99</v>
      </c>
      <c r="J3324">
        <v>1</v>
      </c>
      <c r="K3324" s="2">
        <f t="shared" si="102"/>
        <v>13.99</v>
      </c>
      <c r="L3324" t="s">
        <v>37</v>
      </c>
      <c r="M3324">
        <v>1</v>
      </c>
      <c r="N3324">
        <v>0.1</v>
      </c>
      <c r="O3324" t="str">
        <f t="shared" si="103"/>
        <v>0–0.2 hours</v>
      </c>
      <c r="P3324" t="s">
        <v>34</v>
      </c>
    </row>
    <row r="3325" spans="1:16" x14ac:dyDescent="0.4">
      <c r="A3325" t="s">
        <v>3366</v>
      </c>
      <c r="B3325">
        <v>34</v>
      </c>
      <c r="C3325" t="s">
        <v>27</v>
      </c>
      <c r="D3325" t="s">
        <v>22</v>
      </c>
      <c r="E3325">
        <v>0.32</v>
      </c>
      <c r="F3325">
        <v>58</v>
      </c>
      <c r="G3325" t="s">
        <v>28</v>
      </c>
      <c r="H3325" t="s">
        <v>24</v>
      </c>
      <c r="I3325" s="2">
        <v>13.99</v>
      </c>
      <c r="J3325">
        <v>1</v>
      </c>
      <c r="K3325" s="2">
        <f t="shared" si="102"/>
        <v>13.99</v>
      </c>
      <c r="L3325" t="s">
        <v>19</v>
      </c>
      <c r="M3325">
        <v>1</v>
      </c>
      <c r="N3325">
        <v>0.01</v>
      </c>
      <c r="O3325" t="str">
        <f t="shared" si="103"/>
        <v>0–0.2 hours</v>
      </c>
      <c r="P3325" t="s">
        <v>47</v>
      </c>
    </row>
    <row r="3326" spans="1:16" x14ac:dyDescent="0.4">
      <c r="A3326" t="s">
        <v>3367</v>
      </c>
      <c r="B3326">
        <v>68</v>
      </c>
      <c r="C3326" t="s">
        <v>15</v>
      </c>
      <c r="D3326" t="s">
        <v>22</v>
      </c>
      <c r="E3326">
        <v>12.66</v>
      </c>
      <c r="F3326">
        <v>7</v>
      </c>
      <c r="G3326" t="s">
        <v>28</v>
      </c>
      <c r="H3326" t="s">
        <v>57</v>
      </c>
      <c r="I3326" s="2">
        <v>13.99</v>
      </c>
      <c r="J3326">
        <v>0</v>
      </c>
      <c r="K3326" s="2">
        <f t="shared" si="102"/>
        <v>0</v>
      </c>
      <c r="L3326" t="s">
        <v>61</v>
      </c>
      <c r="M3326">
        <v>2</v>
      </c>
      <c r="N3326">
        <v>1.58</v>
      </c>
      <c r="O3326" t="str">
        <f t="shared" si="103"/>
        <v>1+ hours</v>
      </c>
      <c r="P3326" t="s">
        <v>39</v>
      </c>
    </row>
    <row r="3327" spans="1:16" x14ac:dyDescent="0.4">
      <c r="A3327" s="1" t="s">
        <v>3368</v>
      </c>
      <c r="B3327">
        <v>32</v>
      </c>
      <c r="C3327" t="s">
        <v>27</v>
      </c>
      <c r="D3327" t="s">
        <v>16</v>
      </c>
      <c r="E3327">
        <v>8.94</v>
      </c>
      <c r="F3327">
        <v>6</v>
      </c>
      <c r="G3327" t="s">
        <v>70</v>
      </c>
      <c r="H3327" t="s">
        <v>55</v>
      </c>
      <c r="I3327" s="2">
        <v>8.99</v>
      </c>
      <c r="J3327">
        <v>0</v>
      </c>
      <c r="K3327" s="2">
        <f t="shared" si="102"/>
        <v>0</v>
      </c>
      <c r="L3327" t="s">
        <v>29</v>
      </c>
      <c r="M3327">
        <v>5</v>
      </c>
      <c r="N3327">
        <v>1.28</v>
      </c>
      <c r="O3327" t="str">
        <f t="shared" si="103"/>
        <v>1+ hours</v>
      </c>
      <c r="P3327" t="s">
        <v>20</v>
      </c>
    </row>
    <row r="3328" spans="1:16" x14ac:dyDescent="0.4">
      <c r="A3328" t="s">
        <v>3369</v>
      </c>
      <c r="B3328">
        <v>21</v>
      </c>
      <c r="C3328" t="s">
        <v>41</v>
      </c>
      <c r="D3328" t="s">
        <v>16</v>
      </c>
      <c r="E3328">
        <v>11.25</v>
      </c>
      <c r="F3328">
        <v>59</v>
      </c>
      <c r="G3328" t="s">
        <v>49</v>
      </c>
      <c r="H3328" t="s">
        <v>24</v>
      </c>
      <c r="I3328" s="2">
        <v>8.99</v>
      </c>
      <c r="J3328">
        <v>1</v>
      </c>
      <c r="K3328" s="2">
        <f t="shared" si="102"/>
        <v>8.99</v>
      </c>
      <c r="L3328" t="s">
        <v>37</v>
      </c>
      <c r="M3328">
        <v>2</v>
      </c>
      <c r="N3328">
        <v>0.19</v>
      </c>
      <c r="O3328" t="str">
        <f t="shared" si="103"/>
        <v>0–0.2 hours</v>
      </c>
      <c r="P3328" t="s">
        <v>20</v>
      </c>
    </row>
    <row r="3329" spans="1:16" x14ac:dyDescent="0.4">
      <c r="A3329" t="s">
        <v>3370</v>
      </c>
      <c r="B3329">
        <v>24</v>
      </c>
      <c r="C3329" t="s">
        <v>15</v>
      </c>
      <c r="D3329" t="s">
        <v>32</v>
      </c>
      <c r="E3329">
        <v>14.15</v>
      </c>
      <c r="F3329">
        <v>58</v>
      </c>
      <c r="G3329" t="s">
        <v>23</v>
      </c>
      <c r="H3329" t="s">
        <v>18</v>
      </c>
      <c r="I3329" s="2">
        <v>17.989999999999998</v>
      </c>
      <c r="J3329">
        <v>1</v>
      </c>
      <c r="K3329" s="2">
        <f t="shared" si="102"/>
        <v>17.989999999999998</v>
      </c>
      <c r="L3329" t="s">
        <v>43</v>
      </c>
      <c r="M3329">
        <v>1</v>
      </c>
      <c r="N3329">
        <v>0.24</v>
      </c>
      <c r="O3329" t="str">
        <f t="shared" si="103"/>
        <v>0.2–0.4 hours</v>
      </c>
      <c r="P3329" t="s">
        <v>39</v>
      </c>
    </row>
    <row r="3330" spans="1:16" x14ac:dyDescent="0.4">
      <c r="A3330" t="s">
        <v>3371</v>
      </c>
      <c r="B3330">
        <v>55</v>
      </c>
      <c r="C3330" t="s">
        <v>41</v>
      </c>
      <c r="D3330" t="s">
        <v>32</v>
      </c>
      <c r="E3330">
        <v>0.44</v>
      </c>
      <c r="F3330">
        <v>45</v>
      </c>
      <c r="G3330" t="s">
        <v>49</v>
      </c>
      <c r="H3330" t="s">
        <v>55</v>
      </c>
      <c r="I3330" s="2">
        <v>17.989999999999998</v>
      </c>
      <c r="J3330">
        <v>1</v>
      </c>
      <c r="K3330" s="2">
        <f t="shared" si="102"/>
        <v>17.989999999999998</v>
      </c>
      <c r="L3330" t="s">
        <v>37</v>
      </c>
      <c r="M3330">
        <v>1</v>
      </c>
      <c r="N3330">
        <v>0.01</v>
      </c>
      <c r="O3330" t="str">
        <f t="shared" si="103"/>
        <v>0–0.2 hours</v>
      </c>
      <c r="P3330" t="s">
        <v>25</v>
      </c>
    </row>
    <row r="3331" spans="1:16" x14ac:dyDescent="0.4">
      <c r="A3331" t="s">
        <v>3372</v>
      </c>
      <c r="B3331">
        <v>65</v>
      </c>
      <c r="C3331" t="s">
        <v>41</v>
      </c>
      <c r="D3331" t="s">
        <v>22</v>
      </c>
      <c r="E3331">
        <v>4.05</v>
      </c>
      <c r="F3331">
        <v>45</v>
      </c>
      <c r="G3331" t="s">
        <v>28</v>
      </c>
      <c r="H3331" t="s">
        <v>24</v>
      </c>
      <c r="I3331" s="2">
        <v>13.99</v>
      </c>
      <c r="J3331">
        <v>1</v>
      </c>
      <c r="K3331" s="2">
        <f t="shared" ref="K3331:K3394" si="104">SUMIF(J3331,1,I3331)</f>
        <v>13.99</v>
      </c>
      <c r="L3331" t="s">
        <v>19</v>
      </c>
      <c r="M3331">
        <v>4</v>
      </c>
      <c r="N3331">
        <v>0.09</v>
      </c>
      <c r="O3331" t="str">
        <f t="shared" ref="O3331:O3394" si="105">IF(N3331&gt;1,"1+ hours",IF(N3331&lt;=0.2,"0–0.2 hours",IF(N3331&lt;=0.4,"0.2–0.4 hours",IF(N3331&lt;=0.6,"0.4–0.6 hours",IF(N3331&lt;=0.8,"0.6–0.8 hours","0.8–1 hour")))))</f>
        <v>0–0.2 hours</v>
      </c>
      <c r="P3331" t="s">
        <v>25</v>
      </c>
    </row>
    <row r="3332" spans="1:16" x14ac:dyDescent="0.4">
      <c r="A3332" t="s">
        <v>3373</v>
      </c>
      <c r="B3332">
        <v>25</v>
      </c>
      <c r="C3332" t="s">
        <v>15</v>
      </c>
      <c r="D3332" t="s">
        <v>22</v>
      </c>
      <c r="E3332">
        <v>18.23</v>
      </c>
      <c r="F3332">
        <v>26</v>
      </c>
      <c r="G3332" t="s">
        <v>17</v>
      </c>
      <c r="H3332" t="s">
        <v>55</v>
      </c>
      <c r="I3332" s="2">
        <v>13.99</v>
      </c>
      <c r="J3332">
        <v>0</v>
      </c>
      <c r="K3332" s="2">
        <f t="shared" si="104"/>
        <v>0</v>
      </c>
      <c r="L3332" t="s">
        <v>43</v>
      </c>
      <c r="M3332">
        <v>2</v>
      </c>
      <c r="N3332">
        <v>0.68</v>
      </c>
      <c r="O3332" t="str">
        <f t="shared" si="105"/>
        <v>0.6–0.8 hours</v>
      </c>
      <c r="P3332" t="s">
        <v>34</v>
      </c>
    </row>
    <row r="3333" spans="1:16" x14ac:dyDescent="0.4">
      <c r="A3333" t="s">
        <v>3374</v>
      </c>
      <c r="B3333">
        <v>63</v>
      </c>
      <c r="C3333" t="s">
        <v>27</v>
      </c>
      <c r="D3333" t="s">
        <v>22</v>
      </c>
      <c r="E3333">
        <v>6.42</v>
      </c>
      <c r="F3333">
        <v>17</v>
      </c>
      <c r="G3333" t="s">
        <v>23</v>
      </c>
      <c r="H3333" t="s">
        <v>57</v>
      </c>
      <c r="I3333" s="2">
        <v>13.99</v>
      </c>
      <c r="J3333">
        <v>0</v>
      </c>
      <c r="K3333" s="2">
        <f t="shared" si="104"/>
        <v>0</v>
      </c>
      <c r="L3333" t="s">
        <v>29</v>
      </c>
      <c r="M3333">
        <v>4</v>
      </c>
      <c r="N3333">
        <v>0.36</v>
      </c>
      <c r="O3333" t="str">
        <f t="shared" si="105"/>
        <v>0.2–0.4 hours</v>
      </c>
      <c r="P3333" t="s">
        <v>20</v>
      </c>
    </row>
    <row r="3334" spans="1:16" x14ac:dyDescent="0.4">
      <c r="A3334" t="s">
        <v>3375</v>
      </c>
      <c r="B3334">
        <v>56</v>
      </c>
      <c r="C3334" t="s">
        <v>27</v>
      </c>
      <c r="D3334" t="s">
        <v>32</v>
      </c>
      <c r="E3334">
        <v>14.39</v>
      </c>
      <c r="F3334">
        <v>38</v>
      </c>
      <c r="G3334" t="s">
        <v>28</v>
      </c>
      <c r="H3334" t="s">
        <v>57</v>
      </c>
      <c r="I3334" s="2">
        <v>17.989999999999998</v>
      </c>
      <c r="J3334">
        <v>1</v>
      </c>
      <c r="K3334" s="2">
        <f t="shared" si="104"/>
        <v>17.989999999999998</v>
      </c>
      <c r="L3334" t="s">
        <v>61</v>
      </c>
      <c r="M3334">
        <v>3</v>
      </c>
      <c r="N3334">
        <v>0.37</v>
      </c>
      <c r="O3334" t="str">
        <f t="shared" si="105"/>
        <v>0.2–0.4 hours</v>
      </c>
      <c r="P3334" t="s">
        <v>47</v>
      </c>
    </row>
    <row r="3335" spans="1:16" x14ac:dyDescent="0.4">
      <c r="A3335" t="s">
        <v>3376</v>
      </c>
      <c r="B3335">
        <v>47</v>
      </c>
      <c r="C3335" t="s">
        <v>15</v>
      </c>
      <c r="D3335" t="s">
        <v>16</v>
      </c>
      <c r="E3335">
        <v>13.22</v>
      </c>
      <c r="F3335">
        <v>8</v>
      </c>
      <c r="G3335" t="s">
        <v>70</v>
      </c>
      <c r="H3335" t="s">
        <v>24</v>
      </c>
      <c r="I3335" s="2">
        <v>8.99</v>
      </c>
      <c r="J3335">
        <v>0</v>
      </c>
      <c r="K3335" s="2">
        <f t="shared" si="104"/>
        <v>0</v>
      </c>
      <c r="L3335" t="s">
        <v>29</v>
      </c>
      <c r="M3335">
        <v>4</v>
      </c>
      <c r="N3335">
        <v>1.47</v>
      </c>
      <c r="O3335" t="str">
        <f t="shared" si="105"/>
        <v>1+ hours</v>
      </c>
      <c r="P3335" t="s">
        <v>20</v>
      </c>
    </row>
    <row r="3336" spans="1:16" x14ac:dyDescent="0.4">
      <c r="A3336" t="s">
        <v>3377</v>
      </c>
      <c r="B3336">
        <v>29</v>
      </c>
      <c r="C3336" t="s">
        <v>27</v>
      </c>
      <c r="D3336" t="s">
        <v>22</v>
      </c>
      <c r="E3336">
        <v>1.1200000000000001</v>
      </c>
      <c r="F3336">
        <v>60</v>
      </c>
      <c r="G3336" t="s">
        <v>28</v>
      </c>
      <c r="H3336" t="s">
        <v>55</v>
      </c>
      <c r="I3336" s="2">
        <v>13.99</v>
      </c>
      <c r="J3336">
        <v>1</v>
      </c>
      <c r="K3336" s="2">
        <f t="shared" si="104"/>
        <v>13.99</v>
      </c>
      <c r="L3336" t="s">
        <v>43</v>
      </c>
      <c r="M3336">
        <v>5</v>
      </c>
      <c r="N3336">
        <v>0.02</v>
      </c>
      <c r="O3336" t="str">
        <f t="shared" si="105"/>
        <v>0–0.2 hours</v>
      </c>
      <c r="P3336" t="s">
        <v>34</v>
      </c>
    </row>
    <row r="3337" spans="1:16" x14ac:dyDescent="0.4">
      <c r="A3337" t="s">
        <v>3378</v>
      </c>
      <c r="B3337">
        <v>52</v>
      </c>
      <c r="C3337" t="s">
        <v>27</v>
      </c>
      <c r="D3337" t="s">
        <v>22</v>
      </c>
      <c r="E3337">
        <v>8.4499999999999993</v>
      </c>
      <c r="F3337">
        <v>28</v>
      </c>
      <c r="G3337" t="s">
        <v>70</v>
      </c>
      <c r="H3337" t="s">
        <v>46</v>
      </c>
      <c r="I3337" s="2">
        <v>13.99</v>
      </c>
      <c r="J3337">
        <v>0</v>
      </c>
      <c r="K3337" s="2">
        <f t="shared" si="104"/>
        <v>0</v>
      </c>
      <c r="L3337" t="s">
        <v>19</v>
      </c>
      <c r="M3337">
        <v>2</v>
      </c>
      <c r="N3337">
        <v>0.28999999999999998</v>
      </c>
      <c r="O3337" t="str">
        <f t="shared" si="105"/>
        <v>0.2–0.4 hours</v>
      </c>
      <c r="P3337" t="s">
        <v>20</v>
      </c>
    </row>
    <row r="3338" spans="1:16" x14ac:dyDescent="0.4">
      <c r="A3338" t="s">
        <v>3379</v>
      </c>
      <c r="B3338">
        <v>26</v>
      </c>
      <c r="C3338" t="s">
        <v>41</v>
      </c>
      <c r="D3338" t="s">
        <v>22</v>
      </c>
      <c r="E3338">
        <v>0.89</v>
      </c>
      <c r="F3338">
        <v>25</v>
      </c>
      <c r="G3338" t="s">
        <v>49</v>
      </c>
      <c r="H3338" t="s">
        <v>18</v>
      </c>
      <c r="I3338" s="2">
        <v>13.99</v>
      </c>
      <c r="J3338">
        <v>1</v>
      </c>
      <c r="K3338" s="2">
        <f t="shared" si="104"/>
        <v>13.99</v>
      </c>
      <c r="L3338" t="s">
        <v>61</v>
      </c>
      <c r="M3338">
        <v>2</v>
      </c>
      <c r="N3338">
        <v>0.03</v>
      </c>
      <c r="O3338" t="str">
        <f t="shared" si="105"/>
        <v>0–0.2 hours</v>
      </c>
      <c r="P3338" t="s">
        <v>20</v>
      </c>
    </row>
    <row r="3339" spans="1:16" x14ac:dyDescent="0.4">
      <c r="A3339" t="s">
        <v>3380</v>
      </c>
      <c r="B3339">
        <v>39</v>
      </c>
      <c r="C3339" t="s">
        <v>27</v>
      </c>
      <c r="D3339" t="s">
        <v>32</v>
      </c>
      <c r="E3339">
        <v>7.21</v>
      </c>
      <c r="F3339">
        <v>42</v>
      </c>
      <c r="G3339" t="s">
        <v>17</v>
      </c>
      <c r="H3339" t="s">
        <v>57</v>
      </c>
      <c r="I3339" s="2">
        <v>17.989999999999998</v>
      </c>
      <c r="J3339">
        <v>1</v>
      </c>
      <c r="K3339" s="2">
        <f t="shared" si="104"/>
        <v>17.989999999999998</v>
      </c>
      <c r="L3339" t="s">
        <v>43</v>
      </c>
      <c r="M3339">
        <v>2</v>
      </c>
      <c r="N3339">
        <v>0.17</v>
      </c>
      <c r="O3339" t="str">
        <f t="shared" si="105"/>
        <v>0–0.2 hours</v>
      </c>
      <c r="P3339" t="s">
        <v>20</v>
      </c>
    </row>
    <row r="3340" spans="1:16" x14ac:dyDescent="0.4">
      <c r="A3340" t="s">
        <v>3381</v>
      </c>
      <c r="B3340">
        <v>46</v>
      </c>
      <c r="C3340" t="s">
        <v>15</v>
      </c>
      <c r="D3340" t="s">
        <v>22</v>
      </c>
      <c r="E3340">
        <v>40.93</v>
      </c>
      <c r="F3340">
        <v>39</v>
      </c>
      <c r="G3340" t="s">
        <v>70</v>
      </c>
      <c r="H3340" t="s">
        <v>57</v>
      </c>
      <c r="I3340" s="2">
        <v>13.99</v>
      </c>
      <c r="J3340">
        <v>0</v>
      </c>
      <c r="K3340" s="2">
        <f t="shared" si="104"/>
        <v>0</v>
      </c>
      <c r="L3340" t="s">
        <v>29</v>
      </c>
      <c r="M3340">
        <v>4</v>
      </c>
      <c r="N3340">
        <v>1.02</v>
      </c>
      <c r="O3340" t="str">
        <f t="shared" si="105"/>
        <v>1+ hours</v>
      </c>
      <c r="P3340" t="s">
        <v>34</v>
      </c>
    </row>
    <row r="3341" spans="1:16" x14ac:dyDescent="0.4">
      <c r="A3341" t="s">
        <v>3382</v>
      </c>
      <c r="B3341">
        <v>22</v>
      </c>
      <c r="C3341" t="s">
        <v>41</v>
      </c>
      <c r="D3341" t="s">
        <v>16</v>
      </c>
      <c r="E3341">
        <v>0.75</v>
      </c>
      <c r="F3341">
        <v>10</v>
      </c>
      <c r="G3341" t="s">
        <v>49</v>
      </c>
      <c r="H3341" t="s">
        <v>24</v>
      </c>
      <c r="I3341" s="2">
        <v>8.99</v>
      </c>
      <c r="J3341">
        <v>1</v>
      </c>
      <c r="K3341" s="2">
        <f t="shared" si="104"/>
        <v>8.99</v>
      </c>
      <c r="L3341" t="s">
        <v>19</v>
      </c>
      <c r="M3341">
        <v>3</v>
      </c>
      <c r="N3341">
        <v>7.0000000000000007E-2</v>
      </c>
      <c r="O3341" t="str">
        <f t="shared" si="105"/>
        <v>0–0.2 hours</v>
      </c>
      <c r="P3341" t="s">
        <v>25</v>
      </c>
    </row>
    <row r="3342" spans="1:16" x14ac:dyDescent="0.4">
      <c r="A3342" t="s">
        <v>3383</v>
      </c>
      <c r="B3342">
        <v>36</v>
      </c>
      <c r="C3342" t="s">
        <v>41</v>
      </c>
      <c r="D3342" t="s">
        <v>32</v>
      </c>
      <c r="E3342">
        <v>25.23</v>
      </c>
      <c r="F3342">
        <v>53</v>
      </c>
      <c r="G3342" t="s">
        <v>17</v>
      </c>
      <c r="H3342" t="s">
        <v>24</v>
      </c>
      <c r="I3342" s="2">
        <v>17.989999999999998</v>
      </c>
      <c r="J3342">
        <v>0</v>
      </c>
      <c r="K3342" s="2">
        <f t="shared" si="104"/>
        <v>0</v>
      </c>
      <c r="L3342" t="s">
        <v>29</v>
      </c>
      <c r="M3342">
        <v>2</v>
      </c>
      <c r="N3342">
        <v>0.47</v>
      </c>
      <c r="O3342" t="str">
        <f t="shared" si="105"/>
        <v>0.4–0.6 hours</v>
      </c>
      <c r="P3342" t="s">
        <v>25</v>
      </c>
    </row>
    <row r="3343" spans="1:16" x14ac:dyDescent="0.4">
      <c r="A3343" t="s">
        <v>3384</v>
      </c>
      <c r="B3343">
        <v>40</v>
      </c>
      <c r="C3343" t="s">
        <v>15</v>
      </c>
      <c r="D3343" t="s">
        <v>16</v>
      </c>
      <c r="E3343">
        <v>4.68</v>
      </c>
      <c r="F3343">
        <v>25</v>
      </c>
      <c r="G3343" t="s">
        <v>17</v>
      </c>
      <c r="H3343" t="s">
        <v>57</v>
      </c>
      <c r="I3343" s="2">
        <v>8.99</v>
      </c>
      <c r="J3343">
        <v>1</v>
      </c>
      <c r="K3343" s="2">
        <f t="shared" si="104"/>
        <v>8.99</v>
      </c>
      <c r="L3343" t="s">
        <v>43</v>
      </c>
      <c r="M3343">
        <v>5</v>
      </c>
      <c r="N3343">
        <v>0.18</v>
      </c>
      <c r="O3343" t="str">
        <f t="shared" si="105"/>
        <v>0–0.2 hours</v>
      </c>
      <c r="P3343" t="s">
        <v>20</v>
      </c>
    </row>
    <row r="3344" spans="1:16" x14ac:dyDescent="0.4">
      <c r="A3344" t="s">
        <v>3385</v>
      </c>
      <c r="B3344">
        <v>29</v>
      </c>
      <c r="C3344" t="s">
        <v>41</v>
      </c>
      <c r="D3344" t="s">
        <v>22</v>
      </c>
      <c r="E3344">
        <v>35.97</v>
      </c>
      <c r="F3344">
        <v>10</v>
      </c>
      <c r="G3344" t="s">
        <v>49</v>
      </c>
      <c r="H3344" t="s">
        <v>55</v>
      </c>
      <c r="I3344" s="2">
        <v>13.99</v>
      </c>
      <c r="J3344">
        <v>0</v>
      </c>
      <c r="K3344" s="2">
        <f t="shared" si="104"/>
        <v>0</v>
      </c>
      <c r="L3344" t="s">
        <v>37</v>
      </c>
      <c r="M3344">
        <v>4</v>
      </c>
      <c r="N3344">
        <v>3.27</v>
      </c>
      <c r="O3344" t="str">
        <f t="shared" si="105"/>
        <v>1+ hours</v>
      </c>
      <c r="P3344" t="s">
        <v>39</v>
      </c>
    </row>
    <row r="3345" spans="1:16" x14ac:dyDescent="0.4">
      <c r="A3345" t="s">
        <v>3386</v>
      </c>
      <c r="B3345">
        <v>53</v>
      </c>
      <c r="C3345" t="s">
        <v>27</v>
      </c>
      <c r="D3345" t="s">
        <v>22</v>
      </c>
      <c r="E3345">
        <v>6.2</v>
      </c>
      <c r="F3345">
        <v>5</v>
      </c>
      <c r="G3345" t="s">
        <v>33</v>
      </c>
      <c r="H3345" t="s">
        <v>55</v>
      </c>
      <c r="I3345" s="2">
        <v>13.99</v>
      </c>
      <c r="J3345">
        <v>0</v>
      </c>
      <c r="K3345" s="2">
        <f t="shared" si="104"/>
        <v>0</v>
      </c>
      <c r="L3345" t="s">
        <v>19</v>
      </c>
      <c r="M3345">
        <v>4</v>
      </c>
      <c r="N3345">
        <v>1.03</v>
      </c>
      <c r="O3345" t="str">
        <f t="shared" si="105"/>
        <v>1+ hours</v>
      </c>
      <c r="P3345" t="s">
        <v>52</v>
      </c>
    </row>
    <row r="3346" spans="1:16" x14ac:dyDescent="0.4">
      <c r="A3346" t="s">
        <v>3387</v>
      </c>
      <c r="B3346">
        <v>43</v>
      </c>
      <c r="C3346" t="s">
        <v>15</v>
      </c>
      <c r="D3346" t="s">
        <v>22</v>
      </c>
      <c r="E3346">
        <v>13.53</v>
      </c>
      <c r="F3346">
        <v>15</v>
      </c>
      <c r="G3346" t="s">
        <v>23</v>
      </c>
      <c r="H3346" t="s">
        <v>57</v>
      </c>
      <c r="I3346" s="2">
        <v>13.99</v>
      </c>
      <c r="J3346">
        <v>0</v>
      </c>
      <c r="K3346" s="2">
        <f t="shared" si="104"/>
        <v>0</v>
      </c>
      <c r="L3346" t="s">
        <v>37</v>
      </c>
      <c r="M3346">
        <v>4</v>
      </c>
      <c r="N3346">
        <v>0.85</v>
      </c>
      <c r="O3346" t="str">
        <f t="shared" si="105"/>
        <v>0.8–1 hour</v>
      </c>
      <c r="P3346" t="s">
        <v>47</v>
      </c>
    </row>
    <row r="3347" spans="1:16" x14ac:dyDescent="0.4">
      <c r="A3347" t="s">
        <v>3388</v>
      </c>
      <c r="B3347">
        <v>40</v>
      </c>
      <c r="C3347" t="s">
        <v>27</v>
      </c>
      <c r="D3347" t="s">
        <v>32</v>
      </c>
      <c r="E3347">
        <v>0.17</v>
      </c>
      <c r="F3347">
        <v>58</v>
      </c>
      <c r="G3347" t="s">
        <v>49</v>
      </c>
      <c r="H3347" t="s">
        <v>55</v>
      </c>
      <c r="I3347" s="2">
        <v>17.989999999999998</v>
      </c>
      <c r="J3347">
        <v>1</v>
      </c>
      <c r="K3347" s="2">
        <f t="shared" si="104"/>
        <v>17.989999999999998</v>
      </c>
      <c r="L3347" t="s">
        <v>19</v>
      </c>
      <c r="M3347">
        <v>5</v>
      </c>
      <c r="N3347">
        <v>0</v>
      </c>
      <c r="O3347" t="str">
        <f t="shared" si="105"/>
        <v>0–0.2 hours</v>
      </c>
      <c r="P3347" t="s">
        <v>34</v>
      </c>
    </row>
    <row r="3348" spans="1:16" x14ac:dyDescent="0.4">
      <c r="A3348" t="s">
        <v>3389</v>
      </c>
      <c r="B3348">
        <v>40</v>
      </c>
      <c r="C3348" t="s">
        <v>27</v>
      </c>
      <c r="D3348" t="s">
        <v>32</v>
      </c>
      <c r="E3348">
        <v>30.61</v>
      </c>
      <c r="F3348">
        <v>35</v>
      </c>
      <c r="G3348" t="s">
        <v>23</v>
      </c>
      <c r="H3348" t="s">
        <v>18</v>
      </c>
      <c r="I3348" s="2">
        <v>17.989999999999998</v>
      </c>
      <c r="J3348">
        <v>0</v>
      </c>
      <c r="K3348" s="2">
        <f t="shared" si="104"/>
        <v>0</v>
      </c>
      <c r="L3348" t="s">
        <v>37</v>
      </c>
      <c r="M3348">
        <v>3</v>
      </c>
      <c r="N3348">
        <v>0.85</v>
      </c>
      <c r="O3348" t="str">
        <f t="shared" si="105"/>
        <v>0.8–1 hour</v>
      </c>
      <c r="P3348" t="s">
        <v>39</v>
      </c>
    </row>
    <row r="3349" spans="1:16" x14ac:dyDescent="0.4">
      <c r="A3349" t="s">
        <v>3390</v>
      </c>
      <c r="B3349">
        <v>69</v>
      </c>
      <c r="C3349" t="s">
        <v>27</v>
      </c>
      <c r="D3349" t="s">
        <v>22</v>
      </c>
      <c r="E3349">
        <v>4.53</v>
      </c>
      <c r="F3349">
        <v>16</v>
      </c>
      <c r="G3349" t="s">
        <v>23</v>
      </c>
      <c r="H3349" t="s">
        <v>46</v>
      </c>
      <c r="I3349" s="2">
        <v>13.99</v>
      </c>
      <c r="J3349">
        <v>1</v>
      </c>
      <c r="K3349" s="2">
        <f t="shared" si="104"/>
        <v>13.99</v>
      </c>
      <c r="L3349" t="s">
        <v>29</v>
      </c>
      <c r="M3349">
        <v>2</v>
      </c>
      <c r="N3349">
        <v>0.27</v>
      </c>
      <c r="O3349" t="str">
        <f t="shared" si="105"/>
        <v>0.2–0.4 hours</v>
      </c>
      <c r="P3349" t="s">
        <v>34</v>
      </c>
    </row>
    <row r="3350" spans="1:16" x14ac:dyDescent="0.4">
      <c r="A3350" t="s">
        <v>3391</v>
      </c>
      <c r="B3350">
        <v>29</v>
      </c>
      <c r="C3350" t="s">
        <v>41</v>
      </c>
      <c r="D3350" t="s">
        <v>16</v>
      </c>
      <c r="E3350">
        <v>14.23</v>
      </c>
      <c r="F3350">
        <v>4</v>
      </c>
      <c r="G3350" t="s">
        <v>23</v>
      </c>
      <c r="H3350" t="s">
        <v>55</v>
      </c>
      <c r="I3350" s="2">
        <v>8.99</v>
      </c>
      <c r="J3350">
        <v>0</v>
      </c>
      <c r="K3350" s="2">
        <f t="shared" si="104"/>
        <v>0</v>
      </c>
      <c r="L3350" t="s">
        <v>61</v>
      </c>
      <c r="M3350">
        <v>2</v>
      </c>
      <c r="N3350">
        <v>2.85</v>
      </c>
      <c r="O3350" t="str">
        <f t="shared" si="105"/>
        <v>1+ hours</v>
      </c>
      <c r="P3350" t="s">
        <v>52</v>
      </c>
    </row>
    <row r="3351" spans="1:16" x14ac:dyDescent="0.4">
      <c r="A3351" t="s">
        <v>3392</v>
      </c>
      <c r="B3351">
        <v>24</v>
      </c>
      <c r="C3351" t="s">
        <v>27</v>
      </c>
      <c r="D3351" t="s">
        <v>32</v>
      </c>
      <c r="E3351">
        <v>42.14</v>
      </c>
      <c r="F3351">
        <v>8</v>
      </c>
      <c r="G3351" t="s">
        <v>49</v>
      </c>
      <c r="H3351" t="s">
        <v>46</v>
      </c>
      <c r="I3351" s="2">
        <v>17.989999999999998</v>
      </c>
      <c r="J3351">
        <v>0</v>
      </c>
      <c r="K3351" s="2">
        <f t="shared" si="104"/>
        <v>0</v>
      </c>
      <c r="L3351" t="s">
        <v>19</v>
      </c>
      <c r="M3351">
        <v>3</v>
      </c>
      <c r="N3351">
        <v>4.68</v>
      </c>
      <c r="O3351" t="str">
        <f t="shared" si="105"/>
        <v>1+ hours</v>
      </c>
      <c r="P3351" t="s">
        <v>34</v>
      </c>
    </row>
    <row r="3352" spans="1:16" x14ac:dyDescent="0.4">
      <c r="A3352" t="s">
        <v>3393</v>
      </c>
      <c r="B3352">
        <v>59</v>
      </c>
      <c r="C3352" t="s">
        <v>41</v>
      </c>
      <c r="D3352" t="s">
        <v>22</v>
      </c>
      <c r="E3352">
        <v>2.41</v>
      </c>
      <c r="F3352">
        <v>4</v>
      </c>
      <c r="G3352" t="s">
        <v>28</v>
      </c>
      <c r="H3352" t="s">
        <v>57</v>
      </c>
      <c r="I3352" s="2">
        <v>13.99</v>
      </c>
      <c r="J3352">
        <v>0</v>
      </c>
      <c r="K3352" s="2">
        <f t="shared" si="104"/>
        <v>0</v>
      </c>
      <c r="L3352" t="s">
        <v>37</v>
      </c>
      <c r="M3352">
        <v>2</v>
      </c>
      <c r="N3352">
        <v>0.48</v>
      </c>
      <c r="O3352" t="str">
        <f t="shared" si="105"/>
        <v>0.4–0.6 hours</v>
      </c>
      <c r="P3352" t="s">
        <v>20</v>
      </c>
    </row>
    <row r="3353" spans="1:16" x14ac:dyDescent="0.4">
      <c r="A3353" t="s">
        <v>3394</v>
      </c>
      <c r="B3353">
        <v>51</v>
      </c>
      <c r="C3353" t="s">
        <v>15</v>
      </c>
      <c r="D3353" t="s">
        <v>22</v>
      </c>
      <c r="E3353">
        <v>10.19</v>
      </c>
      <c r="F3353">
        <v>22</v>
      </c>
      <c r="G3353" t="s">
        <v>23</v>
      </c>
      <c r="H3353" t="s">
        <v>18</v>
      </c>
      <c r="I3353" s="2">
        <v>13.99</v>
      </c>
      <c r="J3353">
        <v>0</v>
      </c>
      <c r="K3353" s="2">
        <f t="shared" si="104"/>
        <v>0</v>
      </c>
      <c r="L3353" t="s">
        <v>43</v>
      </c>
      <c r="M3353">
        <v>3</v>
      </c>
      <c r="N3353">
        <v>0.44</v>
      </c>
      <c r="O3353" t="str">
        <f t="shared" si="105"/>
        <v>0.4–0.6 hours</v>
      </c>
      <c r="P3353" t="s">
        <v>34</v>
      </c>
    </row>
    <row r="3354" spans="1:16" x14ac:dyDescent="0.4">
      <c r="A3354" t="s">
        <v>3395</v>
      </c>
      <c r="B3354">
        <v>40</v>
      </c>
      <c r="C3354" t="s">
        <v>15</v>
      </c>
      <c r="D3354" t="s">
        <v>32</v>
      </c>
      <c r="E3354">
        <v>4.13</v>
      </c>
      <c r="F3354">
        <v>58</v>
      </c>
      <c r="G3354" t="s">
        <v>70</v>
      </c>
      <c r="H3354" t="s">
        <v>55</v>
      </c>
      <c r="I3354" s="2">
        <v>17.989999999999998</v>
      </c>
      <c r="J3354">
        <v>1</v>
      </c>
      <c r="K3354" s="2">
        <f t="shared" si="104"/>
        <v>17.989999999999998</v>
      </c>
      <c r="L3354" t="s">
        <v>29</v>
      </c>
      <c r="M3354">
        <v>3</v>
      </c>
      <c r="N3354">
        <v>7.0000000000000007E-2</v>
      </c>
      <c r="O3354" t="str">
        <f t="shared" si="105"/>
        <v>0–0.2 hours</v>
      </c>
      <c r="P3354" t="s">
        <v>20</v>
      </c>
    </row>
    <row r="3355" spans="1:16" x14ac:dyDescent="0.4">
      <c r="A3355" t="s">
        <v>3396</v>
      </c>
      <c r="B3355">
        <v>19</v>
      </c>
      <c r="C3355" t="s">
        <v>41</v>
      </c>
      <c r="D3355" t="s">
        <v>22</v>
      </c>
      <c r="E3355">
        <v>6.08</v>
      </c>
      <c r="F3355">
        <v>44</v>
      </c>
      <c r="G3355" t="s">
        <v>17</v>
      </c>
      <c r="H3355" t="s">
        <v>24</v>
      </c>
      <c r="I3355" s="2">
        <v>13.99</v>
      </c>
      <c r="J3355">
        <v>1</v>
      </c>
      <c r="K3355" s="2">
        <f t="shared" si="104"/>
        <v>13.99</v>
      </c>
      <c r="L3355" t="s">
        <v>29</v>
      </c>
      <c r="M3355">
        <v>1</v>
      </c>
      <c r="N3355">
        <v>0.14000000000000001</v>
      </c>
      <c r="O3355" t="str">
        <f t="shared" si="105"/>
        <v>0–0.2 hours</v>
      </c>
      <c r="P3355" t="s">
        <v>30</v>
      </c>
    </row>
    <row r="3356" spans="1:16" x14ac:dyDescent="0.4">
      <c r="A3356" t="s">
        <v>3397</v>
      </c>
      <c r="B3356">
        <v>52</v>
      </c>
      <c r="C3356" t="s">
        <v>41</v>
      </c>
      <c r="D3356" t="s">
        <v>32</v>
      </c>
      <c r="E3356">
        <v>33.130000000000003</v>
      </c>
      <c r="F3356">
        <v>27</v>
      </c>
      <c r="G3356" t="s">
        <v>70</v>
      </c>
      <c r="H3356" t="s">
        <v>18</v>
      </c>
      <c r="I3356" s="2">
        <v>17.989999999999998</v>
      </c>
      <c r="J3356">
        <v>0</v>
      </c>
      <c r="K3356" s="2">
        <f t="shared" si="104"/>
        <v>0</v>
      </c>
      <c r="L3356" t="s">
        <v>29</v>
      </c>
      <c r="M3356">
        <v>4</v>
      </c>
      <c r="N3356">
        <v>1.18</v>
      </c>
      <c r="O3356" t="str">
        <f t="shared" si="105"/>
        <v>1+ hours</v>
      </c>
      <c r="P3356" t="s">
        <v>25</v>
      </c>
    </row>
    <row r="3357" spans="1:16" x14ac:dyDescent="0.4">
      <c r="A3357" t="s">
        <v>3398</v>
      </c>
      <c r="B3357">
        <v>20</v>
      </c>
      <c r="C3357" t="s">
        <v>41</v>
      </c>
      <c r="D3357" t="s">
        <v>22</v>
      </c>
      <c r="E3357">
        <v>5.0599999999999996</v>
      </c>
      <c r="F3357">
        <v>25</v>
      </c>
      <c r="G3357" t="s">
        <v>28</v>
      </c>
      <c r="H3357" t="s">
        <v>18</v>
      </c>
      <c r="I3357" s="2">
        <v>13.99</v>
      </c>
      <c r="J3357">
        <v>0</v>
      </c>
      <c r="K3357" s="2">
        <f t="shared" si="104"/>
        <v>0</v>
      </c>
      <c r="L3357" t="s">
        <v>19</v>
      </c>
      <c r="M3357">
        <v>4</v>
      </c>
      <c r="N3357">
        <v>0.19</v>
      </c>
      <c r="O3357" t="str">
        <f t="shared" si="105"/>
        <v>0–0.2 hours</v>
      </c>
      <c r="P3357" t="s">
        <v>52</v>
      </c>
    </row>
    <row r="3358" spans="1:16" x14ac:dyDescent="0.4">
      <c r="A3358" t="s">
        <v>3399</v>
      </c>
      <c r="B3358">
        <v>26</v>
      </c>
      <c r="C3358" t="s">
        <v>27</v>
      </c>
      <c r="D3358" t="s">
        <v>22</v>
      </c>
      <c r="E3358">
        <v>11.7</v>
      </c>
      <c r="F3358">
        <v>7</v>
      </c>
      <c r="G3358" t="s">
        <v>70</v>
      </c>
      <c r="H3358" t="s">
        <v>57</v>
      </c>
      <c r="I3358" s="2">
        <v>13.99</v>
      </c>
      <c r="J3358">
        <v>0</v>
      </c>
      <c r="K3358" s="2">
        <f t="shared" si="104"/>
        <v>0</v>
      </c>
      <c r="L3358" t="s">
        <v>29</v>
      </c>
      <c r="M3358">
        <v>5</v>
      </c>
      <c r="N3358">
        <v>1.46</v>
      </c>
      <c r="O3358" t="str">
        <f t="shared" si="105"/>
        <v>1+ hours</v>
      </c>
      <c r="P3358" t="s">
        <v>20</v>
      </c>
    </row>
    <row r="3359" spans="1:16" x14ac:dyDescent="0.4">
      <c r="A3359" t="s">
        <v>3400</v>
      </c>
      <c r="B3359">
        <v>66</v>
      </c>
      <c r="C3359" t="s">
        <v>41</v>
      </c>
      <c r="D3359" t="s">
        <v>16</v>
      </c>
      <c r="E3359">
        <v>7</v>
      </c>
      <c r="F3359">
        <v>39</v>
      </c>
      <c r="G3359" t="s">
        <v>28</v>
      </c>
      <c r="H3359" t="s">
        <v>18</v>
      </c>
      <c r="I3359" s="2">
        <v>8.99</v>
      </c>
      <c r="J3359">
        <v>1</v>
      </c>
      <c r="K3359" s="2">
        <f t="shared" si="104"/>
        <v>8.99</v>
      </c>
      <c r="L3359" t="s">
        <v>37</v>
      </c>
      <c r="M3359">
        <v>2</v>
      </c>
      <c r="N3359">
        <v>0.17</v>
      </c>
      <c r="O3359" t="str">
        <f t="shared" si="105"/>
        <v>0–0.2 hours</v>
      </c>
      <c r="P3359" t="s">
        <v>25</v>
      </c>
    </row>
    <row r="3360" spans="1:16" x14ac:dyDescent="0.4">
      <c r="A3360" t="s">
        <v>3401</v>
      </c>
      <c r="B3360">
        <v>48</v>
      </c>
      <c r="C3360" t="s">
        <v>15</v>
      </c>
      <c r="D3360" t="s">
        <v>16</v>
      </c>
      <c r="E3360">
        <v>21.91</v>
      </c>
      <c r="F3360">
        <v>52</v>
      </c>
      <c r="G3360" t="s">
        <v>70</v>
      </c>
      <c r="H3360" t="s">
        <v>55</v>
      </c>
      <c r="I3360" s="2">
        <v>8.99</v>
      </c>
      <c r="J3360">
        <v>1</v>
      </c>
      <c r="K3360" s="2">
        <f t="shared" si="104"/>
        <v>8.99</v>
      </c>
      <c r="L3360" t="s">
        <v>19</v>
      </c>
      <c r="M3360">
        <v>5</v>
      </c>
      <c r="N3360">
        <v>0.41</v>
      </c>
      <c r="O3360" t="str">
        <f t="shared" si="105"/>
        <v>0.4–0.6 hours</v>
      </c>
      <c r="P3360" t="s">
        <v>47</v>
      </c>
    </row>
    <row r="3361" spans="1:16" x14ac:dyDescent="0.4">
      <c r="A3361" t="s">
        <v>3402</v>
      </c>
      <c r="B3361">
        <v>56</v>
      </c>
      <c r="C3361" t="s">
        <v>27</v>
      </c>
      <c r="D3361" t="s">
        <v>22</v>
      </c>
      <c r="E3361">
        <v>21.44</v>
      </c>
      <c r="F3361">
        <v>47</v>
      </c>
      <c r="G3361" t="s">
        <v>23</v>
      </c>
      <c r="H3361" t="s">
        <v>18</v>
      </c>
      <c r="I3361" s="2">
        <v>13.99</v>
      </c>
      <c r="J3361">
        <v>1</v>
      </c>
      <c r="K3361" s="2">
        <f t="shared" si="104"/>
        <v>13.99</v>
      </c>
      <c r="L3361" t="s">
        <v>29</v>
      </c>
      <c r="M3361">
        <v>1</v>
      </c>
      <c r="N3361">
        <v>0.45</v>
      </c>
      <c r="O3361" t="str">
        <f t="shared" si="105"/>
        <v>0.4–0.6 hours</v>
      </c>
      <c r="P3361" t="s">
        <v>47</v>
      </c>
    </row>
    <row r="3362" spans="1:16" x14ac:dyDescent="0.4">
      <c r="A3362" t="s">
        <v>3403</v>
      </c>
      <c r="B3362">
        <v>52</v>
      </c>
      <c r="C3362" t="s">
        <v>41</v>
      </c>
      <c r="D3362" t="s">
        <v>22</v>
      </c>
      <c r="E3362">
        <v>0.33</v>
      </c>
      <c r="F3362">
        <v>14</v>
      </c>
      <c r="G3362" t="s">
        <v>33</v>
      </c>
      <c r="H3362" t="s">
        <v>55</v>
      </c>
      <c r="I3362" s="2">
        <v>13.99</v>
      </c>
      <c r="J3362">
        <v>1</v>
      </c>
      <c r="K3362" s="2">
        <f t="shared" si="104"/>
        <v>13.99</v>
      </c>
      <c r="L3362" t="s">
        <v>19</v>
      </c>
      <c r="M3362">
        <v>2</v>
      </c>
      <c r="N3362">
        <v>0.02</v>
      </c>
      <c r="O3362" t="str">
        <f t="shared" si="105"/>
        <v>0–0.2 hours</v>
      </c>
      <c r="P3362" t="s">
        <v>47</v>
      </c>
    </row>
    <row r="3363" spans="1:16" x14ac:dyDescent="0.4">
      <c r="A3363" t="s">
        <v>3404</v>
      </c>
      <c r="B3363">
        <v>28</v>
      </c>
      <c r="C3363" t="s">
        <v>15</v>
      </c>
      <c r="D3363" t="s">
        <v>22</v>
      </c>
      <c r="E3363">
        <v>2.06</v>
      </c>
      <c r="F3363">
        <v>59</v>
      </c>
      <c r="G3363" t="s">
        <v>28</v>
      </c>
      <c r="H3363" t="s">
        <v>24</v>
      </c>
      <c r="I3363" s="2">
        <v>13.99</v>
      </c>
      <c r="J3363">
        <v>1</v>
      </c>
      <c r="K3363" s="2">
        <f t="shared" si="104"/>
        <v>13.99</v>
      </c>
      <c r="L3363" t="s">
        <v>29</v>
      </c>
      <c r="M3363">
        <v>2</v>
      </c>
      <c r="N3363">
        <v>0.03</v>
      </c>
      <c r="O3363" t="str">
        <f t="shared" si="105"/>
        <v>0–0.2 hours</v>
      </c>
      <c r="P3363" t="s">
        <v>39</v>
      </c>
    </row>
    <row r="3364" spans="1:16" x14ac:dyDescent="0.4">
      <c r="A3364" t="s">
        <v>3405</v>
      </c>
      <c r="B3364">
        <v>26</v>
      </c>
      <c r="C3364" t="s">
        <v>27</v>
      </c>
      <c r="D3364" t="s">
        <v>16</v>
      </c>
      <c r="E3364">
        <v>11.07</v>
      </c>
      <c r="F3364">
        <v>54</v>
      </c>
      <c r="G3364" t="s">
        <v>23</v>
      </c>
      <c r="H3364" t="s">
        <v>46</v>
      </c>
      <c r="I3364" s="2">
        <v>8.99</v>
      </c>
      <c r="J3364">
        <v>1</v>
      </c>
      <c r="K3364" s="2">
        <f t="shared" si="104"/>
        <v>8.99</v>
      </c>
      <c r="L3364" t="s">
        <v>61</v>
      </c>
      <c r="M3364">
        <v>4</v>
      </c>
      <c r="N3364">
        <v>0.2</v>
      </c>
      <c r="O3364" t="str">
        <f t="shared" si="105"/>
        <v>0–0.2 hours</v>
      </c>
      <c r="P3364" t="s">
        <v>30</v>
      </c>
    </row>
    <row r="3365" spans="1:16" x14ac:dyDescent="0.4">
      <c r="A3365" t="s">
        <v>3406</v>
      </c>
      <c r="B3365">
        <v>50</v>
      </c>
      <c r="C3365" t="s">
        <v>41</v>
      </c>
      <c r="D3365" t="s">
        <v>22</v>
      </c>
      <c r="E3365">
        <v>15.65</v>
      </c>
      <c r="F3365">
        <v>27</v>
      </c>
      <c r="G3365" t="s">
        <v>70</v>
      </c>
      <c r="H3365" t="s">
        <v>18</v>
      </c>
      <c r="I3365" s="2">
        <v>13.99</v>
      </c>
      <c r="J3365">
        <v>0</v>
      </c>
      <c r="K3365" s="2">
        <f t="shared" si="104"/>
        <v>0</v>
      </c>
      <c r="L3365" t="s">
        <v>19</v>
      </c>
      <c r="M3365">
        <v>2</v>
      </c>
      <c r="N3365">
        <v>0.56000000000000005</v>
      </c>
      <c r="O3365" t="str">
        <f t="shared" si="105"/>
        <v>0.4–0.6 hours</v>
      </c>
      <c r="P3365" t="s">
        <v>30</v>
      </c>
    </row>
    <row r="3366" spans="1:16" x14ac:dyDescent="0.4">
      <c r="A3366" t="s">
        <v>3407</v>
      </c>
      <c r="B3366">
        <v>49</v>
      </c>
      <c r="C3366" t="s">
        <v>27</v>
      </c>
      <c r="D3366" t="s">
        <v>22</v>
      </c>
      <c r="E3366">
        <v>5.21</v>
      </c>
      <c r="F3366">
        <v>33</v>
      </c>
      <c r="G3366" t="s">
        <v>28</v>
      </c>
      <c r="H3366" t="s">
        <v>55</v>
      </c>
      <c r="I3366" s="2">
        <v>13.99</v>
      </c>
      <c r="J3366">
        <v>1</v>
      </c>
      <c r="K3366" s="2">
        <f t="shared" si="104"/>
        <v>13.99</v>
      </c>
      <c r="L3366" t="s">
        <v>29</v>
      </c>
      <c r="M3366">
        <v>4</v>
      </c>
      <c r="N3366">
        <v>0.15</v>
      </c>
      <c r="O3366" t="str">
        <f t="shared" si="105"/>
        <v>0–0.2 hours</v>
      </c>
      <c r="P3366" t="s">
        <v>52</v>
      </c>
    </row>
    <row r="3367" spans="1:16" x14ac:dyDescent="0.4">
      <c r="A3367" t="s">
        <v>3408</v>
      </c>
      <c r="B3367">
        <v>37</v>
      </c>
      <c r="C3367" t="s">
        <v>27</v>
      </c>
      <c r="D3367" t="s">
        <v>16</v>
      </c>
      <c r="E3367">
        <v>4.6900000000000004</v>
      </c>
      <c r="F3367">
        <v>25</v>
      </c>
      <c r="G3367" t="s">
        <v>23</v>
      </c>
      <c r="H3367" t="s">
        <v>57</v>
      </c>
      <c r="I3367" s="2">
        <v>8.99</v>
      </c>
      <c r="J3367">
        <v>1</v>
      </c>
      <c r="K3367" s="2">
        <f t="shared" si="104"/>
        <v>8.99</v>
      </c>
      <c r="L3367" t="s">
        <v>19</v>
      </c>
      <c r="M3367">
        <v>4</v>
      </c>
      <c r="N3367">
        <v>0.18</v>
      </c>
      <c r="O3367" t="str">
        <f t="shared" si="105"/>
        <v>0–0.2 hours</v>
      </c>
      <c r="P3367" t="s">
        <v>39</v>
      </c>
    </row>
    <row r="3368" spans="1:16" x14ac:dyDescent="0.4">
      <c r="A3368" t="s">
        <v>3409</v>
      </c>
      <c r="B3368">
        <v>38</v>
      </c>
      <c r="C3368" t="s">
        <v>41</v>
      </c>
      <c r="D3368" t="s">
        <v>32</v>
      </c>
      <c r="E3368">
        <v>2.2400000000000002</v>
      </c>
      <c r="F3368">
        <v>58</v>
      </c>
      <c r="G3368" t="s">
        <v>17</v>
      </c>
      <c r="H3368" t="s">
        <v>46</v>
      </c>
      <c r="I3368" s="2">
        <v>17.989999999999998</v>
      </c>
      <c r="J3368">
        <v>1</v>
      </c>
      <c r="K3368" s="2">
        <f t="shared" si="104"/>
        <v>17.989999999999998</v>
      </c>
      <c r="L3368" t="s">
        <v>37</v>
      </c>
      <c r="M3368">
        <v>4</v>
      </c>
      <c r="N3368">
        <v>0.04</v>
      </c>
      <c r="O3368" t="str">
        <f t="shared" si="105"/>
        <v>0–0.2 hours</v>
      </c>
      <c r="P3368" t="s">
        <v>52</v>
      </c>
    </row>
    <row r="3369" spans="1:16" x14ac:dyDescent="0.4">
      <c r="A3369" t="s">
        <v>3410</v>
      </c>
      <c r="B3369">
        <v>62</v>
      </c>
      <c r="C3369" t="s">
        <v>27</v>
      </c>
      <c r="D3369" t="s">
        <v>22</v>
      </c>
      <c r="E3369">
        <v>26.88</v>
      </c>
      <c r="F3369">
        <v>55</v>
      </c>
      <c r="G3369" t="s">
        <v>28</v>
      </c>
      <c r="H3369" t="s">
        <v>18</v>
      </c>
      <c r="I3369" s="2">
        <v>13.99</v>
      </c>
      <c r="J3369">
        <v>0</v>
      </c>
      <c r="K3369" s="2">
        <f t="shared" si="104"/>
        <v>0</v>
      </c>
      <c r="L3369" t="s">
        <v>43</v>
      </c>
      <c r="M3369">
        <v>4</v>
      </c>
      <c r="N3369">
        <v>0.48</v>
      </c>
      <c r="O3369" t="str">
        <f t="shared" si="105"/>
        <v>0.4–0.6 hours</v>
      </c>
      <c r="P3369" t="s">
        <v>39</v>
      </c>
    </row>
    <row r="3370" spans="1:16" x14ac:dyDescent="0.4">
      <c r="A3370" t="s">
        <v>3411</v>
      </c>
      <c r="B3370">
        <v>63</v>
      </c>
      <c r="C3370" t="s">
        <v>27</v>
      </c>
      <c r="D3370" t="s">
        <v>22</v>
      </c>
      <c r="E3370">
        <v>2.84</v>
      </c>
      <c r="F3370">
        <v>18</v>
      </c>
      <c r="G3370" t="s">
        <v>33</v>
      </c>
      <c r="H3370" t="s">
        <v>57</v>
      </c>
      <c r="I3370" s="2">
        <v>13.99</v>
      </c>
      <c r="J3370">
        <v>1</v>
      </c>
      <c r="K3370" s="2">
        <f t="shared" si="104"/>
        <v>13.99</v>
      </c>
      <c r="L3370" t="s">
        <v>19</v>
      </c>
      <c r="M3370">
        <v>3</v>
      </c>
      <c r="N3370">
        <v>0.15</v>
      </c>
      <c r="O3370" t="str">
        <f t="shared" si="105"/>
        <v>0–0.2 hours</v>
      </c>
      <c r="P3370" t="s">
        <v>34</v>
      </c>
    </row>
    <row r="3371" spans="1:16" x14ac:dyDescent="0.4">
      <c r="A3371" t="s">
        <v>3412</v>
      </c>
      <c r="B3371">
        <v>26</v>
      </c>
      <c r="C3371" t="s">
        <v>15</v>
      </c>
      <c r="D3371" t="s">
        <v>16</v>
      </c>
      <c r="E3371">
        <v>9.9700000000000006</v>
      </c>
      <c r="F3371">
        <v>37</v>
      </c>
      <c r="G3371" t="s">
        <v>70</v>
      </c>
      <c r="H3371" t="s">
        <v>18</v>
      </c>
      <c r="I3371" s="2">
        <v>8.99</v>
      </c>
      <c r="J3371">
        <v>1</v>
      </c>
      <c r="K3371" s="2">
        <f t="shared" si="104"/>
        <v>8.99</v>
      </c>
      <c r="L3371" t="s">
        <v>61</v>
      </c>
      <c r="M3371">
        <v>1</v>
      </c>
      <c r="N3371">
        <v>0.26</v>
      </c>
      <c r="O3371" t="str">
        <f t="shared" si="105"/>
        <v>0.2–0.4 hours</v>
      </c>
      <c r="P3371" t="s">
        <v>30</v>
      </c>
    </row>
    <row r="3372" spans="1:16" x14ac:dyDescent="0.4">
      <c r="A3372" t="s">
        <v>3413</v>
      </c>
      <c r="B3372">
        <v>40</v>
      </c>
      <c r="C3372" t="s">
        <v>41</v>
      </c>
      <c r="D3372" t="s">
        <v>32</v>
      </c>
      <c r="E3372">
        <v>46.29</v>
      </c>
      <c r="F3372">
        <v>26</v>
      </c>
      <c r="G3372" t="s">
        <v>17</v>
      </c>
      <c r="H3372" t="s">
        <v>46</v>
      </c>
      <c r="I3372" s="2">
        <v>17.989999999999998</v>
      </c>
      <c r="J3372">
        <v>0</v>
      </c>
      <c r="K3372" s="2">
        <f t="shared" si="104"/>
        <v>0</v>
      </c>
      <c r="L3372" t="s">
        <v>29</v>
      </c>
      <c r="M3372">
        <v>4</v>
      </c>
      <c r="N3372">
        <v>1.71</v>
      </c>
      <c r="O3372" t="str">
        <f t="shared" si="105"/>
        <v>1+ hours</v>
      </c>
      <c r="P3372" t="s">
        <v>30</v>
      </c>
    </row>
    <row r="3373" spans="1:16" x14ac:dyDescent="0.4">
      <c r="A3373" t="s">
        <v>3414</v>
      </c>
      <c r="B3373">
        <v>68</v>
      </c>
      <c r="C3373" t="s">
        <v>41</v>
      </c>
      <c r="D3373" t="s">
        <v>32</v>
      </c>
      <c r="E3373">
        <v>9.36</v>
      </c>
      <c r="F3373">
        <v>15</v>
      </c>
      <c r="G3373" t="s">
        <v>23</v>
      </c>
      <c r="H3373" t="s">
        <v>18</v>
      </c>
      <c r="I3373" s="2">
        <v>17.989999999999998</v>
      </c>
      <c r="J3373">
        <v>0</v>
      </c>
      <c r="K3373" s="2">
        <f t="shared" si="104"/>
        <v>0</v>
      </c>
      <c r="L3373" t="s">
        <v>29</v>
      </c>
      <c r="M3373">
        <v>5</v>
      </c>
      <c r="N3373">
        <v>0.57999999999999996</v>
      </c>
      <c r="O3373" t="str">
        <f t="shared" si="105"/>
        <v>0.4–0.6 hours</v>
      </c>
      <c r="P3373" t="s">
        <v>20</v>
      </c>
    </row>
    <row r="3374" spans="1:16" x14ac:dyDescent="0.4">
      <c r="A3374" t="s">
        <v>3415</v>
      </c>
      <c r="B3374">
        <v>23</v>
      </c>
      <c r="C3374" t="s">
        <v>27</v>
      </c>
      <c r="D3374" t="s">
        <v>22</v>
      </c>
      <c r="E3374">
        <v>0.89</v>
      </c>
      <c r="F3374">
        <v>18</v>
      </c>
      <c r="G3374" t="s">
        <v>23</v>
      </c>
      <c r="H3374" t="s">
        <v>57</v>
      </c>
      <c r="I3374" s="2">
        <v>13.99</v>
      </c>
      <c r="J3374">
        <v>1</v>
      </c>
      <c r="K3374" s="2">
        <f t="shared" si="104"/>
        <v>13.99</v>
      </c>
      <c r="L3374" t="s">
        <v>43</v>
      </c>
      <c r="M3374">
        <v>1</v>
      </c>
      <c r="N3374">
        <v>0.05</v>
      </c>
      <c r="O3374" t="str">
        <f t="shared" si="105"/>
        <v>0–0.2 hours</v>
      </c>
      <c r="P3374" t="s">
        <v>20</v>
      </c>
    </row>
    <row r="3375" spans="1:16" x14ac:dyDescent="0.4">
      <c r="A3375" t="s">
        <v>3416</v>
      </c>
      <c r="B3375">
        <v>31</v>
      </c>
      <c r="C3375" t="s">
        <v>15</v>
      </c>
      <c r="D3375" t="s">
        <v>22</v>
      </c>
      <c r="E3375">
        <v>1.17</v>
      </c>
      <c r="F3375">
        <v>36</v>
      </c>
      <c r="G3375" t="s">
        <v>23</v>
      </c>
      <c r="H3375" t="s">
        <v>46</v>
      </c>
      <c r="I3375" s="2">
        <v>13.99</v>
      </c>
      <c r="J3375">
        <v>1</v>
      </c>
      <c r="K3375" s="2">
        <f t="shared" si="104"/>
        <v>13.99</v>
      </c>
      <c r="L3375" t="s">
        <v>43</v>
      </c>
      <c r="M3375">
        <v>1</v>
      </c>
      <c r="N3375">
        <v>0.03</v>
      </c>
      <c r="O3375" t="str">
        <f t="shared" si="105"/>
        <v>0–0.2 hours</v>
      </c>
      <c r="P3375" t="s">
        <v>47</v>
      </c>
    </row>
    <row r="3376" spans="1:16" x14ac:dyDescent="0.4">
      <c r="A3376" t="s">
        <v>3417</v>
      </c>
      <c r="B3376">
        <v>47</v>
      </c>
      <c r="C3376" t="s">
        <v>41</v>
      </c>
      <c r="D3376" t="s">
        <v>16</v>
      </c>
      <c r="E3376">
        <v>1.25</v>
      </c>
      <c r="F3376">
        <v>44</v>
      </c>
      <c r="G3376" t="s">
        <v>49</v>
      </c>
      <c r="H3376" t="s">
        <v>24</v>
      </c>
      <c r="I3376" s="2">
        <v>8.99</v>
      </c>
      <c r="J3376">
        <v>1</v>
      </c>
      <c r="K3376" s="2">
        <f t="shared" si="104"/>
        <v>8.99</v>
      </c>
      <c r="L3376" t="s">
        <v>61</v>
      </c>
      <c r="M3376">
        <v>1</v>
      </c>
      <c r="N3376">
        <v>0.03</v>
      </c>
      <c r="O3376" t="str">
        <f t="shared" si="105"/>
        <v>0–0.2 hours</v>
      </c>
      <c r="P3376" t="s">
        <v>25</v>
      </c>
    </row>
    <row r="3377" spans="1:16" x14ac:dyDescent="0.4">
      <c r="A3377" t="s">
        <v>3418</v>
      </c>
      <c r="B3377">
        <v>67</v>
      </c>
      <c r="C3377" t="s">
        <v>41</v>
      </c>
      <c r="D3377" t="s">
        <v>32</v>
      </c>
      <c r="E3377">
        <v>13.19</v>
      </c>
      <c r="F3377">
        <v>55</v>
      </c>
      <c r="G3377" t="s">
        <v>49</v>
      </c>
      <c r="H3377" t="s">
        <v>55</v>
      </c>
      <c r="I3377" s="2">
        <v>17.989999999999998</v>
      </c>
      <c r="J3377">
        <v>1</v>
      </c>
      <c r="K3377" s="2">
        <f t="shared" si="104"/>
        <v>17.989999999999998</v>
      </c>
      <c r="L3377" t="s">
        <v>29</v>
      </c>
      <c r="M3377">
        <v>3</v>
      </c>
      <c r="N3377">
        <v>0.24</v>
      </c>
      <c r="O3377" t="str">
        <f t="shared" si="105"/>
        <v>0.2–0.4 hours</v>
      </c>
      <c r="P3377" t="s">
        <v>47</v>
      </c>
    </row>
    <row r="3378" spans="1:16" x14ac:dyDescent="0.4">
      <c r="A3378" t="s">
        <v>3419</v>
      </c>
      <c r="B3378">
        <v>63</v>
      </c>
      <c r="C3378" t="s">
        <v>15</v>
      </c>
      <c r="D3378" t="s">
        <v>16</v>
      </c>
      <c r="E3378">
        <v>1.25</v>
      </c>
      <c r="F3378">
        <v>3</v>
      </c>
      <c r="G3378" t="s">
        <v>28</v>
      </c>
      <c r="H3378" t="s">
        <v>57</v>
      </c>
      <c r="I3378" s="2">
        <v>8.99</v>
      </c>
      <c r="J3378">
        <v>1</v>
      </c>
      <c r="K3378" s="2">
        <f t="shared" si="104"/>
        <v>8.99</v>
      </c>
      <c r="L3378" t="s">
        <v>37</v>
      </c>
      <c r="M3378">
        <v>5</v>
      </c>
      <c r="N3378">
        <v>0.31</v>
      </c>
      <c r="O3378" t="str">
        <f t="shared" si="105"/>
        <v>0.2–0.4 hours</v>
      </c>
      <c r="P3378" t="s">
        <v>47</v>
      </c>
    </row>
    <row r="3379" spans="1:16" x14ac:dyDescent="0.4">
      <c r="A3379" t="s">
        <v>3420</v>
      </c>
      <c r="B3379">
        <v>59</v>
      </c>
      <c r="C3379" t="s">
        <v>27</v>
      </c>
      <c r="D3379" t="s">
        <v>16</v>
      </c>
      <c r="E3379">
        <v>1.2</v>
      </c>
      <c r="F3379">
        <v>32</v>
      </c>
      <c r="G3379" t="s">
        <v>70</v>
      </c>
      <c r="H3379" t="s">
        <v>18</v>
      </c>
      <c r="I3379" s="2">
        <v>8.99</v>
      </c>
      <c r="J3379">
        <v>1</v>
      </c>
      <c r="K3379" s="2">
        <f t="shared" si="104"/>
        <v>8.99</v>
      </c>
      <c r="L3379" t="s">
        <v>61</v>
      </c>
      <c r="M3379">
        <v>2</v>
      </c>
      <c r="N3379">
        <v>0.04</v>
      </c>
      <c r="O3379" t="str">
        <f t="shared" si="105"/>
        <v>0–0.2 hours</v>
      </c>
      <c r="P3379" t="s">
        <v>47</v>
      </c>
    </row>
    <row r="3380" spans="1:16" x14ac:dyDescent="0.4">
      <c r="A3380" t="s">
        <v>3421</v>
      </c>
      <c r="B3380">
        <v>34</v>
      </c>
      <c r="C3380" t="s">
        <v>41</v>
      </c>
      <c r="D3380" t="s">
        <v>22</v>
      </c>
      <c r="E3380">
        <v>7.38</v>
      </c>
      <c r="F3380">
        <v>26</v>
      </c>
      <c r="G3380" t="s">
        <v>49</v>
      </c>
      <c r="H3380" t="s">
        <v>55</v>
      </c>
      <c r="I3380" s="2">
        <v>13.99</v>
      </c>
      <c r="J3380">
        <v>0</v>
      </c>
      <c r="K3380" s="2">
        <f t="shared" si="104"/>
        <v>0</v>
      </c>
      <c r="L3380" t="s">
        <v>37</v>
      </c>
      <c r="M3380">
        <v>1</v>
      </c>
      <c r="N3380">
        <v>0.27</v>
      </c>
      <c r="O3380" t="str">
        <f t="shared" si="105"/>
        <v>0.2–0.4 hours</v>
      </c>
      <c r="P3380" t="s">
        <v>25</v>
      </c>
    </row>
    <row r="3381" spans="1:16" x14ac:dyDescent="0.4">
      <c r="A3381" t="s">
        <v>3422</v>
      </c>
      <c r="B3381">
        <v>35</v>
      </c>
      <c r="C3381" t="s">
        <v>27</v>
      </c>
      <c r="D3381" t="s">
        <v>32</v>
      </c>
      <c r="E3381">
        <v>3.59</v>
      </c>
      <c r="F3381">
        <v>53</v>
      </c>
      <c r="G3381" t="s">
        <v>28</v>
      </c>
      <c r="H3381" t="s">
        <v>57</v>
      </c>
      <c r="I3381" s="2">
        <v>17.989999999999998</v>
      </c>
      <c r="J3381">
        <v>1</v>
      </c>
      <c r="K3381" s="2">
        <f t="shared" si="104"/>
        <v>17.989999999999998</v>
      </c>
      <c r="L3381" t="s">
        <v>29</v>
      </c>
      <c r="M3381">
        <v>3</v>
      </c>
      <c r="N3381">
        <v>7.0000000000000007E-2</v>
      </c>
      <c r="O3381" t="str">
        <f t="shared" si="105"/>
        <v>0–0.2 hours</v>
      </c>
      <c r="P3381" t="s">
        <v>39</v>
      </c>
    </row>
    <row r="3382" spans="1:16" x14ac:dyDescent="0.4">
      <c r="A3382" t="s">
        <v>3423</v>
      </c>
      <c r="B3382">
        <v>21</v>
      </c>
      <c r="C3382" t="s">
        <v>27</v>
      </c>
      <c r="D3382" t="s">
        <v>22</v>
      </c>
      <c r="E3382">
        <v>4.17</v>
      </c>
      <c r="F3382">
        <v>38</v>
      </c>
      <c r="G3382" t="s">
        <v>49</v>
      </c>
      <c r="H3382" t="s">
        <v>24</v>
      </c>
      <c r="I3382" s="2">
        <v>13.99</v>
      </c>
      <c r="J3382">
        <v>1</v>
      </c>
      <c r="K3382" s="2">
        <f t="shared" si="104"/>
        <v>13.99</v>
      </c>
      <c r="L3382" t="s">
        <v>29</v>
      </c>
      <c r="M3382">
        <v>1</v>
      </c>
      <c r="N3382">
        <v>0.11</v>
      </c>
      <c r="O3382" t="str">
        <f t="shared" si="105"/>
        <v>0–0.2 hours</v>
      </c>
      <c r="P3382" t="s">
        <v>34</v>
      </c>
    </row>
    <row r="3383" spans="1:16" x14ac:dyDescent="0.4">
      <c r="A3383" t="s">
        <v>3424</v>
      </c>
      <c r="B3383">
        <v>29</v>
      </c>
      <c r="C3383" t="s">
        <v>27</v>
      </c>
      <c r="D3383" t="s">
        <v>32</v>
      </c>
      <c r="E3383">
        <v>15.26</v>
      </c>
      <c r="F3383">
        <v>49</v>
      </c>
      <c r="G3383" t="s">
        <v>70</v>
      </c>
      <c r="H3383" t="s">
        <v>57</v>
      </c>
      <c r="I3383" s="2">
        <v>17.989999999999998</v>
      </c>
      <c r="J3383">
        <v>1</v>
      </c>
      <c r="K3383" s="2">
        <f t="shared" si="104"/>
        <v>17.989999999999998</v>
      </c>
      <c r="L3383" t="s">
        <v>61</v>
      </c>
      <c r="M3383">
        <v>1</v>
      </c>
      <c r="N3383">
        <v>0.31</v>
      </c>
      <c r="O3383" t="str">
        <f t="shared" si="105"/>
        <v>0.2–0.4 hours</v>
      </c>
      <c r="P3383" t="s">
        <v>25</v>
      </c>
    </row>
    <row r="3384" spans="1:16" x14ac:dyDescent="0.4">
      <c r="A3384" t="s">
        <v>3425</v>
      </c>
      <c r="B3384">
        <v>55</v>
      </c>
      <c r="C3384" t="s">
        <v>41</v>
      </c>
      <c r="D3384" t="s">
        <v>22</v>
      </c>
      <c r="E3384">
        <v>2.7</v>
      </c>
      <c r="F3384">
        <v>31</v>
      </c>
      <c r="G3384" t="s">
        <v>28</v>
      </c>
      <c r="H3384" t="s">
        <v>18</v>
      </c>
      <c r="I3384" s="2">
        <v>13.99</v>
      </c>
      <c r="J3384">
        <v>1</v>
      </c>
      <c r="K3384" s="2">
        <f t="shared" si="104"/>
        <v>13.99</v>
      </c>
      <c r="L3384" t="s">
        <v>37</v>
      </c>
      <c r="M3384">
        <v>4</v>
      </c>
      <c r="N3384">
        <v>0.08</v>
      </c>
      <c r="O3384" t="str">
        <f t="shared" si="105"/>
        <v>0–0.2 hours</v>
      </c>
      <c r="P3384" t="s">
        <v>25</v>
      </c>
    </row>
    <row r="3385" spans="1:16" x14ac:dyDescent="0.4">
      <c r="A3385" s="1" t="s">
        <v>3426</v>
      </c>
      <c r="B3385">
        <v>51</v>
      </c>
      <c r="C3385" t="s">
        <v>27</v>
      </c>
      <c r="D3385" t="s">
        <v>32</v>
      </c>
      <c r="E3385">
        <v>3.82</v>
      </c>
      <c r="F3385">
        <v>34</v>
      </c>
      <c r="G3385" t="s">
        <v>28</v>
      </c>
      <c r="H3385" t="s">
        <v>18</v>
      </c>
      <c r="I3385" s="2">
        <v>17.989999999999998</v>
      </c>
      <c r="J3385">
        <v>1</v>
      </c>
      <c r="K3385" s="2">
        <f t="shared" si="104"/>
        <v>17.989999999999998</v>
      </c>
      <c r="L3385" t="s">
        <v>19</v>
      </c>
      <c r="M3385">
        <v>1</v>
      </c>
      <c r="N3385">
        <v>0.11</v>
      </c>
      <c r="O3385" t="str">
        <f t="shared" si="105"/>
        <v>0–0.2 hours</v>
      </c>
      <c r="P3385" t="s">
        <v>34</v>
      </c>
    </row>
    <row r="3386" spans="1:16" x14ac:dyDescent="0.4">
      <c r="A3386" t="s">
        <v>3427</v>
      </c>
      <c r="B3386">
        <v>23</v>
      </c>
      <c r="C3386" t="s">
        <v>41</v>
      </c>
      <c r="D3386" t="s">
        <v>16</v>
      </c>
      <c r="E3386">
        <v>6.7</v>
      </c>
      <c r="F3386">
        <v>48</v>
      </c>
      <c r="G3386" t="s">
        <v>70</v>
      </c>
      <c r="H3386" t="s">
        <v>24</v>
      </c>
      <c r="I3386" s="2">
        <v>8.99</v>
      </c>
      <c r="J3386">
        <v>1</v>
      </c>
      <c r="K3386" s="2">
        <f t="shared" si="104"/>
        <v>8.99</v>
      </c>
      <c r="L3386" t="s">
        <v>61</v>
      </c>
      <c r="M3386">
        <v>4</v>
      </c>
      <c r="N3386">
        <v>0.14000000000000001</v>
      </c>
      <c r="O3386" t="str">
        <f t="shared" si="105"/>
        <v>0–0.2 hours</v>
      </c>
      <c r="P3386" t="s">
        <v>25</v>
      </c>
    </row>
    <row r="3387" spans="1:16" x14ac:dyDescent="0.4">
      <c r="A3387" t="s">
        <v>3428</v>
      </c>
      <c r="B3387">
        <v>63</v>
      </c>
      <c r="C3387" t="s">
        <v>27</v>
      </c>
      <c r="D3387" t="s">
        <v>22</v>
      </c>
      <c r="E3387">
        <v>12.08</v>
      </c>
      <c r="F3387">
        <v>17</v>
      </c>
      <c r="G3387" t="s">
        <v>49</v>
      </c>
      <c r="H3387" t="s">
        <v>55</v>
      </c>
      <c r="I3387" s="2">
        <v>13.99</v>
      </c>
      <c r="J3387">
        <v>0</v>
      </c>
      <c r="K3387" s="2">
        <f t="shared" si="104"/>
        <v>0</v>
      </c>
      <c r="L3387" t="s">
        <v>61</v>
      </c>
      <c r="M3387">
        <v>4</v>
      </c>
      <c r="N3387">
        <v>0.67</v>
      </c>
      <c r="O3387" t="str">
        <f t="shared" si="105"/>
        <v>0.6–0.8 hours</v>
      </c>
      <c r="P3387" t="s">
        <v>34</v>
      </c>
    </row>
    <row r="3388" spans="1:16" x14ac:dyDescent="0.4">
      <c r="A3388" t="s">
        <v>3429</v>
      </c>
      <c r="B3388">
        <v>42</v>
      </c>
      <c r="C3388" t="s">
        <v>15</v>
      </c>
      <c r="D3388" t="s">
        <v>32</v>
      </c>
      <c r="E3388">
        <v>10.89</v>
      </c>
      <c r="F3388">
        <v>31</v>
      </c>
      <c r="G3388" t="s">
        <v>49</v>
      </c>
      <c r="H3388" t="s">
        <v>57</v>
      </c>
      <c r="I3388" s="2">
        <v>17.989999999999998</v>
      </c>
      <c r="J3388">
        <v>0</v>
      </c>
      <c r="K3388" s="2">
        <f t="shared" si="104"/>
        <v>0</v>
      </c>
      <c r="L3388" t="s">
        <v>43</v>
      </c>
      <c r="M3388">
        <v>5</v>
      </c>
      <c r="N3388">
        <v>0.34</v>
      </c>
      <c r="O3388" t="str">
        <f t="shared" si="105"/>
        <v>0.2–0.4 hours</v>
      </c>
      <c r="P3388" t="s">
        <v>30</v>
      </c>
    </row>
    <row r="3389" spans="1:16" x14ac:dyDescent="0.4">
      <c r="A3389" t="s">
        <v>3430</v>
      </c>
      <c r="B3389">
        <v>51</v>
      </c>
      <c r="C3389" t="s">
        <v>15</v>
      </c>
      <c r="D3389" t="s">
        <v>22</v>
      </c>
      <c r="E3389">
        <v>1.23</v>
      </c>
      <c r="F3389">
        <v>4</v>
      </c>
      <c r="G3389" t="s">
        <v>49</v>
      </c>
      <c r="H3389" t="s">
        <v>46</v>
      </c>
      <c r="I3389" s="2">
        <v>13.99</v>
      </c>
      <c r="J3389">
        <v>0</v>
      </c>
      <c r="K3389" s="2">
        <f t="shared" si="104"/>
        <v>0</v>
      </c>
      <c r="L3389" t="s">
        <v>61</v>
      </c>
      <c r="M3389">
        <v>5</v>
      </c>
      <c r="N3389">
        <v>0.25</v>
      </c>
      <c r="O3389" t="str">
        <f t="shared" si="105"/>
        <v>0.2–0.4 hours</v>
      </c>
      <c r="P3389" t="s">
        <v>39</v>
      </c>
    </row>
    <row r="3390" spans="1:16" x14ac:dyDescent="0.4">
      <c r="A3390" t="s">
        <v>3431</v>
      </c>
      <c r="B3390">
        <v>20</v>
      </c>
      <c r="C3390" t="s">
        <v>41</v>
      </c>
      <c r="D3390" t="s">
        <v>16</v>
      </c>
      <c r="E3390">
        <v>0.76</v>
      </c>
      <c r="F3390">
        <v>28</v>
      </c>
      <c r="G3390" t="s">
        <v>28</v>
      </c>
      <c r="H3390" t="s">
        <v>46</v>
      </c>
      <c r="I3390" s="2">
        <v>8.99</v>
      </c>
      <c r="J3390">
        <v>1</v>
      </c>
      <c r="K3390" s="2">
        <f t="shared" si="104"/>
        <v>8.99</v>
      </c>
      <c r="L3390" t="s">
        <v>43</v>
      </c>
      <c r="M3390">
        <v>3</v>
      </c>
      <c r="N3390">
        <v>0.03</v>
      </c>
      <c r="O3390" t="str">
        <f t="shared" si="105"/>
        <v>0–0.2 hours</v>
      </c>
      <c r="P3390" t="s">
        <v>30</v>
      </c>
    </row>
    <row r="3391" spans="1:16" x14ac:dyDescent="0.4">
      <c r="A3391" t="s">
        <v>3432</v>
      </c>
      <c r="B3391">
        <v>26</v>
      </c>
      <c r="C3391" t="s">
        <v>41</v>
      </c>
      <c r="D3391" t="s">
        <v>32</v>
      </c>
      <c r="E3391">
        <v>6.15</v>
      </c>
      <c r="F3391">
        <v>42</v>
      </c>
      <c r="G3391" t="s">
        <v>49</v>
      </c>
      <c r="H3391" t="s">
        <v>24</v>
      </c>
      <c r="I3391" s="2">
        <v>17.989999999999998</v>
      </c>
      <c r="J3391">
        <v>1</v>
      </c>
      <c r="K3391" s="2">
        <f t="shared" si="104"/>
        <v>17.989999999999998</v>
      </c>
      <c r="L3391" t="s">
        <v>19</v>
      </c>
      <c r="M3391">
        <v>2</v>
      </c>
      <c r="N3391">
        <v>0.14000000000000001</v>
      </c>
      <c r="O3391" t="str">
        <f t="shared" si="105"/>
        <v>0–0.2 hours</v>
      </c>
      <c r="P3391" t="s">
        <v>30</v>
      </c>
    </row>
    <row r="3392" spans="1:16" x14ac:dyDescent="0.4">
      <c r="A3392" t="s">
        <v>3433</v>
      </c>
      <c r="B3392">
        <v>50</v>
      </c>
      <c r="C3392" t="s">
        <v>27</v>
      </c>
      <c r="D3392" t="s">
        <v>16</v>
      </c>
      <c r="E3392">
        <v>6.01</v>
      </c>
      <c r="F3392">
        <v>43</v>
      </c>
      <c r="G3392" t="s">
        <v>28</v>
      </c>
      <c r="H3392" t="s">
        <v>55</v>
      </c>
      <c r="I3392" s="2">
        <v>8.99</v>
      </c>
      <c r="J3392">
        <v>1</v>
      </c>
      <c r="K3392" s="2">
        <f t="shared" si="104"/>
        <v>8.99</v>
      </c>
      <c r="L3392" t="s">
        <v>29</v>
      </c>
      <c r="M3392">
        <v>1</v>
      </c>
      <c r="N3392">
        <v>0.14000000000000001</v>
      </c>
      <c r="O3392" t="str">
        <f t="shared" si="105"/>
        <v>0–0.2 hours</v>
      </c>
      <c r="P3392" t="s">
        <v>25</v>
      </c>
    </row>
    <row r="3393" spans="1:16" x14ac:dyDescent="0.4">
      <c r="A3393" t="s">
        <v>3434</v>
      </c>
      <c r="B3393">
        <v>60</v>
      </c>
      <c r="C3393" t="s">
        <v>15</v>
      </c>
      <c r="D3393" t="s">
        <v>22</v>
      </c>
      <c r="E3393">
        <v>82.61</v>
      </c>
      <c r="F3393">
        <v>33</v>
      </c>
      <c r="G3393" t="s">
        <v>70</v>
      </c>
      <c r="H3393" t="s">
        <v>24</v>
      </c>
      <c r="I3393" s="2">
        <v>13.99</v>
      </c>
      <c r="J3393">
        <v>0</v>
      </c>
      <c r="K3393" s="2">
        <f t="shared" si="104"/>
        <v>0</v>
      </c>
      <c r="L3393" t="s">
        <v>43</v>
      </c>
      <c r="M3393">
        <v>3</v>
      </c>
      <c r="N3393">
        <v>2.4300000000000002</v>
      </c>
      <c r="O3393" t="str">
        <f t="shared" si="105"/>
        <v>1+ hours</v>
      </c>
      <c r="P3393" t="s">
        <v>25</v>
      </c>
    </row>
    <row r="3394" spans="1:16" x14ac:dyDescent="0.4">
      <c r="A3394" t="s">
        <v>3435</v>
      </c>
      <c r="B3394">
        <v>50</v>
      </c>
      <c r="C3394" t="s">
        <v>27</v>
      </c>
      <c r="D3394" t="s">
        <v>22</v>
      </c>
      <c r="E3394">
        <v>8.2100000000000009</v>
      </c>
      <c r="F3394">
        <v>22</v>
      </c>
      <c r="G3394" t="s">
        <v>33</v>
      </c>
      <c r="H3394" t="s">
        <v>24</v>
      </c>
      <c r="I3394" s="2">
        <v>13.99</v>
      </c>
      <c r="J3394">
        <v>0</v>
      </c>
      <c r="K3394" s="2">
        <f t="shared" si="104"/>
        <v>0</v>
      </c>
      <c r="L3394" t="s">
        <v>43</v>
      </c>
      <c r="M3394">
        <v>5</v>
      </c>
      <c r="N3394">
        <v>0.36</v>
      </c>
      <c r="O3394" t="str">
        <f t="shared" si="105"/>
        <v>0.2–0.4 hours</v>
      </c>
      <c r="P3394" t="s">
        <v>20</v>
      </c>
    </row>
    <row r="3395" spans="1:16" x14ac:dyDescent="0.4">
      <c r="A3395" t="s">
        <v>3436</v>
      </c>
      <c r="B3395">
        <v>53</v>
      </c>
      <c r="C3395" t="s">
        <v>15</v>
      </c>
      <c r="D3395" t="s">
        <v>16</v>
      </c>
      <c r="E3395">
        <v>11.01</v>
      </c>
      <c r="F3395">
        <v>44</v>
      </c>
      <c r="G3395" t="s">
        <v>23</v>
      </c>
      <c r="H3395" t="s">
        <v>55</v>
      </c>
      <c r="I3395" s="2">
        <v>8.99</v>
      </c>
      <c r="J3395">
        <v>1</v>
      </c>
      <c r="K3395" s="2">
        <f t="shared" ref="K3395:K3458" si="106">SUMIF(J3395,1,I3395)</f>
        <v>8.99</v>
      </c>
      <c r="L3395" t="s">
        <v>61</v>
      </c>
      <c r="M3395">
        <v>1</v>
      </c>
      <c r="N3395">
        <v>0.24</v>
      </c>
      <c r="O3395" t="str">
        <f t="shared" ref="O3395:O3458" si="107">IF(N3395&gt;1,"1+ hours",IF(N3395&lt;=0.2,"0–0.2 hours",IF(N3395&lt;=0.4,"0.2–0.4 hours",IF(N3395&lt;=0.6,"0.4–0.6 hours",IF(N3395&lt;=0.8,"0.6–0.8 hours","0.8–1 hour")))))</f>
        <v>0.2–0.4 hours</v>
      </c>
      <c r="P3395" t="s">
        <v>25</v>
      </c>
    </row>
    <row r="3396" spans="1:16" x14ac:dyDescent="0.4">
      <c r="A3396" t="s">
        <v>3437</v>
      </c>
      <c r="B3396">
        <v>55</v>
      </c>
      <c r="C3396" t="s">
        <v>15</v>
      </c>
      <c r="D3396" t="s">
        <v>16</v>
      </c>
      <c r="E3396">
        <v>0.21</v>
      </c>
      <c r="F3396">
        <v>34</v>
      </c>
      <c r="G3396" t="s">
        <v>49</v>
      </c>
      <c r="H3396" t="s">
        <v>46</v>
      </c>
      <c r="I3396" s="2">
        <v>8.99</v>
      </c>
      <c r="J3396">
        <v>1</v>
      </c>
      <c r="K3396" s="2">
        <f t="shared" si="106"/>
        <v>8.99</v>
      </c>
      <c r="L3396" t="s">
        <v>37</v>
      </c>
      <c r="M3396">
        <v>5</v>
      </c>
      <c r="N3396">
        <v>0.01</v>
      </c>
      <c r="O3396" t="str">
        <f t="shared" si="107"/>
        <v>0–0.2 hours</v>
      </c>
      <c r="P3396" t="s">
        <v>34</v>
      </c>
    </row>
    <row r="3397" spans="1:16" x14ac:dyDescent="0.4">
      <c r="A3397" t="s">
        <v>3438</v>
      </c>
      <c r="B3397">
        <v>34</v>
      </c>
      <c r="C3397" t="s">
        <v>41</v>
      </c>
      <c r="D3397" t="s">
        <v>22</v>
      </c>
      <c r="E3397">
        <v>1.22</v>
      </c>
      <c r="F3397">
        <v>9</v>
      </c>
      <c r="G3397" t="s">
        <v>70</v>
      </c>
      <c r="H3397" t="s">
        <v>55</v>
      </c>
      <c r="I3397" s="2">
        <v>13.99</v>
      </c>
      <c r="J3397">
        <v>0</v>
      </c>
      <c r="K3397" s="2">
        <f t="shared" si="106"/>
        <v>0</v>
      </c>
      <c r="L3397" t="s">
        <v>37</v>
      </c>
      <c r="M3397">
        <v>5</v>
      </c>
      <c r="N3397">
        <v>0.12</v>
      </c>
      <c r="O3397" t="str">
        <f t="shared" si="107"/>
        <v>0–0.2 hours</v>
      </c>
      <c r="P3397" t="s">
        <v>20</v>
      </c>
    </row>
    <row r="3398" spans="1:16" x14ac:dyDescent="0.4">
      <c r="A3398" t="s">
        <v>3439</v>
      </c>
      <c r="B3398">
        <v>49</v>
      </c>
      <c r="C3398" t="s">
        <v>27</v>
      </c>
      <c r="D3398" t="s">
        <v>16</v>
      </c>
      <c r="E3398">
        <v>9.81</v>
      </c>
      <c r="F3398">
        <v>39</v>
      </c>
      <c r="G3398" t="s">
        <v>33</v>
      </c>
      <c r="H3398" t="s">
        <v>18</v>
      </c>
      <c r="I3398" s="2">
        <v>8.99</v>
      </c>
      <c r="J3398">
        <v>1</v>
      </c>
      <c r="K3398" s="2">
        <f t="shared" si="106"/>
        <v>8.99</v>
      </c>
      <c r="L3398" t="s">
        <v>43</v>
      </c>
      <c r="M3398">
        <v>5</v>
      </c>
      <c r="N3398">
        <v>0.25</v>
      </c>
      <c r="O3398" t="str">
        <f t="shared" si="107"/>
        <v>0.2–0.4 hours</v>
      </c>
      <c r="P3398" t="s">
        <v>25</v>
      </c>
    </row>
    <row r="3399" spans="1:16" x14ac:dyDescent="0.4">
      <c r="A3399" t="s">
        <v>3440</v>
      </c>
      <c r="B3399">
        <v>55</v>
      </c>
      <c r="C3399" t="s">
        <v>15</v>
      </c>
      <c r="D3399" t="s">
        <v>32</v>
      </c>
      <c r="E3399">
        <v>3.15</v>
      </c>
      <c r="F3399">
        <v>51</v>
      </c>
      <c r="G3399" t="s">
        <v>28</v>
      </c>
      <c r="H3399" t="s">
        <v>57</v>
      </c>
      <c r="I3399" s="2">
        <v>17.989999999999998</v>
      </c>
      <c r="J3399">
        <v>1</v>
      </c>
      <c r="K3399" s="2">
        <f t="shared" si="106"/>
        <v>17.989999999999998</v>
      </c>
      <c r="L3399" t="s">
        <v>37</v>
      </c>
      <c r="M3399">
        <v>5</v>
      </c>
      <c r="N3399">
        <v>0.06</v>
      </c>
      <c r="O3399" t="str">
        <f t="shared" si="107"/>
        <v>0–0.2 hours</v>
      </c>
      <c r="P3399" t="s">
        <v>25</v>
      </c>
    </row>
    <row r="3400" spans="1:16" x14ac:dyDescent="0.4">
      <c r="A3400" t="s">
        <v>3441</v>
      </c>
      <c r="B3400">
        <v>61</v>
      </c>
      <c r="C3400" t="s">
        <v>41</v>
      </c>
      <c r="D3400" t="s">
        <v>16</v>
      </c>
      <c r="E3400">
        <v>1.1000000000000001</v>
      </c>
      <c r="F3400">
        <v>2</v>
      </c>
      <c r="G3400" t="s">
        <v>49</v>
      </c>
      <c r="H3400" t="s">
        <v>46</v>
      </c>
      <c r="I3400" s="2">
        <v>8.99</v>
      </c>
      <c r="J3400">
        <v>1</v>
      </c>
      <c r="K3400" s="2">
        <f t="shared" si="106"/>
        <v>8.99</v>
      </c>
      <c r="L3400" t="s">
        <v>43</v>
      </c>
      <c r="M3400">
        <v>5</v>
      </c>
      <c r="N3400">
        <v>0.37</v>
      </c>
      <c r="O3400" t="str">
        <f t="shared" si="107"/>
        <v>0.2–0.4 hours</v>
      </c>
      <c r="P3400" t="s">
        <v>39</v>
      </c>
    </row>
    <row r="3401" spans="1:16" x14ac:dyDescent="0.4">
      <c r="A3401" t="s">
        <v>3442</v>
      </c>
      <c r="B3401">
        <v>33</v>
      </c>
      <c r="C3401" t="s">
        <v>27</v>
      </c>
      <c r="D3401" t="s">
        <v>22</v>
      </c>
      <c r="E3401">
        <v>32.18</v>
      </c>
      <c r="F3401">
        <v>29</v>
      </c>
      <c r="G3401" t="s">
        <v>49</v>
      </c>
      <c r="H3401" t="s">
        <v>55</v>
      </c>
      <c r="I3401" s="2">
        <v>13.99</v>
      </c>
      <c r="J3401">
        <v>0</v>
      </c>
      <c r="K3401" s="2">
        <f t="shared" si="106"/>
        <v>0</v>
      </c>
      <c r="L3401" t="s">
        <v>43</v>
      </c>
      <c r="M3401">
        <v>1</v>
      </c>
      <c r="N3401">
        <v>1.07</v>
      </c>
      <c r="O3401" t="str">
        <f t="shared" si="107"/>
        <v>1+ hours</v>
      </c>
      <c r="P3401" t="s">
        <v>20</v>
      </c>
    </row>
    <row r="3402" spans="1:16" x14ac:dyDescent="0.4">
      <c r="A3402" t="s">
        <v>3443</v>
      </c>
      <c r="B3402">
        <v>34</v>
      </c>
      <c r="C3402" t="s">
        <v>41</v>
      </c>
      <c r="D3402" t="s">
        <v>32</v>
      </c>
      <c r="E3402">
        <v>3.58</v>
      </c>
      <c r="F3402">
        <v>4</v>
      </c>
      <c r="G3402" t="s">
        <v>23</v>
      </c>
      <c r="H3402" t="s">
        <v>55</v>
      </c>
      <c r="I3402" s="2">
        <v>17.989999999999998</v>
      </c>
      <c r="J3402">
        <v>0</v>
      </c>
      <c r="K3402" s="2">
        <f t="shared" si="106"/>
        <v>0</v>
      </c>
      <c r="L3402" t="s">
        <v>19</v>
      </c>
      <c r="M3402">
        <v>1</v>
      </c>
      <c r="N3402">
        <v>0.72</v>
      </c>
      <c r="O3402" t="str">
        <f t="shared" si="107"/>
        <v>0.6–0.8 hours</v>
      </c>
      <c r="P3402" t="s">
        <v>25</v>
      </c>
    </row>
    <row r="3403" spans="1:16" x14ac:dyDescent="0.4">
      <c r="A3403" t="s">
        <v>3444</v>
      </c>
      <c r="B3403">
        <v>69</v>
      </c>
      <c r="C3403" t="s">
        <v>41</v>
      </c>
      <c r="D3403" t="s">
        <v>16</v>
      </c>
      <c r="E3403">
        <v>1.07</v>
      </c>
      <c r="F3403">
        <v>47</v>
      </c>
      <c r="G3403" t="s">
        <v>23</v>
      </c>
      <c r="H3403" t="s">
        <v>24</v>
      </c>
      <c r="I3403" s="2">
        <v>8.99</v>
      </c>
      <c r="J3403">
        <v>1</v>
      </c>
      <c r="K3403" s="2">
        <f t="shared" si="106"/>
        <v>8.99</v>
      </c>
      <c r="L3403" t="s">
        <v>43</v>
      </c>
      <c r="M3403">
        <v>2</v>
      </c>
      <c r="N3403">
        <v>0.02</v>
      </c>
      <c r="O3403" t="str">
        <f t="shared" si="107"/>
        <v>0–0.2 hours</v>
      </c>
      <c r="P3403" t="s">
        <v>20</v>
      </c>
    </row>
    <row r="3404" spans="1:16" x14ac:dyDescent="0.4">
      <c r="A3404" t="s">
        <v>3445</v>
      </c>
      <c r="B3404">
        <v>59</v>
      </c>
      <c r="C3404" t="s">
        <v>41</v>
      </c>
      <c r="D3404" t="s">
        <v>22</v>
      </c>
      <c r="E3404">
        <v>14.46</v>
      </c>
      <c r="F3404">
        <v>28</v>
      </c>
      <c r="G3404" t="s">
        <v>33</v>
      </c>
      <c r="H3404" t="s">
        <v>46</v>
      </c>
      <c r="I3404" s="2">
        <v>13.99</v>
      </c>
      <c r="J3404">
        <v>0</v>
      </c>
      <c r="K3404" s="2">
        <f t="shared" si="106"/>
        <v>0</v>
      </c>
      <c r="L3404" t="s">
        <v>29</v>
      </c>
      <c r="M3404">
        <v>2</v>
      </c>
      <c r="N3404">
        <v>0.5</v>
      </c>
      <c r="O3404" t="str">
        <f t="shared" si="107"/>
        <v>0.4–0.6 hours</v>
      </c>
      <c r="P3404" t="s">
        <v>34</v>
      </c>
    </row>
    <row r="3405" spans="1:16" x14ac:dyDescent="0.4">
      <c r="A3405" t="s">
        <v>3446</v>
      </c>
      <c r="B3405">
        <v>59</v>
      </c>
      <c r="C3405" t="s">
        <v>27</v>
      </c>
      <c r="D3405" t="s">
        <v>16</v>
      </c>
      <c r="E3405">
        <v>2.44</v>
      </c>
      <c r="F3405">
        <v>55</v>
      </c>
      <c r="G3405" t="s">
        <v>17</v>
      </c>
      <c r="H3405" t="s">
        <v>57</v>
      </c>
      <c r="I3405" s="2">
        <v>8.99</v>
      </c>
      <c r="J3405">
        <v>1</v>
      </c>
      <c r="K3405" s="2">
        <f t="shared" si="106"/>
        <v>8.99</v>
      </c>
      <c r="L3405" t="s">
        <v>29</v>
      </c>
      <c r="M3405">
        <v>1</v>
      </c>
      <c r="N3405">
        <v>0.04</v>
      </c>
      <c r="O3405" t="str">
        <f t="shared" si="107"/>
        <v>0–0.2 hours</v>
      </c>
      <c r="P3405" t="s">
        <v>47</v>
      </c>
    </row>
    <row r="3406" spans="1:16" x14ac:dyDescent="0.4">
      <c r="A3406" t="s">
        <v>3447</v>
      </c>
      <c r="B3406">
        <v>21</v>
      </c>
      <c r="C3406" t="s">
        <v>15</v>
      </c>
      <c r="D3406" t="s">
        <v>32</v>
      </c>
      <c r="E3406">
        <v>6.14</v>
      </c>
      <c r="F3406">
        <v>7</v>
      </c>
      <c r="G3406" t="s">
        <v>23</v>
      </c>
      <c r="H3406" t="s">
        <v>55</v>
      </c>
      <c r="I3406" s="2">
        <v>17.989999999999998</v>
      </c>
      <c r="J3406">
        <v>0</v>
      </c>
      <c r="K3406" s="2">
        <f t="shared" si="106"/>
        <v>0</v>
      </c>
      <c r="L3406" t="s">
        <v>29</v>
      </c>
      <c r="M3406">
        <v>4</v>
      </c>
      <c r="N3406">
        <v>0.77</v>
      </c>
      <c r="O3406" t="str">
        <f t="shared" si="107"/>
        <v>0.6–0.8 hours</v>
      </c>
      <c r="P3406" t="s">
        <v>52</v>
      </c>
    </row>
    <row r="3407" spans="1:16" x14ac:dyDescent="0.4">
      <c r="A3407" t="s">
        <v>3448</v>
      </c>
      <c r="B3407">
        <v>58</v>
      </c>
      <c r="C3407" t="s">
        <v>15</v>
      </c>
      <c r="D3407" t="s">
        <v>32</v>
      </c>
      <c r="E3407">
        <v>12.9</v>
      </c>
      <c r="F3407">
        <v>38</v>
      </c>
      <c r="G3407" t="s">
        <v>33</v>
      </c>
      <c r="H3407" t="s">
        <v>46</v>
      </c>
      <c r="I3407" s="2">
        <v>17.989999999999998</v>
      </c>
      <c r="J3407">
        <v>0</v>
      </c>
      <c r="K3407" s="2">
        <f t="shared" si="106"/>
        <v>0</v>
      </c>
      <c r="L3407" t="s">
        <v>61</v>
      </c>
      <c r="M3407">
        <v>4</v>
      </c>
      <c r="N3407">
        <v>0.33</v>
      </c>
      <c r="O3407" t="str">
        <f t="shared" si="107"/>
        <v>0.2–0.4 hours</v>
      </c>
      <c r="P3407" t="s">
        <v>39</v>
      </c>
    </row>
    <row r="3408" spans="1:16" x14ac:dyDescent="0.4">
      <c r="A3408" t="s">
        <v>3449</v>
      </c>
      <c r="B3408">
        <v>20</v>
      </c>
      <c r="C3408" t="s">
        <v>15</v>
      </c>
      <c r="D3408" t="s">
        <v>22</v>
      </c>
      <c r="E3408">
        <v>5.31</v>
      </c>
      <c r="F3408">
        <v>25</v>
      </c>
      <c r="G3408" t="s">
        <v>28</v>
      </c>
      <c r="H3408" t="s">
        <v>18</v>
      </c>
      <c r="I3408" s="2">
        <v>13.99</v>
      </c>
      <c r="J3408">
        <v>0</v>
      </c>
      <c r="K3408" s="2">
        <f t="shared" si="106"/>
        <v>0</v>
      </c>
      <c r="L3408" t="s">
        <v>61</v>
      </c>
      <c r="M3408">
        <v>3</v>
      </c>
      <c r="N3408">
        <v>0.2</v>
      </c>
      <c r="O3408" t="str">
        <f t="shared" si="107"/>
        <v>0–0.2 hours</v>
      </c>
      <c r="P3408" t="s">
        <v>47</v>
      </c>
    </row>
    <row r="3409" spans="1:16" x14ac:dyDescent="0.4">
      <c r="A3409" t="s">
        <v>3450</v>
      </c>
      <c r="B3409">
        <v>31</v>
      </c>
      <c r="C3409" t="s">
        <v>15</v>
      </c>
      <c r="D3409" t="s">
        <v>16</v>
      </c>
      <c r="E3409">
        <v>2.36</v>
      </c>
      <c r="F3409">
        <v>46</v>
      </c>
      <c r="G3409" t="s">
        <v>70</v>
      </c>
      <c r="H3409" t="s">
        <v>18</v>
      </c>
      <c r="I3409" s="2">
        <v>8.99</v>
      </c>
      <c r="J3409">
        <v>1</v>
      </c>
      <c r="K3409" s="2">
        <f t="shared" si="106"/>
        <v>8.99</v>
      </c>
      <c r="L3409" t="s">
        <v>61</v>
      </c>
      <c r="M3409">
        <v>2</v>
      </c>
      <c r="N3409">
        <v>0.05</v>
      </c>
      <c r="O3409" t="str">
        <f t="shared" si="107"/>
        <v>0–0.2 hours</v>
      </c>
      <c r="P3409" t="s">
        <v>39</v>
      </c>
    </row>
    <row r="3410" spans="1:16" x14ac:dyDescent="0.4">
      <c r="A3410" t="s">
        <v>3451</v>
      </c>
      <c r="B3410">
        <v>69</v>
      </c>
      <c r="C3410" t="s">
        <v>41</v>
      </c>
      <c r="D3410" t="s">
        <v>32</v>
      </c>
      <c r="E3410">
        <v>0.24</v>
      </c>
      <c r="F3410">
        <v>20</v>
      </c>
      <c r="G3410" t="s">
        <v>33</v>
      </c>
      <c r="H3410" t="s">
        <v>18</v>
      </c>
      <c r="I3410" s="2">
        <v>17.989999999999998</v>
      </c>
      <c r="J3410">
        <v>1</v>
      </c>
      <c r="K3410" s="2">
        <f t="shared" si="106"/>
        <v>17.989999999999998</v>
      </c>
      <c r="L3410" t="s">
        <v>19</v>
      </c>
      <c r="M3410">
        <v>1</v>
      </c>
      <c r="N3410">
        <v>0.01</v>
      </c>
      <c r="O3410" t="str">
        <f t="shared" si="107"/>
        <v>0–0.2 hours</v>
      </c>
      <c r="P3410" t="s">
        <v>25</v>
      </c>
    </row>
    <row r="3411" spans="1:16" x14ac:dyDescent="0.4">
      <c r="A3411" t="s">
        <v>3452</v>
      </c>
      <c r="B3411">
        <v>68</v>
      </c>
      <c r="C3411" t="s">
        <v>41</v>
      </c>
      <c r="D3411" t="s">
        <v>32</v>
      </c>
      <c r="E3411">
        <v>18.88</v>
      </c>
      <c r="F3411">
        <v>34</v>
      </c>
      <c r="G3411" t="s">
        <v>28</v>
      </c>
      <c r="H3411" t="s">
        <v>18</v>
      </c>
      <c r="I3411" s="2">
        <v>17.989999999999998</v>
      </c>
      <c r="J3411">
        <v>0</v>
      </c>
      <c r="K3411" s="2">
        <f t="shared" si="106"/>
        <v>0</v>
      </c>
      <c r="L3411" t="s">
        <v>43</v>
      </c>
      <c r="M3411">
        <v>4</v>
      </c>
      <c r="N3411">
        <v>0.54</v>
      </c>
      <c r="O3411" t="str">
        <f t="shared" si="107"/>
        <v>0.4–0.6 hours</v>
      </c>
      <c r="P3411" t="s">
        <v>34</v>
      </c>
    </row>
    <row r="3412" spans="1:16" x14ac:dyDescent="0.4">
      <c r="A3412" t="s">
        <v>3453</v>
      </c>
      <c r="B3412">
        <v>32</v>
      </c>
      <c r="C3412" t="s">
        <v>27</v>
      </c>
      <c r="D3412" t="s">
        <v>22</v>
      </c>
      <c r="E3412">
        <v>11.47</v>
      </c>
      <c r="F3412">
        <v>4</v>
      </c>
      <c r="G3412" t="s">
        <v>28</v>
      </c>
      <c r="H3412" t="s">
        <v>46</v>
      </c>
      <c r="I3412" s="2">
        <v>13.99</v>
      </c>
      <c r="J3412">
        <v>0</v>
      </c>
      <c r="K3412" s="2">
        <f t="shared" si="106"/>
        <v>0</v>
      </c>
      <c r="L3412" t="s">
        <v>43</v>
      </c>
      <c r="M3412">
        <v>1</v>
      </c>
      <c r="N3412">
        <v>2.29</v>
      </c>
      <c r="O3412" t="str">
        <f t="shared" si="107"/>
        <v>1+ hours</v>
      </c>
      <c r="P3412" t="s">
        <v>30</v>
      </c>
    </row>
    <row r="3413" spans="1:16" x14ac:dyDescent="0.4">
      <c r="A3413" t="s">
        <v>3454</v>
      </c>
      <c r="B3413">
        <v>67</v>
      </c>
      <c r="C3413" t="s">
        <v>15</v>
      </c>
      <c r="D3413" t="s">
        <v>32</v>
      </c>
      <c r="E3413">
        <v>8.2799999999999994</v>
      </c>
      <c r="F3413">
        <v>59</v>
      </c>
      <c r="G3413" t="s">
        <v>49</v>
      </c>
      <c r="H3413" t="s">
        <v>18</v>
      </c>
      <c r="I3413" s="2">
        <v>17.989999999999998</v>
      </c>
      <c r="J3413">
        <v>1</v>
      </c>
      <c r="K3413" s="2">
        <f t="shared" si="106"/>
        <v>17.989999999999998</v>
      </c>
      <c r="L3413" t="s">
        <v>19</v>
      </c>
      <c r="M3413">
        <v>3</v>
      </c>
      <c r="N3413">
        <v>0.14000000000000001</v>
      </c>
      <c r="O3413" t="str">
        <f t="shared" si="107"/>
        <v>0–0.2 hours</v>
      </c>
      <c r="P3413" t="s">
        <v>52</v>
      </c>
    </row>
    <row r="3414" spans="1:16" x14ac:dyDescent="0.4">
      <c r="A3414" t="s">
        <v>3455</v>
      </c>
      <c r="B3414">
        <v>19</v>
      </c>
      <c r="C3414" t="s">
        <v>41</v>
      </c>
      <c r="D3414" t="s">
        <v>32</v>
      </c>
      <c r="E3414">
        <v>29.48</v>
      </c>
      <c r="F3414">
        <v>60</v>
      </c>
      <c r="G3414" t="s">
        <v>17</v>
      </c>
      <c r="H3414" t="s">
        <v>46</v>
      </c>
      <c r="I3414" s="2">
        <v>17.989999999999998</v>
      </c>
      <c r="J3414">
        <v>0</v>
      </c>
      <c r="K3414" s="2">
        <f t="shared" si="106"/>
        <v>0</v>
      </c>
      <c r="L3414" t="s">
        <v>19</v>
      </c>
      <c r="M3414">
        <v>3</v>
      </c>
      <c r="N3414">
        <v>0.48</v>
      </c>
      <c r="O3414" t="str">
        <f t="shared" si="107"/>
        <v>0.4–0.6 hours</v>
      </c>
      <c r="P3414" t="s">
        <v>30</v>
      </c>
    </row>
    <row r="3415" spans="1:16" x14ac:dyDescent="0.4">
      <c r="A3415" t="s">
        <v>3456</v>
      </c>
      <c r="B3415">
        <v>37</v>
      </c>
      <c r="C3415" t="s">
        <v>41</v>
      </c>
      <c r="D3415" t="s">
        <v>22</v>
      </c>
      <c r="E3415">
        <v>8.39</v>
      </c>
      <c r="F3415">
        <v>8</v>
      </c>
      <c r="G3415" t="s">
        <v>33</v>
      </c>
      <c r="H3415" t="s">
        <v>55</v>
      </c>
      <c r="I3415" s="2">
        <v>13.99</v>
      </c>
      <c r="J3415">
        <v>0</v>
      </c>
      <c r="K3415" s="2">
        <f t="shared" si="106"/>
        <v>0</v>
      </c>
      <c r="L3415" t="s">
        <v>29</v>
      </c>
      <c r="M3415">
        <v>5</v>
      </c>
      <c r="N3415">
        <v>0.93</v>
      </c>
      <c r="O3415" t="str">
        <f t="shared" si="107"/>
        <v>0.8–1 hour</v>
      </c>
      <c r="P3415" t="s">
        <v>20</v>
      </c>
    </row>
    <row r="3416" spans="1:16" x14ac:dyDescent="0.4">
      <c r="A3416" t="s">
        <v>3457</v>
      </c>
      <c r="B3416">
        <v>35</v>
      </c>
      <c r="C3416" t="s">
        <v>27</v>
      </c>
      <c r="D3416" t="s">
        <v>32</v>
      </c>
      <c r="E3416">
        <v>26.28</v>
      </c>
      <c r="F3416">
        <v>23</v>
      </c>
      <c r="G3416" t="s">
        <v>23</v>
      </c>
      <c r="H3416" t="s">
        <v>55</v>
      </c>
      <c r="I3416" s="2">
        <v>17.989999999999998</v>
      </c>
      <c r="J3416">
        <v>0</v>
      </c>
      <c r="K3416" s="2">
        <f t="shared" si="106"/>
        <v>0</v>
      </c>
      <c r="L3416" t="s">
        <v>37</v>
      </c>
      <c r="M3416">
        <v>1</v>
      </c>
      <c r="N3416">
        <v>1.0900000000000001</v>
      </c>
      <c r="O3416" t="str">
        <f t="shared" si="107"/>
        <v>1+ hours</v>
      </c>
      <c r="P3416" t="s">
        <v>30</v>
      </c>
    </row>
    <row r="3417" spans="1:16" x14ac:dyDescent="0.4">
      <c r="A3417" t="s">
        <v>3458</v>
      </c>
      <c r="B3417">
        <v>51</v>
      </c>
      <c r="C3417" t="s">
        <v>41</v>
      </c>
      <c r="D3417" t="s">
        <v>32</v>
      </c>
      <c r="E3417">
        <v>3.79</v>
      </c>
      <c r="F3417">
        <v>2</v>
      </c>
      <c r="G3417" t="s">
        <v>28</v>
      </c>
      <c r="H3417" t="s">
        <v>46</v>
      </c>
      <c r="I3417" s="2">
        <v>17.989999999999998</v>
      </c>
      <c r="J3417">
        <v>0</v>
      </c>
      <c r="K3417" s="2">
        <f t="shared" si="106"/>
        <v>0</v>
      </c>
      <c r="L3417" t="s">
        <v>61</v>
      </c>
      <c r="M3417">
        <v>3</v>
      </c>
      <c r="N3417">
        <v>1.26</v>
      </c>
      <c r="O3417" t="str">
        <f t="shared" si="107"/>
        <v>1+ hours</v>
      </c>
      <c r="P3417" t="s">
        <v>25</v>
      </c>
    </row>
    <row r="3418" spans="1:16" x14ac:dyDescent="0.4">
      <c r="A3418" t="s">
        <v>3459</v>
      </c>
      <c r="B3418">
        <v>37</v>
      </c>
      <c r="C3418" t="s">
        <v>41</v>
      </c>
      <c r="D3418" t="s">
        <v>16</v>
      </c>
      <c r="E3418">
        <v>37.369999999999997</v>
      </c>
      <c r="F3418">
        <v>52</v>
      </c>
      <c r="G3418" t="s">
        <v>17</v>
      </c>
      <c r="H3418" t="s">
        <v>55</v>
      </c>
      <c r="I3418" s="2">
        <v>8.99</v>
      </c>
      <c r="J3418">
        <v>0</v>
      </c>
      <c r="K3418" s="2">
        <f t="shared" si="106"/>
        <v>0</v>
      </c>
      <c r="L3418" t="s">
        <v>43</v>
      </c>
      <c r="M3418">
        <v>3</v>
      </c>
      <c r="N3418">
        <v>0.71</v>
      </c>
      <c r="O3418" t="str">
        <f t="shared" si="107"/>
        <v>0.6–0.8 hours</v>
      </c>
      <c r="P3418" t="s">
        <v>30</v>
      </c>
    </row>
    <row r="3419" spans="1:16" x14ac:dyDescent="0.4">
      <c r="A3419" t="s">
        <v>3460</v>
      </c>
      <c r="B3419">
        <v>60</v>
      </c>
      <c r="C3419" t="s">
        <v>27</v>
      </c>
      <c r="D3419" t="s">
        <v>16</v>
      </c>
      <c r="E3419">
        <v>21.66</v>
      </c>
      <c r="F3419">
        <v>11</v>
      </c>
      <c r="G3419" t="s">
        <v>49</v>
      </c>
      <c r="H3419" t="s">
        <v>55</v>
      </c>
      <c r="I3419" s="2">
        <v>8.99</v>
      </c>
      <c r="J3419">
        <v>0</v>
      </c>
      <c r="K3419" s="2">
        <f t="shared" si="106"/>
        <v>0</v>
      </c>
      <c r="L3419" t="s">
        <v>29</v>
      </c>
      <c r="M3419">
        <v>2</v>
      </c>
      <c r="N3419">
        <v>1.8</v>
      </c>
      <c r="O3419" t="str">
        <f t="shared" si="107"/>
        <v>1+ hours</v>
      </c>
      <c r="P3419" t="s">
        <v>47</v>
      </c>
    </row>
    <row r="3420" spans="1:16" x14ac:dyDescent="0.4">
      <c r="A3420" t="s">
        <v>3461</v>
      </c>
      <c r="B3420">
        <v>45</v>
      </c>
      <c r="C3420" t="s">
        <v>27</v>
      </c>
      <c r="D3420" t="s">
        <v>32</v>
      </c>
      <c r="E3420">
        <v>3.45</v>
      </c>
      <c r="F3420">
        <v>3</v>
      </c>
      <c r="G3420" t="s">
        <v>17</v>
      </c>
      <c r="H3420" t="s">
        <v>55</v>
      </c>
      <c r="I3420" s="2">
        <v>17.989999999999998</v>
      </c>
      <c r="J3420">
        <v>0</v>
      </c>
      <c r="K3420" s="2">
        <f t="shared" si="106"/>
        <v>0</v>
      </c>
      <c r="L3420" t="s">
        <v>29</v>
      </c>
      <c r="M3420">
        <v>3</v>
      </c>
      <c r="N3420">
        <v>0.86</v>
      </c>
      <c r="O3420" t="str">
        <f t="shared" si="107"/>
        <v>0.8–1 hour</v>
      </c>
      <c r="P3420" t="s">
        <v>34</v>
      </c>
    </row>
    <row r="3421" spans="1:16" x14ac:dyDescent="0.4">
      <c r="A3421" t="s">
        <v>3462</v>
      </c>
      <c r="B3421">
        <v>44</v>
      </c>
      <c r="C3421" t="s">
        <v>41</v>
      </c>
      <c r="D3421" t="s">
        <v>16</v>
      </c>
      <c r="E3421">
        <v>19.82</v>
      </c>
      <c r="F3421">
        <v>43</v>
      </c>
      <c r="G3421" t="s">
        <v>49</v>
      </c>
      <c r="H3421" t="s">
        <v>24</v>
      </c>
      <c r="I3421" s="2">
        <v>8.99</v>
      </c>
      <c r="J3421">
        <v>1</v>
      </c>
      <c r="K3421" s="2">
        <f t="shared" si="106"/>
        <v>8.99</v>
      </c>
      <c r="L3421" t="s">
        <v>43</v>
      </c>
      <c r="M3421">
        <v>2</v>
      </c>
      <c r="N3421">
        <v>0.45</v>
      </c>
      <c r="O3421" t="str">
        <f t="shared" si="107"/>
        <v>0.4–0.6 hours</v>
      </c>
      <c r="P3421" t="s">
        <v>47</v>
      </c>
    </row>
    <row r="3422" spans="1:16" x14ac:dyDescent="0.4">
      <c r="A3422" t="s">
        <v>3463</v>
      </c>
      <c r="B3422">
        <v>26</v>
      </c>
      <c r="C3422" t="s">
        <v>27</v>
      </c>
      <c r="D3422" t="s">
        <v>32</v>
      </c>
      <c r="E3422">
        <v>4.78</v>
      </c>
      <c r="F3422">
        <v>18</v>
      </c>
      <c r="G3422" t="s">
        <v>33</v>
      </c>
      <c r="H3422" t="s">
        <v>24</v>
      </c>
      <c r="I3422" s="2">
        <v>17.989999999999998</v>
      </c>
      <c r="J3422">
        <v>1</v>
      </c>
      <c r="K3422" s="2">
        <f t="shared" si="106"/>
        <v>17.989999999999998</v>
      </c>
      <c r="L3422" t="s">
        <v>19</v>
      </c>
      <c r="M3422">
        <v>4</v>
      </c>
      <c r="N3422">
        <v>0.25</v>
      </c>
      <c r="O3422" t="str">
        <f t="shared" si="107"/>
        <v>0.2–0.4 hours</v>
      </c>
      <c r="P3422" t="s">
        <v>25</v>
      </c>
    </row>
    <row r="3423" spans="1:16" x14ac:dyDescent="0.4">
      <c r="A3423" t="s">
        <v>3464</v>
      </c>
      <c r="B3423">
        <v>69</v>
      </c>
      <c r="C3423" t="s">
        <v>15</v>
      </c>
      <c r="D3423" t="s">
        <v>32</v>
      </c>
      <c r="E3423">
        <v>32.54</v>
      </c>
      <c r="F3423">
        <v>45</v>
      </c>
      <c r="G3423" t="s">
        <v>49</v>
      </c>
      <c r="H3423" t="s">
        <v>57</v>
      </c>
      <c r="I3423" s="2">
        <v>17.989999999999998</v>
      </c>
      <c r="J3423">
        <v>0</v>
      </c>
      <c r="K3423" s="2">
        <f t="shared" si="106"/>
        <v>0</v>
      </c>
      <c r="L3423" t="s">
        <v>29</v>
      </c>
      <c r="M3423">
        <v>4</v>
      </c>
      <c r="N3423">
        <v>0.71</v>
      </c>
      <c r="O3423" t="str">
        <f t="shared" si="107"/>
        <v>0.6–0.8 hours</v>
      </c>
      <c r="P3423" t="s">
        <v>52</v>
      </c>
    </row>
    <row r="3424" spans="1:16" x14ac:dyDescent="0.4">
      <c r="A3424" t="s">
        <v>3465</v>
      </c>
      <c r="B3424">
        <v>18</v>
      </c>
      <c r="C3424" t="s">
        <v>15</v>
      </c>
      <c r="D3424" t="s">
        <v>22</v>
      </c>
      <c r="E3424">
        <v>4.6399999999999997</v>
      </c>
      <c r="F3424">
        <v>21</v>
      </c>
      <c r="G3424" t="s">
        <v>70</v>
      </c>
      <c r="H3424" t="s">
        <v>46</v>
      </c>
      <c r="I3424" s="2">
        <v>13.99</v>
      </c>
      <c r="J3424">
        <v>1</v>
      </c>
      <c r="K3424" s="2">
        <f t="shared" si="106"/>
        <v>13.99</v>
      </c>
      <c r="L3424" t="s">
        <v>37</v>
      </c>
      <c r="M3424">
        <v>3</v>
      </c>
      <c r="N3424">
        <v>0.21</v>
      </c>
      <c r="O3424" t="str">
        <f t="shared" si="107"/>
        <v>0.2–0.4 hours</v>
      </c>
      <c r="P3424" t="s">
        <v>52</v>
      </c>
    </row>
    <row r="3425" spans="1:16" x14ac:dyDescent="0.4">
      <c r="A3425" t="s">
        <v>3466</v>
      </c>
      <c r="B3425">
        <v>33</v>
      </c>
      <c r="C3425" t="s">
        <v>41</v>
      </c>
      <c r="D3425" t="s">
        <v>22</v>
      </c>
      <c r="E3425">
        <v>2.71</v>
      </c>
      <c r="F3425">
        <v>22</v>
      </c>
      <c r="G3425" t="s">
        <v>23</v>
      </c>
      <c r="H3425" t="s">
        <v>24</v>
      </c>
      <c r="I3425" s="2">
        <v>13.99</v>
      </c>
      <c r="J3425">
        <v>1</v>
      </c>
      <c r="K3425" s="2">
        <f t="shared" si="106"/>
        <v>13.99</v>
      </c>
      <c r="L3425" t="s">
        <v>29</v>
      </c>
      <c r="M3425">
        <v>3</v>
      </c>
      <c r="N3425">
        <v>0.12</v>
      </c>
      <c r="O3425" t="str">
        <f t="shared" si="107"/>
        <v>0–0.2 hours</v>
      </c>
      <c r="P3425" t="s">
        <v>30</v>
      </c>
    </row>
    <row r="3426" spans="1:16" x14ac:dyDescent="0.4">
      <c r="A3426" t="s">
        <v>3467</v>
      </c>
      <c r="B3426">
        <v>39</v>
      </c>
      <c r="C3426" t="s">
        <v>41</v>
      </c>
      <c r="D3426" t="s">
        <v>16</v>
      </c>
      <c r="E3426">
        <v>22.24</v>
      </c>
      <c r="F3426">
        <v>47</v>
      </c>
      <c r="G3426" t="s">
        <v>70</v>
      </c>
      <c r="H3426" t="s">
        <v>46</v>
      </c>
      <c r="I3426" s="2">
        <v>8.99</v>
      </c>
      <c r="J3426">
        <v>1</v>
      </c>
      <c r="K3426" s="2">
        <f t="shared" si="106"/>
        <v>8.99</v>
      </c>
      <c r="L3426" t="s">
        <v>37</v>
      </c>
      <c r="M3426">
        <v>3</v>
      </c>
      <c r="N3426">
        <v>0.46</v>
      </c>
      <c r="O3426" t="str">
        <f t="shared" si="107"/>
        <v>0.4–0.6 hours</v>
      </c>
      <c r="P3426" t="s">
        <v>20</v>
      </c>
    </row>
    <row r="3427" spans="1:16" x14ac:dyDescent="0.4">
      <c r="A3427" t="s">
        <v>3468</v>
      </c>
      <c r="B3427">
        <v>22</v>
      </c>
      <c r="C3427" t="s">
        <v>41</v>
      </c>
      <c r="D3427" t="s">
        <v>22</v>
      </c>
      <c r="E3427">
        <v>13.78</v>
      </c>
      <c r="F3427">
        <v>0</v>
      </c>
      <c r="G3427" t="s">
        <v>33</v>
      </c>
      <c r="H3427" t="s">
        <v>18</v>
      </c>
      <c r="I3427" s="2">
        <v>13.99</v>
      </c>
      <c r="J3427">
        <v>0</v>
      </c>
      <c r="K3427" s="2">
        <f t="shared" si="106"/>
        <v>0</v>
      </c>
      <c r="L3427" t="s">
        <v>43</v>
      </c>
      <c r="M3427">
        <v>2</v>
      </c>
      <c r="N3427">
        <v>13.78</v>
      </c>
      <c r="O3427" t="str">
        <f t="shared" si="107"/>
        <v>1+ hours</v>
      </c>
      <c r="P3427" t="s">
        <v>25</v>
      </c>
    </row>
    <row r="3428" spans="1:16" x14ac:dyDescent="0.4">
      <c r="A3428" t="s">
        <v>3469</v>
      </c>
      <c r="B3428">
        <v>62</v>
      </c>
      <c r="C3428" t="s">
        <v>27</v>
      </c>
      <c r="D3428" t="s">
        <v>16</v>
      </c>
      <c r="E3428">
        <v>5.64</v>
      </c>
      <c r="F3428">
        <v>36</v>
      </c>
      <c r="G3428" t="s">
        <v>23</v>
      </c>
      <c r="H3428" t="s">
        <v>57</v>
      </c>
      <c r="I3428" s="2">
        <v>8.99</v>
      </c>
      <c r="J3428">
        <v>1</v>
      </c>
      <c r="K3428" s="2">
        <f t="shared" si="106"/>
        <v>8.99</v>
      </c>
      <c r="L3428" t="s">
        <v>19</v>
      </c>
      <c r="M3428">
        <v>5</v>
      </c>
      <c r="N3428">
        <v>0.15</v>
      </c>
      <c r="O3428" t="str">
        <f t="shared" si="107"/>
        <v>0–0.2 hours</v>
      </c>
      <c r="P3428" t="s">
        <v>34</v>
      </c>
    </row>
    <row r="3429" spans="1:16" x14ac:dyDescent="0.4">
      <c r="A3429" t="s">
        <v>3470</v>
      </c>
      <c r="B3429">
        <v>32</v>
      </c>
      <c r="C3429" t="s">
        <v>15</v>
      </c>
      <c r="D3429" t="s">
        <v>16</v>
      </c>
      <c r="E3429">
        <v>41.97</v>
      </c>
      <c r="F3429">
        <v>34</v>
      </c>
      <c r="G3429" t="s">
        <v>23</v>
      </c>
      <c r="H3429" t="s">
        <v>55</v>
      </c>
      <c r="I3429" s="2">
        <v>8.99</v>
      </c>
      <c r="J3429">
        <v>0</v>
      </c>
      <c r="K3429" s="2">
        <f t="shared" si="106"/>
        <v>0</v>
      </c>
      <c r="L3429" t="s">
        <v>61</v>
      </c>
      <c r="M3429">
        <v>1</v>
      </c>
      <c r="N3429">
        <v>1.2</v>
      </c>
      <c r="O3429" t="str">
        <f t="shared" si="107"/>
        <v>1+ hours</v>
      </c>
      <c r="P3429" t="s">
        <v>34</v>
      </c>
    </row>
    <row r="3430" spans="1:16" x14ac:dyDescent="0.4">
      <c r="A3430" t="s">
        <v>3471</v>
      </c>
      <c r="B3430">
        <v>64</v>
      </c>
      <c r="C3430" t="s">
        <v>41</v>
      </c>
      <c r="D3430" t="s">
        <v>32</v>
      </c>
      <c r="E3430">
        <v>0.01</v>
      </c>
      <c r="F3430">
        <v>16</v>
      </c>
      <c r="G3430" t="s">
        <v>17</v>
      </c>
      <c r="H3430" t="s">
        <v>18</v>
      </c>
      <c r="I3430" s="2">
        <v>17.989999999999998</v>
      </c>
      <c r="J3430">
        <v>0</v>
      </c>
      <c r="K3430" s="2">
        <f t="shared" si="106"/>
        <v>0</v>
      </c>
      <c r="L3430" t="s">
        <v>43</v>
      </c>
      <c r="M3430">
        <v>5</v>
      </c>
      <c r="N3430">
        <v>0</v>
      </c>
      <c r="O3430" t="str">
        <f t="shared" si="107"/>
        <v>0–0.2 hours</v>
      </c>
      <c r="P3430" t="s">
        <v>34</v>
      </c>
    </row>
    <row r="3431" spans="1:16" x14ac:dyDescent="0.4">
      <c r="A3431" t="s">
        <v>3472</v>
      </c>
      <c r="B3431">
        <v>58</v>
      </c>
      <c r="C3431" t="s">
        <v>41</v>
      </c>
      <c r="D3431" t="s">
        <v>32</v>
      </c>
      <c r="E3431">
        <v>2.83</v>
      </c>
      <c r="F3431">
        <v>58</v>
      </c>
      <c r="G3431" t="s">
        <v>70</v>
      </c>
      <c r="H3431" t="s">
        <v>18</v>
      </c>
      <c r="I3431" s="2">
        <v>17.989999999999998</v>
      </c>
      <c r="J3431">
        <v>1</v>
      </c>
      <c r="K3431" s="2">
        <f t="shared" si="106"/>
        <v>17.989999999999998</v>
      </c>
      <c r="L3431" t="s">
        <v>19</v>
      </c>
      <c r="M3431">
        <v>4</v>
      </c>
      <c r="N3431">
        <v>0.05</v>
      </c>
      <c r="O3431" t="str">
        <f t="shared" si="107"/>
        <v>0–0.2 hours</v>
      </c>
      <c r="P3431" t="s">
        <v>39</v>
      </c>
    </row>
    <row r="3432" spans="1:16" x14ac:dyDescent="0.4">
      <c r="A3432" t="s">
        <v>3473</v>
      </c>
      <c r="B3432">
        <v>35</v>
      </c>
      <c r="C3432" t="s">
        <v>41</v>
      </c>
      <c r="D3432" t="s">
        <v>32</v>
      </c>
      <c r="E3432">
        <v>9.2899999999999991</v>
      </c>
      <c r="F3432">
        <v>20</v>
      </c>
      <c r="G3432" t="s">
        <v>17</v>
      </c>
      <c r="H3432" t="s">
        <v>57</v>
      </c>
      <c r="I3432" s="2">
        <v>17.989999999999998</v>
      </c>
      <c r="J3432">
        <v>0</v>
      </c>
      <c r="K3432" s="2">
        <f t="shared" si="106"/>
        <v>0</v>
      </c>
      <c r="L3432" t="s">
        <v>37</v>
      </c>
      <c r="M3432">
        <v>4</v>
      </c>
      <c r="N3432">
        <v>0.44</v>
      </c>
      <c r="O3432" t="str">
        <f t="shared" si="107"/>
        <v>0.4–0.6 hours</v>
      </c>
      <c r="P3432" t="s">
        <v>47</v>
      </c>
    </row>
    <row r="3433" spans="1:16" x14ac:dyDescent="0.4">
      <c r="A3433" t="s">
        <v>3474</v>
      </c>
      <c r="B3433">
        <v>59</v>
      </c>
      <c r="C3433" t="s">
        <v>27</v>
      </c>
      <c r="D3433" t="s">
        <v>22</v>
      </c>
      <c r="E3433">
        <v>30.59</v>
      </c>
      <c r="F3433">
        <v>37</v>
      </c>
      <c r="G3433" t="s">
        <v>28</v>
      </c>
      <c r="H3433" t="s">
        <v>57</v>
      </c>
      <c r="I3433" s="2">
        <v>13.99</v>
      </c>
      <c r="J3433">
        <v>0</v>
      </c>
      <c r="K3433" s="2">
        <f t="shared" si="106"/>
        <v>0</v>
      </c>
      <c r="L3433" t="s">
        <v>43</v>
      </c>
      <c r="M3433">
        <v>1</v>
      </c>
      <c r="N3433">
        <v>0.81</v>
      </c>
      <c r="O3433" t="str">
        <f t="shared" si="107"/>
        <v>0.8–1 hour</v>
      </c>
      <c r="P3433" t="s">
        <v>47</v>
      </c>
    </row>
    <row r="3434" spans="1:16" x14ac:dyDescent="0.4">
      <c r="A3434" t="s">
        <v>3475</v>
      </c>
      <c r="B3434">
        <v>33</v>
      </c>
      <c r="C3434" t="s">
        <v>41</v>
      </c>
      <c r="D3434" t="s">
        <v>32</v>
      </c>
      <c r="E3434">
        <v>12.28</v>
      </c>
      <c r="F3434">
        <v>43</v>
      </c>
      <c r="G3434" t="s">
        <v>17</v>
      </c>
      <c r="H3434" t="s">
        <v>18</v>
      </c>
      <c r="I3434" s="2">
        <v>17.989999999999998</v>
      </c>
      <c r="J3434">
        <v>0</v>
      </c>
      <c r="K3434" s="2">
        <f t="shared" si="106"/>
        <v>0</v>
      </c>
      <c r="L3434" t="s">
        <v>43</v>
      </c>
      <c r="M3434">
        <v>4</v>
      </c>
      <c r="N3434">
        <v>0.28000000000000003</v>
      </c>
      <c r="O3434" t="str">
        <f t="shared" si="107"/>
        <v>0.2–0.4 hours</v>
      </c>
      <c r="P3434" t="s">
        <v>47</v>
      </c>
    </row>
    <row r="3435" spans="1:16" x14ac:dyDescent="0.4">
      <c r="A3435" t="s">
        <v>3476</v>
      </c>
      <c r="B3435">
        <v>60</v>
      </c>
      <c r="C3435" t="s">
        <v>27</v>
      </c>
      <c r="D3435" t="s">
        <v>32</v>
      </c>
      <c r="E3435">
        <v>3.92</v>
      </c>
      <c r="F3435">
        <v>7</v>
      </c>
      <c r="G3435" t="s">
        <v>70</v>
      </c>
      <c r="H3435" t="s">
        <v>18</v>
      </c>
      <c r="I3435" s="2">
        <v>17.989999999999998</v>
      </c>
      <c r="J3435">
        <v>1</v>
      </c>
      <c r="K3435" s="2">
        <f t="shared" si="106"/>
        <v>17.989999999999998</v>
      </c>
      <c r="L3435" t="s">
        <v>29</v>
      </c>
      <c r="M3435">
        <v>2</v>
      </c>
      <c r="N3435">
        <v>0.49</v>
      </c>
      <c r="O3435" t="str">
        <f t="shared" si="107"/>
        <v>0.4–0.6 hours</v>
      </c>
      <c r="P3435" t="s">
        <v>47</v>
      </c>
    </row>
    <row r="3436" spans="1:16" x14ac:dyDescent="0.4">
      <c r="A3436" t="s">
        <v>3477</v>
      </c>
      <c r="B3436">
        <v>65</v>
      </c>
      <c r="C3436" t="s">
        <v>27</v>
      </c>
      <c r="D3436" t="s">
        <v>16</v>
      </c>
      <c r="E3436">
        <v>4.12</v>
      </c>
      <c r="F3436">
        <v>9</v>
      </c>
      <c r="G3436" t="s">
        <v>49</v>
      </c>
      <c r="H3436" t="s">
        <v>57</v>
      </c>
      <c r="I3436" s="2">
        <v>8.99</v>
      </c>
      <c r="J3436">
        <v>1</v>
      </c>
      <c r="K3436" s="2">
        <f t="shared" si="106"/>
        <v>8.99</v>
      </c>
      <c r="L3436" t="s">
        <v>61</v>
      </c>
      <c r="M3436">
        <v>5</v>
      </c>
      <c r="N3436">
        <v>0.41</v>
      </c>
      <c r="O3436" t="str">
        <f t="shared" si="107"/>
        <v>0.4–0.6 hours</v>
      </c>
      <c r="P3436" t="s">
        <v>39</v>
      </c>
    </row>
    <row r="3437" spans="1:16" x14ac:dyDescent="0.4">
      <c r="A3437" t="s">
        <v>3478</v>
      </c>
      <c r="B3437">
        <v>49</v>
      </c>
      <c r="C3437" t="s">
        <v>41</v>
      </c>
      <c r="D3437" t="s">
        <v>22</v>
      </c>
      <c r="E3437">
        <v>24.88</v>
      </c>
      <c r="F3437">
        <v>36</v>
      </c>
      <c r="G3437" t="s">
        <v>70</v>
      </c>
      <c r="H3437" t="s">
        <v>24</v>
      </c>
      <c r="I3437" s="2">
        <v>13.99</v>
      </c>
      <c r="J3437">
        <v>0</v>
      </c>
      <c r="K3437" s="2">
        <f t="shared" si="106"/>
        <v>0</v>
      </c>
      <c r="L3437" t="s">
        <v>19</v>
      </c>
      <c r="M3437">
        <v>3</v>
      </c>
      <c r="N3437">
        <v>0.67</v>
      </c>
      <c r="O3437" t="str">
        <f t="shared" si="107"/>
        <v>0.6–0.8 hours</v>
      </c>
      <c r="P3437" t="s">
        <v>47</v>
      </c>
    </row>
    <row r="3438" spans="1:16" x14ac:dyDescent="0.4">
      <c r="A3438" t="s">
        <v>3479</v>
      </c>
      <c r="B3438">
        <v>25</v>
      </c>
      <c r="C3438" t="s">
        <v>41</v>
      </c>
      <c r="D3438" t="s">
        <v>32</v>
      </c>
      <c r="E3438">
        <v>12.73</v>
      </c>
      <c r="F3438">
        <v>59</v>
      </c>
      <c r="G3438" t="s">
        <v>17</v>
      </c>
      <c r="H3438" t="s">
        <v>18</v>
      </c>
      <c r="I3438" s="2">
        <v>17.989999999999998</v>
      </c>
      <c r="J3438">
        <v>0</v>
      </c>
      <c r="K3438" s="2">
        <f t="shared" si="106"/>
        <v>0</v>
      </c>
      <c r="L3438" t="s">
        <v>43</v>
      </c>
      <c r="M3438">
        <v>5</v>
      </c>
      <c r="N3438">
        <v>0.21</v>
      </c>
      <c r="O3438" t="str">
        <f t="shared" si="107"/>
        <v>0.2–0.4 hours</v>
      </c>
      <c r="P3438" t="s">
        <v>52</v>
      </c>
    </row>
    <row r="3439" spans="1:16" x14ac:dyDescent="0.4">
      <c r="A3439" t="s">
        <v>3480</v>
      </c>
      <c r="B3439">
        <v>46</v>
      </c>
      <c r="C3439" t="s">
        <v>15</v>
      </c>
      <c r="D3439" t="s">
        <v>32</v>
      </c>
      <c r="E3439">
        <v>2.98</v>
      </c>
      <c r="F3439">
        <v>12</v>
      </c>
      <c r="G3439" t="s">
        <v>23</v>
      </c>
      <c r="H3439" t="s">
        <v>46</v>
      </c>
      <c r="I3439" s="2">
        <v>17.989999999999998</v>
      </c>
      <c r="J3439">
        <v>1</v>
      </c>
      <c r="K3439" s="2">
        <f t="shared" si="106"/>
        <v>17.989999999999998</v>
      </c>
      <c r="L3439" t="s">
        <v>37</v>
      </c>
      <c r="M3439">
        <v>2</v>
      </c>
      <c r="N3439">
        <v>0.23</v>
      </c>
      <c r="O3439" t="str">
        <f t="shared" si="107"/>
        <v>0.2–0.4 hours</v>
      </c>
      <c r="P3439" t="s">
        <v>20</v>
      </c>
    </row>
    <row r="3440" spans="1:16" x14ac:dyDescent="0.4">
      <c r="A3440" t="s">
        <v>3481</v>
      </c>
      <c r="B3440">
        <v>19</v>
      </c>
      <c r="C3440" t="s">
        <v>41</v>
      </c>
      <c r="D3440" t="s">
        <v>32</v>
      </c>
      <c r="E3440">
        <v>17.420000000000002</v>
      </c>
      <c r="F3440">
        <v>40</v>
      </c>
      <c r="G3440" t="s">
        <v>49</v>
      </c>
      <c r="H3440" t="s">
        <v>55</v>
      </c>
      <c r="I3440" s="2">
        <v>17.989999999999998</v>
      </c>
      <c r="J3440">
        <v>1</v>
      </c>
      <c r="K3440" s="2">
        <f t="shared" si="106"/>
        <v>17.989999999999998</v>
      </c>
      <c r="L3440" t="s">
        <v>43</v>
      </c>
      <c r="M3440">
        <v>3</v>
      </c>
      <c r="N3440">
        <v>0.42</v>
      </c>
      <c r="O3440" t="str">
        <f t="shared" si="107"/>
        <v>0.4–0.6 hours</v>
      </c>
      <c r="P3440" t="s">
        <v>30</v>
      </c>
    </row>
    <row r="3441" spans="1:16" x14ac:dyDescent="0.4">
      <c r="A3441" t="s">
        <v>3482</v>
      </c>
      <c r="B3441">
        <v>47</v>
      </c>
      <c r="C3441" t="s">
        <v>41</v>
      </c>
      <c r="D3441" t="s">
        <v>22</v>
      </c>
      <c r="E3441">
        <v>3.71</v>
      </c>
      <c r="F3441">
        <v>54</v>
      </c>
      <c r="G3441" t="s">
        <v>49</v>
      </c>
      <c r="H3441" t="s">
        <v>55</v>
      </c>
      <c r="I3441" s="2">
        <v>13.99</v>
      </c>
      <c r="J3441">
        <v>1</v>
      </c>
      <c r="K3441" s="2">
        <f t="shared" si="106"/>
        <v>13.99</v>
      </c>
      <c r="L3441" t="s">
        <v>29</v>
      </c>
      <c r="M3441">
        <v>5</v>
      </c>
      <c r="N3441">
        <v>7.0000000000000007E-2</v>
      </c>
      <c r="O3441" t="str">
        <f t="shared" si="107"/>
        <v>0–0.2 hours</v>
      </c>
      <c r="P3441" t="s">
        <v>20</v>
      </c>
    </row>
    <row r="3442" spans="1:16" x14ac:dyDescent="0.4">
      <c r="A3442" t="s">
        <v>3483</v>
      </c>
      <c r="B3442">
        <v>51</v>
      </c>
      <c r="C3442" t="s">
        <v>15</v>
      </c>
      <c r="D3442" t="s">
        <v>16</v>
      </c>
      <c r="E3442">
        <v>8.34</v>
      </c>
      <c r="F3442">
        <v>33</v>
      </c>
      <c r="G3442" t="s">
        <v>23</v>
      </c>
      <c r="H3442" t="s">
        <v>18</v>
      </c>
      <c r="I3442" s="2">
        <v>8.99</v>
      </c>
      <c r="J3442">
        <v>1</v>
      </c>
      <c r="K3442" s="2">
        <f t="shared" si="106"/>
        <v>8.99</v>
      </c>
      <c r="L3442" t="s">
        <v>61</v>
      </c>
      <c r="M3442">
        <v>1</v>
      </c>
      <c r="N3442">
        <v>0.25</v>
      </c>
      <c r="O3442" t="str">
        <f t="shared" si="107"/>
        <v>0.2–0.4 hours</v>
      </c>
      <c r="P3442" t="s">
        <v>52</v>
      </c>
    </row>
    <row r="3443" spans="1:16" x14ac:dyDescent="0.4">
      <c r="A3443" t="s">
        <v>3484</v>
      </c>
      <c r="B3443">
        <v>32</v>
      </c>
      <c r="C3443" t="s">
        <v>27</v>
      </c>
      <c r="D3443" t="s">
        <v>22</v>
      </c>
      <c r="E3443">
        <v>5.93</v>
      </c>
      <c r="F3443">
        <v>41</v>
      </c>
      <c r="G3443" t="s">
        <v>23</v>
      </c>
      <c r="H3443" t="s">
        <v>24</v>
      </c>
      <c r="I3443" s="2">
        <v>13.99</v>
      </c>
      <c r="J3443">
        <v>0</v>
      </c>
      <c r="K3443" s="2">
        <f t="shared" si="106"/>
        <v>0</v>
      </c>
      <c r="L3443" t="s">
        <v>43</v>
      </c>
      <c r="M3443">
        <v>4</v>
      </c>
      <c r="N3443">
        <v>0.14000000000000001</v>
      </c>
      <c r="O3443" t="str">
        <f t="shared" si="107"/>
        <v>0–0.2 hours</v>
      </c>
      <c r="P3443" t="s">
        <v>20</v>
      </c>
    </row>
    <row r="3444" spans="1:16" x14ac:dyDescent="0.4">
      <c r="A3444" t="s">
        <v>3485</v>
      </c>
      <c r="B3444">
        <v>59</v>
      </c>
      <c r="C3444" t="s">
        <v>27</v>
      </c>
      <c r="D3444" t="s">
        <v>16</v>
      </c>
      <c r="E3444">
        <v>19.32</v>
      </c>
      <c r="F3444">
        <v>36</v>
      </c>
      <c r="G3444" t="s">
        <v>70</v>
      </c>
      <c r="H3444" t="s">
        <v>57</v>
      </c>
      <c r="I3444" s="2">
        <v>8.99</v>
      </c>
      <c r="J3444">
        <v>1</v>
      </c>
      <c r="K3444" s="2">
        <f t="shared" si="106"/>
        <v>8.99</v>
      </c>
      <c r="L3444" t="s">
        <v>43</v>
      </c>
      <c r="M3444">
        <v>3</v>
      </c>
      <c r="N3444">
        <v>0.52</v>
      </c>
      <c r="O3444" t="str">
        <f t="shared" si="107"/>
        <v>0.4–0.6 hours</v>
      </c>
      <c r="P3444" t="s">
        <v>47</v>
      </c>
    </row>
    <row r="3445" spans="1:16" x14ac:dyDescent="0.4">
      <c r="A3445" t="s">
        <v>3486</v>
      </c>
      <c r="B3445">
        <v>64</v>
      </c>
      <c r="C3445" t="s">
        <v>27</v>
      </c>
      <c r="D3445" t="s">
        <v>22</v>
      </c>
      <c r="E3445">
        <v>8.5299999999999994</v>
      </c>
      <c r="F3445">
        <v>48</v>
      </c>
      <c r="G3445" t="s">
        <v>70</v>
      </c>
      <c r="H3445" t="s">
        <v>57</v>
      </c>
      <c r="I3445" s="2">
        <v>13.99</v>
      </c>
      <c r="J3445">
        <v>0</v>
      </c>
      <c r="K3445" s="2">
        <f t="shared" si="106"/>
        <v>0</v>
      </c>
      <c r="L3445" t="s">
        <v>37</v>
      </c>
      <c r="M3445">
        <v>4</v>
      </c>
      <c r="N3445">
        <v>0.17</v>
      </c>
      <c r="O3445" t="str">
        <f t="shared" si="107"/>
        <v>0–0.2 hours</v>
      </c>
      <c r="P3445" t="s">
        <v>39</v>
      </c>
    </row>
    <row r="3446" spans="1:16" x14ac:dyDescent="0.4">
      <c r="A3446" t="s">
        <v>3487</v>
      </c>
      <c r="B3446">
        <v>29</v>
      </c>
      <c r="C3446" t="s">
        <v>27</v>
      </c>
      <c r="D3446" t="s">
        <v>22</v>
      </c>
      <c r="E3446">
        <v>6.13</v>
      </c>
      <c r="F3446">
        <v>9</v>
      </c>
      <c r="G3446" t="s">
        <v>70</v>
      </c>
      <c r="H3446" t="s">
        <v>24</v>
      </c>
      <c r="I3446" s="2">
        <v>13.99</v>
      </c>
      <c r="J3446">
        <v>0</v>
      </c>
      <c r="K3446" s="2">
        <f t="shared" si="106"/>
        <v>0</v>
      </c>
      <c r="L3446" t="s">
        <v>19</v>
      </c>
      <c r="M3446">
        <v>3</v>
      </c>
      <c r="N3446">
        <v>0.61</v>
      </c>
      <c r="O3446" t="str">
        <f t="shared" si="107"/>
        <v>0.6–0.8 hours</v>
      </c>
      <c r="P3446" t="s">
        <v>25</v>
      </c>
    </row>
    <row r="3447" spans="1:16" x14ac:dyDescent="0.4">
      <c r="A3447" t="s">
        <v>3488</v>
      </c>
      <c r="B3447">
        <v>57</v>
      </c>
      <c r="C3447" t="s">
        <v>41</v>
      </c>
      <c r="D3447" t="s">
        <v>16</v>
      </c>
      <c r="E3447">
        <v>4.3499999999999996</v>
      </c>
      <c r="F3447">
        <v>39</v>
      </c>
      <c r="G3447" t="s">
        <v>49</v>
      </c>
      <c r="H3447" t="s">
        <v>46</v>
      </c>
      <c r="I3447" s="2">
        <v>8.99</v>
      </c>
      <c r="J3447">
        <v>1</v>
      </c>
      <c r="K3447" s="2">
        <f t="shared" si="106"/>
        <v>8.99</v>
      </c>
      <c r="L3447" t="s">
        <v>37</v>
      </c>
      <c r="M3447">
        <v>1</v>
      </c>
      <c r="N3447">
        <v>0.11</v>
      </c>
      <c r="O3447" t="str">
        <f t="shared" si="107"/>
        <v>0–0.2 hours</v>
      </c>
      <c r="P3447" t="s">
        <v>20</v>
      </c>
    </row>
    <row r="3448" spans="1:16" x14ac:dyDescent="0.4">
      <c r="A3448" t="s">
        <v>3489</v>
      </c>
      <c r="B3448">
        <v>49</v>
      </c>
      <c r="C3448" t="s">
        <v>15</v>
      </c>
      <c r="D3448" t="s">
        <v>16</v>
      </c>
      <c r="E3448">
        <v>76.16</v>
      </c>
      <c r="F3448">
        <v>13</v>
      </c>
      <c r="G3448" t="s">
        <v>70</v>
      </c>
      <c r="H3448" t="s">
        <v>18</v>
      </c>
      <c r="I3448" s="2">
        <v>8.99</v>
      </c>
      <c r="J3448">
        <v>0</v>
      </c>
      <c r="K3448" s="2">
        <f t="shared" si="106"/>
        <v>0</v>
      </c>
      <c r="L3448" t="s">
        <v>43</v>
      </c>
      <c r="M3448">
        <v>5</v>
      </c>
      <c r="N3448">
        <v>5.44</v>
      </c>
      <c r="O3448" t="str">
        <f t="shared" si="107"/>
        <v>1+ hours</v>
      </c>
      <c r="P3448" t="s">
        <v>47</v>
      </c>
    </row>
    <row r="3449" spans="1:16" x14ac:dyDescent="0.4">
      <c r="A3449" t="s">
        <v>3490</v>
      </c>
      <c r="B3449">
        <v>65</v>
      </c>
      <c r="C3449" t="s">
        <v>27</v>
      </c>
      <c r="D3449" t="s">
        <v>16</v>
      </c>
      <c r="E3449">
        <v>2.39</v>
      </c>
      <c r="F3449">
        <v>26</v>
      </c>
      <c r="G3449" t="s">
        <v>23</v>
      </c>
      <c r="H3449" t="s">
        <v>24</v>
      </c>
      <c r="I3449" s="2">
        <v>8.99</v>
      </c>
      <c r="J3449">
        <v>1</v>
      </c>
      <c r="K3449" s="2">
        <f t="shared" si="106"/>
        <v>8.99</v>
      </c>
      <c r="L3449" t="s">
        <v>19</v>
      </c>
      <c r="M3449">
        <v>3</v>
      </c>
      <c r="N3449">
        <v>0.09</v>
      </c>
      <c r="O3449" t="str">
        <f t="shared" si="107"/>
        <v>0–0.2 hours</v>
      </c>
      <c r="P3449" t="s">
        <v>34</v>
      </c>
    </row>
    <row r="3450" spans="1:16" x14ac:dyDescent="0.4">
      <c r="A3450" t="s">
        <v>3491</v>
      </c>
      <c r="B3450">
        <v>21</v>
      </c>
      <c r="C3450" t="s">
        <v>27</v>
      </c>
      <c r="D3450" t="s">
        <v>32</v>
      </c>
      <c r="E3450">
        <v>5.25</v>
      </c>
      <c r="F3450">
        <v>53</v>
      </c>
      <c r="G3450" t="s">
        <v>33</v>
      </c>
      <c r="H3450" t="s">
        <v>57</v>
      </c>
      <c r="I3450" s="2">
        <v>17.989999999999998</v>
      </c>
      <c r="J3450">
        <v>1</v>
      </c>
      <c r="K3450" s="2">
        <f t="shared" si="106"/>
        <v>17.989999999999998</v>
      </c>
      <c r="L3450" t="s">
        <v>37</v>
      </c>
      <c r="M3450">
        <v>2</v>
      </c>
      <c r="N3450">
        <v>0.1</v>
      </c>
      <c r="O3450" t="str">
        <f t="shared" si="107"/>
        <v>0–0.2 hours</v>
      </c>
      <c r="P3450" t="s">
        <v>47</v>
      </c>
    </row>
    <row r="3451" spans="1:16" x14ac:dyDescent="0.4">
      <c r="A3451" t="s">
        <v>3492</v>
      </c>
      <c r="B3451">
        <v>66</v>
      </c>
      <c r="C3451" t="s">
        <v>15</v>
      </c>
      <c r="D3451" t="s">
        <v>22</v>
      </c>
      <c r="E3451">
        <v>16.52</v>
      </c>
      <c r="F3451">
        <v>56</v>
      </c>
      <c r="G3451" t="s">
        <v>28</v>
      </c>
      <c r="H3451" t="s">
        <v>55</v>
      </c>
      <c r="I3451" s="2">
        <v>13.99</v>
      </c>
      <c r="J3451">
        <v>1</v>
      </c>
      <c r="K3451" s="2">
        <f t="shared" si="106"/>
        <v>13.99</v>
      </c>
      <c r="L3451" t="s">
        <v>19</v>
      </c>
      <c r="M3451">
        <v>5</v>
      </c>
      <c r="N3451">
        <v>0.28999999999999998</v>
      </c>
      <c r="O3451" t="str">
        <f t="shared" si="107"/>
        <v>0.2–0.4 hours</v>
      </c>
      <c r="P3451" t="s">
        <v>25</v>
      </c>
    </row>
    <row r="3452" spans="1:16" x14ac:dyDescent="0.4">
      <c r="A3452" t="s">
        <v>3493</v>
      </c>
      <c r="B3452">
        <v>69</v>
      </c>
      <c r="C3452" t="s">
        <v>15</v>
      </c>
      <c r="D3452" t="s">
        <v>22</v>
      </c>
      <c r="E3452">
        <v>8.57</v>
      </c>
      <c r="F3452">
        <v>40</v>
      </c>
      <c r="G3452" t="s">
        <v>33</v>
      </c>
      <c r="H3452" t="s">
        <v>57</v>
      </c>
      <c r="I3452" s="2">
        <v>13.99</v>
      </c>
      <c r="J3452">
        <v>1</v>
      </c>
      <c r="K3452" s="2">
        <f t="shared" si="106"/>
        <v>13.99</v>
      </c>
      <c r="L3452" t="s">
        <v>43</v>
      </c>
      <c r="M3452">
        <v>3</v>
      </c>
      <c r="N3452">
        <v>0.21</v>
      </c>
      <c r="O3452" t="str">
        <f t="shared" si="107"/>
        <v>0.2–0.4 hours</v>
      </c>
      <c r="P3452" t="s">
        <v>30</v>
      </c>
    </row>
    <row r="3453" spans="1:16" x14ac:dyDescent="0.4">
      <c r="A3453" t="s">
        <v>3494</v>
      </c>
      <c r="B3453">
        <v>38</v>
      </c>
      <c r="C3453" t="s">
        <v>27</v>
      </c>
      <c r="D3453" t="s">
        <v>22</v>
      </c>
      <c r="E3453">
        <v>1.69</v>
      </c>
      <c r="F3453">
        <v>12</v>
      </c>
      <c r="G3453" t="s">
        <v>17</v>
      </c>
      <c r="H3453" t="s">
        <v>24</v>
      </c>
      <c r="I3453" s="2">
        <v>13.99</v>
      </c>
      <c r="J3453">
        <v>1</v>
      </c>
      <c r="K3453" s="2">
        <f t="shared" si="106"/>
        <v>13.99</v>
      </c>
      <c r="L3453" t="s">
        <v>37</v>
      </c>
      <c r="M3453">
        <v>3</v>
      </c>
      <c r="N3453">
        <v>0.13</v>
      </c>
      <c r="O3453" t="str">
        <f t="shared" si="107"/>
        <v>0–0.2 hours</v>
      </c>
      <c r="P3453" t="s">
        <v>30</v>
      </c>
    </row>
    <row r="3454" spans="1:16" x14ac:dyDescent="0.4">
      <c r="A3454" t="s">
        <v>3495</v>
      </c>
      <c r="B3454">
        <v>63</v>
      </c>
      <c r="C3454" t="s">
        <v>27</v>
      </c>
      <c r="D3454" t="s">
        <v>16</v>
      </c>
      <c r="E3454">
        <v>15.81</v>
      </c>
      <c r="F3454">
        <v>9</v>
      </c>
      <c r="G3454" t="s">
        <v>23</v>
      </c>
      <c r="H3454" t="s">
        <v>24</v>
      </c>
      <c r="I3454" s="2">
        <v>8.99</v>
      </c>
      <c r="J3454">
        <v>0</v>
      </c>
      <c r="K3454" s="2">
        <f t="shared" si="106"/>
        <v>0</v>
      </c>
      <c r="L3454" t="s">
        <v>43</v>
      </c>
      <c r="M3454">
        <v>3</v>
      </c>
      <c r="N3454">
        <v>1.58</v>
      </c>
      <c r="O3454" t="str">
        <f t="shared" si="107"/>
        <v>1+ hours</v>
      </c>
      <c r="P3454" t="s">
        <v>47</v>
      </c>
    </row>
    <row r="3455" spans="1:16" x14ac:dyDescent="0.4">
      <c r="A3455" t="s">
        <v>3496</v>
      </c>
      <c r="B3455">
        <v>31</v>
      </c>
      <c r="C3455" t="s">
        <v>41</v>
      </c>
      <c r="D3455" t="s">
        <v>32</v>
      </c>
      <c r="E3455">
        <v>5.04</v>
      </c>
      <c r="F3455">
        <v>28</v>
      </c>
      <c r="G3455" t="s">
        <v>23</v>
      </c>
      <c r="H3455" t="s">
        <v>46</v>
      </c>
      <c r="I3455" s="2">
        <v>17.989999999999998</v>
      </c>
      <c r="J3455">
        <v>0</v>
      </c>
      <c r="K3455" s="2">
        <f t="shared" si="106"/>
        <v>0</v>
      </c>
      <c r="L3455" t="s">
        <v>37</v>
      </c>
      <c r="M3455">
        <v>3</v>
      </c>
      <c r="N3455">
        <v>0.17</v>
      </c>
      <c r="O3455" t="str">
        <f t="shared" si="107"/>
        <v>0–0.2 hours</v>
      </c>
      <c r="P3455" t="s">
        <v>25</v>
      </c>
    </row>
    <row r="3456" spans="1:16" x14ac:dyDescent="0.4">
      <c r="A3456" t="s">
        <v>3497</v>
      </c>
      <c r="B3456">
        <v>42</v>
      </c>
      <c r="C3456" t="s">
        <v>41</v>
      </c>
      <c r="D3456" t="s">
        <v>32</v>
      </c>
      <c r="E3456">
        <v>2.81</v>
      </c>
      <c r="F3456">
        <v>32</v>
      </c>
      <c r="G3456" t="s">
        <v>23</v>
      </c>
      <c r="H3456" t="s">
        <v>55</v>
      </c>
      <c r="I3456" s="2">
        <v>17.989999999999998</v>
      </c>
      <c r="J3456">
        <v>1</v>
      </c>
      <c r="K3456" s="2">
        <f t="shared" si="106"/>
        <v>17.989999999999998</v>
      </c>
      <c r="L3456" t="s">
        <v>19</v>
      </c>
      <c r="M3456">
        <v>2</v>
      </c>
      <c r="N3456">
        <v>0.09</v>
      </c>
      <c r="O3456" t="str">
        <f t="shared" si="107"/>
        <v>0–0.2 hours</v>
      </c>
      <c r="P3456" t="s">
        <v>47</v>
      </c>
    </row>
    <row r="3457" spans="1:16" x14ac:dyDescent="0.4">
      <c r="A3457" t="s">
        <v>3498</v>
      </c>
      <c r="B3457">
        <v>48</v>
      </c>
      <c r="C3457" t="s">
        <v>41</v>
      </c>
      <c r="D3457" t="s">
        <v>32</v>
      </c>
      <c r="E3457">
        <v>19.559999999999999</v>
      </c>
      <c r="F3457">
        <v>58</v>
      </c>
      <c r="G3457" t="s">
        <v>23</v>
      </c>
      <c r="H3457" t="s">
        <v>24</v>
      </c>
      <c r="I3457" s="2">
        <v>17.989999999999998</v>
      </c>
      <c r="J3457">
        <v>1</v>
      </c>
      <c r="K3457" s="2">
        <f t="shared" si="106"/>
        <v>17.989999999999998</v>
      </c>
      <c r="L3457" t="s">
        <v>61</v>
      </c>
      <c r="M3457">
        <v>1</v>
      </c>
      <c r="N3457">
        <v>0.33</v>
      </c>
      <c r="O3457" t="str">
        <f t="shared" si="107"/>
        <v>0.2–0.4 hours</v>
      </c>
      <c r="P3457" t="s">
        <v>20</v>
      </c>
    </row>
    <row r="3458" spans="1:16" x14ac:dyDescent="0.4">
      <c r="A3458" t="s">
        <v>3499</v>
      </c>
      <c r="B3458">
        <v>67</v>
      </c>
      <c r="C3458" t="s">
        <v>27</v>
      </c>
      <c r="D3458" t="s">
        <v>22</v>
      </c>
      <c r="E3458">
        <v>10.88</v>
      </c>
      <c r="F3458">
        <v>30</v>
      </c>
      <c r="G3458" t="s">
        <v>49</v>
      </c>
      <c r="H3458" t="s">
        <v>18</v>
      </c>
      <c r="I3458" s="2">
        <v>13.99</v>
      </c>
      <c r="J3458">
        <v>0</v>
      </c>
      <c r="K3458" s="2">
        <f t="shared" si="106"/>
        <v>0</v>
      </c>
      <c r="L3458" t="s">
        <v>19</v>
      </c>
      <c r="M3458">
        <v>5</v>
      </c>
      <c r="N3458">
        <v>0.35</v>
      </c>
      <c r="O3458" t="str">
        <f t="shared" si="107"/>
        <v>0.2–0.4 hours</v>
      </c>
      <c r="P3458" t="s">
        <v>39</v>
      </c>
    </row>
    <row r="3459" spans="1:16" x14ac:dyDescent="0.4">
      <c r="A3459" t="s">
        <v>3500</v>
      </c>
      <c r="B3459">
        <v>70</v>
      </c>
      <c r="C3459" t="s">
        <v>15</v>
      </c>
      <c r="D3459" t="s">
        <v>16</v>
      </c>
      <c r="E3459">
        <v>5.74</v>
      </c>
      <c r="F3459">
        <v>48</v>
      </c>
      <c r="G3459" t="s">
        <v>49</v>
      </c>
      <c r="H3459" t="s">
        <v>18</v>
      </c>
      <c r="I3459" s="2">
        <v>8.99</v>
      </c>
      <c r="J3459">
        <v>1</v>
      </c>
      <c r="K3459" s="2">
        <f t="shared" ref="K3459:K3522" si="108">SUMIF(J3459,1,I3459)</f>
        <v>8.99</v>
      </c>
      <c r="L3459" t="s">
        <v>19</v>
      </c>
      <c r="M3459">
        <v>5</v>
      </c>
      <c r="N3459">
        <v>0.12</v>
      </c>
      <c r="O3459" t="str">
        <f t="shared" ref="O3459:O3522" si="109">IF(N3459&gt;1,"1+ hours",IF(N3459&lt;=0.2,"0–0.2 hours",IF(N3459&lt;=0.4,"0.2–0.4 hours",IF(N3459&lt;=0.6,"0.4–0.6 hours",IF(N3459&lt;=0.8,"0.6–0.8 hours","0.8–1 hour")))))</f>
        <v>0–0.2 hours</v>
      </c>
      <c r="P3459" t="s">
        <v>47</v>
      </c>
    </row>
    <row r="3460" spans="1:16" x14ac:dyDescent="0.4">
      <c r="A3460" t="s">
        <v>3501</v>
      </c>
      <c r="B3460">
        <v>49</v>
      </c>
      <c r="C3460" t="s">
        <v>41</v>
      </c>
      <c r="D3460" t="s">
        <v>32</v>
      </c>
      <c r="E3460">
        <v>8.49</v>
      </c>
      <c r="F3460">
        <v>7</v>
      </c>
      <c r="G3460" t="s">
        <v>49</v>
      </c>
      <c r="H3460" t="s">
        <v>46</v>
      </c>
      <c r="I3460" s="2">
        <v>17.989999999999998</v>
      </c>
      <c r="J3460">
        <v>0</v>
      </c>
      <c r="K3460" s="2">
        <f t="shared" si="108"/>
        <v>0</v>
      </c>
      <c r="L3460" t="s">
        <v>29</v>
      </c>
      <c r="M3460">
        <v>1</v>
      </c>
      <c r="N3460">
        <v>1.06</v>
      </c>
      <c r="O3460" t="str">
        <f t="shared" si="109"/>
        <v>1+ hours</v>
      </c>
      <c r="P3460" t="s">
        <v>25</v>
      </c>
    </row>
    <row r="3461" spans="1:16" x14ac:dyDescent="0.4">
      <c r="A3461" t="s">
        <v>3502</v>
      </c>
      <c r="B3461">
        <v>46</v>
      </c>
      <c r="C3461" t="s">
        <v>41</v>
      </c>
      <c r="D3461" t="s">
        <v>22</v>
      </c>
      <c r="E3461">
        <v>14.29</v>
      </c>
      <c r="F3461">
        <v>35</v>
      </c>
      <c r="G3461" t="s">
        <v>49</v>
      </c>
      <c r="H3461" t="s">
        <v>55</v>
      </c>
      <c r="I3461" s="2">
        <v>13.99</v>
      </c>
      <c r="J3461">
        <v>0</v>
      </c>
      <c r="K3461" s="2">
        <f t="shared" si="108"/>
        <v>0</v>
      </c>
      <c r="L3461" t="s">
        <v>37</v>
      </c>
      <c r="M3461">
        <v>5</v>
      </c>
      <c r="N3461">
        <v>0.4</v>
      </c>
      <c r="O3461" t="str">
        <f t="shared" si="109"/>
        <v>0.2–0.4 hours</v>
      </c>
      <c r="P3461" t="s">
        <v>25</v>
      </c>
    </row>
    <row r="3462" spans="1:16" x14ac:dyDescent="0.4">
      <c r="A3462" t="s">
        <v>3503</v>
      </c>
      <c r="B3462">
        <v>31</v>
      </c>
      <c r="C3462" t="s">
        <v>27</v>
      </c>
      <c r="D3462" t="s">
        <v>32</v>
      </c>
      <c r="E3462">
        <v>9.9499999999999993</v>
      </c>
      <c r="F3462">
        <v>6</v>
      </c>
      <c r="G3462" t="s">
        <v>70</v>
      </c>
      <c r="H3462" t="s">
        <v>24</v>
      </c>
      <c r="I3462" s="2">
        <v>17.989999999999998</v>
      </c>
      <c r="J3462">
        <v>0</v>
      </c>
      <c r="K3462" s="2">
        <f t="shared" si="108"/>
        <v>0</v>
      </c>
      <c r="L3462" t="s">
        <v>37</v>
      </c>
      <c r="M3462">
        <v>2</v>
      </c>
      <c r="N3462">
        <v>1.42</v>
      </c>
      <c r="O3462" t="str">
        <f t="shared" si="109"/>
        <v>1+ hours</v>
      </c>
      <c r="P3462" t="s">
        <v>52</v>
      </c>
    </row>
    <row r="3463" spans="1:16" x14ac:dyDescent="0.4">
      <c r="A3463" t="s">
        <v>3504</v>
      </c>
      <c r="B3463">
        <v>41</v>
      </c>
      <c r="C3463" t="s">
        <v>27</v>
      </c>
      <c r="D3463" t="s">
        <v>22</v>
      </c>
      <c r="E3463">
        <v>18.04</v>
      </c>
      <c r="F3463">
        <v>49</v>
      </c>
      <c r="G3463" t="s">
        <v>49</v>
      </c>
      <c r="H3463" t="s">
        <v>18</v>
      </c>
      <c r="I3463" s="2">
        <v>13.99</v>
      </c>
      <c r="J3463">
        <v>0</v>
      </c>
      <c r="K3463" s="2">
        <f t="shared" si="108"/>
        <v>0</v>
      </c>
      <c r="L3463" t="s">
        <v>43</v>
      </c>
      <c r="M3463">
        <v>4</v>
      </c>
      <c r="N3463">
        <v>0.36</v>
      </c>
      <c r="O3463" t="str">
        <f t="shared" si="109"/>
        <v>0.2–0.4 hours</v>
      </c>
      <c r="P3463" t="s">
        <v>39</v>
      </c>
    </row>
    <row r="3464" spans="1:16" x14ac:dyDescent="0.4">
      <c r="A3464" t="s">
        <v>3505</v>
      </c>
      <c r="B3464">
        <v>62</v>
      </c>
      <c r="C3464" t="s">
        <v>27</v>
      </c>
      <c r="D3464" t="s">
        <v>22</v>
      </c>
      <c r="E3464">
        <v>35.130000000000003</v>
      </c>
      <c r="F3464">
        <v>4</v>
      </c>
      <c r="G3464" t="s">
        <v>23</v>
      </c>
      <c r="H3464" t="s">
        <v>55</v>
      </c>
      <c r="I3464" s="2">
        <v>13.99</v>
      </c>
      <c r="J3464">
        <v>0</v>
      </c>
      <c r="K3464" s="2">
        <f t="shared" si="108"/>
        <v>0</v>
      </c>
      <c r="L3464" t="s">
        <v>29</v>
      </c>
      <c r="M3464">
        <v>4</v>
      </c>
      <c r="N3464">
        <v>7.03</v>
      </c>
      <c r="O3464" t="str">
        <f t="shared" si="109"/>
        <v>1+ hours</v>
      </c>
      <c r="P3464" t="s">
        <v>47</v>
      </c>
    </row>
    <row r="3465" spans="1:16" x14ac:dyDescent="0.4">
      <c r="A3465" t="s">
        <v>3506</v>
      </c>
      <c r="B3465">
        <v>38</v>
      </c>
      <c r="C3465" t="s">
        <v>27</v>
      </c>
      <c r="D3465" t="s">
        <v>32</v>
      </c>
      <c r="E3465">
        <v>34.08</v>
      </c>
      <c r="F3465">
        <v>1</v>
      </c>
      <c r="G3465" t="s">
        <v>70</v>
      </c>
      <c r="H3465" t="s">
        <v>46</v>
      </c>
      <c r="I3465" s="2">
        <v>17.989999999999998</v>
      </c>
      <c r="J3465">
        <v>0</v>
      </c>
      <c r="K3465" s="2">
        <f t="shared" si="108"/>
        <v>0</v>
      </c>
      <c r="L3465" t="s">
        <v>61</v>
      </c>
      <c r="M3465">
        <v>4</v>
      </c>
      <c r="N3465">
        <v>17.04</v>
      </c>
      <c r="O3465" t="str">
        <f t="shared" si="109"/>
        <v>1+ hours</v>
      </c>
      <c r="P3465" t="s">
        <v>30</v>
      </c>
    </row>
    <row r="3466" spans="1:16" x14ac:dyDescent="0.4">
      <c r="A3466" t="s">
        <v>3507</v>
      </c>
      <c r="B3466">
        <v>45</v>
      </c>
      <c r="C3466" t="s">
        <v>27</v>
      </c>
      <c r="D3466" t="s">
        <v>32</v>
      </c>
      <c r="E3466">
        <v>17.829999999999998</v>
      </c>
      <c r="F3466">
        <v>45</v>
      </c>
      <c r="G3466" t="s">
        <v>23</v>
      </c>
      <c r="H3466" t="s">
        <v>18</v>
      </c>
      <c r="I3466" s="2">
        <v>17.989999999999998</v>
      </c>
      <c r="J3466">
        <v>1</v>
      </c>
      <c r="K3466" s="2">
        <f t="shared" si="108"/>
        <v>17.989999999999998</v>
      </c>
      <c r="L3466" t="s">
        <v>37</v>
      </c>
      <c r="M3466">
        <v>1</v>
      </c>
      <c r="N3466">
        <v>0.39</v>
      </c>
      <c r="O3466" t="str">
        <f t="shared" si="109"/>
        <v>0.2–0.4 hours</v>
      </c>
      <c r="P3466" t="s">
        <v>30</v>
      </c>
    </row>
    <row r="3467" spans="1:16" x14ac:dyDescent="0.4">
      <c r="A3467" t="s">
        <v>3508</v>
      </c>
      <c r="B3467">
        <v>20</v>
      </c>
      <c r="C3467" t="s">
        <v>27</v>
      </c>
      <c r="D3467" t="s">
        <v>32</v>
      </c>
      <c r="E3467">
        <v>9.9600000000000009</v>
      </c>
      <c r="F3467">
        <v>17</v>
      </c>
      <c r="G3467" t="s">
        <v>70</v>
      </c>
      <c r="H3467" t="s">
        <v>18</v>
      </c>
      <c r="I3467" s="2">
        <v>17.989999999999998</v>
      </c>
      <c r="J3467">
        <v>0</v>
      </c>
      <c r="K3467" s="2">
        <f t="shared" si="108"/>
        <v>0</v>
      </c>
      <c r="L3467" t="s">
        <v>19</v>
      </c>
      <c r="M3467">
        <v>4</v>
      </c>
      <c r="N3467">
        <v>0.55000000000000004</v>
      </c>
      <c r="O3467" t="str">
        <f t="shared" si="109"/>
        <v>0.4–0.6 hours</v>
      </c>
      <c r="P3467" t="s">
        <v>34</v>
      </c>
    </row>
    <row r="3468" spans="1:16" x14ac:dyDescent="0.4">
      <c r="A3468" t="s">
        <v>3509</v>
      </c>
      <c r="B3468">
        <v>18</v>
      </c>
      <c r="C3468" t="s">
        <v>41</v>
      </c>
      <c r="D3468" t="s">
        <v>32</v>
      </c>
      <c r="E3468">
        <v>23.07</v>
      </c>
      <c r="F3468">
        <v>8</v>
      </c>
      <c r="G3468" t="s">
        <v>49</v>
      </c>
      <c r="H3468" t="s">
        <v>18</v>
      </c>
      <c r="I3468" s="2">
        <v>17.989999999999998</v>
      </c>
      <c r="J3468">
        <v>0</v>
      </c>
      <c r="K3468" s="2">
        <f t="shared" si="108"/>
        <v>0</v>
      </c>
      <c r="L3468" t="s">
        <v>61</v>
      </c>
      <c r="M3468">
        <v>1</v>
      </c>
      <c r="N3468">
        <v>2.56</v>
      </c>
      <c r="O3468" t="str">
        <f t="shared" si="109"/>
        <v>1+ hours</v>
      </c>
      <c r="P3468" t="s">
        <v>30</v>
      </c>
    </row>
    <row r="3469" spans="1:16" x14ac:dyDescent="0.4">
      <c r="A3469" t="s">
        <v>3510</v>
      </c>
      <c r="B3469">
        <v>28</v>
      </c>
      <c r="C3469" t="s">
        <v>27</v>
      </c>
      <c r="D3469" t="s">
        <v>32</v>
      </c>
      <c r="E3469">
        <v>28.72</v>
      </c>
      <c r="F3469">
        <v>40</v>
      </c>
      <c r="G3469" t="s">
        <v>49</v>
      </c>
      <c r="H3469" t="s">
        <v>46</v>
      </c>
      <c r="I3469" s="2">
        <v>17.989999999999998</v>
      </c>
      <c r="J3469">
        <v>0</v>
      </c>
      <c r="K3469" s="2">
        <f t="shared" si="108"/>
        <v>0</v>
      </c>
      <c r="L3469" t="s">
        <v>19</v>
      </c>
      <c r="M3469">
        <v>2</v>
      </c>
      <c r="N3469">
        <v>0.7</v>
      </c>
      <c r="O3469" t="str">
        <f t="shared" si="109"/>
        <v>0.6–0.8 hours</v>
      </c>
      <c r="P3469" t="s">
        <v>39</v>
      </c>
    </row>
    <row r="3470" spans="1:16" x14ac:dyDescent="0.4">
      <c r="A3470" t="s">
        <v>3511</v>
      </c>
      <c r="B3470">
        <v>34</v>
      </c>
      <c r="C3470" t="s">
        <v>15</v>
      </c>
      <c r="D3470" t="s">
        <v>22</v>
      </c>
      <c r="E3470">
        <v>26.66</v>
      </c>
      <c r="F3470">
        <v>55</v>
      </c>
      <c r="G3470" t="s">
        <v>70</v>
      </c>
      <c r="H3470" t="s">
        <v>55</v>
      </c>
      <c r="I3470" s="2">
        <v>13.99</v>
      </c>
      <c r="J3470">
        <v>0</v>
      </c>
      <c r="K3470" s="2">
        <f t="shared" si="108"/>
        <v>0</v>
      </c>
      <c r="L3470" t="s">
        <v>43</v>
      </c>
      <c r="M3470">
        <v>2</v>
      </c>
      <c r="N3470">
        <v>0.48</v>
      </c>
      <c r="O3470" t="str">
        <f t="shared" si="109"/>
        <v>0.4–0.6 hours</v>
      </c>
      <c r="P3470" t="s">
        <v>47</v>
      </c>
    </row>
    <row r="3471" spans="1:16" x14ac:dyDescent="0.4">
      <c r="A3471" t="s">
        <v>3512</v>
      </c>
      <c r="B3471">
        <v>53</v>
      </c>
      <c r="C3471" t="s">
        <v>27</v>
      </c>
      <c r="D3471" t="s">
        <v>16</v>
      </c>
      <c r="E3471">
        <v>0.33</v>
      </c>
      <c r="F3471">
        <v>35</v>
      </c>
      <c r="G3471" t="s">
        <v>33</v>
      </c>
      <c r="H3471" t="s">
        <v>24</v>
      </c>
      <c r="I3471" s="2">
        <v>8.99</v>
      </c>
      <c r="J3471">
        <v>1</v>
      </c>
      <c r="K3471" s="2">
        <f t="shared" si="108"/>
        <v>8.99</v>
      </c>
      <c r="L3471" t="s">
        <v>61</v>
      </c>
      <c r="M3471">
        <v>1</v>
      </c>
      <c r="N3471">
        <v>0.01</v>
      </c>
      <c r="O3471" t="str">
        <f t="shared" si="109"/>
        <v>0–0.2 hours</v>
      </c>
      <c r="P3471" t="s">
        <v>20</v>
      </c>
    </row>
    <row r="3472" spans="1:16" x14ac:dyDescent="0.4">
      <c r="A3472" t="s">
        <v>3513</v>
      </c>
      <c r="B3472">
        <v>56</v>
      </c>
      <c r="C3472" t="s">
        <v>15</v>
      </c>
      <c r="D3472" t="s">
        <v>16</v>
      </c>
      <c r="E3472">
        <v>29</v>
      </c>
      <c r="F3472">
        <v>23</v>
      </c>
      <c r="G3472" t="s">
        <v>33</v>
      </c>
      <c r="H3472" t="s">
        <v>57</v>
      </c>
      <c r="I3472" s="2">
        <v>8.99</v>
      </c>
      <c r="J3472">
        <v>0</v>
      </c>
      <c r="K3472" s="2">
        <f t="shared" si="108"/>
        <v>0</v>
      </c>
      <c r="L3472" t="s">
        <v>19</v>
      </c>
      <c r="M3472">
        <v>4</v>
      </c>
      <c r="N3472">
        <v>1.21</v>
      </c>
      <c r="O3472" t="str">
        <f t="shared" si="109"/>
        <v>1+ hours</v>
      </c>
      <c r="P3472" t="s">
        <v>20</v>
      </c>
    </row>
    <row r="3473" spans="1:16" x14ac:dyDescent="0.4">
      <c r="A3473" t="s">
        <v>3514</v>
      </c>
      <c r="B3473">
        <v>29</v>
      </c>
      <c r="C3473" t="s">
        <v>27</v>
      </c>
      <c r="D3473" t="s">
        <v>16</v>
      </c>
      <c r="E3473">
        <v>1.88</v>
      </c>
      <c r="F3473">
        <v>46</v>
      </c>
      <c r="G3473" t="s">
        <v>28</v>
      </c>
      <c r="H3473" t="s">
        <v>55</v>
      </c>
      <c r="I3473" s="2">
        <v>8.99</v>
      </c>
      <c r="J3473">
        <v>1</v>
      </c>
      <c r="K3473" s="2">
        <f t="shared" si="108"/>
        <v>8.99</v>
      </c>
      <c r="L3473" t="s">
        <v>29</v>
      </c>
      <c r="M3473">
        <v>4</v>
      </c>
      <c r="N3473">
        <v>0.04</v>
      </c>
      <c r="O3473" t="str">
        <f t="shared" si="109"/>
        <v>0–0.2 hours</v>
      </c>
      <c r="P3473" t="s">
        <v>25</v>
      </c>
    </row>
    <row r="3474" spans="1:16" x14ac:dyDescent="0.4">
      <c r="A3474" t="s">
        <v>3515</v>
      </c>
      <c r="B3474">
        <v>62</v>
      </c>
      <c r="C3474" t="s">
        <v>27</v>
      </c>
      <c r="D3474" t="s">
        <v>32</v>
      </c>
      <c r="E3474">
        <v>5.81</v>
      </c>
      <c r="F3474">
        <v>29</v>
      </c>
      <c r="G3474" t="s">
        <v>28</v>
      </c>
      <c r="H3474" t="s">
        <v>46</v>
      </c>
      <c r="I3474" s="2">
        <v>17.989999999999998</v>
      </c>
      <c r="J3474">
        <v>0</v>
      </c>
      <c r="K3474" s="2">
        <f t="shared" si="108"/>
        <v>0</v>
      </c>
      <c r="L3474" t="s">
        <v>43</v>
      </c>
      <c r="M3474">
        <v>2</v>
      </c>
      <c r="N3474">
        <v>0.19</v>
      </c>
      <c r="O3474" t="str">
        <f t="shared" si="109"/>
        <v>0–0.2 hours</v>
      </c>
      <c r="P3474" t="s">
        <v>30</v>
      </c>
    </row>
    <row r="3475" spans="1:16" x14ac:dyDescent="0.4">
      <c r="A3475" t="s">
        <v>3516</v>
      </c>
      <c r="B3475">
        <v>40</v>
      </c>
      <c r="C3475" t="s">
        <v>41</v>
      </c>
      <c r="D3475" t="s">
        <v>16</v>
      </c>
      <c r="E3475">
        <v>23.44</v>
      </c>
      <c r="F3475">
        <v>40</v>
      </c>
      <c r="G3475" t="s">
        <v>70</v>
      </c>
      <c r="H3475" t="s">
        <v>18</v>
      </c>
      <c r="I3475" s="2">
        <v>8.99</v>
      </c>
      <c r="J3475">
        <v>0</v>
      </c>
      <c r="K3475" s="2">
        <f t="shared" si="108"/>
        <v>0</v>
      </c>
      <c r="L3475" t="s">
        <v>19</v>
      </c>
      <c r="M3475">
        <v>4</v>
      </c>
      <c r="N3475">
        <v>0.56999999999999995</v>
      </c>
      <c r="O3475" t="str">
        <f t="shared" si="109"/>
        <v>0.4–0.6 hours</v>
      </c>
      <c r="P3475" t="s">
        <v>34</v>
      </c>
    </row>
    <row r="3476" spans="1:16" x14ac:dyDescent="0.4">
      <c r="A3476" s="1" t="s">
        <v>3517</v>
      </c>
      <c r="B3476">
        <v>54</v>
      </c>
      <c r="C3476" t="s">
        <v>15</v>
      </c>
      <c r="D3476" t="s">
        <v>32</v>
      </c>
      <c r="E3476">
        <v>4.79</v>
      </c>
      <c r="F3476">
        <v>49</v>
      </c>
      <c r="G3476" t="s">
        <v>17</v>
      </c>
      <c r="H3476" t="s">
        <v>18</v>
      </c>
      <c r="I3476" s="2">
        <v>17.989999999999998</v>
      </c>
      <c r="J3476">
        <v>1</v>
      </c>
      <c r="K3476" s="2">
        <f t="shared" si="108"/>
        <v>17.989999999999998</v>
      </c>
      <c r="L3476" t="s">
        <v>19</v>
      </c>
      <c r="M3476">
        <v>4</v>
      </c>
      <c r="N3476">
        <v>0.1</v>
      </c>
      <c r="O3476" t="str">
        <f t="shared" si="109"/>
        <v>0–0.2 hours</v>
      </c>
      <c r="P3476" t="s">
        <v>20</v>
      </c>
    </row>
    <row r="3477" spans="1:16" x14ac:dyDescent="0.4">
      <c r="A3477" t="s">
        <v>3518</v>
      </c>
      <c r="B3477">
        <v>63</v>
      </c>
      <c r="C3477" t="s">
        <v>27</v>
      </c>
      <c r="D3477" t="s">
        <v>16</v>
      </c>
      <c r="E3477">
        <v>24.97</v>
      </c>
      <c r="F3477">
        <v>23</v>
      </c>
      <c r="G3477" t="s">
        <v>49</v>
      </c>
      <c r="H3477" t="s">
        <v>24</v>
      </c>
      <c r="I3477" s="2">
        <v>8.99</v>
      </c>
      <c r="J3477">
        <v>0</v>
      </c>
      <c r="K3477" s="2">
        <f t="shared" si="108"/>
        <v>0</v>
      </c>
      <c r="L3477" t="s">
        <v>61</v>
      </c>
      <c r="M3477">
        <v>1</v>
      </c>
      <c r="N3477">
        <v>1.04</v>
      </c>
      <c r="O3477" t="str">
        <f t="shared" si="109"/>
        <v>1+ hours</v>
      </c>
      <c r="P3477" t="s">
        <v>25</v>
      </c>
    </row>
    <row r="3478" spans="1:16" x14ac:dyDescent="0.4">
      <c r="A3478" t="s">
        <v>3519</v>
      </c>
      <c r="B3478">
        <v>34</v>
      </c>
      <c r="C3478" t="s">
        <v>41</v>
      </c>
      <c r="D3478" t="s">
        <v>16</v>
      </c>
      <c r="E3478">
        <v>12.84</v>
      </c>
      <c r="F3478">
        <v>42</v>
      </c>
      <c r="G3478" t="s">
        <v>70</v>
      </c>
      <c r="H3478" t="s">
        <v>24</v>
      </c>
      <c r="I3478" s="2">
        <v>8.99</v>
      </c>
      <c r="J3478">
        <v>1</v>
      </c>
      <c r="K3478" s="2">
        <f t="shared" si="108"/>
        <v>8.99</v>
      </c>
      <c r="L3478" t="s">
        <v>43</v>
      </c>
      <c r="M3478">
        <v>4</v>
      </c>
      <c r="N3478">
        <v>0.3</v>
      </c>
      <c r="O3478" t="str">
        <f t="shared" si="109"/>
        <v>0.2–0.4 hours</v>
      </c>
      <c r="P3478" t="s">
        <v>25</v>
      </c>
    </row>
    <row r="3479" spans="1:16" x14ac:dyDescent="0.4">
      <c r="A3479" t="s">
        <v>3520</v>
      </c>
      <c r="B3479">
        <v>29</v>
      </c>
      <c r="C3479" t="s">
        <v>27</v>
      </c>
      <c r="D3479" t="s">
        <v>16</v>
      </c>
      <c r="E3479">
        <v>18.68</v>
      </c>
      <c r="F3479">
        <v>51</v>
      </c>
      <c r="G3479" t="s">
        <v>49</v>
      </c>
      <c r="H3479" t="s">
        <v>57</v>
      </c>
      <c r="I3479" s="2">
        <v>8.99</v>
      </c>
      <c r="J3479">
        <v>1</v>
      </c>
      <c r="K3479" s="2">
        <f t="shared" si="108"/>
        <v>8.99</v>
      </c>
      <c r="L3479" t="s">
        <v>43</v>
      </c>
      <c r="M3479">
        <v>3</v>
      </c>
      <c r="N3479">
        <v>0.36</v>
      </c>
      <c r="O3479" t="str">
        <f t="shared" si="109"/>
        <v>0.2–0.4 hours</v>
      </c>
      <c r="P3479" t="s">
        <v>25</v>
      </c>
    </row>
    <row r="3480" spans="1:16" x14ac:dyDescent="0.4">
      <c r="A3480" t="s">
        <v>3521</v>
      </c>
      <c r="B3480">
        <v>31</v>
      </c>
      <c r="C3480" t="s">
        <v>41</v>
      </c>
      <c r="D3480" t="s">
        <v>32</v>
      </c>
      <c r="E3480">
        <v>2.7</v>
      </c>
      <c r="F3480">
        <v>51</v>
      </c>
      <c r="G3480" t="s">
        <v>23</v>
      </c>
      <c r="H3480" t="s">
        <v>57</v>
      </c>
      <c r="I3480" s="2">
        <v>17.989999999999998</v>
      </c>
      <c r="J3480">
        <v>1</v>
      </c>
      <c r="K3480" s="2">
        <f t="shared" si="108"/>
        <v>17.989999999999998</v>
      </c>
      <c r="L3480" t="s">
        <v>29</v>
      </c>
      <c r="M3480">
        <v>5</v>
      </c>
      <c r="N3480">
        <v>0.05</v>
      </c>
      <c r="O3480" t="str">
        <f t="shared" si="109"/>
        <v>0–0.2 hours</v>
      </c>
      <c r="P3480" t="s">
        <v>34</v>
      </c>
    </row>
    <row r="3481" spans="1:16" x14ac:dyDescent="0.4">
      <c r="A3481" t="s">
        <v>3522</v>
      </c>
      <c r="B3481">
        <v>26</v>
      </c>
      <c r="C3481" t="s">
        <v>27</v>
      </c>
      <c r="D3481" t="s">
        <v>32</v>
      </c>
      <c r="E3481">
        <v>16.27</v>
      </c>
      <c r="F3481">
        <v>34</v>
      </c>
      <c r="G3481" t="s">
        <v>28</v>
      </c>
      <c r="H3481" t="s">
        <v>24</v>
      </c>
      <c r="I3481" s="2">
        <v>17.989999999999998</v>
      </c>
      <c r="J3481">
        <v>1</v>
      </c>
      <c r="K3481" s="2">
        <f t="shared" si="108"/>
        <v>17.989999999999998</v>
      </c>
      <c r="L3481" t="s">
        <v>29</v>
      </c>
      <c r="M3481">
        <v>3</v>
      </c>
      <c r="N3481">
        <v>0.46</v>
      </c>
      <c r="O3481" t="str">
        <f t="shared" si="109"/>
        <v>0.4–0.6 hours</v>
      </c>
      <c r="P3481" t="s">
        <v>30</v>
      </c>
    </row>
    <row r="3482" spans="1:16" x14ac:dyDescent="0.4">
      <c r="A3482" t="s">
        <v>3523</v>
      </c>
      <c r="B3482">
        <v>23</v>
      </c>
      <c r="C3482" t="s">
        <v>41</v>
      </c>
      <c r="D3482" t="s">
        <v>32</v>
      </c>
      <c r="E3482">
        <v>16.010000000000002</v>
      </c>
      <c r="F3482">
        <v>2</v>
      </c>
      <c r="G3482" t="s">
        <v>23</v>
      </c>
      <c r="H3482" t="s">
        <v>46</v>
      </c>
      <c r="I3482" s="2">
        <v>17.989999999999998</v>
      </c>
      <c r="J3482">
        <v>0</v>
      </c>
      <c r="K3482" s="2">
        <f t="shared" si="108"/>
        <v>0</v>
      </c>
      <c r="L3482" t="s">
        <v>43</v>
      </c>
      <c r="M3482">
        <v>1</v>
      </c>
      <c r="N3482">
        <v>5.34</v>
      </c>
      <c r="O3482" t="str">
        <f t="shared" si="109"/>
        <v>1+ hours</v>
      </c>
      <c r="P3482" t="s">
        <v>25</v>
      </c>
    </row>
    <row r="3483" spans="1:16" x14ac:dyDescent="0.4">
      <c r="A3483" t="s">
        <v>3524</v>
      </c>
      <c r="B3483">
        <v>45</v>
      </c>
      <c r="C3483" t="s">
        <v>41</v>
      </c>
      <c r="D3483" t="s">
        <v>16</v>
      </c>
      <c r="E3483">
        <v>1.98</v>
      </c>
      <c r="F3483">
        <v>53</v>
      </c>
      <c r="G3483" t="s">
        <v>23</v>
      </c>
      <c r="H3483" t="s">
        <v>46</v>
      </c>
      <c r="I3483" s="2">
        <v>8.99</v>
      </c>
      <c r="J3483">
        <v>1</v>
      </c>
      <c r="K3483" s="2">
        <f t="shared" si="108"/>
        <v>8.99</v>
      </c>
      <c r="L3483" t="s">
        <v>29</v>
      </c>
      <c r="M3483">
        <v>5</v>
      </c>
      <c r="N3483">
        <v>0.04</v>
      </c>
      <c r="O3483" t="str">
        <f t="shared" si="109"/>
        <v>0–0.2 hours</v>
      </c>
      <c r="P3483" t="s">
        <v>52</v>
      </c>
    </row>
    <row r="3484" spans="1:16" x14ac:dyDescent="0.4">
      <c r="A3484" t="s">
        <v>3525</v>
      </c>
      <c r="B3484">
        <v>22</v>
      </c>
      <c r="C3484" t="s">
        <v>41</v>
      </c>
      <c r="D3484" t="s">
        <v>22</v>
      </c>
      <c r="E3484">
        <v>39.11</v>
      </c>
      <c r="F3484">
        <v>13</v>
      </c>
      <c r="G3484" t="s">
        <v>49</v>
      </c>
      <c r="H3484" t="s">
        <v>24</v>
      </c>
      <c r="I3484" s="2">
        <v>13.99</v>
      </c>
      <c r="J3484">
        <v>0</v>
      </c>
      <c r="K3484" s="2">
        <f t="shared" si="108"/>
        <v>0</v>
      </c>
      <c r="L3484" t="s">
        <v>29</v>
      </c>
      <c r="M3484">
        <v>2</v>
      </c>
      <c r="N3484">
        <v>2.79</v>
      </c>
      <c r="O3484" t="str">
        <f t="shared" si="109"/>
        <v>1+ hours</v>
      </c>
      <c r="P3484" t="s">
        <v>30</v>
      </c>
    </row>
    <row r="3485" spans="1:16" x14ac:dyDescent="0.4">
      <c r="A3485" t="s">
        <v>3526</v>
      </c>
      <c r="B3485">
        <v>62</v>
      </c>
      <c r="C3485" t="s">
        <v>27</v>
      </c>
      <c r="D3485" t="s">
        <v>32</v>
      </c>
      <c r="E3485">
        <v>6.17</v>
      </c>
      <c r="F3485">
        <v>1</v>
      </c>
      <c r="G3485" t="s">
        <v>28</v>
      </c>
      <c r="H3485" t="s">
        <v>18</v>
      </c>
      <c r="I3485" s="2">
        <v>17.989999999999998</v>
      </c>
      <c r="J3485">
        <v>0</v>
      </c>
      <c r="K3485" s="2">
        <f t="shared" si="108"/>
        <v>0</v>
      </c>
      <c r="L3485" t="s">
        <v>37</v>
      </c>
      <c r="M3485">
        <v>2</v>
      </c>
      <c r="N3485">
        <v>3.08</v>
      </c>
      <c r="O3485" t="str">
        <f t="shared" si="109"/>
        <v>1+ hours</v>
      </c>
      <c r="P3485" t="s">
        <v>47</v>
      </c>
    </row>
    <row r="3486" spans="1:16" x14ac:dyDescent="0.4">
      <c r="A3486" t="s">
        <v>3527</v>
      </c>
      <c r="B3486">
        <v>33</v>
      </c>
      <c r="C3486" t="s">
        <v>27</v>
      </c>
      <c r="D3486" t="s">
        <v>32</v>
      </c>
      <c r="E3486">
        <v>14.93</v>
      </c>
      <c r="F3486">
        <v>7</v>
      </c>
      <c r="G3486" t="s">
        <v>23</v>
      </c>
      <c r="H3486" t="s">
        <v>46</v>
      </c>
      <c r="I3486" s="2">
        <v>17.989999999999998</v>
      </c>
      <c r="J3486">
        <v>0</v>
      </c>
      <c r="K3486" s="2">
        <f t="shared" si="108"/>
        <v>0</v>
      </c>
      <c r="L3486" t="s">
        <v>37</v>
      </c>
      <c r="M3486">
        <v>3</v>
      </c>
      <c r="N3486">
        <v>1.87</v>
      </c>
      <c r="O3486" t="str">
        <f t="shared" si="109"/>
        <v>1+ hours</v>
      </c>
      <c r="P3486" t="s">
        <v>20</v>
      </c>
    </row>
    <row r="3487" spans="1:16" x14ac:dyDescent="0.4">
      <c r="A3487" t="s">
        <v>3528</v>
      </c>
      <c r="B3487">
        <v>68</v>
      </c>
      <c r="C3487" t="s">
        <v>15</v>
      </c>
      <c r="D3487" t="s">
        <v>32</v>
      </c>
      <c r="E3487">
        <v>25.21</v>
      </c>
      <c r="F3487">
        <v>50</v>
      </c>
      <c r="G3487" t="s">
        <v>23</v>
      </c>
      <c r="H3487" t="s">
        <v>24</v>
      </c>
      <c r="I3487" s="2">
        <v>17.989999999999998</v>
      </c>
      <c r="J3487">
        <v>0</v>
      </c>
      <c r="K3487" s="2">
        <f t="shared" si="108"/>
        <v>0</v>
      </c>
      <c r="L3487" t="s">
        <v>61</v>
      </c>
      <c r="M3487">
        <v>4</v>
      </c>
      <c r="N3487">
        <v>0.49</v>
      </c>
      <c r="O3487" t="str">
        <f t="shared" si="109"/>
        <v>0.4–0.6 hours</v>
      </c>
      <c r="P3487" t="s">
        <v>30</v>
      </c>
    </row>
    <row r="3488" spans="1:16" x14ac:dyDescent="0.4">
      <c r="A3488" t="s">
        <v>3529</v>
      </c>
      <c r="B3488">
        <v>59</v>
      </c>
      <c r="C3488" t="s">
        <v>15</v>
      </c>
      <c r="D3488" t="s">
        <v>32</v>
      </c>
      <c r="E3488">
        <v>2.4500000000000002</v>
      </c>
      <c r="F3488">
        <v>51</v>
      </c>
      <c r="G3488" t="s">
        <v>49</v>
      </c>
      <c r="H3488" t="s">
        <v>46</v>
      </c>
      <c r="I3488" s="2">
        <v>17.989999999999998</v>
      </c>
      <c r="J3488">
        <v>1</v>
      </c>
      <c r="K3488" s="2">
        <f t="shared" si="108"/>
        <v>17.989999999999998</v>
      </c>
      <c r="L3488" t="s">
        <v>37</v>
      </c>
      <c r="M3488">
        <v>5</v>
      </c>
      <c r="N3488">
        <v>0.05</v>
      </c>
      <c r="O3488" t="str">
        <f t="shared" si="109"/>
        <v>0–0.2 hours</v>
      </c>
      <c r="P3488" t="s">
        <v>20</v>
      </c>
    </row>
    <row r="3489" spans="1:16" x14ac:dyDescent="0.4">
      <c r="A3489" t="s">
        <v>3530</v>
      </c>
      <c r="B3489">
        <v>37</v>
      </c>
      <c r="C3489" t="s">
        <v>15</v>
      </c>
      <c r="D3489" t="s">
        <v>22</v>
      </c>
      <c r="E3489">
        <v>26.94</v>
      </c>
      <c r="F3489">
        <v>12</v>
      </c>
      <c r="G3489" t="s">
        <v>17</v>
      </c>
      <c r="H3489" t="s">
        <v>55</v>
      </c>
      <c r="I3489" s="2">
        <v>13.99</v>
      </c>
      <c r="J3489">
        <v>0</v>
      </c>
      <c r="K3489" s="2">
        <f t="shared" si="108"/>
        <v>0</v>
      </c>
      <c r="L3489" t="s">
        <v>19</v>
      </c>
      <c r="M3489">
        <v>3</v>
      </c>
      <c r="N3489">
        <v>2.0699999999999998</v>
      </c>
      <c r="O3489" t="str">
        <f t="shared" si="109"/>
        <v>1+ hours</v>
      </c>
      <c r="P3489" t="s">
        <v>52</v>
      </c>
    </row>
    <row r="3490" spans="1:16" x14ac:dyDescent="0.4">
      <c r="A3490" t="s">
        <v>3531</v>
      </c>
      <c r="B3490">
        <v>39</v>
      </c>
      <c r="C3490" t="s">
        <v>41</v>
      </c>
      <c r="D3490" t="s">
        <v>16</v>
      </c>
      <c r="E3490">
        <v>7.67</v>
      </c>
      <c r="F3490">
        <v>27</v>
      </c>
      <c r="G3490" t="s">
        <v>17</v>
      </c>
      <c r="H3490" t="s">
        <v>57</v>
      </c>
      <c r="I3490" s="2">
        <v>8.99</v>
      </c>
      <c r="J3490">
        <v>0</v>
      </c>
      <c r="K3490" s="2">
        <f t="shared" si="108"/>
        <v>0</v>
      </c>
      <c r="L3490" t="s">
        <v>61</v>
      </c>
      <c r="M3490">
        <v>3</v>
      </c>
      <c r="N3490">
        <v>0.27</v>
      </c>
      <c r="O3490" t="str">
        <f t="shared" si="109"/>
        <v>0.2–0.4 hours</v>
      </c>
      <c r="P3490" t="s">
        <v>47</v>
      </c>
    </row>
    <row r="3491" spans="1:16" x14ac:dyDescent="0.4">
      <c r="A3491" t="s">
        <v>3532</v>
      </c>
      <c r="B3491">
        <v>47</v>
      </c>
      <c r="C3491" t="s">
        <v>15</v>
      </c>
      <c r="D3491" t="s">
        <v>22</v>
      </c>
      <c r="E3491">
        <v>2.11</v>
      </c>
      <c r="F3491">
        <v>24</v>
      </c>
      <c r="G3491" t="s">
        <v>17</v>
      </c>
      <c r="H3491" t="s">
        <v>24</v>
      </c>
      <c r="I3491" s="2">
        <v>13.99</v>
      </c>
      <c r="J3491">
        <v>1</v>
      </c>
      <c r="K3491" s="2">
        <f t="shared" si="108"/>
        <v>13.99</v>
      </c>
      <c r="L3491" t="s">
        <v>29</v>
      </c>
      <c r="M3491">
        <v>4</v>
      </c>
      <c r="N3491">
        <v>0.08</v>
      </c>
      <c r="O3491" t="str">
        <f t="shared" si="109"/>
        <v>0–0.2 hours</v>
      </c>
      <c r="P3491" t="s">
        <v>47</v>
      </c>
    </row>
    <row r="3492" spans="1:16" x14ac:dyDescent="0.4">
      <c r="A3492" t="s">
        <v>3533</v>
      </c>
      <c r="B3492">
        <v>64</v>
      </c>
      <c r="C3492" t="s">
        <v>41</v>
      </c>
      <c r="D3492" t="s">
        <v>16</v>
      </c>
      <c r="E3492">
        <v>22.69</v>
      </c>
      <c r="F3492">
        <v>43</v>
      </c>
      <c r="G3492" t="s">
        <v>49</v>
      </c>
      <c r="H3492" t="s">
        <v>24</v>
      </c>
      <c r="I3492" s="2">
        <v>8.99</v>
      </c>
      <c r="J3492">
        <v>0</v>
      </c>
      <c r="K3492" s="2">
        <f t="shared" si="108"/>
        <v>0</v>
      </c>
      <c r="L3492" t="s">
        <v>43</v>
      </c>
      <c r="M3492">
        <v>2</v>
      </c>
      <c r="N3492">
        <v>0.52</v>
      </c>
      <c r="O3492" t="str">
        <f t="shared" si="109"/>
        <v>0.4–0.6 hours</v>
      </c>
      <c r="P3492" t="s">
        <v>30</v>
      </c>
    </row>
    <row r="3493" spans="1:16" x14ac:dyDescent="0.4">
      <c r="A3493" t="s">
        <v>3534</v>
      </c>
      <c r="B3493">
        <v>55</v>
      </c>
      <c r="C3493" t="s">
        <v>41</v>
      </c>
      <c r="D3493" t="s">
        <v>22</v>
      </c>
      <c r="E3493">
        <v>0.53</v>
      </c>
      <c r="F3493">
        <v>32</v>
      </c>
      <c r="G3493" t="s">
        <v>28</v>
      </c>
      <c r="H3493" t="s">
        <v>24</v>
      </c>
      <c r="I3493" s="2">
        <v>13.99</v>
      </c>
      <c r="J3493">
        <v>1</v>
      </c>
      <c r="K3493" s="2">
        <f t="shared" si="108"/>
        <v>13.99</v>
      </c>
      <c r="L3493" t="s">
        <v>61</v>
      </c>
      <c r="M3493">
        <v>5</v>
      </c>
      <c r="N3493">
        <v>0.02</v>
      </c>
      <c r="O3493" t="str">
        <f t="shared" si="109"/>
        <v>0–0.2 hours</v>
      </c>
      <c r="P3493" t="s">
        <v>30</v>
      </c>
    </row>
    <row r="3494" spans="1:16" x14ac:dyDescent="0.4">
      <c r="A3494" t="s">
        <v>3535</v>
      </c>
      <c r="B3494">
        <v>55</v>
      </c>
      <c r="C3494" t="s">
        <v>15</v>
      </c>
      <c r="D3494" t="s">
        <v>16</v>
      </c>
      <c r="E3494">
        <v>12.26</v>
      </c>
      <c r="F3494">
        <v>1</v>
      </c>
      <c r="G3494" t="s">
        <v>33</v>
      </c>
      <c r="H3494" t="s">
        <v>55</v>
      </c>
      <c r="I3494" s="2">
        <v>8.99</v>
      </c>
      <c r="J3494">
        <v>0</v>
      </c>
      <c r="K3494" s="2">
        <f t="shared" si="108"/>
        <v>0</v>
      </c>
      <c r="L3494" t="s">
        <v>43</v>
      </c>
      <c r="M3494">
        <v>1</v>
      </c>
      <c r="N3494">
        <v>6.13</v>
      </c>
      <c r="O3494" t="str">
        <f t="shared" si="109"/>
        <v>1+ hours</v>
      </c>
      <c r="P3494" t="s">
        <v>47</v>
      </c>
    </row>
    <row r="3495" spans="1:16" x14ac:dyDescent="0.4">
      <c r="A3495" s="1" t="s">
        <v>3536</v>
      </c>
      <c r="B3495">
        <v>56</v>
      </c>
      <c r="C3495" t="s">
        <v>41</v>
      </c>
      <c r="D3495" t="s">
        <v>22</v>
      </c>
      <c r="E3495">
        <v>9.9700000000000006</v>
      </c>
      <c r="F3495">
        <v>10</v>
      </c>
      <c r="G3495" t="s">
        <v>28</v>
      </c>
      <c r="H3495" t="s">
        <v>24</v>
      </c>
      <c r="I3495" s="2">
        <v>13.99</v>
      </c>
      <c r="J3495">
        <v>0</v>
      </c>
      <c r="K3495" s="2">
        <f t="shared" si="108"/>
        <v>0</v>
      </c>
      <c r="L3495" t="s">
        <v>61</v>
      </c>
      <c r="M3495">
        <v>5</v>
      </c>
      <c r="N3495">
        <v>0.91</v>
      </c>
      <c r="O3495" t="str">
        <f t="shared" si="109"/>
        <v>0.8–1 hour</v>
      </c>
      <c r="P3495" t="s">
        <v>20</v>
      </c>
    </row>
    <row r="3496" spans="1:16" x14ac:dyDescent="0.4">
      <c r="A3496" t="s">
        <v>3537</v>
      </c>
      <c r="B3496">
        <v>38</v>
      </c>
      <c r="C3496" t="s">
        <v>27</v>
      </c>
      <c r="D3496" t="s">
        <v>22</v>
      </c>
      <c r="E3496">
        <v>2.44</v>
      </c>
      <c r="F3496">
        <v>11</v>
      </c>
      <c r="G3496" t="s">
        <v>33</v>
      </c>
      <c r="H3496" t="s">
        <v>46</v>
      </c>
      <c r="I3496" s="2">
        <v>13.99</v>
      </c>
      <c r="J3496">
        <v>1</v>
      </c>
      <c r="K3496" s="2">
        <f t="shared" si="108"/>
        <v>13.99</v>
      </c>
      <c r="L3496" t="s">
        <v>19</v>
      </c>
      <c r="M3496">
        <v>5</v>
      </c>
      <c r="N3496">
        <v>0.2</v>
      </c>
      <c r="O3496" t="str">
        <f t="shared" si="109"/>
        <v>0–0.2 hours</v>
      </c>
      <c r="P3496" t="s">
        <v>52</v>
      </c>
    </row>
    <row r="3497" spans="1:16" x14ac:dyDescent="0.4">
      <c r="A3497" t="s">
        <v>3538</v>
      </c>
      <c r="B3497">
        <v>56</v>
      </c>
      <c r="C3497" t="s">
        <v>15</v>
      </c>
      <c r="D3497" t="s">
        <v>32</v>
      </c>
      <c r="E3497">
        <v>18.149999999999999</v>
      </c>
      <c r="F3497">
        <v>40</v>
      </c>
      <c r="G3497" t="s">
        <v>70</v>
      </c>
      <c r="H3497" t="s">
        <v>24</v>
      </c>
      <c r="I3497" s="2">
        <v>17.989999999999998</v>
      </c>
      <c r="J3497">
        <v>0</v>
      </c>
      <c r="K3497" s="2">
        <f t="shared" si="108"/>
        <v>0</v>
      </c>
      <c r="L3497" t="s">
        <v>43</v>
      </c>
      <c r="M3497">
        <v>4</v>
      </c>
      <c r="N3497">
        <v>0.44</v>
      </c>
      <c r="O3497" t="str">
        <f t="shared" si="109"/>
        <v>0.4–0.6 hours</v>
      </c>
      <c r="P3497" t="s">
        <v>30</v>
      </c>
    </row>
    <row r="3498" spans="1:16" x14ac:dyDescent="0.4">
      <c r="A3498" t="s">
        <v>3539</v>
      </c>
      <c r="B3498">
        <v>63</v>
      </c>
      <c r="C3498" t="s">
        <v>27</v>
      </c>
      <c r="D3498" t="s">
        <v>22</v>
      </c>
      <c r="E3498">
        <v>32.06</v>
      </c>
      <c r="F3498">
        <v>24</v>
      </c>
      <c r="G3498" t="s">
        <v>23</v>
      </c>
      <c r="H3498" t="s">
        <v>55</v>
      </c>
      <c r="I3498" s="2">
        <v>13.99</v>
      </c>
      <c r="J3498">
        <v>0</v>
      </c>
      <c r="K3498" s="2">
        <f t="shared" si="108"/>
        <v>0</v>
      </c>
      <c r="L3498" t="s">
        <v>37</v>
      </c>
      <c r="M3498">
        <v>3</v>
      </c>
      <c r="N3498">
        <v>1.28</v>
      </c>
      <c r="O3498" t="str">
        <f t="shared" si="109"/>
        <v>1+ hours</v>
      </c>
      <c r="P3498" t="s">
        <v>52</v>
      </c>
    </row>
    <row r="3499" spans="1:16" x14ac:dyDescent="0.4">
      <c r="A3499" t="s">
        <v>3540</v>
      </c>
      <c r="B3499">
        <v>38</v>
      </c>
      <c r="C3499" t="s">
        <v>41</v>
      </c>
      <c r="D3499" t="s">
        <v>32</v>
      </c>
      <c r="E3499">
        <v>5.89</v>
      </c>
      <c r="F3499">
        <v>2</v>
      </c>
      <c r="G3499" t="s">
        <v>23</v>
      </c>
      <c r="H3499" t="s">
        <v>55</v>
      </c>
      <c r="I3499" s="2">
        <v>17.989999999999998</v>
      </c>
      <c r="J3499">
        <v>0</v>
      </c>
      <c r="K3499" s="2">
        <f t="shared" si="108"/>
        <v>0</v>
      </c>
      <c r="L3499" t="s">
        <v>29</v>
      </c>
      <c r="M3499">
        <v>1</v>
      </c>
      <c r="N3499">
        <v>1.96</v>
      </c>
      <c r="O3499" t="str">
        <f t="shared" si="109"/>
        <v>1+ hours</v>
      </c>
      <c r="P3499" t="s">
        <v>39</v>
      </c>
    </row>
    <row r="3500" spans="1:16" x14ac:dyDescent="0.4">
      <c r="A3500" t="s">
        <v>3541</v>
      </c>
      <c r="B3500">
        <v>34</v>
      </c>
      <c r="C3500" t="s">
        <v>41</v>
      </c>
      <c r="D3500" t="s">
        <v>16</v>
      </c>
      <c r="E3500">
        <v>8.25</v>
      </c>
      <c r="F3500">
        <v>27</v>
      </c>
      <c r="G3500" t="s">
        <v>23</v>
      </c>
      <c r="H3500" t="s">
        <v>57</v>
      </c>
      <c r="I3500" s="2">
        <v>8.99</v>
      </c>
      <c r="J3500">
        <v>0</v>
      </c>
      <c r="K3500" s="2">
        <f t="shared" si="108"/>
        <v>0</v>
      </c>
      <c r="L3500" t="s">
        <v>61</v>
      </c>
      <c r="M3500">
        <v>5</v>
      </c>
      <c r="N3500">
        <v>0.28999999999999998</v>
      </c>
      <c r="O3500" t="str">
        <f t="shared" si="109"/>
        <v>0.2–0.4 hours</v>
      </c>
      <c r="P3500" t="s">
        <v>47</v>
      </c>
    </row>
    <row r="3501" spans="1:16" x14ac:dyDescent="0.4">
      <c r="A3501" s="1" t="s">
        <v>3542</v>
      </c>
      <c r="B3501">
        <v>33</v>
      </c>
      <c r="C3501" t="s">
        <v>41</v>
      </c>
      <c r="D3501" t="s">
        <v>32</v>
      </c>
      <c r="E3501">
        <v>1.42</v>
      </c>
      <c r="F3501">
        <v>50</v>
      </c>
      <c r="G3501" t="s">
        <v>28</v>
      </c>
      <c r="H3501" t="s">
        <v>24</v>
      </c>
      <c r="I3501" s="2">
        <v>17.989999999999998</v>
      </c>
      <c r="J3501">
        <v>1</v>
      </c>
      <c r="K3501" s="2">
        <f t="shared" si="108"/>
        <v>17.989999999999998</v>
      </c>
      <c r="L3501" t="s">
        <v>19</v>
      </c>
      <c r="M3501">
        <v>3</v>
      </c>
      <c r="N3501">
        <v>0.03</v>
      </c>
      <c r="O3501" t="str">
        <f t="shared" si="109"/>
        <v>0–0.2 hours</v>
      </c>
      <c r="P3501" t="s">
        <v>47</v>
      </c>
    </row>
    <row r="3502" spans="1:16" x14ac:dyDescent="0.4">
      <c r="A3502" t="s">
        <v>3543</v>
      </c>
      <c r="B3502">
        <v>43</v>
      </c>
      <c r="C3502" t="s">
        <v>41</v>
      </c>
      <c r="D3502" t="s">
        <v>22</v>
      </c>
      <c r="E3502">
        <v>12.79</v>
      </c>
      <c r="F3502">
        <v>36</v>
      </c>
      <c r="G3502" t="s">
        <v>17</v>
      </c>
      <c r="H3502" t="s">
        <v>57</v>
      </c>
      <c r="I3502" s="2">
        <v>13.99</v>
      </c>
      <c r="J3502">
        <v>0</v>
      </c>
      <c r="K3502" s="2">
        <f t="shared" si="108"/>
        <v>0</v>
      </c>
      <c r="L3502" t="s">
        <v>61</v>
      </c>
      <c r="M3502">
        <v>5</v>
      </c>
      <c r="N3502">
        <v>0.35</v>
      </c>
      <c r="O3502" t="str">
        <f t="shared" si="109"/>
        <v>0.2–0.4 hours</v>
      </c>
      <c r="P3502" t="s">
        <v>52</v>
      </c>
    </row>
    <row r="3503" spans="1:16" x14ac:dyDescent="0.4">
      <c r="A3503" t="s">
        <v>3544</v>
      </c>
      <c r="B3503">
        <v>43</v>
      </c>
      <c r="C3503" t="s">
        <v>27</v>
      </c>
      <c r="D3503" t="s">
        <v>22</v>
      </c>
      <c r="E3503">
        <v>5.74</v>
      </c>
      <c r="F3503">
        <v>6</v>
      </c>
      <c r="G3503" t="s">
        <v>33</v>
      </c>
      <c r="H3503" t="s">
        <v>24</v>
      </c>
      <c r="I3503" s="2">
        <v>13.99</v>
      </c>
      <c r="J3503">
        <v>0</v>
      </c>
      <c r="K3503" s="2">
        <f t="shared" si="108"/>
        <v>0</v>
      </c>
      <c r="L3503" t="s">
        <v>61</v>
      </c>
      <c r="M3503">
        <v>3</v>
      </c>
      <c r="N3503">
        <v>0.82</v>
      </c>
      <c r="O3503" t="str">
        <f t="shared" si="109"/>
        <v>0.8–1 hour</v>
      </c>
      <c r="P3503" t="s">
        <v>30</v>
      </c>
    </row>
    <row r="3504" spans="1:16" x14ac:dyDescent="0.4">
      <c r="A3504" t="s">
        <v>3545</v>
      </c>
      <c r="B3504">
        <v>26</v>
      </c>
      <c r="C3504" t="s">
        <v>27</v>
      </c>
      <c r="D3504" t="s">
        <v>32</v>
      </c>
      <c r="E3504">
        <v>2.99</v>
      </c>
      <c r="F3504">
        <v>59</v>
      </c>
      <c r="G3504" t="s">
        <v>28</v>
      </c>
      <c r="H3504" t="s">
        <v>18</v>
      </c>
      <c r="I3504" s="2">
        <v>17.989999999999998</v>
      </c>
      <c r="J3504">
        <v>1</v>
      </c>
      <c r="K3504" s="2">
        <f t="shared" si="108"/>
        <v>17.989999999999998</v>
      </c>
      <c r="L3504" t="s">
        <v>37</v>
      </c>
      <c r="M3504">
        <v>3</v>
      </c>
      <c r="N3504">
        <v>0.05</v>
      </c>
      <c r="O3504" t="str">
        <f t="shared" si="109"/>
        <v>0–0.2 hours</v>
      </c>
      <c r="P3504" t="s">
        <v>20</v>
      </c>
    </row>
    <row r="3505" spans="1:16" x14ac:dyDescent="0.4">
      <c r="A3505" t="s">
        <v>3546</v>
      </c>
      <c r="B3505">
        <v>23</v>
      </c>
      <c r="C3505" t="s">
        <v>15</v>
      </c>
      <c r="D3505" t="s">
        <v>22</v>
      </c>
      <c r="E3505">
        <v>39.630000000000003</v>
      </c>
      <c r="F3505">
        <v>20</v>
      </c>
      <c r="G3505" t="s">
        <v>28</v>
      </c>
      <c r="H3505" t="s">
        <v>57</v>
      </c>
      <c r="I3505" s="2">
        <v>13.99</v>
      </c>
      <c r="J3505">
        <v>0</v>
      </c>
      <c r="K3505" s="2">
        <f t="shared" si="108"/>
        <v>0</v>
      </c>
      <c r="L3505" t="s">
        <v>61</v>
      </c>
      <c r="M3505">
        <v>3</v>
      </c>
      <c r="N3505">
        <v>1.89</v>
      </c>
      <c r="O3505" t="str">
        <f t="shared" si="109"/>
        <v>1+ hours</v>
      </c>
      <c r="P3505" t="s">
        <v>25</v>
      </c>
    </row>
    <row r="3506" spans="1:16" x14ac:dyDescent="0.4">
      <c r="A3506" t="s">
        <v>3547</v>
      </c>
      <c r="B3506">
        <v>39</v>
      </c>
      <c r="C3506" t="s">
        <v>27</v>
      </c>
      <c r="D3506" t="s">
        <v>22</v>
      </c>
      <c r="E3506">
        <v>15.89</v>
      </c>
      <c r="F3506">
        <v>21</v>
      </c>
      <c r="G3506" t="s">
        <v>33</v>
      </c>
      <c r="H3506" t="s">
        <v>55</v>
      </c>
      <c r="I3506" s="2">
        <v>13.99</v>
      </c>
      <c r="J3506">
        <v>0</v>
      </c>
      <c r="K3506" s="2">
        <f t="shared" si="108"/>
        <v>0</v>
      </c>
      <c r="L3506" t="s">
        <v>19</v>
      </c>
      <c r="M3506">
        <v>4</v>
      </c>
      <c r="N3506">
        <v>0.72</v>
      </c>
      <c r="O3506" t="str">
        <f t="shared" si="109"/>
        <v>0.6–0.8 hours</v>
      </c>
      <c r="P3506" t="s">
        <v>25</v>
      </c>
    </row>
    <row r="3507" spans="1:16" x14ac:dyDescent="0.4">
      <c r="A3507" t="s">
        <v>3548</v>
      </c>
      <c r="B3507">
        <v>28</v>
      </c>
      <c r="C3507" t="s">
        <v>41</v>
      </c>
      <c r="D3507" t="s">
        <v>16</v>
      </c>
      <c r="E3507">
        <v>11.24</v>
      </c>
      <c r="F3507">
        <v>37</v>
      </c>
      <c r="G3507" t="s">
        <v>28</v>
      </c>
      <c r="H3507" t="s">
        <v>57</v>
      </c>
      <c r="I3507" s="2">
        <v>8.99</v>
      </c>
      <c r="J3507">
        <v>1</v>
      </c>
      <c r="K3507" s="2">
        <f t="shared" si="108"/>
        <v>8.99</v>
      </c>
      <c r="L3507" t="s">
        <v>29</v>
      </c>
      <c r="M3507">
        <v>4</v>
      </c>
      <c r="N3507">
        <v>0.3</v>
      </c>
      <c r="O3507" t="str">
        <f t="shared" si="109"/>
        <v>0.2–0.4 hours</v>
      </c>
      <c r="P3507" t="s">
        <v>34</v>
      </c>
    </row>
    <row r="3508" spans="1:16" x14ac:dyDescent="0.4">
      <c r="A3508" t="s">
        <v>3549</v>
      </c>
      <c r="B3508">
        <v>63</v>
      </c>
      <c r="C3508" t="s">
        <v>27</v>
      </c>
      <c r="D3508" t="s">
        <v>16</v>
      </c>
      <c r="E3508">
        <v>1.07</v>
      </c>
      <c r="F3508">
        <v>5</v>
      </c>
      <c r="G3508" t="s">
        <v>49</v>
      </c>
      <c r="H3508" t="s">
        <v>18</v>
      </c>
      <c r="I3508" s="2">
        <v>8.99</v>
      </c>
      <c r="J3508">
        <v>1</v>
      </c>
      <c r="K3508" s="2">
        <f t="shared" si="108"/>
        <v>8.99</v>
      </c>
      <c r="L3508" t="s">
        <v>61</v>
      </c>
      <c r="M3508">
        <v>4</v>
      </c>
      <c r="N3508">
        <v>0.18</v>
      </c>
      <c r="O3508" t="str">
        <f t="shared" si="109"/>
        <v>0–0.2 hours</v>
      </c>
      <c r="P3508" t="s">
        <v>20</v>
      </c>
    </row>
    <row r="3509" spans="1:16" x14ac:dyDescent="0.4">
      <c r="A3509" t="s">
        <v>3550</v>
      </c>
      <c r="B3509">
        <v>66</v>
      </c>
      <c r="C3509" t="s">
        <v>15</v>
      </c>
      <c r="D3509" t="s">
        <v>22</v>
      </c>
      <c r="E3509">
        <v>9.8800000000000008</v>
      </c>
      <c r="F3509">
        <v>25</v>
      </c>
      <c r="G3509" t="s">
        <v>23</v>
      </c>
      <c r="H3509" t="s">
        <v>24</v>
      </c>
      <c r="I3509" s="2">
        <v>13.99</v>
      </c>
      <c r="J3509">
        <v>0</v>
      </c>
      <c r="K3509" s="2">
        <f t="shared" si="108"/>
        <v>0</v>
      </c>
      <c r="L3509" t="s">
        <v>61</v>
      </c>
      <c r="M3509">
        <v>3</v>
      </c>
      <c r="N3509">
        <v>0.38</v>
      </c>
      <c r="O3509" t="str">
        <f t="shared" si="109"/>
        <v>0.2–0.4 hours</v>
      </c>
      <c r="P3509" t="s">
        <v>20</v>
      </c>
    </row>
    <row r="3510" spans="1:16" x14ac:dyDescent="0.4">
      <c r="A3510" t="s">
        <v>3551</v>
      </c>
      <c r="B3510">
        <v>62</v>
      </c>
      <c r="C3510" t="s">
        <v>15</v>
      </c>
      <c r="D3510" t="s">
        <v>32</v>
      </c>
      <c r="E3510">
        <v>3.8</v>
      </c>
      <c r="F3510">
        <v>58</v>
      </c>
      <c r="G3510" t="s">
        <v>17</v>
      </c>
      <c r="H3510" t="s">
        <v>55</v>
      </c>
      <c r="I3510" s="2">
        <v>17.989999999999998</v>
      </c>
      <c r="J3510">
        <v>1</v>
      </c>
      <c r="K3510" s="2">
        <f t="shared" si="108"/>
        <v>17.989999999999998</v>
      </c>
      <c r="L3510" t="s">
        <v>37</v>
      </c>
      <c r="M3510">
        <v>4</v>
      </c>
      <c r="N3510">
        <v>0.06</v>
      </c>
      <c r="O3510" t="str">
        <f t="shared" si="109"/>
        <v>0–0.2 hours</v>
      </c>
      <c r="P3510" t="s">
        <v>47</v>
      </c>
    </row>
    <row r="3511" spans="1:16" x14ac:dyDescent="0.4">
      <c r="A3511" t="s">
        <v>3552</v>
      </c>
      <c r="B3511">
        <v>57</v>
      </c>
      <c r="C3511" t="s">
        <v>27</v>
      </c>
      <c r="D3511" t="s">
        <v>22</v>
      </c>
      <c r="E3511">
        <v>3.47</v>
      </c>
      <c r="F3511">
        <v>36</v>
      </c>
      <c r="G3511" t="s">
        <v>49</v>
      </c>
      <c r="H3511" t="s">
        <v>57</v>
      </c>
      <c r="I3511" s="2">
        <v>13.99</v>
      </c>
      <c r="J3511">
        <v>1</v>
      </c>
      <c r="K3511" s="2">
        <f t="shared" si="108"/>
        <v>13.99</v>
      </c>
      <c r="L3511" t="s">
        <v>29</v>
      </c>
      <c r="M3511">
        <v>4</v>
      </c>
      <c r="N3511">
        <v>0.09</v>
      </c>
      <c r="O3511" t="str">
        <f t="shared" si="109"/>
        <v>0–0.2 hours</v>
      </c>
      <c r="P3511" t="s">
        <v>39</v>
      </c>
    </row>
    <row r="3512" spans="1:16" x14ac:dyDescent="0.4">
      <c r="A3512" t="s">
        <v>3553</v>
      </c>
      <c r="B3512">
        <v>49</v>
      </c>
      <c r="C3512" t="s">
        <v>41</v>
      </c>
      <c r="D3512" t="s">
        <v>16</v>
      </c>
      <c r="E3512">
        <v>1.64</v>
      </c>
      <c r="F3512">
        <v>32</v>
      </c>
      <c r="G3512" t="s">
        <v>23</v>
      </c>
      <c r="H3512" t="s">
        <v>46</v>
      </c>
      <c r="I3512" s="2">
        <v>8.99</v>
      </c>
      <c r="J3512">
        <v>1</v>
      </c>
      <c r="K3512" s="2">
        <f t="shared" si="108"/>
        <v>8.99</v>
      </c>
      <c r="L3512" t="s">
        <v>43</v>
      </c>
      <c r="M3512">
        <v>5</v>
      </c>
      <c r="N3512">
        <v>0.05</v>
      </c>
      <c r="O3512" t="str">
        <f t="shared" si="109"/>
        <v>0–0.2 hours</v>
      </c>
      <c r="P3512" t="s">
        <v>30</v>
      </c>
    </row>
    <row r="3513" spans="1:16" x14ac:dyDescent="0.4">
      <c r="A3513" t="s">
        <v>3554</v>
      </c>
      <c r="B3513">
        <v>30</v>
      </c>
      <c r="C3513" t="s">
        <v>41</v>
      </c>
      <c r="D3513" t="s">
        <v>22</v>
      </c>
      <c r="E3513">
        <v>10.47</v>
      </c>
      <c r="F3513">
        <v>50</v>
      </c>
      <c r="G3513" t="s">
        <v>17</v>
      </c>
      <c r="H3513" t="s">
        <v>24</v>
      </c>
      <c r="I3513" s="2">
        <v>13.99</v>
      </c>
      <c r="J3513">
        <v>1</v>
      </c>
      <c r="K3513" s="2">
        <f t="shared" si="108"/>
        <v>13.99</v>
      </c>
      <c r="L3513" t="s">
        <v>29</v>
      </c>
      <c r="M3513">
        <v>4</v>
      </c>
      <c r="N3513">
        <v>0.21</v>
      </c>
      <c r="O3513" t="str">
        <f t="shared" si="109"/>
        <v>0.2–0.4 hours</v>
      </c>
      <c r="P3513" t="s">
        <v>25</v>
      </c>
    </row>
    <row r="3514" spans="1:16" x14ac:dyDescent="0.4">
      <c r="A3514" t="s">
        <v>3555</v>
      </c>
      <c r="B3514">
        <v>23</v>
      </c>
      <c r="C3514" t="s">
        <v>15</v>
      </c>
      <c r="D3514" t="s">
        <v>16</v>
      </c>
      <c r="E3514">
        <v>18.23</v>
      </c>
      <c r="F3514">
        <v>47</v>
      </c>
      <c r="G3514" t="s">
        <v>28</v>
      </c>
      <c r="H3514" t="s">
        <v>57</v>
      </c>
      <c r="I3514" s="2">
        <v>8.99</v>
      </c>
      <c r="J3514">
        <v>1</v>
      </c>
      <c r="K3514" s="2">
        <f t="shared" si="108"/>
        <v>8.99</v>
      </c>
      <c r="L3514" t="s">
        <v>37</v>
      </c>
      <c r="M3514">
        <v>4</v>
      </c>
      <c r="N3514">
        <v>0.38</v>
      </c>
      <c r="O3514" t="str">
        <f t="shared" si="109"/>
        <v>0.2–0.4 hours</v>
      </c>
      <c r="P3514" t="s">
        <v>39</v>
      </c>
    </row>
    <row r="3515" spans="1:16" x14ac:dyDescent="0.4">
      <c r="A3515" t="s">
        <v>3556</v>
      </c>
      <c r="B3515">
        <v>57</v>
      </c>
      <c r="C3515" t="s">
        <v>15</v>
      </c>
      <c r="D3515" t="s">
        <v>32</v>
      </c>
      <c r="E3515">
        <v>16.09</v>
      </c>
      <c r="F3515">
        <v>30</v>
      </c>
      <c r="G3515" t="s">
        <v>23</v>
      </c>
      <c r="H3515" t="s">
        <v>55</v>
      </c>
      <c r="I3515" s="2">
        <v>17.989999999999998</v>
      </c>
      <c r="J3515">
        <v>0</v>
      </c>
      <c r="K3515" s="2">
        <f t="shared" si="108"/>
        <v>0</v>
      </c>
      <c r="L3515" t="s">
        <v>29</v>
      </c>
      <c r="M3515">
        <v>1</v>
      </c>
      <c r="N3515">
        <v>0.52</v>
      </c>
      <c r="O3515" t="str">
        <f t="shared" si="109"/>
        <v>0.4–0.6 hours</v>
      </c>
      <c r="P3515" t="s">
        <v>34</v>
      </c>
    </row>
    <row r="3516" spans="1:16" x14ac:dyDescent="0.4">
      <c r="A3516" t="s">
        <v>3557</v>
      </c>
      <c r="B3516">
        <v>63</v>
      </c>
      <c r="C3516" t="s">
        <v>41</v>
      </c>
      <c r="D3516" t="s">
        <v>22</v>
      </c>
      <c r="E3516">
        <v>11.89</v>
      </c>
      <c r="F3516">
        <v>52</v>
      </c>
      <c r="G3516" t="s">
        <v>23</v>
      </c>
      <c r="H3516" t="s">
        <v>46</v>
      </c>
      <c r="I3516" s="2">
        <v>13.99</v>
      </c>
      <c r="J3516">
        <v>1</v>
      </c>
      <c r="K3516" s="2">
        <f t="shared" si="108"/>
        <v>13.99</v>
      </c>
      <c r="L3516" t="s">
        <v>37</v>
      </c>
      <c r="M3516">
        <v>1</v>
      </c>
      <c r="N3516">
        <v>0.22</v>
      </c>
      <c r="O3516" t="str">
        <f t="shared" si="109"/>
        <v>0.2–0.4 hours</v>
      </c>
      <c r="P3516" t="s">
        <v>39</v>
      </c>
    </row>
    <row r="3517" spans="1:16" x14ac:dyDescent="0.4">
      <c r="A3517" t="s">
        <v>3558</v>
      </c>
      <c r="B3517">
        <v>69</v>
      </c>
      <c r="C3517" t="s">
        <v>15</v>
      </c>
      <c r="D3517" t="s">
        <v>16</v>
      </c>
      <c r="E3517">
        <v>2.95</v>
      </c>
      <c r="F3517">
        <v>40</v>
      </c>
      <c r="G3517" t="s">
        <v>70</v>
      </c>
      <c r="H3517" t="s">
        <v>24</v>
      </c>
      <c r="I3517" s="2">
        <v>8.99</v>
      </c>
      <c r="J3517">
        <v>1</v>
      </c>
      <c r="K3517" s="2">
        <f t="shared" si="108"/>
        <v>8.99</v>
      </c>
      <c r="L3517" t="s">
        <v>29</v>
      </c>
      <c r="M3517">
        <v>1</v>
      </c>
      <c r="N3517">
        <v>7.0000000000000007E-2</v>
      </c>
      <c r="O3517" t="str">
        <f t="shared" si="109"/>
        <v>0–0.2 hours</v>
      </c>
      <c r="P3517" t="s">
        <v>52</v>
      </c>
    </row>
    <row r="3518" spans="1:16" x14ac:dyDescent="0.4">
      <c r="A3518" t="s">
        <v>3559</v>
      </c>
      <c r="B3518">
        <v>42</v>
      </c>
      <c r="C3518" t="s">
        <v>15</v>
      </c>
      <c r="D3518" t="s">
        <v>32</v>
      </c>
      <c r="E3518">
        <v>25.84</v>
      </c>
      <c r="F3518">
        <v>59</v>
      </c>
      <c r="G3518" t="s">
        <v>70</v>
      </c>
      <c r="H3518" t="s">
        <v>57</v>
      </c>
      <c r="I3518" s="2">
        <v>17.989999999999998</v>
      </c>
      <c r="J3518">
        <v>0</v>
      </c>
      <c r="K3518" s="2">
        <f t="shared" si="108"/>
        <v>0</v>
      </c>
      <c r="L3518" t="s">
        <v>43</v>
      </c>
      <c r="M3518">
        <v>3</v>
      </c>
      <c r="N3518">
        <v>0.43</v>
      </c>
      <c r="O3518" t="str">
        <f t="shared" si="109"/>
        <v>0.4–0.6 hours</v>
      </c>
      <c r="P3518" t="s">
        <v>47</v>
      </c>
    </row>
    <row r="3519" spans="1:16" x14ac:dyDescent="0.4">
      <c r="A3519" t="s">
        <v>3560</v>
      </c>
      <c r="B3519">
        <v>64</v>
      </c>
      <c r="C3519" t="s">
        <v>41</v>
      </c>
      <c r="D3519" t="s">
        <v>32</v>
      </c>
      <c r="E3519">
        <v>14.53</v>
      </c>
      <c r="F3519">
        <v>29</v>
      </c>
      <c r="G3519" t="s">
        <v>49</v>
      </c>
      <c r="H3519" t="s">
        <v>18</v>
      </c>
      <c r="I3519" s="2">
        <v>17.989999999999998</v>
      </c>
      <c r="J3519">
        <v>0</v>
      </c>
      <c r="K3519" s="2">
        <f t="shared" si="108"/>
        <v>0</v>
      </c>
      <c r="L3519" t="s">
        <v>61</v>
      </c>
      <c r="M3519">
        <v>2</v>
      </c>
      <c r="N3519">
        <v>0.48</v>
      </c>
      <c r="O3519" t="str">
        <f t="shared" si="109"/>
        <v>0.4–0.6 hours</v>
      </c>
      <c r="P3519" t="s">
        <v>34</v>
      </c>
    </row>
    <row r="3520" spans="1:16" x14ac:dyDescent="0.4">
      <c r="A3520" t="s">
        <v>3561</v>
      </c>
      <c r="B3520">
        <v>41</v>
      </c>
      <c r="C3520" t="s">
        <v>41</v>
      </c>
      <c r="D3520" t="s">
        <v>16</v>
      </c>
      <c r="E3520">
        <v>9.42</v>
      </c>
      <c r="F3520">
        <v>19</v>
      </c>
      <c r="G3520" t="s">
        <v>49</v>
      </c>
      <c r="H3520" t="s">
        <v>24</v>
      </c>
      <c r="I3520" s="2">
        <v>8.99</v>
      </c>
      <c r="J3520">
        <v>1</v>
      </c>
      <c r="K3520" s="2">
        <f t="shared" si="108"/>
        <v>8.99</v>
      </c>
      <c r="L3520" t="s">
        <v>43</v>
      </c>
      <c r="M3520">
        <v>1</v>
      </c>
      <c r="N3520">
        <v>0.47</v>
      </c>
      <c r="O3520" t="str">
        <f t="shared" si="109"/>
        <v>0.4–0.6 hours</v>
      </c>
      <c r="P3520" t="s">
        <v>52</v>
      </c>
    </row>
    <row r="3521" spans="1:16" x14ac:dyDescent="0.4">
      <c r="A3521" t="s">
        <v>3562</v>
      </c>
      <c r="B3521">
        <v>23</v>
      </c>
      <c r="C3521" t="s">
        <v>27</v>
      </c>
      <c r="D3521" t="s">
        <v>32</v>
      </c>
      <c r="E3521">
        <v>5.81</v>
      </c>
      <c r="F3521">
        <v>45</v>
      </c>
      <c r="G3521" t="s">
        <v>28</v>
      </c>
      <c r="H3521" t="s">
        <v>46</v>
      </c>
      <c r="I3521" s="2">
        <v>17.989999999999998</v>
      </c>
      <c r="J3521">
        <v>1</v>
      </c>
      <c r="K3521" s="2">
        <f t="shared" si="108"/>
        <v>17.989999999999998</v>
      </c>
      <c r="L3521" t="s">
        <v>29</v>
      </c>
      <c r="M3521">
        <v>2</v>
      </c>
      <c r="N3521">
        <v>0.13</v>
      </c>
      <c r="O3521" t="str">
        <f t="shared" si="109"/>
        <v>0–0.2 hours</v>
      </c>
      <c r="P3521" t="s">
        <v>47</v>
      </c>
    </row>
    <row r="3522" spans="1:16" x14ac:dyDescent="0.4">
      <c r="A3522" t="s">
        <v>3563</v>
      </c>
      <c r="B3522">
        <v>37</v>
      </c>
      <c r="C3522" t="s">
        <v>27</v>
      </c>
      <c r="D3522" t="s">
        <v>16</v>
      </c>
      <c r="E3522">
        <v>4.76</v>
      </c>
      <c r="F3522">
        <v>41</v>
      </c>
      <c r="G3522" t="s">
        <v>28</v>
      </c>
      <c r="H3522" t="s">
        <v>55</v>
      </c>
      <c r="I3522" s="2">
        <v>8.99</v>
      </c>
      <c r="J3522">
        <v>1</v>
      </c>
      <c r="K3522" s="2">
        <f t="shared" si="108"/>
        <v>8.99</v>
      </c>
      <c r="L3522" t="s">
        <v>43</v>
      </c>
      <c r="M3522">
        <v>3</v>
      </c>
      <c r="N3522">
        <v>0.11</v>
      </c>
      <c r="O3522" t="str">
        <f t="shared" si="109"/>
        <v>0–0.2 hours</v>
      </c>
      <c r="P3522" t="s">
        <v>39</v>
      </c>
    </row>
    <row r="3523" spans="1:16" x14ac:dyDescent="0.4">
      <c r="A3523" t="s">
        <v>3564</v>
      </c>
      <c r="B3523">
        <v>20</v>
      </c>
      <c r="C3523" t="s">
        <v>27</v>
      </c>
      <c r="D3523" t="s">
        <v>32</v>
      </c>
      <c r="E3523">
        <v>1.22</v>
      </c>
      <c r="F3523">
        <v>50</v>
      </c>
      <c r="G3523" t="s">
        <v>23</v>
      </c>
      <c r="H3523" t="s">
        <v>46</v>
      </c>
      <c r="I3523" s="2">
        <v>17.989999999999998</v>
      </c>
      <c r="J3523">
        <v>1</v>
      </c>
      <c r="K3523" s="2">
        <f t="shared" ref="K3523:K3586" si="110">SUMIF(J3523,1,I3523)</f>
        <v>17.989999999999998</v>
      </c>
      <c r="L3523" t="s">
        <v>29</v>
      </c>
      <c r="M3523">
        <v>3</v>
      </c>
      <c r="N3523">
        <v>0.02</v>
      </c>
      <c r="O3523" t="str">
        <f t="shared" ref="O3523:O3586" si="111">IF(N3523&gt;1,"1+ hours",IF(N3523&lt;=0.2,"0–0.2 hours",IF(N3523&lt;=0.4,"0.2–0.4 hours",IF(N3523&lt;=0.6,"0.4–0.6 hours",IF(N3523&lt;=0.8,"0.6–0.8 hours","0.8–1 hour")))))</f>
        <v>0–0.2 hours</v>
      </c>
      <c r="P3523" t="s">
        <v>25</v>
      </c>
    </row>
    <row r="3524" spans="1:16" x14ac:dyDescent="0.4">
      <c r="A3524" t="s">
        <v>3565</v>
      </c>
      <c r="B3524">
        <v>40</v>
      </c>
      <c r="C3524" t="s">
        <v>27</v>
      </c>
      <c r="D3524" t="s">
        <v>32</v>
      </c>
      <c r="E3524">
        <v>3.93</v>
      </c>
      <c r="F3524">
        <v>30</v>
      </c>
      <c r="G3524" t="s">
        <v>70</v>
      </c>
      <c r="H3524" t="s">
        <v>57</v>
      </c>
      <c r="I3524" s="2">
        <v>17.989999999999998</v>
      </c>
      <c r="J3524">
        <v>0</v>
      </c>
      <c r="K3524" s="2">
        <f t="shared" si="110"/>
        <v>0</v>
      </c>
      <c r="L3524" t="s">
        <v>37</v>
      </c>
      <c r="M3524">
        <v>4</v>
      </c>
      <c r="N3524">
        <v>0.13</v>
      </c>
      <c r="O3524" t="str">
        <f t="shared" si="111"/>
        <v>0–0.2 hours</v>
      </c>
      <c r="P3524" t="s">
        <v>52</v>
      </c>
    </row>
    <row r="3525" spans="1:16" x14ac:dyDescent="0.4">
      <c r="A3525" t="s">
        <v>3566</v>
      </c>
      <c r="B3525">
        <v>37</v>
      </c>
      <c r="C3525" t="s">
        <v>15</v>
      </c>
      <c r="D3525" t="s">
        <v>32</v>
      </c>
      <c r="E3525">
        <v>5.97</v>
      </c>
      <c r="F3525">
        <v>57</v>
      </c>
      <c r="G3525" t="s">
        <v>33</v>
      </c>
      <c r="H3525" t="s">
        <v>55</v>
      </c>
      <c r="I3525" s="2">
        <v>17.989999999999998</v>
      </c>
      <c r="J3525">
        <v>0</v>
      </c>
      <c r="K3525" s="2">
        <f t="shared" si="110"/>
        <v>0</v>
      </c>
      <c r="L3525" t="s">
        <v>61</v>
      </c>
      <c r="M3525">
        <v>5</v>
      </c>
      <c r="N3525">
        <v>0.1</v>
      </c>
      <c r="O3525" t="str">
        <f t="shared" si="111"/>
        <v>0–0.2 hours</v>
      </c>
      <c r="P3525" t="s">
        <v>20</v>
      </c>
    </row>
    <row r="3526" spans="1:16" x14ac:dyDescent="0.4">
      <c r="A3526" t="s">
        <v>3567</v>
      </c>
      <c r="B3526">
        <v>49</v>
      </c>
      <c r="C3526" t="s">
        <v>15</v>
      </c>
      <c r="D3526" t="s">
        <v>22</v>
      </c>
      <c r="E3526">
        <v>9.91</v>
      </c>
      <c r="F3526">
        <v>14</v>
      </c>
      <c r="G3526" t="s">
        <v>23</v>
      </c>
      <c r="H3526" t="s">
        <v>46</v>
      </c>
      <c r="I3526" s="2">
        <v>13.99</v>
      </c>
      <c r="J3526">
        <v>0</v>
      </c>
      <c r="K3526" s="2">
        <f t="shared" si="110"/>
        <v>0</v>
      </c>
      <c r="L3526" t="s">
        <v>61</v>
      </c>
      <c r="M3526">
        <v>3</v>
      </c>
      <c r="N3526">
        <v>0.66</v>
      </c>
      <c r="O3526" t="str">
        <f t="shared" si="111"/>
        <v>0.6–0.8 hours</v>
      </c>
      <c r="P3526" t="s">
        <v>52</v>
      </c>
    </row>
    <row r="3527" spans="1:16" x14ac:dyDescent="0.4">
      <c r="A3527" t="s">
        <v>3568</v>
      </c>
      <c r="B3527">
        <v>32</v>
      </c>
      <c r="C3527" t="s">
        <v>41</v>
      </c>
      <c r="D3527" t="s">
        <v>16</v>
      </c>
      <c r="E3527">
        <v>4</v>
      </c>
      <c r="F3527">
        <v>26</v>
      </c>
      <c r="G3527" t="s">
        <v>17</v>
      </c>
      <c r="H3527" t="s">
        <v>55</v>
      </c>
      <c r="I3527" s="2">
        <v>8.99</v>
      </c>
      <c r="J3527">
        <v>1</v>
      </c>
      <c r="K3527" s="2">
        <f t="shared" si="110"/>
        <v>8.99</v>
      </c>
      <c r="L3527" t="s">
        <v>19</v>
      </c>
      <c r="M3527">
        <v>2</v>
      </c>
      <c r="N3527">
        <v>0.15</v>
      </c>
      <c r="O3527" t="str">
        <f t="shared" si="111"/>
        <v>0–0.2 hours</v>
      </c>
      <c r="P3527" t="s">
        <v>34</v>
      </c>
    </row>
    <row r="3528" spans="1:16" x14ac:dyDescent="0.4">
      <c r="A3528" t="s">
        <v>3569</v>
      </c>
      <c r="B3528">
        <v>43</v>
      </c>
      <c r="C3528" t="s">
        <v>15</v>
      </c>
      <c r="D3528" t="s">
        <v>22</v>
      </c>
      <c r="E3528">
        <v>12.39</v>
      </c>
      <c r="F3528">
        <v>31</v>
      </c>
      <c r="G3528" t="s">
        <v>23</v>
      </c>
      <c r="H3528" t="s">
        <v>18</v>
      </c>
      <c r="I3528" s="2">
        <v>13.99</v>
      </c>
      <c r="J3528">
        <v>1</v>
      </c>
      <c r="K3528" s="2">
        <f t="shared" si="110"/>
        <v>13.99</v>
      </c>
      <c r="L3528" t="s">
        <v>43</v>
      </c>
      <c r="M3528">
        <v>3</v>
      </c>
      <c r="N3528">
        <v>0.39</v>
      </c>
      <c r="O3528" t="str">
        <f t="shared" si="111"/>
        <v>0.2–0.4 hours</v>
      </c>
      <c r="P3528" t="s">
        <v>47</v>
      </c>
    </row>
    <row r="3529" spans="1:16" x14ac:dyDescent="0.4">
      <c r="A3529" t="s">
        <v>3570</v>
      </c>
      <c r="B3529">
        <v>18</v>
      </c>
      <c r="C3529" t="s">
        <v>27</v>
      </c>
      <c r="D3529" t="s">
        <v>16</v>
      </c>
      <c r="E3529">
        <v>3.68</v>
      </c>
      <c r="F3529">
        <v>60</v>
      </c>
      <c r="G3529" t="s">
        <v>49</v>
      </c>
      <c r="H3529" t="s">
        <v>46</v>
      </c>
      <c r="I3529" s="2">
        <v>8.99</v>
      </c>
      <c r="J3529">
        <v>1</v>
      </c>
      <c r="K3529" s="2">
        <f t="shared" si="110"/>
        <v>8.99</v>
      </c>
      <c r="L3529" t="s">
        <v>37</v>
      </c>
      <c r="M3529">
        <v>4</v>
      </c>
      <c r="N3529">
        <v>0.06</v>
      </c>
      <c r="O3529" t="str">
        <f t="shared" si="111"/>
        <v>0–0.2 hours</v>
      </c>
      <c r="P3529" t="s">
        <v>20</v>
      </c>
    </row>
    <row r="3530" spans="1:16" x14ac:dyDescent="0.4">
      <c r="A3530" t="s">
        <v>3571</v>
      </c>
      <c r="B3530">
        <v>70</v>
      </c>
      <c r="C3530" t="s">
        <v>41</v>
      </c>
      <c r="D3530" t="s">
        <v>22</v>
      </c>
      <c r="E3530">
        <v>10.5</v>
      </c>
      <c r="F3530">
        <v>55</v>
      </c>
      <c r="G3530" t="s">
        <v>49</v>
      </c>
      <c r="H3530" t="s">
        <v>24</v>
      </c>
      <c r="I3530" s="2">
        <v>13.99</v>
      </c>
      <c r="J3530">
        <v>0</v>
      </c>
      <c r="K3530" s="2">
        <f t="shared" si="110"/>
        <v>0</v>
      </c>
      <c r="L3530" t="s">
        <v>37</v>
      </c>
      <c r="M3530">
        <v>5</v>
      </c>
      <c r="N3530">
        <v>0.19</v>
      </c>
      <c r="O3530" t="str">
        <f t="shared" si="111"/>
        <v>0–0.2 hours</v>
      </c>
      <c r="P3530" t="s">
        <v>34</v>
      </c>
    </row>
    <row r="3531" spans="1:16" x14ac:dyDescent="0.4">
      <c r="A3531" t="s">
        <v>3572</v>
      </c>
      <c r="B3531">
        <v>60</v>
      </c>
      <c r="C3531" t="s">
        <v>15</v>
      </c>
      <c r="D3531" t="s">
        <v>16</v>
      </c>
      <c r="E3531">
        <v>28.75</v>
      </c>
      <c r="F3531">
        <v>39</v>
      </c>
      <c r="G3531" t="s">
        <v>23</v>
      </c>
      <c r="H3531" t="s">
        <v>57</v>
      </c>
      <c r="I3531" s="2">
        <v>8.99</v>
      </c>
      <c r="J3531">
        <v>0</v>
      </c>
      <c r="K3531" s="2">
        <f t="shared" si="110"/>
        <v>0</v>
      </c>
      <c r="L3531" t="s">
        <v>37</v>
      </c>
      <c r="M3531">
        <v>4</v>
      </c>
      <c r="N3531">
        <v>0.72</v>
      </c>
      <c r="O3531" t="str">
        <f t="shared" si="111"/>
        <v>0.6–0.8 hours</v>
      </c>
      <c r="P3531" t="s">
        <v>20</v>
      </c>
    </row>
    <row r="3532" spans="1:16" x14ac:dyDescent="0.4">
      <c r="A3532" t="s">
        <v>3573</v>
      </c>
      <c r="B3532">
        <v>26</v>
      </c>
      <c r="C3532" t="s">
        <v>15</v>
      </c>
      <c r="D3532" t="s">
        <v>32</v>
      </c>
      <c r="E3532">
        <v>6.46</v>
      </c>
      <c r="F3532">
        <v>27</v>
      </c>
      <c r="G3532" t="s">
        <v>17</v>
      </c>
      <c r="H3532" t="s">
        <v>18</v>
      </c>
      <c r="I3532" s="2">
        <v>17.989999999999998</v>
      </c>
      <c r="J3532">
        <v>0</v>
      </c>
      <c r="K3532" s="2">
        <f t="shared" si="110"/>
        <v>0</v>
      </c>
      <c r="L3532" t="s">
        <v>37</v>
      </c>
      <c r="M3532">
        <v>5</v>
      </c>
      <c r="N3532">
        <v>0.23</v>
      </c>
      <c r="O3532" t="str">
        <f t="shared" si="111"/>
        <v>0.2–0.4 hours</v>
      </c>
      <c r="P3532" t="s">
        <v>30</v>
      </c>
    </row>
    <row r="3533" spans="1:16" x14ac:dyDescent="0.4">
      <c r="A3533" t="s">
        <v>3574</v>
      </c>
      <c r="B3533">
        <v>56</v>
      </c>
      <c r="C3533" t="s">
        <v>15</v>
      </c>
      <c r="D3533" t="s">
        <v>22</v>
      </c>
      <c r="E3533">
        <v>4.4400000000000004</v>
      </c>
      <c r="F3533">
        <v>29</v>
      </c>
      <c r="G3533" t="s">
        <v>49</v>
      </c>
      <c r="H3533" t="s">
        <v>57</v>
      </c>
      <c r="I3533" s="2">
        <v>13.99</v>
      </c>
      <c r="J3533">
        <v>0</v>
      </c>
      <c r="K3533" s="2">
        <f t="shared" si="110"/>
        <v>0</v>
      </c>
      <c r="L3533" t="s">
        <v>37</v>
      </c>
      <c r="M3533">
        <v>4</v>
      </c>
      <c r="N3533">
        <v>0.15</v>
      </c>
      <c r="O3533" t="str">
        <f t="shared" si="111"/>
        <v>0–0.2 hours</v>
      </c>
      <c r="P3533" t="s">
        <v>20</v>
      </c>
    </row>
    <row r="3534" spans="1:16" x14ac:dyDescent="0.4">
      <c r="A3534" t="s">
        <v>3575</v>
      </c>
      <c r="B3534">
        <v>22</v>
      </c>
      <c r="C3534" t="s">
        <v>15</v>
      </c>
      <c r="D3534" t="s">
        <v>22</v>
      </c>
      <c r="E3534">
        <v>3.31</v>
      </c>
      <c r="F3534">
        <v>35</v>
      </c>
      <c r="G3534" t="s">
        <v>23</v>
      </c>
      <c r="H3534" t="s">
        <v>55</v>
      </c>
      <c r="I3534" s="2">
        <v>13.99</v>
      </c>
      <c r="J3534">
        <v>1</v>
      </c>
      <c r="K3534" s="2">
        <f t="shared" si="110"/>
        <v>13.99</v>
      </c>
      <c r="L3534" t="s">
        <v>29</v>
      </c>
      <c r="M3534">
        <v>2</v>
      </c>
      <c r="N3534">
        <v>0.09</v>
      </c>
      <c r="O3534" t="str">
        <f t="shared" si="111"/>
        <v>0–0.2 hours</v>
      </c>
      <c r="P3534" t="s">
        <v>39</v>
      </c>
    </row>
    <row r="3535" spans="1:16" x14ac:dyDescent="0.4">
      <c r="A3535" t="s">
        <v>3576</v>
      </c>
      <c r="B3535">
        <v>44</v>
      </c>
      <c r="C3535" t="s">
        <v>27</v>
      </c>
      <c r="D3535" t="s">
        <v>16</v>
      </c>
      <c r="E3535">
        <v>50.38</v>
      </c>
      <c r="F3535">
        <v>53</v>
      </c>
      <c r="G3535" t="s">
        <v>70</v>
      </c>
      <c r="H3535" t="s">
        <v>24</v>
      </c>
      <c r="I3535" s="2">
        <v>8.99</v>
      </c>
      <c r="J3535">
        <v>0</v>
      </c>
      <c r="K3535" s="2">
        <f t="shared" si="110"/>
        <v>0</v>
      </c>
      <c r="L3535" t="s">
        <v>29</v>
      </c>
      <c r="M3535">
        <v>4</v>
      </c>
      <c r="N3535">
        <v>0.93</v>
      </c>
      <c r="O3535" t="str">
        <f t="shared" si="111"/>
        <v>0.8–1 hour</v>
      </c>
      <c r="P3535" t="s">
        <v>34</v>
      </c>
    </row>
    <row r="3536" spans="1:16" x14ac:dyDescent="0.4">
      <c r="A3536" t="s">
        <v>3577</v>
      </c>
      <c r="B3536">
        <v>44</v>
      </c>
      <c r="C3536" t="s">
        <v>41</v>
      </c>
      <c r="D3536" t="s">
        <v>22</v>
      </c>
      <c r="E3536">
        <v>0.91</v>
      </c>
      <c r="F3536">
        <v>39</v>
      </c>
      <c r="G3536" t="s">
        <v>70</v>
      </c>
      <c r="H3536" t="s">
        <v>46</v>
      </c>
      <c r="I3536" s="2">
        <v>13.99</v>
      </c>
      <c r="J3536">
        <v>1</v>
      </c>
      <c r="K3536" s="2">
        <f t="shared" si="110"/>
        <v>13.99</v>
      </c>
      <c r="L3536" t="s">
        <v>29</v>
      </c>
      <c r="M3536">
        <v>2</v>
      </c>
      <c r="N3536">
        <v>0.02</v>
      </c>
      <c r="O3536" t="str">
        <f t="shared" si="111"/>
        <v>0–0.2 hours</v>
      </c>
      <c r="P3536" t="s">
        <v>47</v>
      </c>
    </row>
    <row r="3537" spans="1:16" x14ac:dyDescent="0.4">
      <c r="A3537" t="s">
        <v>3578</v>
      </c>
      <c r="B3537">
        <v>56</v>
      </c>
      <c r="C3537" t="s">
        <v>41</v>
      </c>
      <c r="D3537" t="s">
        <v>16</v>
      </c>
      <c r="E3537">
        <v>10.45</v>
      </c>
      <c r="F3537">
        <v>38</v>
      </c>
      <c r="G3537" t="s">
        <v>23</v>
      </c>
      <c r="H3537" t="s">
        <v>57</v>
      </c>
      <c r="I3537" s="2">
        <v>8.99</v>
      </c>
      <c r="J3537">
        <v>1</v>
      </c>
      <c r="K3537" s="2">
        <f t="shared" si="110"/>
        <v>8.99</v>
      </c>
      <c r="L3537" t="s">
        <v>43</v>
      </c>
      <c r="M3537">
        <v>4</v>
      </c>
      <c r="N3537">
        <v>0.27</v>
      </c>
      <c r="O3537" t="str">
        <f t="shared" si="111"/>
        <v>0.2–0.4 hours</v>
      </c>
      <c r="P3537" t="s">
        <v>25</v>
      </c>
    </row>
    <row r="3538" spans="1:16" x14ac:dyDescent="0.4">
      <c r="A3538" t="s">
        <v>3579</v>
      </c>
      <c r="B3538">
        <v>32</v>
      </c>
      <c r="C3538" t="s">
        <v>27</v>
      </c>
      <c r="D3538" t="s">
        <v>32</v>
      </c>
      <c r="E3538">
        <v>8.77</v>
      </c>
      <c r="F3538">
        <v>50</v>
      </c>
      <c r="G3538" t="s">
        <v>28</v>
      </c>
      <c r="H3538" t="s">
        <v>57</v>
      </c>
      <c r="I3538" s="2">
        <v>17.989999999999998</v>
      </c>
      <c r="J3538">
        <v>1</v>
      </c>
      <c r="K3538" s="2">
        <f t="shared" si="110"/>
        <v>17.989999999999998</v>
      </c>
      <c r="L3538" t="s">
        <v>61</v>
      </c>
      <c r="M3538">
        <v>3</v>
      </c>
      <c r="N3538">
        <v>0.17</v>
      </c>
      <c r="O3538" t="str">
        <f t="shared" si="111"/>
        <v>0–0.2 hours</v>
      </c>
      <c r="P3538" t="s">
        <v>30</v>
      </c>
    </row>
    <row r="3539" spans="1:16" x14ac:dyDescent="0.4">
      <c r="A3539" t="s">
        <v>3580</v>
      </c>
      <c r="B3539">
        <v>32</v>
      </c>
      <c r="C3539" t="s">
        <v>27</v>
      </c>
      <c r="D3539" t="s">
        <v>32</v>
      </c>
      <c r="E3539">
        <v>9.11</v>
      </c>
      <c r="F3539">
        <v>40</v>
      </c>
      <c r="G3539" t="s">
        <v>70</v>
      </c>
      <c r="H3539" t="s">
        <v>18</v>
      </c>
      <c r="I3539" s="2">
        <v>17.989999999999998</v>
      </c>
      <c r="J3539">
        <v>1</v>
      </c>
      <c r="K3539" s="2">
        <f t="shared" si="110"/>
        <v>17.989999999999998</v>
      </c>
      <c r="L3539" t="s">
        <v>43</v>
      </c>
      <c r="M3539">
        <v>3</v>
      </c>
      <c r="N3539">
        <v>0.22</v>
      </c>
      <c r="O3539" t="str">
        <f t="shared" si="111"/>
        <v>0.2–0.4 hours</v>
      </c>
      <c r="P3539" t="s">
        <v>39</v>
      </c>
    </row>
    <row r="3540" spans="1:16" x14ac:dyDescent="0.4">
      <c r="A3540" t="s">
        <v>3581</v>
      </c>
      <c r="B3540">
        <v>29</v>
      </c>
      <c r="C3540" t="s">
        <v>15</v>
      </c>
      <c r="D3540" t="s">
        <v>16</v>
      </c>
      <c r="E3540">
        <v>12.54</v>
      </c>
      <c r="F3540">
        <v>26</v>
      </c>
      <c r="G3540" t="s">
        <v>70</v>
      </c>
      <c r="H3540" t="s">
        <v>57</v>
      </c>
      <c r="I3540" s="2">
        <v>8.99</v>
      </c>
      <c r="J3540">
        <v>0</v>
      </c>
      <c r="K3540" s="2">
        <f t="shared" si="110"/>
        <v>0</v>
      </c>
      <c r="L3540" t="s">
        <v>37</v>
      </c>
      <c r="M3540">
        <v>2</v>
      </c>
      <c r="N3540">
        <v>0.46</v>
      </c>
      <c r="O3540" t="str">
        <f t="shared" si="111"/>
        <v>0.4–0.6 hours</v>
      </c>
      <c r="P3540" t="s">
        <v>25</v>
      </c>
    </row>
    <row r="3541" spans="1:16" x14ac:dyDescent="0.4">
      <c r="A3541" t="s">
        <v>3582</v>
      </c>
      <c r="B3541">
        <v>26</v>
      </c>
      <c r="C3541" t="s">
        <v>15</v>
      </c>
      <c r="D3541" t="s">
        <v>22</v>
      </c>
      <c r="E3541">
        <v>18.760000000000002</v>
      </c>
      <c r="F3541">
        <v>34</v>
      </c>
      <c r="G3541" t="s">
        <v>23</v>
      </c>
      <c r="H3541" t="s">
        <v>57</v>
      </c>
      <c r="I3541" s="2">
        <v>13.99</v>
      </c>
      <c r="J3541">
        <v>0</v>
      </c>
      <c r="K3541" s="2">
        <f t="shared" si="110"/>
        <v>0</v>
      </c>
      <c r="L3541" t="s">
        <v>61</v>
      </c>
      <c r="M3541">
        <v>2</v>
      </c>
      <c r="N3541">
        <v>0.54</v>
      </c>
      <c r="O3541" t="str">
        <f t="shared" si="111"/>
        <v>0.4–0.6 hours</v>
      </c>
      <c r="P3541" t="s">
        <v>39</v>
      </c>
    </row>
    <row r="3542" spans="1:16" x14ac:dyDescent="0.4">
      <c r="A3542" t="s">
        <v>3583</v>
      </c>
      <c r="B3542">
        <v>47</v>
      </c>
      <c r="C3542" t="s">
        <v>41</v>
      </c>
      <c r="D3542" t="s">
        <v>22</v>
      </c>
      <c r="E3542">
        <v>0.18</v>
      </c>
      <c r="F3542">
        <v>50</v>
      </c>
      <c r="G3542" t="s">
        <v>17</v>
      </c>
      <c r="H3542" t="s">
        <v>55</v>
      </c>
      <c r="I3542" s="2">
        <v>13.99</v>
      </c>
      <c r="J3542">
        <v>1</v>
      </c>
      <c r="K3542" s="2">
        <f t="shared" si="110"/>
        <v>13.99</v>
      </c>
      <c r="L3542" t="s">
        <v>43</v>
      </c>
      <c r="M3542">
        <v>4</v>
      </c>
      <c r="N3542">
        <v>0</v>
      </c>
      <c r="O3542" t="str">
        <f t="shared" si="111"/>
        <v>0–0.2 hours</v>
      </c>
      <c r="P3542" t="s">
        <v>34</v>
      </c>
    </row>
    <row r="3543" spans="1:16" x14ac:dyDescent="0.4">
      <c r="A3543" t="s">
        <v>3584</v>
      </c>
      <c r="B3543">
        <v>55</v>
      </c>
      <c r="C3543" t="s">
        <v>15</v>
      </c>
      <c r="D3543" t="s">
        <v>32</v>
      </c>
      <c r="E3543">
        <v>1.43</v>
      </c>
      <c r="F3543">
        <v>60</v>
      </c>
      <c r="G3543" t="s">
        <v>28</v>
      </c>
      <c r="H3543" t="s">
        <v>46</v>
      </c>
      <c r="I3543" s="2">
        <v>17.989999999999998</v>
      </c>
      <c r="J3543">
        <v>1</v>
      </c>
      <c r="K3543" s="2">
        <f t="shared" si="110"/>
        <v>17.989999999999998</v>
      </c>
      <c r="L3543" t="s">
        <v>37</v>
      </c>
      <c r="M3543">
        <v>1</v>
      </c>
      <c r="N3543">
        <v>0.02</v>
      </c>
      <c r="O3543" t="str">
        <f t="shared" si="111"/>
        <v>0–0.2 hours</v>
      </c>
      <c r="P3543" t="s">
        <v>39</v>
      </c>
    </row>
    <row r="3544" spans="1:16" x14ac:dyDescent="0.4">
      <c r="A3544" t="s">
        <v>3585</v>
      </c>
      <c r="B3544">
        <v>68</v>
      </c>
      <c r="C3544" t="s">
        <v>27</v>
      </c>
      <c r="D3544" t="s">
        <v>32</v>
      </c>
      <c r="E3544">
        <v>5.94</v>
      </c>
      <c r="F3544">
        <v>23</v>
      </c>
      <c r="G3544" t="s">
        <v>33</v>
      </c>
      <c r="H3544" t="s">
        <v>24</v>
      </c>
      <c r="I3544" s="2">
        <v>17.989999999999998</v>
      </c>
      <c r="J3544">
        <v>0</v>
      </c>
      <c r="K3544" s="2">
        <f t="shared" si="110"/>
        <v>0</v>
      </c>
      <c r="L3544" t="s">
        <v>19</v>
      </c>
      <c r="M3544">
        <v>5</v>
      </c>
      <c r="N3544">
        <v>0.25</v>
      </c>
      <c r="O3544" t="str">
        <f t="shared" si="111"/>
        <v>0.2–0.4 hours</v>
      </c>
      <c r="P3544" t="s">
        <v>34</v>
      </c>
    </row>
    <row r="3545" spans="1:16" x14ac:dyDescent="0.4">
      <c r="A3545" t="s">
        <v>3586</v>
      </c>
      <c r="B3545">
        <v>57</v>
      </c>
      <c r="C3545" t="s">
        <v>15</v>
      </c>
      <c r="D3545" t="s">
        <v>32</v>
      </c>
      <c r="E3545">
        <v>10.89</v>
      </c>
      <c r="F3545">
        <v>3</v>
      </c>
      <c r="G3545" t="s">
        <v>70</v>
      </c>
      <c r="H3545" t="s">
        <v>55</v>
      </c>
      <c r="I3545" s="2">
        <v>17.989999999999998</v>
      </c>
      <c r="J3545">
        <v>0</v>
      </c>
      <c r="K3545" s="2">
        <f t="shared" si="110"/>
        <v>0</v>
      </c>
      <c r="L3545" t="s">
        <v>29</v>
      </c>
      <c r="M3545">
        <v>5</v>
      </c>
      <c r="N3545">
        <v>2.72</v>
      </c>
      <c r="O3545" t="str">
        <f t="shared" si="111"/>
        <v>1+ hours</v>
      </c>
      <c r="P3545" t="s">
        <v>25</v>
      </c>
    </row>
    <row r="3546" spans="1:16" x14ac:dyDescent="0.4">
      <c r="A3546" t="s">
        <v>3587</v>
      </c>
      <c r="B3546">
        <v>46</v>
      </c>
      <c r="C3546" t="s">
        <v>27</v>
      </c>
      <c r="D3546" t="s">
        <v>16</v>
      </c>
      <c r="E3546">
        <v>35.85</v>
      </c>
      <c r="F3546">
        <v>39</v>
      </c>
      <c r="G3546" t="s">
        <v>28</v>
      </c>
      <c r="H3546" t="s">
        <v>57</v>
      </c>
      <c r="I3546" s="2">
        <v>8.99</v>
      </c>
      <c r="J3546">
        <v>0</v>
      </c>
      <c r="K3546" s="2">
        <f t="shared" si="110"/>
        <v>0</v>
      </c>
      <c r="L3546" t="s">
        <v>61</v>
      </c>
      <c r="M3546">
        <v>1</v>
      </c>
      <c r="N3546">
        <v>0.9</v>
      </c>
      <c r="O3546" t="str">
        <f t="shared" si="111"/>
        <v>0.8–1 hour</v>
      </c>
      <c r="P3546" t="s">
        <v>25</v>
      </c>
    </row>
    <row r="3547" spans="1:16" x14ac:dyDescent="0.4">
      <c r="A3547" t="s">
        <v>3588</v>
      </c>
      <c r="B3547">
        <v>65</v>
      </c>
      <c r="C3547" t="s">
        <v>41</v>
      </c>
      <c r="D3547" t="s">
        <v>16</v>
      </c>
      <c r="E3547">
        <v>8.06</v>
      </c>
      <c r="F3547">
        <v>24</v>
      </c>
      <c r="G3547" t="s">
        <v>17</v>
      </c>
      <c r="H3547" t="s">
        <v>18</v>
      </c>
      <c r="I3547" s="2">
        <v>8.99</v>
      </c>
      <c r="J3547">
        <v>0</v>
      </c>
      <c r="K3547" s="2">
        <f t="shared" si="110"/>
        <v>0</v>
      </c>
      <c r="L3547" t="s">
        <v>43</v>
      </c>
      <c r="M3547">
        <v>4</v>
      </c>
      <c r="N3547">
        <v>0.32</v>
      </c>
      <c r="O3547" t="str">
        <f t="shared" si="111"/>
        <v>0.2–0.4 hours</v>
      </c>
      <c r="P3547" t="s">
        <v>25</v>
      </c>
    </row>
    <row r="3548" spans="1:16" x14ac:dyDescent="0.4">
      <c r="A3548" t="s">
        <v>3589</v>
      </c>
      <c r="B3548">
        <v>60</v>
      </c>
      <c r="C3548" t="s">
        <v>15</v>
      </c>
      <c r="D3548" t="s">
        <v>32</v>
      </c>
      <c r="E3548">
        <v>11.77</v>
      </c>
      <c r="F3548">
        <v>18</v>
      </c>
      <c r="G3548" t="s">
        <v>49</v>
      </c>
      <c r="H3548" t="s">
        <v>46</v>
      </c>
      <c r="I3548" s="2">
        <v>17.989999999999998</v>
      </c>
      <c r="J3548">
        <v>0</v>
      </c>
      <c r="K3548" s="2">
        <f t="shared" si="110"/>
        <v>0</v>
      </c>
      <c r="L3548" t="s">
        <v>29</v>
      </c>
      <c r="M3548">
        <v>1</v>
      </c>
      <c r="N3548">
        <v>0.62</v>
      </c>
      <c r="O3548" t="str">
        <f t="shared" si="111"/>
        <v>0.6–0.8 hours</v>
      </c>
      <c r="P3548" t="s">
        <v>47</v>
      </c>
    </row>
    <row r="3549" spans="1:16" x14ac:dyDescent="0.4">
      <c r="A3549" t="s">
        <v>3590</v>
      </c>
      <c r="B3549">
        <v>47</v>
      </c>
      <c r="C3549" t="s">
        <v>27</v>
      </c>
      <c r="D3549" t="s">
        <v>32</v>
      </c>
      <c r="E3549">
        <v>2.25</v>
      </c>
      <c r="F3549">
        <v>53</v>
      </c>
      <c r="G3549" t="s">
        <v>23</v>
      </c>
      <c r="H3549" t="s">
        <v>24</v>
      </c>
      <c r="I3549" s="2">
        <v>17.989999999999998</v>
      </c>
      <c r="J3549">
        <v>1</v>
      </c>
      <c r="K3549" s="2">
        <f t="shared" si="110"/>
        <v>17.989999999999998</v>
      </c>
      <c r="L3549" t="s">
        <v>19</v>
      </c>
      <c r="M3549">
        <v>2</v>
      </c>
      <c r="N3549">
        <v>0.04</v>
      </c>
      <c r="O3549" t="str">
        <f t="shared" si="111"/>
        <v>0–0.2 hours</v>
      </c>
      <c r="P3549" t="s">
        <v>39</v>
      </c>
    </row>
    <row r="3550" spans="1:16" x14ac:dyDescent="0.4">
      <c r="A3550" t="s">
        <v>3591</v>
      </c>
      <c r="B3550">
        <v>24</v>
      </c>
      <c r="C3550" t="s">
        <v>15</v>
      </c>
      <c r="D3550" t="s">
        <v>22</v>
      </c>
      <c r="E3550">
        <v>10.72</v>
      </c>
      <c r="F3550">
        <v>40</v>
      </c>
      <c r="G3550" t="s">
        <v>28</v>
      </c>
      <c r="H3550" t="s">
        <v>18</v>
      </c>
      <c r="I3550" s="2">
        <v>13.99</v>
      </c>
      <c r="J3550">
        <v>1</v>
      </c>
      <c r="K3550" s="2">
        <f t="shared" si="110"/>
        <v>13.99</v>
      </c>
      <c r="L3550" t="s">
        <v>37</v>
      </c>
      <c r="M3550">
        <v>3</v>
      </c>
      <c r="N3550">
        <v>0.26</v>
      </c>
      <c r="O3550" t="str">
        <f t="shared" si="111"/>
        <v>0.2–0.4 hours</v>
      </c>
      <c r="P3550" t="s">
        <v>47</v>
      </c>
    </row>
    <row r="3551" spans="1:16" x14ac:dyDescent="0.4">
      <c r="A3551" t="s">
        <v>3592</v>
      </c>
      <c r="B3551">
        <v>21</v>
      </c>
      <c r="C3551" t="s">
        <v>15</v>
      </c>
      <c r="D3551" t="s">
        <v>22</v>
      </c>
      <c r="E3551">
        <v>2.77</v>
      </c>
      <c r="F3551">
        <v>8</v>
      </c>
      <c r="G3551" t="s">
        <v>17</v>
      </c>
      <c r="H3551" t="s">
        <v>18</v>
      </c>
      <c r="I3551" s="2">
        <v>13.99</v>
      </c>
      <c r="J3551">
        <v>1</v>
      </c>
      <c r="K3551" s="2">
        <f t="shared" si="110"/>
        <v>13.99</v>
      </c>
      <c r="L3551" t="s">
        <v>19</v>
      </c>
      <c r="M3551">
        <v>4</v>
      </c>
      <c r="N3551">
        <v>0.31</v>
      </c>
      <c r="O3551" t="str">
        <f t="shared" si="111"/>
        <v>0.2–0.4 hours</v>
      </c>
      <c r="P3551" t="s">
        <v>34</v>
      </c>
    </row>
    <row r="3552" spans="1:16" x14ac:dyDescent="0.4">
      <c r="A3552" t="s">
        <v>3593</v>
      </c>
      <c r="B3552">
        <v>54</v>
      </c>
      <c r="C3552" t="s">
        <v>15</v>
      </c>
      <c r="D3552" t="s">
        <v>22</v>
      </c>
      <c r="E3552">
        <v>13.19</v>
      </c>
      <c r="F3552">
        <v>10</v>
      </c>
      <c r="G3552" t="s">
        <v>70</v>
      </c>
      <c r="H3552" t="s">
        <v>57</v>
      </c>
      <c r="I3552" s="2">
        <v>13.99</v>
      </c>
      <c r="J3552">
        <v>0</v>
      </c>
      <c r="K3552" s="2">
        <f t="shared" si="110"/>
        <v>0</v>
      </c>
      <c r="L3552" t="s">
        <v>19</v>
      </c>
      <c r="M3552">
        <v>2</v>
      </c>
      <c r="N3552">
        <v>1.2</v>
      </c>
      <c r="O3552" t="str">
        <f t="shared" si="111"/>
        <v>1+ hours</v>
      </c>
      <c r="P3552" t="s">
        <v>20</v>
      </c>
    </row>
    <row r="3553" spans="1:16" x14ac:dyDescent="0.4">
      <c r="A3553" t="s">
        <v>3594</v>
      </c>
      <c r="B3553">
        <v>67</v>
      </c>
      <c r="C3553" t="s">
        <v>27</v>
      </c>
      <c r="D3553" t="s">
        <v>32</v>
      </c>
      <c r="E3553">
        <v>2.34</v>
      </c>
      <c r="F3553">
        <v>54</v>
      </c>
      <c r="G3553" t="s">
        <v>49</v>
      </c>
      <c r="H3553" t="s">
        <v>24</v>
      </c>
      <c r="I3553" s="2">
        <v>17.989999999999998</v>
      </c>
      <c r="J3553">
        <v>1</v>
      </c>
      <c r="K3553" s="2">
        <f t="shared" si="110"/>
        <v>17.989999999999998</v>
      </c>
      <c r="L3553" t="s">
        <v>61</v>
      </c>
      <c r="M3553">
        <v>4</v>
      </c>
      <c r="N3553">
        <v>0.04</v>
      </c>
      <c r="O3553" t="str">
        <f t="shared" si="111"/>
        <v>0–0.2 hours</v>
      </c>
      <c r="P3553" t="s">
        <v>52</v>
      </c>
    </row>
    <row r="3554" spans="1:16" x14ac:dyDescent="0.4">
      <c r="A3554" t="s">
        <v>3595</v>
      </c>
      <c r="B3554">
        <v>67</v>
      </c>
      <c r="C3554" t="s">
        <v>15</v>
      </c>
      <c r="D3554" t="s">
        <v>32</v>
      </c>
      <c r="E3554">
        <v>16.71</v>
      </c>
      <c r="F3554">
        <v>9</v>
      </c>
      <c r="G3554" t="s">
        <v>23</v>
      </c>
      <c r="H3554" t="s">
        <v>18</v>
      </c>
      <c r="I3554" s="2">
        <v>17.989999999999998</v>
      </c>
      <c r="J3554">
        <v>0</v>
      </c>
      <c r="K3554" s="2">
        <f t="shared" si="110"/>
        <v>0</v>
      </c>
      <c r="L3554" t="s">
        <v>29</v>
      </c>
      <c r="M3554">
        <v>4</v>
      </c>
      <c r="N3554">
        <v>1.67</v>
      </c>
      <c r="O3554" t="str">
        <f t="shared" si="111"/>
        <v>1+ hours</v>
      </c>
      <c r="P3554" t="s">
        <v>39</v>
      </c>
    </row>
    <row r="3555" spans="1:16" x14ac:dyDescent="0.4">
      <c r="A3555" t="s">
        <v>3596</v>
      </c>
      <c r="B3555">
        <v>37</v>
      </c>
      <c r="C3555" t="s">
        <v>41</v>
      </c>
      <c r="D3555" t="s">
        <v>32</v>
      </c>
      <c r="E3555">
        <v>4.12</v>
      </c>
      <c r="F3555">
        <v>28</v>
      </c>
      <c r="G3555" t="s">
        <v>33</v>
      </c>
      <c r="H3555" t="s">
        <v>24</v>
      </c>
      <c r="I3555" s="2">
        <v>17.989999999999998</v>
      </c>
      <c r="J3555">
        <v>1</v>
      </c>
      <c r="K3555" s="2">
        <f t="shared" si="110"/>
        <v>17.989999999999998</v>
      </c>
      <c r="L3555" t="s">
        <v>43</v>
      </c>
      <c r="M3555">
        <v>1</v>
      </c>
      <c r="N3555">
        <v>0.14000000000000001</v>
      </c>
      <c r="O3555" t="str">
        <f t="shared" si="111"/>
        <v>0–0.2 hours</v>
      </c>
      <c r="P3555" t="s">
        <v>30</v>
      </c>
    </row>
    <row r="3556" spans="1:16" x14ac:dyDescent="0.4">
      <c r="A3556" t="s">
        <v>3597</v>
      </c>
      <c r="B3556">
        <v>46</v>
      </c>
      <c r="C3556" t="s">
        <v>41</v>
      </c>
      <c r="D3556" t="s">
        <v>32</v>
      </c>
      <c r="E3556">
        <v>3.84</v>
      </c>
      <c r="F3556">
        <v>15</v>
      </c>
      <c r="G3556" t="s">
        <v>17</v>
      </c>
      <c r="H3556" t="s">
        <v>24</v>
      </c>
      <c r="I3556" s="2">
        <v>17.989999999999998</v>
      </c>
      <c r="J3556">
        <v>0</v>
      </c>
      <c r="K3556" s="2">
        <f t="shared" si="110"/>
        <v>0</v>
      </c>
      <c r="L3556" t="s">
        <v>43</v>
      </c>
      <c r="M3556">
        <v>4</v>
      </c>
      <c r="N3556">
        <v>0.24</v>
      </c>
      <c r="O3556" t="str">
        <f t="shared" si="111"/>
        <v>0.2–0.4 hours</v>
      </c>
      <c r="P3556" t="s">
        <v>52</v>
      </c>
    </row>
    <row r="3557" spans="1:16" x14ac:dyDescent="0.4">
      <c r="A3557" t="s">
        <v>3598</v>
      </c>
      <c r="B3557">
        <v>37</v>
      </c>
      <c r="C3557" t="s">
        <v>41</v>
      </c>
      <c r="D3557" t="s">
        <v>16</v>
      </c>
      <c r="E3557">
        <v>17.29</v>
      </c>
      <c r="F3557">
        <v>49</v>
      </c>
      <c r="G3557" t="s">
        <v>70</v>
      </c>
      <c r="H3557" t="s">
        <v>57</v>
      </c>
      <c r="I3557" s="2">
        <v>8.99</v>
      </c>
      <c r="J3557">
        <v>1</v>
      </c>
      <c r="K3557" s="2">
        <f t="shared" si="110"/>
        <v>8.99</v>
      </c>
      <c r="L3557" t="s">
        <v>43</v>
      </c>
      <c r="M3557">
        <v>3</v>
      </c>
      <c r="N3557">
        <v>0.35</v>
      </c>
      <c r="O3557" t="str">
        <f t="shared" si="111"/>
        <v>0.2–0.4 hours</v>
      </c>
      <c r="P3557" t="s">
        <v>34</v>
      </c>
    </row>
    <row r="3558" spans="1:16" x14ac:dyDescent="0.4">
      <c r="A3558" t="s">
        <v>3599</v>
      </c>
      <c r="B3558">
        <v>64</v>
      </c>
      <c r="C3558" t="s">
        <v>41</v>
      </c>
      <c r="D3558" t="s">
        <v>16</v>
      </c>
      <c r="E3558">
        <v>7.29</v>
      </c>
      <c r="F3558">
        <v>18</v>
      </c>
      <c r="G3558" t="s">
        <v>28</v>
      </c>
      <c r="H3558" t="s">
        <v>46</v>
      </c>
      <c r="I3558" s="2">
        <v>8.99</v>
      </c>
      <c r="J3558">
        <v>0</v>
      </c>
      <c r="K3558" s="2">
        <f t="shared" si="110"/>
        <v>0</v>
      </c>
      <c r="L3558" t="s">
        <v>43</v>
      </c>
      <c r="M3558">
        <v>2</v>
      </c>
      <c r="N3558">
        <v>0.38</v>
      </c>
      <c r="O3558" t="str">
        <f t="shared" si="111"/>
        <v>0.2–0.4 hours</v>
      </c>
      <c r="P3558" t="s">
        <v>25</v>
      </c>
    </row>
    <row r="3559" spans="1:16" x14ac:dyDescent="0.4">
      <c r="A3559" t="s">
        <v>3600</v>
      </c>
      <c r="B3559">
        <v>64</v>
      </c>
      <c r="C3559" t="s">
        <v>41</v>
      </c>
      <c r="D3559" t="s">
        <v>22</v>
      </c>
      <c r="E3559">
        <v>54.34</v>
      </c>
      <c r="F3559">
        <v>9</v>
      </c>
      <c r="G3559" t="s">
        <v>28</v>
      </c>
      <c r="H3559" t="s">
        <v>55</v>
      </c>
      <c r="I3559" s="2">
        <v>13.99</v>
      </c>
      <c r="J3559">
        <v>0</v>
      </c>
      <c r="K3559" s="2">
        <f t="shared" si="110"/>
        <v>0</v>
      </c>
      <c r="L3559" t="s">
        <v>37</v>
      </c>
      <c r="M3559">
        <v>3</v>
      </c>
      <c r="N3559">
        <v>5.43</v>
      </c>
      <c r="O3559" t="str">
        <f t="shared" si="111"/>
        <v>1+ hours</v>
      </c>
      <c r="P3559" t="s">
        <v>52</v>
      </c>
    </row>
    <row r="3560" spans="1:16" x14ac:dyDescent="0.4">
      <c r="A3560" t="s">
        <v>3601</v>
      </c>
      <c r="B3560">
        <v>50</v>
      </c>
      <c r="C3560" t="s">
        <v>41</v>
      </c>
      <c r="D3560" t="s">
        <v>16</v>
      </c>
      <c r="E3560">
        <v>2.0499999999999998</v>
      </c>
      <c r="F3560">
        <v>59</v>
      </c>
      <c r="G3560" t="s">
        <v>70</v>
      </c>
      <c r="H3560" t="s">
        <v>18</v>
      </c>
      <c r="I3560" s="2">
        <v>8.99</v>
      </c>
      <c r="J3560">
        <v>1</v>
      </c>
      <c r="K3560" s="2">
        <f t="shared" si="110"/>
        <v>8.99</v>
      </c>
      <c r="L3560" t="s">
        <v>37</v>
      </c>
      <c r="M3560">
        <v>5</v>
      </c>
      <c r="N3560">
        <v>0.03</v>
      </c>
      <c r="O3560" t="str">
        <f t="shared" si="111"/>
        <v>0–0.2 hours</v>
      </c>
      <c r="P3560" t="s">
        <v>20</v>
      </c>
    </row>
    <row r="3561" spans="1:16" x14ac:dyDescent="0.4">
      <c r="A3561" t="s">
        <v>3602</v>
      </c>
      <c r="B3561">
        <v>31</v>
      </c>
      <c r="C3561" t="s">
        <v>15</v>
      </c>
      <c r="D3561" t="s">
        <v>32</v>
      </c>
      <c r="E3561">
        <v>8.18</v>
      </c>
      <c r="F3561">
        <v>43</v>
      </c>
      <c r="G3561" t="s">
        <v>23</v>
      </c>
      <c r="H3561" t="s">
        <v>55</v>
      </c>
      <c r="I3561" s="2">
        <v>17.989999999999998</v>
      </c>
      <c r="J3561">
        <v>1</v>
      </c>
      <c r="K3561" s="2">
        <f t="shared" si="110"/>
        <v>17.989999999999998</v>
      </c>
      <c r="L3561" t="s">
        <v>43</v>
      </c>
      <c r="M3561">
        <v>1</v>
      </c>
      <c r="N3561">
        <v>0.19</v>
      </c>
      <c r="O3561" t="str">
        <f t="shared" si="111"/>
        <v>0–0.2 hours</v>
      </c>
      <c r="P3561" t="s">
        <v>34</v>
      </c>
    </row>
    <row r="3562" spans="1:16" x14ac:dyDescent="0.4">
      <c r="A3562" t="s">
        <v>3603</v>
      </c>
      <c r="B3562">
        <v>44</v>
      </c>
      <c r="C3562" t="s">
        <v>27</v>
      </c>
      <c r="D3562" t="s">
        <v>16</v>
      </c>
      <c r="E3562">
        <v>1.75</v>
      </c>
      <c r="F3562">
        <v>52</v>
      </c>
      <c r="G3562" t="s">
        <v>17</v>
      </c>
      <c r="H3562" t="s">
        <v>18</v>
      </c>
      <c r="I3562" s="2">
        <v>8.99</v>
      </c>
      <c r="J3562">
        <v>1</v>
      </c>
      <c r="K3562" s="2">
        <f t="shared" si="110"/>
        <v>8.99</v>
      </c>
      <c r="L3562" t="s">
        <v>29</v>
      </c>
      <c r="M3562">
        <v>5</v>
      </c>
      <c r="N3562">
        <v>0.03</v>
      </c>
      <c r="O3562" t="str">
        <f t="shared" si="111"/>
        <v>0–0.2 hours</v>
      </c>
      <c r="P3562" t="s">
        <v>30</v>
      </c>
    </row>
    <row r="3563" spans="1:16" x14ac:dyDescent="0.4">
      <c r="A3563" t="s">
        <v>3604</v>
      </c>
      <c r="B3563">
        <v>64</v>
      </c>
      <c r="C3563" t="s">
        <v>41</v>
      </c>
      <c r="D3563" t="s">
        <v>16</v>
      </c>
      <c r="E3563">
        <v>24.36</v>
      </c>
      <c r="F3563">
        <v>32</v>
      </c>
      <c r="G3563" t="s">
        <v>33</v>
      </c>
      <c r="H3563" t="s">
        <v>46</v>
      </c>
      <c r="I3563" s="2">
        <v>8.99</v>
      </c>
      <c r="J3563">
        <v>0</v>
      </c>
      <c r="K3563" s="2">
        <f t="shared" si="110"/>
        <v>0</v>
      </c>
      <c r="L3563" t="s">
        <v>29</v>
      </c>
      <c r="M3563">
        <v>3</v>
      </c>
      <c r="N3563">
        <v>0.74</v>
      </c>
      <c r="O3563" t="str">
        <f t="shared" si="111"/>
        <v>0.6–0.8 hours</v>
      </c>
      <c r="P3563" t="s">
        <v>25</v>
      </c>
    </row>
    <row r="3564" spans="1:16" x14ac:dyDescent="0.4">
      <c r="A3564" t="s">
        <v>3605</v>
      </c>
      <c r="B3564">
        <v>54</v>
      </c>
      <c r="C3564" t="s">
        <v>15</v>
      </c>
      <c r="D3564" t="s">
        <v>22</v>
      </c>
      <c r="E3564">
        <v>5.07</v>
      </c>
      <c r="F3564">
        <v>20</v>
      </c>
      <c r="G3564" t="s">
        <v>28</v>
      </c>
      <c r="H3564" t="s">
        <v>57</v>
      </c>
      <c r="I3564" s="2">
        <v>13.99</v>
      </c>
      <c r="J3564">
        <v>0</v>
      </c>
      <c r="K3564" s="2">
        <f t="shared" si="110"/>
        <v>0</v>
      </c>
      <c r="L3564" t="s">
        <v>61</v>
      </c>
      <c r="M3564">
        <v>5</v>
      </c>
      <c r="N3564">
        <v>0.24</v>
      </c>
      <c r="O3564" t="str">
        <f t="shared" si="111"/>
        <v>0.2–0.4 hours</v>
      </c>
      <c r="P3564" t="s">
        <v>52</v>
      </c>
    </row>
    <row r="3565" spans="1:16" x14ac:dyDescent="0.4">
      <c r="A3565" t="s">
        <v>3606</v>
      </c>
      <c r="B3565">
        <v>69</v>
      </c>
      <c r="C3565" t="s">
        <v>41</v>
      </c>
      <c r="D3565" t="s">
        <v>22</v>
      </c>
      <c r="E3565">
        <v>17.010000000000002</v>
      </c>
      <c r="F3565">
        <v>47</v>
      </c>
      <c r="G3565" t="s">
        <v>49</v>
      </c>
      <c r="H3565" t="s">
        <v>46</v>
      </c>
      <c r="I3565" s="2">
        <v>13.99</v>
      </c>
      <c r="J3565">
        <v>1</v>
      </c>
      <c r="K3565" s="2">
        <f t="shared" si="110"/>
        <v>13.99</v>
      </c>
      <c r="L3565" t="s">
        <v>29</v>
      </c>
      <c r="M3565">
        <v>2</v>
      </c>
      <c r="N3565">
        <v>0.35</v>
      </c>
      <c r="O3565" t="str">
        <f t="shared" si="111"/>
        <v>0.2–0.4 hours</v>
      </c>
      <c r="P3565" t="s">
        <v>30</v>
      </c>
    </row>
    <row r="3566" spans="1:16" x14ac:dyDescent="0.4">
      <c r="A3566" t="s">
        <v>3607</v>
      </c>
      <c r="B3566">
        <v>65</v>
      </c>
      <c r="C3566" t="s">
        <v>41</v>
      </c>
      <c r="D3566" t="s">
        <v>16</v>
      </c>
      <c r="E3566">
        <v>0.14000000000000001</v>
      </c>
      <c r="F3566">
        <v>16</v>
      </c>
      <c r="G3566" t="s">
        <v>49</v>
      </c>
      <c r="H3566" t="s">
        <v>24</v>
      </c>
      <c r="I3566" s="2">
        <v>8.99</v>
      </c>
      <c r="J3566">
        <v>1</v>
      </c>
      <c r="K3566" s="2">
        <f t="shared" si="110"/>
        <v>8.99</v>
      </c>
      <c r="L3566" t="s">
        <v>19</v>
      </c>
      <c r="M3566">
        <v>1</v>
      </c>
      <c r="N3566">
        <v>0.01</v>
      </c>
      <c r="O3566" t="str">
        <f t="shared" si="111"/>
        <v>0–0.2 hours</v>
      </c>
      <c r="P3566" t="s">
        <v>30</v>
      </c>
    </row>
    <row r="3567" spans="1:16" x14ac:dyDescent="0.4">
      <c r="A3567" t="s">
        <v>3608</v>
      </c>
      <c r="B3567">
        <v>58</v>
      </c>
      <c r="C3567" t="s">
        <v>15</v>
      </c>
      <c r="D3567" t="s">
        <v>32</v>
      </c>
      <c r="E3567">
        <v>23.9</v>
      </c>
      <c r="F3567">
        <v>38</v>
      </c>
      <c r="G3567" t="s">
        <v>70</v>
      </c>
      <c r="H3567" t="s">
        <v>18</v>
      </c>
      <c r="I3567" s="2">
        <v>17.989999999999998</v>
      </c>
      <c r="J3567">
        <v>0</v>
      </c>
      <c r="K3567" s="2">
        <f t="shared" si="110"/>
        <v>0</v>
      </c>
      <c r="L3567" t="s">
        <v>37</v>
      </c>
      <c r="M3567">
        <v>1</v>
      </c>
      <c r="N3567">
        <v>0.61</v>
      </c>
      <c r="O3567" t="str">
        <f t="shared" si="111"/>
        <v>0.6–0.8 hours</v>
      </c>
      <c r="P3567" t="s">
        <v>39</v>
      </c>
    </row>
    <row r="3568" spans="1:16" x14ac:dyDescent="0.4">
      <c r="A3568" t="s">
        <v>3609</v>
      </c>
      <c r="B3568">
        <v>21</v>
      </c>
      <c r="C3568" t="s">
        <v>27</v>
      </c>
      <c r="D3568" t="s">
        <v>32</v>
      </c>
      <c r="E3568">
        <v>4.12</v>
      </c>
      <c r="F3568">
        <v>35</v>
      </c>
      <c r="G3568" t="s">
        <v>70</v>
      </c>
      <c r="H3568" t="s">
        <v>46</v>
      </c>
      <c r="I3568" s="2">
        <v>17.989999999999998</v>
      </c>
      <c r="J3568">
        <v>1</v>
      </c>
      <c r="K3568" s="2">
        <f t="shared" si="110"/>
        <v>17.989999999999998</v>
      </c>
      <c r="L3568" t="s">
        <v>19</v>
      </c>
      <c r="M3568">
        <v>2</v>
      </c>
      <c r="N3568">
        <v>0.11</v>
      </c>
      <c r="O3568" t="str">
        <f t="shared" si="111"/>
        <v>0–0.2 hours</v>
      </c>
      <c r="P3568" t="s">
        <v>47</v>
      </c>
    </row>
    <row r="3569" spans="1:16" x14ac:dyDescent="0.4">
      <c r="A3569" t="s">
        <v>3610</v>
      </c>
      <c r="B3569">
        <v>28</v>
      </c>
      <c r="C3569" t="s">
        <v>27</v>
      </c>
      <c r="D3569" t="s">
        <v>32</v>
      </c>
      <c r="E3569">
        <v>29.83</v>
      </c>
      <c r="F3569">
        <v>32</v>
      </c>
      <c r="G3569" t="s">
        <v>70</v>
      </c>
      <c r="H3569" t="s">
        <v>55</v>
      </c>
      <c r="I3569" s="2">
        <v>17.989999999999998</v>
      </c>
      <c r="J3569">
        <v>0</v>
      </c>
      <c r="K3569" s="2">
        <f t="shared" si="110"/>
        <v>0</v>
      </c>
      <c r="L3569" t="s">
        <v>29</v>
      </c>
      <c r="M3569">
        <v>4</v>
      </c>
      <c r="N3569">
        <v>0.9</v>
      </c>
      <c r="O3569" t="str">
        <f t="shared" si="111"/>
        <v>0.8–1 hour</v>
      </c>
      <c r="P3569" t="s">
        <v>30</v>
      </c>
    </row>
    <row r="3570" spans="1:16" x14ac:dyDescent="0.4">
      <c r="A3570" t="s">
        <v>3611</v>
      </c>
      <c r="B3570">
        <v>70</v>
      </c>
      <c r="C3570" t="s">
        <v>27</v>
      </c>
      <c r="D3570" t="s">
        <v>32</v>
      </c>
      <c r="E3570">
        <v>7.13</v>
      </c>
      <c r="F3570">
        <v>29</v>
      </c>
      <c r="G3570" t="s">
        <v>17</v>
      </c>
      <c r="H3570" t="s">
        <v>55</v>
      </c>
      <c r="I3570" s="2">
        <v>17.989999999999998</v>
      </c>
      <c r="J3570">
        <v>0</v>
      </c>
      <c r="K3570" s="2">
        <f t="shared" si="110"/>
        <v>0</v>
      </c>
      <c r="L3570" t="s">
        <v>43</v>
      </c>
      <c r="M3570">
        <v>5</v>
      </c>
      <c r="N3570">
        <v>0.24</v>
      </c>
      <c r="O3570" t="str">
        <f t="shared" si="111"/>
        <v>0.2–0.4 hours</v>
      </c>
      <c r="P3570" t="s">
        <v>20</v>
      </c>
    </row>
    <row r="3571" spans="1:16" x14ac:dyDescent="0.4">
      <c r="A3571" t="s">
        <v>3612</v>
      </c>
      <c r="B3571">
        <v>69</v>
      </c>
      <c r="C3571" t="s">
        <v>15</v>
      </c>
      <c r="D3571" t="s">
        <v>16</v>
      </c>
      <c r="E3571">
        <v>9.77</v>
      </c>
      <c r="F3571">
        <v>12</v>
      </c>
      <c r="G3571" t="s">
        <v>33</v>
      </c>
      <c r="H3571" t="s">
        <v>55</v>
      </c>
      <c r="I3571" s="2">
        <v>8.99</v>
      </c>
      <c r="J3571">
        <v>0</v>
      </c>
      <c r="K3571" s="2">
        <f t="shared" si="110"/>
        <v>0</v>
      </c>
      <c r="L3571" t="s">
        <v>61</v>
      </c>
      <c r="M3571">
        <v>3</v>
      </c>
      <c r="N3571">
        <v>0.75</v>
      </c>
      <c r="O3571" t="str">
        <f t="shared" si="111"/>
        <v>0.6–0.8 hours</v>
      </c>
      <c r="P3571" t="s">
        <v>39</v>
      </c>
    </row>
    <row r="3572" spans="1:16" x14ac:dyDescent="0.4">
      <c r="A3572" t="s">
        <v>3613</v>
      </c>
      <c r="B3572">
        <v>28</v>
      </c>
      <c r="C3572" t="s">
        <v>41</v>
      </c>
      <c r="D3572" t="s">
        <v>16</v>
      </c>
      <c r="E3572">
        <v>13.44</v>
      </c>
      <c r="F3572">
        <v>20</v>
      </c>
      <c r="G3572" t="s">
        <v>33</v>
      </c>
      <c r="H3572" t="s">
        <v>18</v>
      </c>
      <c r="I3572" s="2">
        <v>8.99</v>
      </c>
      <c r="J3572">
        <v>0</v>
      </c>
      <c r="K3572" s="2">
        <f t="shared" si="110"/>
        <v>0</v>
      </c>
      <c r="L3572" t="s">
        <v>61</v>
      </c>
      <c r="M3572">
        <v>1</v>
      </c>
      <c r="N3572">
        <v>0.64</v>
      </c>
      <c r="O3572" t="str">
        <f t="shared" si="111"/>
        <v>0.6–0.8 hours</v>
      </c>
      <c r="P3572" t="s">
        <v>47</v>
      </c>
    </row>
    <row r="3573" spans="1:16" x14ac:dyDescent="0.4">
      <c r="A3573" t="s">
        <v>3614</v>
      </c>
      <c r="B3573">
        <v>42</v>
      </c>
      <c r="C3573" t="s">
        <v>27</v>
      </c>
      <c r="D3573" t="s">
        <v>22</v>
      </c>
      <c r="E3573">
        <v>4.16</v>
      </c>
      <c r="F3573">
        <v>46</v>
      </c>
      <c r="G3573" t="s">
        <v>28</v>
      </c>
      <c r="H3573" t="s">
        <v>46</v>
      </c>
      <c r="I3573" s="2">
        <v>13.99</v>
      </c>
      <c r="J3573">
        <v>1</v>
      </c>
      <c r="K3573" s="2">
        <f t="shared" si="110"/>
        <v>13.99</v>
      </c>
      <c r="L3573" t="s">
        <v>37</v>
      </c>
      <c r="M3573">
        <v>5</v>
      </c>
      <c r="N3573">
        <v>0.09</v>
      </c>
      <c r="O3573" t="str">
        <f t="shared" si="111"/>
        <v>0–0.2 hours</v>
      </c>
      <c r="P3573" t="s">
        <v>34</v>
      </c>
    </row>
    <row r="3574" spans="1:16" x14ac:dyDescent="0.4">
      <c r="A3574" t="s">
        <v>3615</v>
      </c>
      <c r="B3574">
        <v>27</v>
      </c>
      <c r="C3574" t="s">
        <v>41</v>
      </c>
      <c r="D3574" t="s">
        <v>16</v>
      </c>
      <c r="E3574">
        <v>0.4</v>
      </c>
      <c r="F3574">
        <v>9</v>
      </c>
      <c r="G3574" t="s">
        <v>33</v>
      </c>
      <c r="H3574" t="s">
        <v>57</v>
      </c>
      <c r="I3574" s="2">
        <v>8.99</v>
      </c>
      <c r="J3574">
        <v>1</v>
      </c>
      <c r="K3574" s="2">
        <f t="shared" si="110"/>
        <v>8.99</v>
      </c>
      <c r="L3574" t="s">
        <v>37</v>
      </c>
      <c r="M3574">
        <v>5</v>
      </c>
      <c r="N3574">
        <v>0.04</v>
      </c>
      <c r="O3574" t="str">
        <f t="shared" si="111"/>
        <v>0–0.2 hours</v>
      </c>
      <c r="P3574" t="s">
        <v>20</v>
      </c>
    </row>
    <row r="3575" spans="1:16" x14ac:dyDescent="0.4">
      <c r="A3575" t="s">
        <v>3616</v>
      </c>
      <c r="B3575">
        <v>30</v>
      </c>
      <c r="C3575" t="s">
        <v>41</v>
      </c>
      <c r="D3575" t="s">
        <v>16</v>
      </c>
      <c r="E3575">
        <v>0.39</v>
      </c>
      <c r="F3575">
        <v>4</v>
      </c>
      <c r="G3575" t="s">
        <v>17</v>
      </c>
      <c r="H3575" t="s">
        <v>24</v>
      </c>
      <c r="I3575" s="2">
        <v>8.99</v>
      </c>
      <c r="J3575">
        <v>1</v>
      </c>
      <c r="K3575" s="2">
        <f t="shared" si="110"/>
        <v>8.99</v>
      </c>
      <c r="L3575" t="s">
        <v>61</v>
      </c>
      <c r="M3575">
        <v>2</v>
      </c>
      <c r="N3575">
        <v>0.08</v>
      </c>
      <c r="O3575" t="str">
        <f t="shared" si="111"/>
        <v>0–0.2 hours</v>
      </c>
      <c r="P3575" t="s">
        <v>47</v>
      </c>
    </row>
    <row r="3576" spans="1:16" x14ac:dyDescent="0.4">
      <c r="A3576" t="s">
        <v>3617</v>
      </c>
      <c r="B3576">
        <v>41</v>
      </c>
      <c r="C3576" t="s">
        <v>15</v>
      </c>
      <c r="D3576" t="s">
        <v>16</v>
      </c>
      <c r="E3576">
        <v>1.06</v>
      </c>
      <c r="F3576">
        <v>30</v>
      </c>
      <c r="G3576" t="s">
        <v>28</v>
      </c>
      <c r="H3576" t="s">
        <v>57</v>
      </c>
      <c r="I3576" s="2">
        <v>8.99</v>
      </c>
      <c r="J3576">
        <v>1</v>
      </c>
      <c r="K3576" s="2">
        <f t="shared" si="110"/>
        <v>8.99</v>
      </c>
      <c r="L3576" t="s">
        <v>37</v>
      </c>
      <c r="M3576">
        <v>4</v>
      </c>
      <c r="N3576">
        <v>0.03</v>
      </c>
      <c r="O3576" t="str">
        <f t="shared" si="111"/>
        <v>0–0.2 hours</v>
      </c>
      <c r="P3576" t="s">
        <v>34</v>
      </c>
    </row>
    <row r="3577" spans="1:16" x14ac:dyDescent="0.4">
      <c r="A3577" t="s">
        <v>3618</v>
      </c>
      <c r="B3577">
        <v>27</v>
      </c>
      <c r="C3577" t="s">
        <v>41</v>
      </c>
      <c r="D3577" t="s">
        <v>16</v>
      </c>
      <c r="E3577">
        <v>26.34</v>
      </c>
      <c r="F3577">
        <v>18</v>
      </c>
      <c r="G3577" t="s">
        <v>70</v>
      </c>
      <c r="H3577" t="s">
        <v>55</v>
      </c>
      <c r="I3577" s="2">
        <v>8.99</v>
      </c>
      <c r="J3577">
        <v>0</v>
      </c>
      <c r="K3577" s="2">
        <f t="shared" si="110"/>
        <v>0</v>
      </c>
      <c r="L3577" t="s">
        <v>19</v>
      </c>
      <c r="M3577">
        <v>2</v>
      </c>
      <c r="N3577">
        <v>1.39</v>
      </c>
      <c r="O3577" t="str">
        <f t="shared" si="111"/>
        <v>1+ hours</v>
      </c>
      <c r="P3577" t="s">
        <v>39</v>
      </c>
    </row>
    <row r="3578" spans="1:16" x14ac:dyDescent="0.4">
      <c r="A3578" t="s">
        <v>3619</v>
      </c>
      <c r="B3578">
        <v>57</v>
      </c>
      <c r="C3578" t="s">
        <v>27</v>
      </c>
      <c r="D3578" t="s">
        <v>16</v>
      </c>
      <c r="E3578">
        <v>7.46</v>
      </c>
      <c r="F3578">
        <v>10</v>
      </c>
      <c r="G3578" t="s">
        <v>28</v>
      </c>
      <c r="H3578" t="s">
        <v>55</v>
      </c>
      <c r="I3578" s="2">
        <v>8.99</v>
      </c>
      <c r="J3578">
        <v>0</v>
      </c>
      <c r="K3578" s="2">
        <f t="shared" si="110"/>
        <v>0</v>
      </c>
      <c r="L3578" t="s">
        <v>37</v>
      </c>
      <c r="M3578">
        <v>1</v>
      </c>
      <c r="N3578">
        <v>0.68</v>
      </c>
      <c r="O3578" t="str">
        <f t="shared" si="111"/>
        <v>0.6–0.8 hours</v>
      </c>
      <c r="P3578" t="s">
        <v>47</v>
      </c>
    </row>
    <row r="3579" spans="1:16" x14ac:dyDescent="0.4">
      <c r="A3579" t="s">
        <v>3620</v>
      </c>
      <c r="B3579">
        <v>69</v>
      </c>
      <c r="C3579" t="s">
        <v>41</v>
      </c>
      <c r="D3579" t="s">
        <v>16</v>
      </c>
      <c r="E3579">
        <v>24.18</v>
      </c>
      <c r="F3579">
        <v>56</v>
      </c>
      <c r="G3579" t="s">
        <v>23</v>
      </c>
      <c r="H3579" t="s">
        <v>46</v>
      </c>
      <c r="I3579" s="2">
        <v>8.99</v>
      </c>
      <c r="J3579">
        <v>1</v>
      </c>
      <c r="K3579" s="2">
        <f t="shared" si="110"/>
        <v>8.99</v>
      </c>
      <c r="L3579" t="s">
        <v>19</v>
      </c>
      <c r="M3579">
        <v>2</v>
      </c>
      <c r="N3579">
        <v>0.42</v>
      </c>
      <c r="O3579" t="str">
        <f t="shared" si="111"/>
        <v>0.4–0.6 hours</v>
      </c>
      <c r="P3579" t="s">
        <v>39</v>
      </c>
    </row>
    <row r="3580" spans="1:16" x14ac:dyDescent="0.4">
      <c r="A3580" t="s">
        <v>3621</v>
      </c>
      <c r="B3580">
        <v>38</v>
      </c>
      <c r="C3580" t="s">
        <v>41</v>
      </c>
      <c r="D3580" t="s">
        <v>16</v>
      </c>
      <c r="E3580">
        <v>15.01</v>
      </c>
      <c r="F3580">
        <v>11</v>
      </c>
      <c r="G3580" t="s">
        <v>49</v>
      </c>
      <c r="H3580" t="s">
        <v>18</v>
      </c>
      <c r="I3580" s="2">
        <v>8.99</v>
      </c>
      <c r="J3580">
        <v>0</v>
      </c>
      <c r="K3580" s="2">
        <f t="shared" si="110"/>
        <v>0</v>
      </c>
      <c r="L3580" t="s">
        <v>37</v>
      </c>
      <c r="M3580">
        <v>3</v>
      </c>
      <c r="N3580">
        <v>1.25</v>
      </c>
      <c r="O3580" t="str">
        <f t="shared" si="111"/>
        <v>1+ hours</v>
      </c>
      <c r="P3580" t="s">
        <v>52</v>
      </c>
    </row>
    <row r="3581" spans="1:16" x14ac:dyDescent="0.4">
      <c r="A3581" t="s">
        <v>3622</v>
      </c>
      <c r="B3581">
        <v>55</v>
      </c>
      <c r="C3581" t="s">
        <v>27</v>
      </c>
      <c r="D3581" t="s">
        <v>32</v>
      </c>
      <c r="E3581">
        <v>3.72</v>
      </c>
      <c r="F3581">
        <v>54</v>
      </c>
      <c r="G3581" t="s">
        <v>70</v>
      </c>
      <c r="H3581" t="s">
        <v>46</v>
      </c>
      <c r="I3581" s="2">
        <v>17.989999999999998</v>
      </c>
      <c r="J3581">
        <v>1</v>
      </c>
      <c r="K3581" s="2">
        <f t="shared" si="110"/>
        <v>17.989999999999998</v>
      </c>
      <c r="L3581" t="s">
        <v>29</v>
      </c>
      <c r="M3581">
        <v>5</v>
      </c>
      <c r="N3581">
        <v>7.0000000000000007E-2</v>
      </c>
      <c r="O3581" t="str">
        <f t="shared" si="111"/>
        <v>0–0.2 hours</v>
      </c>
      <c r="P3581" t="s">
        <v>20</v>
      </c>
    </row>
    <row r="3582" spans="1:16" x14ac:dyDescent="0.4">
      <c r="A3582" t="s">
        <v>3623</v>
      </c>
      <c r="B3582">
        <v>26</v>
      </c>
      <c r="C3582" t="s">
        <v>27</v>
      </c>
      <c r="D3582" t="s">
        <v>16</v>
      </c>
      <c r="E3582">
        <v>0.11</v>
      </c>
      <c r="F3582">
        <v>55</v>
      </c>
      <c r="G3582" t="s">
        <v>49</v>
      </c>
      <c r="H3582" t="s">
        <v>46</v>
      </c>
      <c r="I3582" s="2">
        <v>8.99</v>
      </c>
      <c r="J3582">
        <v>1</v>
      </c>
      <c r="K3582" s="2">
        <f t="shared" si="110"/>
        <v>8.99</v>
      </c>
      <c r="L3582" t="s">
        <v>29</v>
      </c>
      <c r="M3582">
        <v>4</v>
      </c>
      <c r="N3582">
        <v>0</v>
      </c>
      <c r="O3582" t="str">
        <f t="shared" si="111"/>
        <v>0–0.2 hours</v>
      </c>
      <c r="P3582" t="s">
        <v>25</v>
      </c>
    </row>
    <row r="3583" spans="1:16" x14ac:dyDescent="0.4">
      <c r="A3583" t="s">
        <v>3624</v>
      </c>
      <c r="B3583">
        <v>31</v>
      </c>
      <c r="C3583" t="s">
        <v>41</v>
      </c>
      <c r="D3583" t="s">
        <v>16</v>
      </c>
      <c r="E3583">
        <v>7.69</v>
      </c>
      <c r="F3583">
        <v>57</v>
      </c>
      <c r="G3583" t="s">
        <v>17</v>
      </c>
      <c r="H3583" t="s">
        <v>55</v>
      </c>
      <c r="I3583" s="2">
        <v>8.99</v>
      </c>
      <c r="J3583">
        <v>1</v>
      </c>
      <c r="K3583" s="2">
        <f t="shared" si="110"/>
        <v>8.99</v>
      </c>
      <c r="L3583" t="s">
        <v>37</v>
      </c>
      <c r="M3583">
        <v>2</v>
      </c>
      <c r="N3583">
        <v>0.13</v>
      </c>
      <c r="O3583" t="str">
        <f t="shared" si="111"/>
        <v>0–0.2 hours</v>
      </c>
      <c r="P3583" t="s">
        <v>47</v>
      </c>
    </row>
    <row r="3584" spans="1:16" x14ac:dyDescent="0.4">
      <c r="A3584" t="s">
        <v>3625</v>
      </c>
      <c r="B3584">
        <v>36</v>
      </c>
      <c r="C3584" t="s">
        <v>15</v>
      </c>
      <c r="D3584" t="s">
        <v>22</v>
      </c>
      <c r="E3584">
        <v>3.89</v>
      </c>
      <c r="F3584">
        <v>37</v>
      </c>
      <c r="G3584" t="s">
        <v>49</v>
      </c>
      <c r="H3584" t="s">
        <v>18</v>
      </c>
      <c r="I3584" s="2">
        <v>13.99</v>
      </c>
      <c r="J3584">
        <v>1</v>
      </c>
      <c r="K3584" s="2">
        <f t="shared" si="110"/>
        <v>13.99</v>
      </c>
      <c r="L3584" t="s">
        <v>29</v>
      </c>
      <c r="M3584">
        <v>3</v>
      </c>
      <c r="N3584">
        <v>0.1</v>
      </c>
      <c r="O3584" t="str">
        <f t="shared" si="111"/>
        <v>0–0.2 hours</v>
      </c>
      <c r="P3584" t="s">
        <v>39</v>
      </c>
    </row>
    <row r="3585" spans="1:16" x14ac:dyDescent="0.4">
      <c r="A3585" t="s">
        <v>3626</v>
      </c>
      <c r="B3585">
        <v>70</v>
      </c>
      <c r="C3585" t="s">
        <v>15</v>
      </c>
      <c r="D3585" t="s">
        <v>16</v>
      </c>
      <c r="E3585">
        <v>13.74</v>
      </c>
      <c r="F3585">
        <v>44</v>
      </c>
      <c r="G3585" t="s">
        <v>49</v>
      </c>
      <c r="H3585" t="s">
        <v>24</v>
      </c>
      <c r="I3585" s="2">
        <v>8.99</v>
      </c>
      <c r="J3585">
        <v>1</v>
      </c>
      <c r="K3585" s="2">
        <f t="shared" si="110"/>
        <v>8.99</v>
      </c>
      <c r="L3585" t="s">
        <v>43</v>
      </c>
      <c r="M3585">
        <v>3</v>
      </c>
      <c r="N3585">
        <v>0.31</v>
      </c>
      <c r="O3585" t="str">
        <f t="shared" si="111"/>
        <v>0.2–0.4 hours</v>
      </c>
      <c r="P3585" t="s">
        <v>39</v>
      </c>
    </row>
    <row r="3586" spans="1:16" x14ac:dyDescent="0.4">
      <c r="A3586" t="s">
        <v>3627</v>
      </c>
      <c r="B3586">
        <v>49</v>
      </c>
      <c r="C3586" t="s">
        <v>15</v>
      </c>
      <c r="D3586" t="s">
        <v>32</v>
      </c>
      <c r="E3586">
        <v>18.55</v>
      </c>
      <c r="F3586">
        <v>50</v>
      </c>
      <c r="G3586" t="s">
        <v>70</v>
      </c>
      <c r="H3586" t="s">
        <v>18</v>
      </c>
      <c r="I3586" s="2">
        <v>17.989999999999998</v>
      </c>
      <c r="J3586">
        <v>1</v>
      </c>
      <c r="K3586" s="2">
        <f t="shared" si="110"/>
        <v>17.989999999999998</v>
      </c>
      <c r="L3586" t="s">
        <v>29</v>
      </c>
      <c r="M3586">
        <v>3</v>
      </c>
      <c r="N3586">
        <v>0.36</v>
      </c>
      <c r="O3586" t="str">
        <f t="shared" si="111"/>
        <v>0.2–0.4 hours</v>
      </c>
      <c r="P3586" t="s">
        <v>25</v>
      </c>
    </row>
    <row r="3587" spans="1:16" x14ac:dyDescent="0.4">
      <c r="A3587" t="s">
        <v>3628</v>
      </c>
      <c r="B3587">
        <v>47</v>
      </c>
      <c r="C3587" t="s">
        <v>27</v>
      </c>
      <c r="D3587" t="s">
        <v>22</v>
      </c>
      <c r="E3587">
        <v>13.27</v>
      </c>
      <c r="F3587">
        <v>26</v>
      </c>
      <c r="G3587" t="s">
        <v>33</v>
      </c>
      <c r="H3587" t="s">
        <v>46</v>
      </c>
      <c r="I3587" s="2">
        <v>13.99</v>
      </c>
      <c r="J3587">
        <v>0</v>
      </c>
      <c r="K3587" s="2">
        <f t="shared" ref="K3587:K3650" si="112">SUMIF(J3587,1,I3587)</f>
        <v>0</v>
      </c>
      <c r="L3587" t="s">
        <v>61</v>
      </c>
      <c r="M3587">
        <v>3</v>
      </c>
      <c r="N3587">
        <v>0.49</v>
      </c>
      <c r="O3587" t="str">
        <f t="shared" ref="O3587:O3650" si="113">IF(N3587&gt;1,"1+ hours",IF(N3587&lt;=0.2,"0–0.2 hours",IF(N3587&lt;=0.4,"0.2–0.4 hours",IF(N3587&lt;=0.6,"0.4–0.6 hours",IF(N3587&lt;=0.8,"0.6–0.8 hours","0.8–1 hour")))))</f>
        <v>0.4–0.6 hours</v>
      </c>
      <c r="P3587" t="s">
        <v>52</v>
      </c>
    </row>
    <row r="3588" spans="1:16" x14ac:dyDescent="0.4">
      <c r="A3588" t="s">
        <v>3629</v>
      </c>
      <c r="B3588">
        <v>31</v>
      </c>
      <c r="C3588" t="s">
        <v>15</v>
      </c>
      <c r="D3588" t="s">
        <v>22</v>
      </c>
      <c r="E3588">
        <v>15.37</v>
      </c>
      <c r="F3588">
        <v>4</v>
      </c>
      <c r="G3588" t="s">
        <v>49</v>
      </c>
      <c r="H3588" t="s">
        <v>46</v>
      </c>
      <c r="I3588" s="2">
        <v>13.99</v>
      </c>
      <c r="J3588">
        <v>0</v>
      </c>
      <c r="K3588" s="2">
        <f t="shared" si="112"/>
        <v>0</v>
      </c>
      <c r="L3588" t="s">
        <v>29</v>
      </c>
      <c r="M3588">
        <v>3</v>
      </c>
      <c r="N3588">
        <v>3.07</v>
      </c>
      <c r="O3588" t="str">
        <f t="shared" si="113"/>
        <v>1+ hours</v>
      </c>
      <c r="P3588" t="s">
        <v>47</v>
      </c>
    </row>
    <row r="3589" spans="1:16" x14ac:dyDescent="0.4">
      <c r="A3589" t="s">
        <v>3630</v>
      </c>
      <c r="B3589">
        <v>40</v>
      </c>
      <c r="C3589" t="s">
        <v>27</v>
      </c>
      <c r="D3589" t="s">
        <v>16</v>
      </c>
      <c r="E3589">
        <v>3</v>
      </c>
      <c r="F3589">
        <v>0</v>
      </c>
      <c r="G3589" t="s">
        <v>33</v>
      </c>
      <c r="H3589" t="s">
        <v>46</v>
      </c>
      <c r="I3589" s="2">
        <v>8.99</v>
      </c>
      <c r="J3589">
        <v>0</v>
      </c>
      <c r="K3589" s="2">
        <f t="shared" si="112"/>
        <v>0</v>
      </c>
      <c r="L3589" t="s">
        <v>37</v>
      </c>
      <c r="M3589">
        <v>4</v>
      </c>
      <c r="N3589">
        <v>3</v>
      </c>
      <c r="O3589" t="str">
        <f t="shared" si="113"/>
        <v>1+ hours</v>
      </c>
      <c r="P3589" t="s">
        <v>30</v>
      </c>
    </row>
    <row r="3590" spans="1:16" x14ac:dyDescent="0.4">
      <c r="A3590" t="s">
        <v>3631</v>
      </c>
      <c r="B3590">
        <v>69</v>
      </c>
      <c r="C3590" t="s">
        <v>27</v>
      </c>
      <c r="D3590" t="s">
        <v>22</v>
      </c>
      <c r="E3590">
        <v>9.43</v>
      </c>
      <c r="F3590">
        <v>1</v>
      </c>
      <c r="G3590" t="s">
        <v>23</v>
      </c>
      <c r="H3590" t="s">
        <v>55</v>
      </c>
      <c r="I3590" s="2">
        <v>13.99</v>
      </c>
      <c r="J3590">
        <v>0</v>
      </c>
      <c r="K3590" s="2">
        <f t="shared" si="112"/>
        <v>0</v>
      </c>
      <c r="L3590" t="s">
        <v>61</v>
      </c>
      <c r="M3590">
        <v>3</v>
      </c>
      <c r="N3590">
        <v>4.71</v>
      </c>
      <c r="O3590" t="str">
        <f t="shared" si="113"/>
        <v>1+ hours</v>
      </c>
      <c r="P3590" t="s">
        <v>20</v>
      </c>
    </row>
    <row r="3591" spans="1:16" x14ac:dyDescent="0.4">
      <c r="A3591" t="s">
        <v>3632</v>
      </c>
      <c r="B3591">
        <v>19</v>
      </c>
      <c r="C3591" t="s">
        <v>15</v>
      </c>
      <c r="D3591" t="s">
        <v>16</v>
      </c>
      <c r="E3591">
        <v>5.62</v>
      </c>
      <c r="F3591">
        <v>13</v>
      </c>
      <c r="G3591" t="s">
        <v>23</v>
      </c>
      <c r="H3591" t="s">
        <v>18</v>
      </c>
      <c r="I3591" s="2">
        <v>8.99</v>
      </c>
      <c r="J3591">
        <v>0</v>
      </c>
      <c r="K3591" s="2">
        <f t="shared" si="112"/>
        <v>0</v>
      </c>
      <c r="L3591" t="s">
        <v>43</v>
      </c>
      <c r="M3591">
        <v>4</v>
      </c>
      <c r="N3591">
        <v>0.4</v>
      </c>
      <c r="O3591" t="str">
        <f t="shared" si="113"/>
        <v>0.2–0.4 hours</v>
      </c>
      <c r="P3591" t="s">
        <v>30</v>
      </c>
    </row>
    <row r="3592" spans="1:16" x14ac:dyDescent="0.4">
      <c r="A3592" t="s">
        <v>3633</v>
      </c>
      <c r="B3592">
        <v>30</v>
      </c>
      <c r="C3592" t="s">
        <v>41</v>
      </c>
      <c r="D3592" t="s">
        <v>22</v>
      </c>
      <c r="E3592">
        <v>4.62</v>
      </c>
      <c r="F3592">
        <v>46</v>
      </c>
      <c r="G3592" t="s">
        <v>23</v>
      </c>
      <c r="H3592" t="s">
        <v>46</v>
      </c>
      <c r="I3592" s="2">
        <v>13.99</v>
      </c>
      <c r="J3592">
        <v>1</v>
      </c>
      <c r="K3592" s="2">
        <f t="shared" si="112"/>
        <v>13.99</v>
      </c>
      <c r="L3592" t="s">
        <v>43</v>
      </c>
      <c r="M3592">
        <v>3</v>
      </c>
      <c r="N3592">
        <v>0.1</v>
      </c>
      <c r="O3592" t="str">
        <f t="shared" si="113"/>
        <v>0–0.2 hours</v>
      </c>
      <c r="P3592" t="s">
        <v>20</v>
      </c>
    </row>
    <row r="3593" spans="1:16" x14ac:dyDescent="0.4">
      <c r="A3593" t="s">
        <v>3634</v>
      </c>
      <c r="B3593">
        <v>29</v>
      </c>
      <c r="C3593" t="s">
        <v>41</v>
      </c>
      <c r="D3593" t="s">
        <v>16</v>
      </c>
      <c r="E3593">
        <v>26.48</v>
      </c>
      <c r="F3593">
        <v>53</v>
      </c>
      <c r="G3593" t="s">
        <v>17</v>
      </c>
      <c r="H3593" t="s">
        <v>24</v>
      </c>
      <c r="I3593" s="2">
        <v>8.99</v>
      </c>
      <c r="J3593">
        <v>1</v>
      </c>
      <c r="K3593" s="2">
        <f t="shared" si="112"/>
        <v>8.99</v>
      </c>
      <c r="L3593" t="s">
        <v>37</v>
      </c>
      <c r="M3593">
        <v>3</v>
      </c>
      <c r="N3593">
        <v>0.49</v>
      </c>
      <c r="O3593" t="str">
        <f t="shared" si="113"/>
        <v>0.4–0.6 hours</v>
      </c>
      <c r="P3593" t="s">
        <v>39</v>
      </c>
    </row>
    <row r="3594" spans="1:16" x14ac:dyDescent="0.4">
      <c r="A3594" t="s">
        <v>3635</v>
      </c>
      <c r="B3594">
        <v>62</v>
      </c>
      <c r="C3594" t="s">
        <v>27</v>
      </c>
      <c r="D3594" t="s">
        <v>22</v>
      </c>
      <c r="E3594">
        <v>24.14</v>
      </c>
      <c r="F3594">
        <v>2</v>
      </c>
      <c r="G3594" t="s">
        <v>17</v>
      </c>
      <c r="H3594" t="s">
        <v>55</v>
      </c>
      <c r="I3594" s="2">
        <v>13.99</v>
      </c>
      <c r="J3594">
        <v>0</v>
      </c>
      <c r="K3594" s="2">
        <f t="shared" si="112"/>
        <v>0</v>
      </c>
      <c r="L3594" t="s">
        <v>29</v>
      </c>
      <c r="M3594">
        <v>4</v>
      </c>
      <c r="N3594">
        <v>8.0500000000000007</v>
      </c>
      <c r="O3594" t="str">
        <f t="shared" si="113"/>
        <v>1+ hours</v>
      </c>
      <c r="P3594" t="s">
        <v>34</v>
      </c>
    </row>
    <row r="3595" spans="1:16" x14ac:dyDescent="0.4">
      <c r="A3595" t="s">
        <v>3636</v>
      </c>
      <c r="B3595">
        <v>38</v>
      </c>
      <c r="C3595" t="s">
        <v>27</v>
      </c>
      <c r="D3595" t="s">
        <v>32</v>
      </c>
      <c r="E3595">
        <v>12.49</v>
      </c>
      <c r="F3595">
        <v>38</v>
      </c>
      <c r="G3595" t="s">
        <v>33</v>
      </c>
      <c r="H3595" t="s">
        <v>18</v>
      </c>
      <c r="I3595" s="2">
        <v>17.989999999999998</v>
      </c>
      <c r="J3595">
        <v>1</v>
      </c>
      <c r="K3595" s="2">
        <f t="shared" si="112"/>
        <v>17.989999999999998</v>
      </c>
      <c r="L3595" t="s">
        <v>61</v>
      </c>
      <c r="M3595">
        <v>1</v>
      </c>
      <c r="N3595">
        <v>0.32</v>
      </c>
      <c r="O3595" t="str">
        <f t="shared" si="113"/>
        <v>0.2–0.4 hours</v>
      </c>
      <c r="P3595" t="s">
        <v>25</v>
      </c>
    </row>
    <row r="3596" spans="1:16" x14ac:dyDescent="0.4">
      <c r="A3596" t="s">
        <v>3637</v>
      </c>
      <c r="B3596">
        <v>47</v>
      </c>
      <c r="C3596" t="s">
        <v>41</v>
      </c>
      <c r="D3596" t="s">
        <v>32</v>
      </c>
      <c r="E3596">
        <v>37.49</v>
      </c>
      <c r="F3596">
        <v>56</v>
      </c>
      <c r="G3596" t="s">
        <v>49</v>
      </c>
      <c r="H3596" t="s">
        <v>57</v>
      </c>
      <c r="I3596" s="2">
        <v>17.989999999999998</v>
      </c>
      <c r="J3596">
        <v>0</v>
      </c>
      <c r="K3596" s="2">
        <f t="shared" si="112"/>
        <v>0</v>
      </c>
      <c r="L3596" t="s">
        <v>29</v>
      </c>
      <c r="M3596">
        <v>5</v>
      </c>
      <c r="N3596">
        <v>0.66</v>
      </c>
      <c r="O3596" t="str">
        <f t="shared" si="113"/>
        <v>0.6–0.8 hours</v>
      </c>
      <c r="P3596" t="s">
        <v>25</v>
      </c>
    </row>
    <row r="3597" spans="1:16" x14ac:dyDescent="0.4">
      <c r="A3597" t="s">
        <v>3638</v>
      </c>
      <c r="B3597">
        <v>64</v>
      </c>
      <c r="C3597" t="s">
        <v>27</v>
      </c>
      <c r="D3597" t="s">
        <v>32</v>
      </c>
      <c r="E3597">
        <v>31.88</v>
      </c>
      <c r="F3597">
        <v>16</v>
      </c>
      <c r="G3597" t="s">
        <v>23</v>
      </c>
      <c r="H3597" t="s">
        <v>24</v>
      </c>
      <c r="I3597" s="2">
        <v>17.989999999999998</v>
      </c>
      <c r="J3597">
        <v>0</v>
      </c>
      <c r="K3597" s="2">
        <f t="shared" si="112"/>
        <v>0</v>
      </c>
      <c r="L3597" t="s">
        <v>43</v>
      </c>
      <c r="M3597">
        <v>4</v>
      </c>
      <c r="N3597">
        <v>1.88</v>
      </c>
      <c r="O3597" t="str">
        <f t="shared" si="113"/>
        <v>1+ hours</v>
      </c>
      <c r="P3597" t="s">
        <v>47</v>
      </c>
    </row>
    <row r="3598" spans="1:16" x14ac:dyDescent="0.4">
      <c r="A3598" t="s">
        <v>3639</v>
      </c>
      <c r="B3598">
        <v>21</v>
      </c>
      <c r="C3598" t="s">
        <v>41</v>
      </c>
      <c r="D3598" t="s">
        <v>32</v>
      </c>
      <c r="E3598">
        <v>3.13</v>
      </c>
      <c r="F3598">
        <v>53</v>
      </c>
      <c r="G3598" t="s">
        <v>28</v>
      </c>
      <c r="H3598" t="s">
        <v>24</v>
      </c>
      <c r="I3598" s="2">
        <v>17.989999999999998</v>
      </c>
      <c r="J3598">
        <v>1</v>
      </c>
      <c r="K3598" s="2">
        <f t="shared" si="112"/>
        <v>17.989999999999998</v>
      </c>
      <c r="L3598" t="s">
        <v>19</v>
      </c>
      <c r="M3598">
        <v>4</v>
      </c>
      <c r="N3598">
        <v>0.06</v>
      </c>
      <c r="O3598" t="str">
        <f t="shared" si="113"/>
        <v>0–0.2 hours</v>
      </c>
      <c r="P3598" t="s">
        <v>30</v>
      </c>
    </row>
    <row r="3599" spans="1:16" x14ac:dyDescent="0.4">
      <c r="A3599" t="s">
        <v>3640</v>
      </c>
      <c r="B3599">
        <v>22</v>
      </c>
      <c r="C3599" t="s">
        <v>27</v>
      </c>
      <c r="D3599" t="s">
        <v>16</v>
      </c>
      <c r="E3599">
        <v>11.2</v>
      </c>
      <c r="F3599">
        <v>14</v>
      </c>
      <c r="G3599" t="s">
        <v>17</v>
      </c>
      <c r="H3599" t="s">
        <v>57</v>
      </c>
      <c r="I3599" s="2">
        <v>8.99</v>
      </c>
      <c r="J3599">
        <v>0</v>
      </c>
      <c r="K3599" s="2">
        <f t="shared" si="112"/>
        <v>0</v>
      </c>
      <c r="L3599" t="s">
        <v>19</v>
      </c>
      <c r="M3599">
        <v>4</v>
      </c>
      <c r="N3599">
        <v>0.75</v>
      </c>
      <c r="O3599" t="str">
        <f t="shared" si="113"/>
        <v>0.6–0.8 hours</v>
      </c>
      <c r="P3599" t="s">
        <v>34</v>
      </c>
    </row>
    <row r="3600" spans="1:16" x14ac:dyDescent="0.4">
      <c r="A3600" t="s">
        <v>3641</v>
      </c>
      <c r="B3600">
        <v>60</v>
      </c>
      <c r="C3600" t="s">
        <v>15</v>
      </c>
      <c r="D3600" t="s">
        <v>32</v>
      </c>
      <c r="E3600">
        <v>14.41</v>
      </c>
      <c r="F3600">
        <v>41</v>
      </c>
      <c r="G3600" t="s">
        <v>70</v>
      </c>
      <c r="H3600" t="s">
        <v>57</v>
      </c>
      <c r="I3600" s="2">
        <v>17.989999999999998</v>
      </c>
      <c r="J3600">
        <v>0</v>
      </c>
      <c r="K3600" s="2">
        <f t="shared" si="112"/>
        <v>0</v>
      </c>
      <c r="L3600" t="s">
        <v>37</v>
      </c>
      <c r="M3600">
        <v>4</v>
      </c>
      <c r="N3600">
        <v>0.34</v>
      </c>
      <c r="O3600" t="str">
        <f t="shared" si="113"/>
        <v>0.2–0.4 hours</v>
      </c>
      <c r="P3600" t="s">
        <v>25</v>
      </c>
    </row>
    <row r="3601" spans="1:16" x14ac:dyDescent="0.4">
      <c r="A3601" t="s">
        <v>3642</v>
      </c>
      <c r="B3601">
        <v>27</v>
      </c>
      <c r="C3601" t="s">
        <v>41</v>
      </c>
      <c r="D3601" t="s">
        <v>32</v>
      </c>
      <c r="E3601">
        <v>7.92</v>
      </c>
      <c r="F3601">
        <v>9</v>
      </c>
      <c r="G3601" t="s">
        <v>49</v>
      </c>
      <c r="H3601" t="s">
        <v>55</v>
      </c>
      <c r="I3601" s="2">
        <v>17.989999999999998</v>
      </c>
      <c r="J3601">
        <v>0</v>
      </c>
      <c r="K3601" s="2">
        <f t="shared" si="112"/>
        <v>0</v>
      </c>
      <c r="L3601" t="s">
        <v>37</v>
      </c>
      <c r="M3601">
        <v>5</v>
      </c>
      <c r="N3601">
        <v>0.79</v>
      </c>
      <c r="O3601" t="str">
        <f t="shared" si="113"/>
        <v>0.6–0.8 hours</v>
      </c>
      <c r="P3601" t="s">
        <v>34</v>
      </c>
    </row>
    <row r="3602" spans="1:16" x14ac:dyDescent="0.4">
      <c r="A3602" t="s">
        <v>3643</v>
      </c>
      <c r="B3602">
        <v>36</v>
      </c>
      <c r="C3602" t="s">
        <v>27</v>
      </c>
      <c r="D3602" t="s">
        <v>16</v>
      </c>
      <c r="E3602">
        <v>9.02</v>
      </c>
      <c r="F3602">
        <v>32</v>
      </c>
      <c r="G3602" t="s">
        <v>23</v>
      </c>
      <c r="H3602" t="s">
        <v>57</v>
      </c>
      <c r="I3602" s="2">
        <v>8.99</v>
      </c>
      <c r="J3602">
        <v>1</v>
      </c>
      <c r="K3602" s="2">
        <f t="shared" si="112"/>
        <v>8.99</v>
      </c>
      <c r="L3602" t="s">
        <v>43</v>
      </c>
      <c r="M3602">
        <v>2</v>
      </c>
      <c r="N3602">
        <v>0.27</v>
      </c>
      <c r="O3602" t="str">
        <f t="shared" si="113"/>
        <v>0.2–0.4 hours</v>
      </c>
      <c r="P3602" t="s">
        <v>25</v>
      </c>
    </row>
    <row r="3603" spans="1:16" x14ac:dyDescent="0.4">
      <c r="A3603" t="s">
        <v>3644</v>
      </c>
      <c r="B3603">
        <v>22</v>
      </c>
      <c r="C3603" t="s">
        <v>27</v>
      </c>
      <c r="D3603" t="s">
        <v>16</v>
      </c>
      <c r="E3603">
        <v>5.59</v>
      </c>
      <c r="F3603">
        <v>57</v>
      </c>
      <c r="G3603" t="s">
        <v>49</v>
      </c>
      <c r="H3603" t="s">
        <v>55</v>
      </c>
      <c r="I3603" s="2">
        <v>8.99</v>
      </c>
      <c r="J3603">
        <v>1</v>
      </c>
      <c r="K3603" s="2">
        <f t="shared" si="112"/>
        <v>8.99</v>
      </c>
      <c r="L3603" t="s">
        <v>19</v>
      </c>
      <c r="M3603">
        <v>3</v>
      </c>
      <c r="N3603">
        <v>0.1</v>
      </c>
      <c r="O3603" t="str">
        <f t="shared" si="113"/>
        <v>0–0.2 hours</v>
      </c>
      <c r="P3603" t="s">
        <v>20</v>
      </c>
    </row>
    <row r="3604" spans="1:16" x14ac:dyDescent="0.4">
      <c r="A3604" t="s">
        <v>3645</v>
      </c>
      <c r="B3604">
        <v>43</v>
      </c>
      <c r="C3604" t="s">
        <v>27</v>
      </c>
      <c r="D3604" t="s">
        <v>16</v>
      </c>
      <c r="E3604">
        <v>3.17</v>
      </c>
      <c r="F3604">
        <v>30</v>
      </c>
      <c r="G3604" t="s">
        <v>70</v>
      </c>
      <c r="H3604" t="s">
        <v>46</v>
      </c>
      <c r="I3604" s="2">
        <v>8.99</v>
      </c>
      <c r="J3604">
        <v>1</v>
      </c>
      <c r="K3604" s="2">
        <f t="shared" si="112"/>
        <v>8.99</v>
      </c>
      <c r="L3604" t="s">
        <v>43</v>
      </c>
      <c r="M3604">
        <v>4</v>
      </c>
      <c r="N3604">
        <v>0.1</v>
      </c>
      <c r="O3604" t="str">
        <f t="shared" si="113"/>
        <v>0–0.2 hours</v>
      </c>
      <c r="P3604" t="s">
        <v>39</v>
      </c>
    </row>
    <row r="3605" spans="1:16" x14ac:dyDescent="0.4">
      <c r="A3605" t="s">
        <v>3646</v>
      </c>
      <c r="B3605">
        <v>50</v>
      </c>
      <c r="C3605" t="s">
        <v>15</v>
      </c>
      <c r="D3605" t="s">
        <v>22</v>
      </c>
      <c r="E3605">
        <v>26.57</v>
      </c>
      <c r="F3605">
        <v>34</v>
      </c>
      <c r="G3605" t="s">
        <v>17</v>
      </c>
      <c r="H3605" t="s">
        <v>24</v>
      </c>
      <c r="I3605" s="2">
        <v>13.99</v>
      </c>
      <c r="J3605">
        <v>0</v>
      </c>
      <c r="K3605" s="2">
        <f t="shared" si="112"/>
        <v>0</v>
      </c>
      <c r="L3605" t="s">
        <v>61</v>
      </c>
      <c r="M3605">
        <v>5</v>
      </c>
      <c r="N3605">
        <v>0.76</v>
      </c>
      <c r="O3605" t="str">
        <f t="shared" si="113"/>
        <v>0.6–0.8 hours</v>
      </c>
      <c r="P3605" t="s">
        <v>52</v>
      </c>
    </row>
    <row r="3606" spans="1:16" x14ac:dyDescent="0.4">
      <c r="A3606" t="s">
        <v>3647</v>
      </c>
      <c r="B3606">
        <v>67</v>
      </c>
      <c r="C3606" t="s">
        <v>41</v>
      </c>
      <c r="D3606" t="s">
        <v>16</v>
      </c>
      <c r="E3606">
        <v>7.17</v>
      </c>
      <c r="F3606">
        <v>41</v>
      </c>
      <c r="G3606" t="s">
        <v>23</v>
      </c>
      <c r="H3606" t="s">
        <v>18</v>
      </c>
      <c r="I3606" s="2">
        <v>8.99</v>
      </c>
      <c r="J3606">
        <v>1</v>
      </c>
      <c r="K3606" s="2">
        <f t="shared" si="112"/>
        <v>8.99</v>
      </c>
      <c r="L3606" t="s">
        <v>29</v>
      </c>
      <c r="M3606">
        <v>4</v>
      </c>
      <c r="N3606">
        <v>0.17</v>
      </c>
      <c r="O3606" t="str">
        <f t="shared" si="113"/>
        <v>0–0.2 hours</v>
      </c>
      <c r="P3606" t="s">
        <v>47</v>
      </c>
    </row>
    <row r="3607" spans="1:16" x14ac:dyDescent="0.4">
      <c r="A3607" t="s">
        <v>3648</v>
      </c>
      <c r="B3607">
        <v>59</v>
      </c>
      <c r="C3607" t="s">
        <v>27</v>
      </c>
      <c r="D3607" t="s">
        <v>32</v>
      </c>
      <c r="E3607">
        <v>19.86</v>
      </c>
      <c r="F3607">
        <v>37</v>
      </c>
      <c r="G3607" t="s">
        <v>23</v>
      </c>
      <c r="H3607" t="s">
        <v>24</v>
      </c>
      <c r="I3607" s="2">
        <v>17.989999999999998</v>
      </c>
      <c r="J3607">
        <v>0</v>
      </c>
      <c r="K3607" s="2">
        <f t="shared" si="112"/>
        <v>0</v>
      </c>
      <c r="L3607" t="s">
        <v>19</v>
      </c>
      <c r="M3607">
        <v>3</v>
      </c>
      <c r="N3607">
        <v>0.52</v>
      </c>
      <c r="O3607" t="str">
        <f t="shared" si="113"/>
        <v>0.4–0.6 hours</v>
      </c>
      <c r="P3607" t="s">
        <v>25</v>
      </c>
    </row>
    <row r="3608" spans="1:16" x14ac:dyDescent="0.4">
      <c r="A3608" t="s">
        <v>3649</v>
      </c>
      <c r="B3608">
        <v>33</v>
      </c>
      <c r="C3608" t="s">
        <v>15</v>
      </c>
      <c r="D3608" t="s">
        <v>16</v>
      </c>
      <c r="E3608">
        <v>40.049999999999997</v>
      </c>
      <c r="F3608">
        <v>47</v>
      </c>
      <c r="G3608" t="s">
        <v>23</v>
      </c>
      <c r="H3608" t="s">
        <v>57</v>
      </c>
      <c r="I3608" s="2">
        <v>8.99</v>
      </c>
      <c r="J3608">
        <v>0</v>
      </c>
      <c r="K3608" s="2">
        <f t="shared" si="112"/>
        <v>0</v>
      </c>
      <c r="L3608" t="s">
        <v>29</v>
      </c>
      <c r="M3608">
        <v>5</v>
      </c>
      <c r="N3608">
        <v>0.83</v>
      </c>
      <c r="O3608" t="str">
        <f t="shared" si="113"/>
        <v>0.8–1 hour</v>
      </c>
      <c r="P3608" t="s">
        <v>34</v>
      </c>
    </row>
    <row r="3609" spans="1:16" x14ac:dyDescent="0.4">
      <c r="A3609" t="s">
        <v>3650</v>
      </c>
      <c r="B3609">
        <v>50</v>
      </c>
      <c r="C3609" t="s">
        <v>41</v>
      </c>
      <c r="D3609" t="s">
        <v>22</v>
      </c>
      <c r="E3609">
        <v>8.9</v>
      </c>
      <c r="F3609">
        <v>42</v>
      </c>
      <c r="G3609" t="s">
        <v>33</v>
      </c>
      <c r="H3609" t="s">
        <v>55</v>
      </c>
      <c r="I3609" s="2">
        <v>13.99</v>
      </c>
      <c r="J3609">
        <v>1</v>
      </c>
      <c r="K3609" s="2">
        <f t="shared" si="112"/>
        <v>13.99</v>
      </c>
      <c r="L3609" t="s">
        <v>19</v>
      </c>
      <c r="M3609">
        <v>3</v>
      </c>
      <c r="N3609">
        <v>0.21</v>
      </c>
      <c r="O3609" t="str">
        <f t="shared" si="113"/>
        <v>0.2–0.4 hours</v>
      </c>
      <c r="P3609" t="s">
        <v>34</v>
      </c>
    </row>
    <row r="3610" spans="1:16" x14ac:dyDescent="0.4">
      <c r="A3610" t="s">
        <v>3651</v>
      </c>
      <c r="B3610">
        <v>55</v>
      </c>
      <c r="C3610" t="s">
        <v>15</v>
      </c>
      <c r="D3610" t="s">
        <v>16</v>
      </c>
      <c r="E3610">
        <v>22.18</v>
      </c>
      <c r="F3610">
        <v>29</v>
      </c>
      <c r="G3610" t="s">
        <v>33</v>
      </c>
      <c r="H3610" t="s">
        <v>24</v>
      </c>
      <c r="I3610" s="2">
        <v>8.99</v>
      </c>
      <c r="J3610">
        <v>0</v>
      </c>
      <c r="K3610" s="2">
        <f t="shared" si="112"/>
        <v>0</v>
      </c>
      <c r="L3610" t="s">
        <v>61</v>
      </c>
      <c r="M3610">
        <v>3</v>
      </c>
      <c r="N3610">
        <v>0.74</v>
      </c>
      <c r="O3610" t="str">
        <f t="shared" si="113"/>
        <v>0.6–0.8 hours</v>
      </c>
      <c r="P3610" t="s">
        <v>20</v>
      </c>
    </row>
    <row r="3611" spans="1:16" x14ac:dyDescent="0.4">
      <c r="A3611" t="s">
        <v>3652</v>
      </c>
      <c r="B3611">
        <v>46</v>
      </c>
      <c r="C3611" t="s">
        <v>27</v>
      </c>
      <c r="D3611" t="s">
        <v>22</v>
      </c>
      <c r="E3611">
        <v>4.38</v>
      </c>
      <c r="F3611">
        <v>37</v>
      </c>
      <c r="G3611" t="s">
        <v>70</v>
      </c>
      <c r="H3611" t="s">
        <v>57</v>
      </c>
      <c r="I3611" s="2">
        <v>13.99</v>
      </c>
      <c r="J3611">
        <v>1</v>
      </c>
      <c r="K3611" s="2">
        <f t="shared" si="112"/>
        <v>13.99</v>
      </c>
      <c r="L3611" t="s">
        <v>29</v>
      </c>
      <c r="M3611">
        <v>4</v>
      </c>
      <c r="N3611">
        <v>0.12</v>
      </c>
      <c r="O3611" t="str">
        <f t="shared" si="113"/>
        <v>0–0.2 hours</v>
      </c>
      <c r="P3611" t="s">
        <v>39</v>
      </c>
    </row>
    <row r="3612" spans="1:16" x14ac:dyDescent="0.4">
      <c r="A3612" t="s">
        <v>3653</v>
      </c>
      <c r="B3612">
        <v>51</v>
      </c>
      <c r="C3612" t="s">
        <v>27</v>
      </c>
      <c r="D3612" t="s">
        <v>16</v>
      </c>
      <c r="E3612">
        <v>12.08</v>
      </c>
      <c r="F3612">
        <v>41</v>
      </c>
      <c r="G3612" t="s">
        <v>70</v>
      </c>
      <c r="H3612" t="s">
        <v>24</v>
      </c>
      <c r="I3612" s="2">
        <v>8.99</v>
      </c>
      <c r="J3612">
        <v>1</v>
      </c>
      <c r="K3612" s="2">
        <f t="shared" si="112"/>
        <v>8.99</v>
      </c>
      <c r="L3612" t="s">
        <v>37</v>
      </c>
      <c r="M3612">
        <v>5</v>
      </c>
      <c r="N3612">
        <v>0.28999999999999998</v>
      </c>
      <c r="O3612" t="str">
        <f t="shared" si="113"/>
        <v>0.2–0.4 hours</v>
      </c>
      <c r="P3612" t="s">
        <v>34</v>
      </c>
    </row>
    <row r="3613" spans="1:16" x14ac:dyDescent="0.4">
      <c r="A3613" t="s">
        <v>3654</v>
      </c>
      <c r="B3613">
        <v>67</v>
      </c>
      <c r="C3613" t="s">
        <v>15</v>
      </c>
      <c r="D3613" t="s">
        <v>32</v>
      </c>
      <c r="E3613">
        <v>6.7</v>
      </c>
      <c r="F3613">
        <v>30</v>
      </c>
      <c r="G3613" t="s">
        <v>17</v>
      </c>
      <c r="H3613" t="s">
        <v>24</v>
      </c>
      <c r="I3613" s="2">
        <v>17.989999999999998</v>
      </c>
      <c r="J3613">
        <v>0</v>
      </c>
      <c r="K3613" s="2">
        <f t="shared" si="112"/>
        <v>0</v>
      </c>
      <c r="L3613" t="s">
        <v>61</v>
      </c>
      <c r="M3613">
        <v>5</v>
      </c>
      <c r="N3613">
        <v>0.22</v>
      </c>
      <c r="O3613" t="str">
        <f t="shared" si="113"/>
        <v>0.2–0.4 hours</v>
      </c>
      <c r="P3613" t="s">
        <v>47</v>
      </c>
    </row>
    <row r="3614" spans="1:16" x14ac:dyDescent="0.4">
      <c r="A3614" t="s">
        <v>3655</v>
      </c>
      <c r="B3614">
        <v>44</v>
      </c>
      <c r="C3614" t="s">
        <v>27</v>
      </c>
      <c r="D3614" t="s">
        <v>16</v>
      </c>
      <c r="E3614">
        <v>9.0299999999999994</v>
      </c>
      <c r="F3614">
        <v>49</v>
      </c>
      <c r="G3614" t="s">
        <v>33</v>
      </c>
      <c r="H3614" t="s">
        <v>55</v>
      </c>
      <c r="I3614" s="2">
        <v>8.99</v>
      </c>
      <c r="J3614">
        <v>1</v>
      </c>
      <c r="K3614" s="2">
        <f t="shared" si="112"/>
        <v>8.99</v>
      </c>
      <c r="L3614" t="s">
        <v>61</v>
      </c>
      <c r="M3614">
        <v>2</v>
      </c>
      <c r="N3614">
        <v>0.18</v>
      </c>
      <c r="O3614" t="str">
        <f t="shared" si="113"/>
        <v>0–0.2 hours</v>
      </c>
      <c r="P3614" t="s">
        <v>52</v>
      </c>
    </row>
    <row r="3615" spans="1:16" x14ac:dyDescent="0.4">
      <c r="A3615" t="s">
        <v>3656</v>
      </c>
      <c r="B3615">
        <v>58</v>
      </c>
      <c r="C3615" t="s">
        <v>15</v>
      </c>
      <c r="D3615" t="s">
        <v>22</v>
      </c>
      <c r="E3615">
        <v>4.6900000000000004</v>
      </c>
      <c r="F3615">
        <v>49</v>
      </c>
      <c r="G3615" t="s">
        <v>17</v>
      </c>
      <c r="H3615" t="s">
        <v>18</v>
      </c>
      <c r="I3615" s="2">
        <v>13.99</v>
      </c>
      <c r="J3615">
        <v>1</v>
      </c>
      <c r="K3615" s="2">
        <f t="shared" si="112"/>
        <v>13.99</v>
      </c>
      <c r="L3615" t="s">
        <v>29</v>
      </c>
      <c r="M3615">
        <v>1</v>
      </c>
      <c r="N3615">
        <v>0.09</v>
      </c>
      <c r="O3615" t="str">
        <f t="shared" si="113"/>
        <v>0–0.2 hours</v>
      </c>
      <c r="P3615" t="s">
        <v>39</v>
      </c>
    </row>
    <row r="3616" spans="1:16" x14ac:dyDescent="0.4">
      <c r="A3616" t="s">
        <v>3657</v>
      </c>
      <c r="B3616">
        <v>59</v>
      </c>
      <c r="C3616" t="s">
        <v>15</v>
      </c>
      <c r="D3616" t="s">
        <v>16</v>
      </c>
      <c r="E3616">
        <v>7.17</v>
      </c>
      <c r="F3616">
        <v>31</v>
      </c>
      <c r="G3616" t="s">
        <v>49</v>
      </c>
      <c r="H3616" t="s">
        <v>24</v>
      </c>
      <c r="I3616" s="2">
        <v>8.99</v>
      </c>
      <c r="J3616">
        <v>1</v>
      </c>
      <c r="K3616" s="2">
        <f t="shared" si="112"/>
        <v>8.99</v>
      </c>
      <c r="L3616" t="s">
        <v>19</v>
      </c>
      <c r="M3616">
        <v>3</v>
      </c>
      <c r="N3616">
        <v>0.22</v>
      </c>
      <c r="O3616" t="str">
        <f t="shared" si="113"/>
        <v>0.2–0.4 hours</v>
      </c>
      <c r="P3616" t="s">
        <v>34</v>
      </c>
    </row>
    <row r="3617" spans="1:16" x14ac:dyDescent="0.4">
      <c r="A3617" t="s">
        <v>3658</v>
      </c>
      <c r="B3617">
        <v>22</v>
      </c>
      <c r="C3617" t="s">
        <v>15</v>
      </c>
      <c r="D3617" t="s">
        <v>16</v>
      </c>
      <c r="E3617">
        <v>25.18</v>
      </c>
      <c r="F3617">
        <v>39</v>
      </c>
      <c r="G3617" t="s">
        <v>33</v>
      </c>
      <c r="H3617" t="s">
        <v>18</v>
      </c>
      <c r="I3617" s="2">
        <v>8.99</v>
      </c>
      <c r="J3617">
        <v>0</v>
      </c>
      <c r="K3617" s="2">
        <f t="shared" si="112"/>
        <v>0</v>
      </c>
      <c r="L3617" t="s">
        <v>37</v>
      </c>
      <c r="M3617">
        <v>5</v>
      </c>
      <c r="N3617">
        <v>0.63</v>
      </c>
      <c r="O3617" t="str">
        <f t="shared" si="113"/>
        <v>0.6–0.8 hours</v>
      </c>
      <c r="P3617" t="s">
        <v>20</v>
      </c>
    </row>
    <row r="3618" spans="1:16" x14ac:dyDescent="0.4">
      <c r="A3618" t="s">
        <v>3659</v>
      </c>
      <c r="B3618">
        <v>44</v>
      </c>
      <c r="C3618" t="s">
        <v>27</v>
      </c>
      <c r="D3618" t="s">
        <v>16</v>
      </c>
      <c r="E3618">
        <v>7.25</v>
      </c>
      <c r="F3618">
        <v>19</v>
      </c>
      <c r="G3618" t="s">
        <v>33</v>
      </c>
      <c r="H3618" t="s">
        <v>55</v>
      </c>
      <c r="I3618" s="2">
        <v>8.99</v>
      </c>
      <c r="J3618">
        <v>1</v>
      </c>
      <c r="K3618" s="2">
        <f t="shared" si="112"/>
        <v>8.99</v>
      </c>
      <c r="L3618" t="s">
        <v>61</v>
      </c>
      <c r="M3618">
        <v>1</v>
      </c>
      <c r="N3618">
        <v>0.36</v>
      </c>
      <c r="O3618" t="str">
        <f t="shared" si="113"/>
        <v>0.2–0.4 hours</v>
      </c>
      <c r="P3618" t="s">
        <v>34</v>
      </c>
    </row>
    <row r="3619" spans="1:16" x14ac:dyDescent="0.4">
      <c r="A3619" t="s">
        <v>3660</v>
      </c>
      <c r="B3619">
        <v>63</v>
      </c>
      <c r="C3619" t="s">
        <v>41</v>
      </c>
      <c r="D3619" t="s">
        <v>32</v>
      </c>
      <c r="E3619">
        <v>1.43</v>
      </c>
      <c r="F3619">
        <v>57</v>
      </c>
      <c r="G3619" t="s">
        <v>28</v>
      </c>
      <c r="H3619" t="s">
        <v>18</v>
      </c>
      <c r="I3619" s="2">
        <v>17.989999999999998</v>
      </c>
      <c r="J3619">
        <v>1</v>
      </c>
      <c r="K3619" s="2">
        <f t="shared" si="112"/>
        <v>17.989999999999998</v>
      </c>
      <c r="L3619" t="s">
        <v>19</v>
      </c>
      <c r="M3619">
        <v>5</v>
      </c>
      <c r="N3619">
        <v>0.02</v>
      </c>
      <c r="O3619" t="str">
        <f t="shared" si="113"/>
        <v>0–0.2 hours</v>
      </c>
      <c r="P3619" t="s">
        <v>47</v>
      </c>
    </row>
    <row r="3620" spans="1:16" x14ac:dyDescent="0.4">
      <c r="A3620" t="s">
        <v>3661</v>
      </c>
      <c r="B3620">
        <v>57</v>
      </c>
      <c r="C3620" t="s">
        <v>41</v>
      </c>
      <c r="D3620" t="s">
        <v>22</v>
      </c>
      <c r="E3620">
        <v>2.34</v>
      </c>
      <c r="F3620">
        <v>0</v>
      </c>
      <c r="G3620" t="s">
        <v>70</v>
      </c>
      <c r="H3620" t="s">
        <v>55</v>
      </c>
      <c r="I3620" s="2">
        <v>13.99</v>
      </c>
      <c r="J3620">
        <v>0</v>
      </c>
      <c r="K3620" s="2">
        <f t="shared" si="112"/>
        <v>0</v>
      </c>
      <c r="L3620" t="s">
        <v>37</v>
      </c>
      <c r="M3620">
        <v>5</v>
      </c>
      <c r="N3620">
        <v>2.34</v>
      </c>
      <c r="O3620" t="str">
        <f t="shared" si="113"/>
        <v>1+ hours</v>
      </c>
      <c r="P3620" t="s">
        <v>25</v>
      </c>
    </row>
    <row r="3621" spans="1:16" x14ac:dyDescent="0.4">
      <c r="A3621" t="s">
        <v>3662</v>
      </c>
      <c r="B3621">
        <v>43</v>
      </c>
      <c r="C3621" t="s">
        <v>41</v>
      </c>
      <c r="D3621" t="s">
        <v>32</v>
      </c>
      <c r="E3621">
        <v>14.21</v>
      </c>
      <c r="F3621">
        <v>11</v>
      </c>
      <c r="G3621" t="s">
        <v>49</v>
      </c>
      <c r="H3621" t="s">
        <v>18</v>
      </c>
      <c r="I3621" s="2">
        <v>17.989999999999998</v>
      </c>
      <c r="J3621">
        <v>0</v>
      </c>
      <c r="K3621" s="2">
        <f t="shared" si="112"/>
        <v>0</v>
      </c>
      <c r="L3621" t="s">
        <v>43</v>
      </c>
      <c r="M3621">
        <v>3</v>
      </c>
      <c r="N3621">
        <v>1.18</v>
      </c>
      <c r="O3621" t="str">
        <f t="shared" si="113"/>
        <v>1+ hours</v>
      </c>
      <c r="P3621" t="s">
        <v>34</v>
      </c>
    </row>
    <row r="3622" spans="1:16" x14ac:dyDescent="0.4">
      <c r="A3622" t="s">
        <v>3663</v>
      </c>
      <c r="B3622">
        <v>55</v>
      </c>
      <c r="C3622" t="s">
        <v>27</v>
      </c>
      <c r="D3622" t="s">
        <v>22</v>
      </c>
      <c r="E3622">
        <v>5.36</v>
      </c>
      <c r="F3622">
        <v>42</v>
      </c>
      <c r="G3622" t="s">
        <v>17</v>
      </c>
      <c r="H3622" t="s">
        <v>55</v>
      </c>
      <c r="I3622" s="2">
        <v>13.99</v>
      </c>
      <c r="J3622">
        <v>0</v>
      </c>
      <c r="K3622" s="2">
        <f t="shared" si="112"/>
        <v>0</v>
      </c>
      <c r="L3622" t="s">
        <v>37</v>
      </c>
      <c r="M3622">
        <v>5</v>
      </c>
      <c r="N3622">
        <v>0.12</v>
      </c>
      <c r="O3622" t="str">
        <f t="shared" si="113"/>
        <v>0–0.2 hours</v>
      </c>
      <c r="P3622" t="s">
        <v>34</v>
      </c>
    </row>
    <row r="3623" spans="1:16" x14ac:dyDescent="0.4">
      <c r="A3623" t="s">
        <v>3664</v>
      </c>
      <c r="B3623">
        <v>19</v>
      </c>
      <c r="C3623" t="s">
        <v>27</v>
      </c>
      <c r="D3623" t="s">
        <v>22</v>
      </c>
      <c r="E3623">
        <v>5.42</v>
      </c>
      <c r="F3623">
        <v>60</v>
      </c>
      <c r="G3623" t="s">
        <v>70</v>
      </c>
      <c r="H3623" t="s">
        <v>18</v>
      </c>
      <c r="I3623" s="2">
        <v>13.99</v>
      </c>
      <c r="J3623">
        <v>1</v>
      </c>
      <c r="K3623" s="2">
        <f t="shared" si="112"/>
        <v>13.99</v>
      </c>
      <c r="L3623" t="s">
        <v>61</v>
      </c>
      <c r="M3623">
        <v>1</v>
      </c>
      <c r="N3623">
        <v>0.09</v>
      </c>
      <c r="O3623" t="str">
        <f t="shared" si="113"/>
        <v>0–0.2 hours</v>
      </c>
      <c r="P3623" t="s">
        <v>47</v>
      </c>
    </row>
    <row r="3624" spans="1:16" x14ac:dyDescent="0.4">
      <c r="A3624" t="s">
        <v>3665</v>
      </c>
      <c r="B3624">
        <v>64</v>
      </c>
      <c r="C3624" t="s">
        <v>15</v>
      </c>
      <c r="D3624" t="s">
        <v>32</v>
      </c>
      <c r="E3624">
        <v>11.09</v>
      </c>
      <c r="F3624">
        <v>26</v>
      </c>
      <c r="G3624" t="s">
        <v>17</v>
      </c>
      <c r="H3624" t="s">
        <v>55</v>
      </c>
      <c r="I3624" s="2">
        <v>17.989999999999998</v>
      </c>
      <c r="J3624">
        <v>0</v>
      </c>
      <c r="K3624" s="2">
        <f t="shared" si="112"/>
        <v>0</v>
      </c>
      <c r="L3624" t="s">
        <v>37</v>
      </c>
      <c r="M3624">
        <v>5</v>
      </c>
      <c r="N3624">
        <v>0.41</v>
      </c>
      <c r="O3624" t="str">
        <f t="shared" si="113"/>
        <v>0.4–0.6 hours</v>
      </c>
      <c r="P3624" t="s">
        <v>30</v>
      </c>
    </row>
    <row r="3625" spans="1:16" x14ac:dyDescent="0.4">
      <c r="A3625" t="s">
        <v>3666</v>
      </c>
      <c r="B3625">
        <v>61</v>
      </c>
      <c r="C3625" t="s">
        <v>27</v>
      </c>
      <c r="D3625" t="s">
        <v>32</v>
      </c>
      <c r="E3625">
        <v>1.91</v>
      </c>
      <c r="F3625">
        <v>52</v>
      </c>
      <c r="G3625" t="s">
        <v>70</v>
      </c>
      <c r="H3625" t="s">
        <v>18</v>
      </c>
      <c r="I3625" s="2">
        <v>17.989999999999998</v>
      </c>
      <c r="J3625">
        <v>1</v>
      </c>
      <c r="K3625" s="2">
        <f t="shared" si="112"/>
        <v>17.989999999999998</v>
      </c>
      <c r="L3625" t="s">
        <v>37</v>
      </c>
      <c r="M3625">
        <v>1</v>
      </c>
      <c r="N3625">
        <v>0.04</v>
      </c>
      <c r="O3625" t="str">
        <f t="shared" si="113"/>
        <v>0–0.2 hours</v>
      </c>
      <c r="P3625" t="s">
        <v>39</v>
      </c>
    </row>
    <row r="3626" spans="1:16" x14ac:dyDescent="0.4">
      <c r="A3626" t="s">
        <v>3667</v>
      </c>
      <c r="B3626">
        <v>44</v>
      </c>
      <c r="C3626" t="s">
        <v>41</v>
      </c>
      <c r="D3626" t="s">
        <v>32</v>
      </c>
      <c r="E3626">
        <v>1.22</v>
      </c>
      <c r="F3626">
        <v>24</v>
      </c>
      <c r="G3626" t="s">
        <v>33</v>
      </c>
      <c r="H3626" t="s">
        <v>57</v>
      </c>
      <c r="I3626" s="2">
        <v>17.989999999999998</v>
      </c>
      <c r="J3626">
        <v>1</v>
      </c>
      <c r="K3626" s="2">
        <f t="shared" si="112"/>
        <v>17.989999999999998</v>
      </c>
      <c r="L3626" t="s">
        <v>29</v>
      </c>
      <c r="M3626">
        <v>3</v>
      </c>
      <c r="N3626">
        <v>0.05</v>
      </c>
      <c r="O3626" t="str">
        <f t="shared" si="113"/>
        <v>0–0.2 hours</v>
      </c>
      <c r="P3626" t="s">
        <v>34</v>
      </c>
    </row>
    <row r="3627" spans="1:16" x14ac:dyDescent="0.4">
      <c r="A3627" t="s">
        <v>3668</v>
      </c>
      <c r="B3627">
        <v>40</v>
      </c>
      <c r="C3627" t="s">
        <v>27</v>
      </c>
      <c r="D3627" t="s">
        <v>22</v>
      </c>
      <c r="E3627">
        <v>3.21</v>
      </c>
      <c r="F3627">
        <v>58</v>
      </c>
      <c r="G3627" t="s">
        <v>23</v>
      </c>
      <c r="H3627" t="s">
        <v>55</v>
      </c>
      <c r="I3627" s="2">
        <v>13.99</v>
      </c>
      <c r="J3627">
        <v>1</v>
      </c>
      <c r="K3627" s="2">
        <f t="shared" si="112"/>
        <v>13.99</v>
      </c>
      <c r="L3627" t="s">
        <v>43</v>
      </c>
      <c r="M3627">
        <v>2</v>
      </c>
      <c r="N3627">
        <v>0.05</v>
      </c>
      <c r="O3627" t="str">
        <f t="shared" si="113"/>
        <v>0–0.2 hours</v>
      </c>
      <c r="P3627" t="s">
        <v>20</v>
      </c>
    </row>
    <row r="3628" spans="1:16" x14ac:dyDescent="0.4">
      <c r="A3628" t="s">
        <v>3669</v>
      </c>
      <c r="B3628">
        <v>33</v>
      </c>
      <c r="C3628" t="s">
        <v>27</v>
      </c>
      <c r="D3628" t="s">
        <v>22</v>
      </c>
      <c r="E3628">
        <v>13.21</v>
      </c>
      <c r="F3628">
        <v>21</v>
      </c>
      <c r="G3628" t="s">
        <v>33</v>
      </c>
      <c r="H3628" t="s">
        <v>57</v>
      </c>
      <c r="I3628" s="2">
        <v>13.99</v>
      </c>
      <c r="J3628">
        <v>0</v>
      </c>
      <c r="K3628" s="2">
        <f t="shared" si="112"/>
        <v>0</v>
      </c>
      <c r="L3628" t="s">
        <v>37</v>
      </c>
      <c r="M3628">
        <v>4</v>
      </c>
      <c r="N3628">
        <v>0.6</v>
      </c>
      <c r="O3628" t="str">
        <f t="shared" si="113"/>
        <v>0.4–0.6 hours</v>
      </c>
      <c r="P3628" t="s">
        <v>47</v>
      </c>
    </row>
    <row r="3629" spans="1:16" x14ac:dyDescent="0.4">
      <c r="A3629" t="s">
        <v>3670</v>
      </c>
      <c r="B3629">
        <v>47</v>
      </c>
      <c r="C3629" t="s">
        <v>15</v>
      </c>
      <c r="D3629" t="s">
        <v>22</v>
      </c>
      <c r="E3629">
        <v>8.01</v>
      </c>
      <c r="F3629">
        <v>11</v>
      </c>
      <c r="G3629" t="s">
        <v>23</v>
      </c>
      <c r="H3629" t="s">
        <v>24</v>
      </c>
      <c r="I3629" s="2">
        <v>13.99</v>
      </c>
      <c r="J3629">
        <v>0</v>
      </c>
      <c r="K3629" s="2">
        <f t="shared" si="112"/>
        <v>0</v>
      </c>
      <c r="L3629" t="s">
        <v>19</v>
      </c>
      <c r="M3629">
        <v>4</v>
      </c>
      <c r="N3629">
        <v>0.67</v>
      </c>
      <c r="O3629" t="str">
        <f t="shared" si="113"/>
        <v>0.6–0.8 hours</v>
      </c>
      <c r="P3629" t="s">
        <v>34</v>
      </c>
    </row>
    <row r="3630" spans="1:16" x14ac:dyDescent="0.4">
      <c r="A3630" t="s">
        <v>3671</v>
      </c>
      <c r="B3630">
        <v>48</v>
      </c>
      <c r="C3630" t="s">
        <v>15</v>
      </c>
      <c r="D3630" t="s">
        <v>32</v>
      </c>
      <c r="E3630">
        <v>6.53</v>
      </c>
      <c r="F3630">
        <v>55</v>
      </c>
      <c r="G3630" t="s">
        <v>28</v>
      </c>
      <c r="H3630" t="s">
        <v>24</v>
      </c>
      <c r="I3630" s="2">
        <v>17.989999999999998</v>
      </c>
      <c r="J3630">
        <v>1</v>
      </c>
      <c r="K3630" s="2">
        <f t="shared" si="112"/>
        <v>17.989999999999998</v>
      </c>
      <c r="L3630" t="s">
        <v>19</v>
      </c>
      <c r="M3630">
        <v>2</v>
      </c>
      <c r="N3630">
        <v>0.12</v>
      </c>
      <c r="O3630" t="str">
        <f t="shared" si="113"/>
        <v>0–0.2 hours</v>
      </c>
      <c r="P3630" t="s">
        <v>52</v>
      </c>
    </row>
    <row r="3631" spans="1:16" x14ac:dyDescent="0.4">
      <c r="A3631" t="s">
        <v>3672</v>
      </c>
      <c r="B3631">
        <v>69</v>
      </c>
      <c r="C3631" t="s">
        <v>27</v>
      </c>
      <c r="D3631" t="s">
        <v>16</v>
      </c>
      <c r="E3631">
        <v>20.61</v>
      </c>
      <c r="F3631">
        <v>37</v>
      </c>
      <c r="G3631" t="s">
        <v>49</v>
      </c>
      <c r="H3631" t="s">
        <v>57</v>
      </c>
      <c r="I3631" s="2">
        <v>8.99</v>
      </c>
      <c r="J3631">
        <v>0</v>
      </c>
      <c r="K3631" s="2">
        <f t="shared" si="112"/>
        <v>0</v>
      </c>
      <c r="L3631" t="s">
        <v>29</v>
      </c>
      <c r="M3631">
        <v>5</v>
      </c>
      <c r="N3631">
        <v>0.54</v>
      </c>
      <c r="O3631" t="str">
        <f t="shared" si="113"/>
        <v>0.4–0.6 hours</v>
      </c>
      <c r="P3631" t="s">
        <v>39</v>
      </c>
    </row>
    <row r="3632" spans="1:16" x14ac:dyDescent="0.4">
      <c r="A3632" t="s">
        <v>3673</v>
      </c>
      <c r="B3632">
        <v>37</v>
      </c>
      <c r="C3632" t="s">
        <v>15</v>
      </c>
      <c r="D3632" t="s">
        <v>16</v>
      </c>
      <c r="E3632">
        <v>6.29</v>
      </c>
      <c r="F3632">
        <v>16</v>
      </c>
      <c r="G3632" t="s">
        <v>17</v>
      </c>
      <c r="H3632" t="s">
        <v>57</v>
      </c>
      <c r="I3632" s="2">
        <v>8.99</v>
      </c>
      <c r="J3632">
        <v>0</v>
      </c>
      <c r="K3632" s="2">
        <f t="shared" si="112"/>
        <v>0</v>
      </c>
      <c r="L3632" t="s">
        <v>37</v>
      </c>
      <c r="M3632">
        <v>2</v>
      </c>
      <c r="N3632">
        <v>0.37</v>
      </c>
      <c r="O3632" t="str">
        <f t="shared" si="113"/>
        <v>0.2–0.4 hours</v>
      </c>
      <c r="P3632" t="s">
        <v>30</v>
      </c>
    </row>
    <row r="3633" spans="1:16" x14ac:dyDescent="0.4">
      <c r="A3633" t="s">
        <v>3674</v>
      </c>
      <c r="B3633">
        <v>36</v>
      </c>
      <c r="C3633" t="s">
        <v>27</v>
      </c>
      <c r="D3633" t="s">
        <v>22</v>
      </c>
      <c r="E3633">
        <v>2.06</v>
      </c>
      <c r="F3633">
        <v>24</v>
      </c>
      <c r="G3633" t="s">
        <v>17</v>
      </c>
      <c r="H3633" t="s">
        <v>46</v>
      </c>
      <c r="I3633" s="2">
        <v>13.99</v>
      </c>
      <c r="J3633">
        <v>1</v>
      </c>
      <c r="K3633" s="2">
        <f t="shared" si="112"/>
        <v>13.99</v>
      </c>
      <c r="L3633" t="s">
        <v>29</v>
      </c>
      <c r="M3633">
        <v>1</v>
      </c>
      <c r="N3633">
        <v>0.08</v>
      </c>
      <c r="O3633" t="str">
        <f t="shared" si="113"/>
        <v>0–0.2 hours</v>
      </c>
      <c r="P3633" t="s">
        <v>39</v>
      </c>
    </row>
    <row r="3634" spans="1:16" x14ac:dyDescent="0.4">
      <c r="A3634" t="s">
        <v>3675</v>
      </c>
      <c r="B3634">
        <v>25</v>
      </c>
      <c r="C3634" t="s">
        <v>15</v>
      </c>
      <c r="D3634" t="s">
        <v>32</v>
      </c>
      <c r="E3634">
        <v>0.56999999999999995</v>
      </c>
      <c r="F3634">
        <v>53</v>
      </c>
      <c r="G3634" t="s">
        <v>70</v>
      </c>
      <c r="H3634" t="s">
        <v>24</v>
      </c>
      <c r="I3634" s="2">
        <v>17.989999999999998</v>
      </c>
      <c r="J3634">
        <v>1</v>
      </c>
      <c r="K3634" s="2">
        <f t="shared" si="112"/>
        <v>17.989999999999998</v>
      </c>
      <c r="L3634" t="s">
        <v>43</v>
      </c>
      <c r="M3634">
        <v>4</v>
      </c>
      <c r="N3634">
        <v>0.01</v>
      </c>
      <c r="O3634" t="str">
        <f t="shared" si="113"/>
        <v>0–0.2 hours</v>
      </c>
      <c r="P3634" t="s">
        <v>39</v>
      </c>
    </row>
    <row r="3635" spans="1:16" x14ac:dyDescent="0.4">
      <c r="A3635" t="s">
        <v>3676</v>
      </c>
      <c r="B3635">
        <v>37</v>
      </c>
      <c r="C3635" t="s">
        <v>41</v>
      </c>
      <c r="D3635" t="s">
        <v>16</v>
      </c>
      <c r="E3635">
        <v>9.34</v>
      </c>
      <c r="F3635">
        <v>43</v>
      </c>
      <c r="G3635" t="s">
        <v>28</v>
      </c>
      <c r="H3635" t="s">
        <v>57</v>
      </c>
      <c r="I3635" s="2">
        <v>8.99</v>
      </c>
      <c r="J3635">
        <v>1</v>
      </c>
      <c r="K3635" s="2">
        <f t="shared" si="112"/>
        <v>8.99</v>
      </c>
      <c r="L3635" t="s">
        <v>29</v>
      </c>
      <c r="M3635">
        <v>3</v>
      </c>
      <c r="N3635">
        <v>0.21</v>
      </c>
      <c r="O3635" t="str">
        <f t="shared" si="113"/>
        <v>0.2–0.4 hours</v>
      </c>
      <c r="P3635" t="s">
        <v>25</v>
      </c>
    </row>
    <row r="3636" spans="1:16" x14ac:dyDescent="0.4">
      <c r="A3636" t="s">
        <v>3677</v>
      </c>
      <c r="B3636">
        <v>54</v>
      </c>
      <c r="C3636" t="s">
        <v>41</v>
      </c>
      <c r="D3636" t="s">
        <v>22</v>
      </c>
      <c r="E3636">
        <v>3.6</v>
      </c>
      <c r="F3636">
        <v>39</v>
      </c>
      <c r="G3636" t="s">
        <v>70</v>
      </c>
      <c r="H3636" t="s">
        <v>24</v>
      </c>
      <c r="I3636" s="2">
        <v>13.99</v>
      </c>
      <c r="J3636">
        <v>1</v>
      </c>
      <c r="K3636" s="2">
        <f t="shared" si="112"/>
        <v>13.99</v>
      </c>
      <c r="L3636" t="s">
        <v>61</v>
      </c>
      <c r="M3636">
        <v>3</v>
      </c>
      <c r="N3636">
        <v>0.09</v>
      </c>
      <c r="O3636" t="str">
        <f t="shared" si="113"/>
        <v>0–0.2 hours</v>
      </c>
      <c r="P3636" t="s">
        <v>30</v>
      </c>
    </row>
    <row r="3637" spans="1:16" x14ac:dyDescent="0.4">
      <c r="A3637" t="s">
        <v>3678</v>
      </c>
      <c r="B3637">
        <v>67</v>
      </c>
      <c r="C3637" t="s">
        <v>41</v>
      </c>
      <c r="D3637" t="s">
        <v>32</v>
      </c>
      <c r="E3637">
        <v>2.2400000000000002</v>
      </c>
      <c r="F3637">
        <v>34</v>
      </c>
      <c r="G3637" t="s">
        <v>17</v>
      </c>
      <c r="H3637" t="s">
        <v>18</v>
      </c>
      <c r="I3637" s="2">
        <v>17.989999999999998</v>
      </c>
      <c r="J3637">
        <v>1</v>
      </c>
      <c r="K3637" s="2">
        <f t="shared" si="112"/>
        <v>17.989999999999998</v>
      </c>
      <c r="L3637" t="s">
        <v>29</v>
      </c>
      <c r="M3637">
        <v>2</v>
      </c>
      <c r="N3637">
        <v>0.06</v>
      </c>
      <c r="O3637" t="str">
        <f t="shared" si="113"/>
        <v>0–0.2 hours</v>
      </c>
      <c r="P3637" t="s">
        <v>20</v>
      </c>
    </row>
    <row r="3638" spans="1:16" x14ac:dyDescent="0.4">
      <c r="A3638" t="s">
        <v>3679</v>
      </c>
      <c r="B3638">
        <v>63</v>
      </c>
      <c r="C3638" t="s">
        <v>15</v>
      </c>
      <c r="D3638" t="s">
        <v>22</v>
      </c>
      <c r="E3638">
        <v>3.8</v>
      </c>
      <c r="F3638">
        <v>57</v>
      </c>
      <c r="G3638" t="s">
        <v>70</v>
      </c>
      <c r="H3638" t="s">
        <v>18</v>
      </c>
      <c r="I3638" s="2">
        <v>13.99</v>
      </c>
      <c r="J3638">
        <v>1</v>
      </c>
      <c r="K3638" s="2">
        <f t="shared" si="112"/>
        <v>13.99</v>
      </c>
      <c r="L3638" t="s">
        <v>29</v>
      </c>
      <c r="M3638">
        <v>3</v>
      </c>
      <c r="N3638">
        <v>7.0000000000000007E-2</v>
      </c>
      <c r="O3638" t="str">
        <f t="shared" si="113"/>
        <v>0–0.2 hours</v>
      </c>
      <c r="P3638" t="s">
        <v>20</v>
      </c>
    </row>
    <row r="3639" spans="1:16" x14ac:dyDescent="0.4">
      <c r="A3639" t="s">
        <v>3680</v>
      </c>
      <c r="B3639">
        <v>69</v>
      </c>
      <c r="C3639" t="s">
        <v>15</v>
      </c>
      <c r="D3639" t="s">
        <v>16</v>
      </c>
      <c r="E3639">
        <v>32.42</v>
      </c>
      <c r="F3639">
        <v>43</v>
      </c>
      <c r="G3639" t="s">
        <v>70</v>
      </c>
      <c r="H3639" t="s">
        <v>55</v>
      </c>
      <c r="I3639" s="2">
        <v>8.99</v>
      </c>
      <c r="J3639">
        <v>0</v>
      </c>
      <c r="K3639" s="2">
        <f t="shared" si="112"/>
        <v>0</v>
      </c>
      <c r="L3639" t="s">
        <v>61</v>
      </c>
      <c r="M3639">
        <v>3</v>
      </c>
      <c r="N3639">
        <v>0.74</v>
      </c>
      <c r="O3639" t="str">
        <f t="shared" si="113"/>
        <v>0.6–0.8 hours</v>
      </c>
      <c r="P3639" t="s">
        <v>20</v>
      </c>
    </row>
    <row r="3640" spans="1:16" x14ac:dyDescent="0.4">
      <c r="A3640" t="s">
        <v>3681</v>
      </c>
      <c r="B3640">
        <v>45</v>
      </c>
      <c r="C3640" t="s">
        <v>27</v>
      </c>
      <c r="D3640" t="s">
        <v>16</v>
      </c>
      <c r="E3640">
        <v>42.32</v>
      </c>
      <c r="F3640">
        <v>30</v>
      </c>
      <c r="G3640" t="s">
        <v>28</v>
      </c>
      <c r="H3640" t="s">
        <v>18</v>
      </c>
      <c r="I3640" s="2">
        <v>8.99</v>
      </c>
      <c r="J3640">
        <v>0</v>
      </c>
      <c r="K3640" s="2">
        <f t="shared" si="112"/>
        <v>0</v>
      </c>
      <c r="L3640" t="s">
        <v>29</v>
      </c>
      <c r="M3640">
        <v>4</v>
      </c>
      <c r="N3640">
        <v>1.37</v>
      </c>
      <c r="O3640" t="str">
        <f t="shared" si="113"/>
        <v>1+ hours</v>
      </c>
      <c r="P3640" t="s">
        <v>52</v>
      </c>
    </row>
    <row r="3641" spans="1:16" x14ac:dyDescent="0.4">
      <c r="A3641" t="s">
        <v>3682</v>
      </c>
      <c r="B3641">
        <v>68</v>
      </c>
      <c r="C3641" t="s">
        <v>15</v>
      </c>
      <c r="D3641" t="s">
        <v>22</v>
      </c>
      <c r="E3641">
        <v>3.68</v>
      </c>
      <c r="F3641">
        <v>53</v>
      </c>
      <c r="G3641" t="s">
        <v>49</v>
      </c>
      <c r="H3641" t="s">
        <v>57</v>
      </c>
      <c r="I3641" s="2">
        <v>13.99</v>
      </c>
      <c r="J3641">
        <v>1</v>
      </c>
      <c r="K3641" s="2">
        <f t="shared" si="112"/>
        <v>13.99</v>
      </c>
      <c r="L3641" t="s">
        <v>61</v>
      </c>
      <c r="M3641">
        <v>3</v>
      </c>
      <c r="N3641">
        <v>7.0000000000000007E-2</v>
      </c>
      <c r="O3641" t="str">
        <f t="shared" si="113"/>
        <v>0–0.2 hours</v>
      </c>
      <c r="P3641" t="s">
        <v>34</v>
      </c>
    </row>
    <row r="3642" spans="1:16" x14ac:dyDescent="0.4">
      <c r="A3642" t="s">
        <v>3683</v>
      </c>
      <c r="B3642">
        <v>20</v>
      </c>
      <c r="C3642" t="s">
        <v>41</v>
      </c>
      <c r="D3642" t="s">
        <v>22</v>
      </c>
      <c r="E3642">
        <v>2.97</v>
      </c>
      <c r="F3642">
        <v>35</v>
      </c>
      <c r="G3642" t="s">
        <v>49</v>
      </c>
      <c r="H3642" t="s">
        <v>18</v>
      </c>
      <c r="I3642" s="2">
        <v>13.99</v>
      </c>
      <c r="J3642">
        <v>1</v>
      </c>
      <c r="K3642" s="2">
        <f t="shared" si="112"/>
        <v>13.99</v>
      </c>
      <c r="L3642" t="s">
        <v>43</v>
      </c>
      <c r="M3642">
        <v>2</v>
      </c>
      <c r="N3642">
        <v>0.08</v>
      </c>
      <c r="O3642" t="str">
        <f t="shared" si="113"/>
        <v>0–0.2 hours</v>
      </c>
      <c r="P3642" t="s">
        <v>39</v>
      </c>
    </row>
    <row r="3643" spans="1:16" x14ac:dyDescent="0.4">
      <c r="A3643" t="s">
        <v>3684</v>
      </c>
      <c r="B3643">
        <v>18</v>
      </c>
      <c r="C3643" t="s">
        <v>41</v>
      </c>
      <c r="D3643" t="s">
        <v>22</v>
      </c>
      <c r="E3643">
        <v>28.66</v>
      </c>
      <c r="F3643">
        <v>0</v>
      </c>
      <c r="G3643" t="s">
        <v>33</v>
      </c>
      <c r="H3643" t="s">
        <v>55</v>
      </c>
      <c r="I3643" s="2">
        <v>13.99</v>
      </c>
      <c r="J3643">
        <v>0</v>
      </c>
      <c r="K3643" s="2">
        <f t="shared" si="112"/>
        <v>0</v>
      </c>
      <c r="L3643" t="s">
        <v>19</v>
      </c>
      <c r="M3643">
        <v>5</v>
      </c>
      <c r="N3643">
        <v>28.66</v>
      </c>
      <c r="O3643" t="str">
        <f t="shared" si="113"/>
        <v>1+ hours</v>
      </c>
      <c r="P3643" t="s">
        <v>30</v>
      </c>
    </row>
    <row r="3644" spans="1:16" x14ac:dyDescent="0.4">
      <c r="A3644" t="s">
        <v>3685</v>
      </c>
      <c r="B3644">
        <v>26</v>
      </c>
      <c r="C3644" t="s">
        <v>15</v>
      </c>
      <c r="D3644" t="s">
        <v>22</v>
      </c>
      <c r="E3644">
        <v>2</v>
      </c>
      <c r="F3644">
        <v>11</v>
      </c>
      <c r="G3644" t="s">
        <v>17</v>
      </c>
      <c r="H3644" t="s">
        <v>55</v>
      </c>
      <c r="I3644" s="2">
        <v>13.99</v>
      </c>
      <c r="J3644">
        <v>1</v>
      </c>
      <c r="K3644" s="2">
        <f t="shared" si="112"/>
        <v>13.99</v>
      </c>
      <c r="L3644" t="s">
        <v>43</v>
      </c>
      <c r="M3644">
        <v>3</v>
      </c>
      <c r="N3644">
        <v>0.17</v>
      </c>
      <c r="O3644" t="str">
        <f t="shared" si="113"/>
        <v>0–0.2 hours</v>
      </c>
      <c r="P3644" t="s">
        <v>52</v>
      </c>
    </row>
    <row r="3645" spans="1:16" x14ac:dyDescent="0.4">
      <c r="A3645" t="s">
        <v>3686</v>
      </c>
      <c r="B3645">
        <v>59</v>
      </c>
      <c r="C3645" t="s">
        <v>15</v>
      </c>
      <c r="D3645" t="s">
        <v>16</v>
      </c>
      <c r="E3645">
        <v>5.65</v>
      </c>
      <c r="F3645">
        <v>37</v>
      </c>
      <c r="G3645" t="s">
        <v>17</v>
      </c>
      <c r="H3645" t="s">
        <v>57</v>
      </c>
      <c r="I3645" s="2">
        <v>8.99</v>
      </c>
      <c r="J3645">
        <v>1</v>
      </c>
      <c r="K3645" s="2">
        <f t="shared" si="112"/>
        <v>8.99</v>
      </c>
      <c r="L3645" t="s">
        <v>37</v>
      </c>
      <c r="M3645">
        <v>2</v>
      </c>
      <c r="N3645">
        <v>0.15</v>
      </c>
      <c r="O3645" t="str">
        <f t="shared" si="113"/>
        <v>0–0.2 hours</v>
      </c>
      <c r="P3645" t="s">
        <v>47</v>
      </c>
    </row>
    <row r="3646" spans="1:16" x14ac:dyDescent="0.4">
      <c r="A3646" t="s">
        <v>3687</v>
      </c>
      <c r="B3646">
        <v>36</v>
      </c>
      <c r="C3646" t="s">
        <v>41</v>
      </c>
      <c r="D3646" t="s">
        <v>32</v>
      </c>
      <c r="E3646">
        <v>22.32</v>
      </c>
      <c r="F3646">
        <v>55</v>
      </c>
      <c r="G3646" t="s">
        <v>28</v>
      </c>
      <c r="H3646" t="s">
        <v>18</v>
      </c>
      <c r="I3646" s="2">
        <v>17.989999999999998</v>
      </c>
      <c r="J3646">
        <v>0</v>
      </c>
      <c r="K3646" s="2">
        <f t="shared" si="112"/>
        <v>0</v>
      </c>
      <c r="L3646" t="s">
        <v>19</v>
      </c>
      <c r="M3646">
        <v>3</v>
      </c>
      <c r="N3646">
        <v>0.4</v>
      </c>
      <c r="O3646" t="str">
        <f t="shared" si="113"/>
        <v>0.2–0.4 hours</v>
      </c>
      <c r="P3646" t="s">
        <v>30</v>
      </c>
    </row>
    <row r="3647" spans="1:16" x14ac:dyDescent="0.4">
      <c r="A3647" t="s">
        <v>3688</v>
      </c>
      <c r="B3647">
        <v>51</v>
      </c>
      <c r="C3647" t="s">
        <v>15</v>
      </c>
      <c r="D3647" t="s">
        <v>32</v>
      </c>
      <c r="E3647">
        <v>9.5299999999999994</v>
      </c>
      <c r="F3647">
        <v>23</v>
      </c>
      <c r="G3647" t="s">
        <v>33</v>
      </c>
      <c r="H3647" t="s">
        <v>46</v>
      </c>
      <c r="I3647" s="2">
        <v>17.989999999999998</v>
      </c>
      <c r="J3647">
        <v>0</v>
      </c>
      <c r="K3647" s="2">
        <f t="shared" si="112"/>
        <v>0</v>
      </c>
      <c r="L3647" t="s">
        <v>61</v>
      </c>
      <c r="M3647">
        <v>2</v>
      </c>
      <c r="N3647">
        <v>0.4</v>
      </c>
      <c r="O3647" t="str">
        <f t="shared" si="113"/>
        <v>0.2–0.4 hours</v>
      </c>
      <c r="P3647" t="s">
        <v>47</v>
      </c>
    </row>
    <row r="3648" spans="1:16" x14ac:dyDescent="0.4">
      <c r="A3648" t="s">
        <v>3689</v>
      </c>
      <c r="B3648">
        <v>44</v>
      </c>
      <c r="C3648" t="s">
        <v>41</v>
      </c>
      <c r="D3648" t="s">
        <v>16</v>
      </c>
      <c r="E3648">
        <v>21.72</v>
      </c>
      <c r="F3648">
        <v>0</v>
      </c>
      <c r="G3648" t="s">
        <v>28</v>
      </c>
      <c r="H3648" t="s">
        <v>57</v>
      </c>
      <c r="I3648" s="2">
        <v>8.99</v>
      </c>
      <c r="J3648">
        <v>0</v>
      </c>
      <c r="K3648" s="2">
        <f t="shared" si="112"/>
        <v>0</v>
      </c>
      <c r="L3648" t="s">
        <v>29</v>
      </c>
      <c r="M3648">
        <v>2</v>
      </c>
      <c r="N3648">
        <v>21.72</v>
      </c>
      <c r="O3648" t="str">
        <f t="shared" si="113"/>
        <v>1+ hours</v>
      </c>
      <c r="P3648" t="s">
        <v>52</v>
      </c>
    </row>
    <row r="3649" spans="1:16" x14ac:dyDescent="0.4">
      <c r="A3649" t="s">
        <v>3690</v>
      </c>
      <c r="B3649">
        <v>57</v>
      </c>
      <c r="C3649" t="s">
        <v>27</v>
      </c>
      <c r="D3649" t="s">
        <v>16</v>
      </c>
      <c r="E3649">
        <v>1.22</v>
      </c>
      <c r="F3649">
        <v>8</v>
      </c>
      <c r="G3649" t="s">
        <v>33</v>
      </c>
      <c r="H3649" t="s">
        <v>18</v>
      </c>
      <c r="I3649" s="2">
        <v>8.99</v>
      </c>
      <c r="J3649">
        <v>1</v>
      </c>
      <c r="K3649" s="2">
        <f t="shared" si="112"/>
        <v>8.99</v>
      </c>
      <c r="L3649" t="s">
        <v>61</v>
      </c>
      <c r="M3649">
        <v>5</v>
      </c>
      <c r="N3649">
        <v>0.14000000000000001</v>
      </c>
      <c r="O3649" t="str">
        <f t="shared" si="113"/>
        <v>0–0.2 hours</v>
      </c>
      <c r="P3649" t="s">
        <v>34</v>
      </c>
    </row>
    <row r="3650" spans="1:16" x14ac:dyDescent="0.4">
      <c r="A3650" t="s">
        <v>3691</v>
      </c>
      <c r="B3650">
        <v>24</v>
      </c>
      <c r="C3650" t="s">
        <v>15</v>
      </c>
      <c r="D3650" t="s">
        <v>32</v>
      </c>
      <c r="E3650">
        <v>6.21</v>
      </c>
      <c r="F3650">
        <v>25</v>
      </c>
      <c r="G3650" t="s">
        <v>49</v>
      </c>
      <c r="H3650" t="s">
        <v>55</v>
      </c>
      <c r="I3650" s="2">
        <v>17.989999999999998</v>
      </c>
      <c r="J3650">
        <v>0</v>
      </c>
      <c r="K3650" s="2">
        <f t="shared" si="112"/>
        <v>0</v>
      </c>
      <c r="L3650" t="s">
        <v>43</v>
      </c>
      <c r="M3650">
        <v>4</v>
      </c>
      <c r="N3650">
        <v>0.24</v>
      </c>
      <c r="O3650" t="str">
        <f t="shared" si="113"/>
        <v>0.2–0.4 hours</v>
      </c>
      <c r="P3650" t="s">
        <v>34</v>
      </c>
    </row>
    <row r="3651" spans="1:16" x14ac:dyDescent="0.4">
      <c r="A3651" t="s">
        <v>3692</v>
      </c>
      <c r="B3651">
        <v>54</v>
      </c>
      <c r="C3651" t="s">
        <v>27</v>
      </c>
      <c r="D3651" t="s">
        <v>32</v>
      </c>
      <c r="E3651">
        <v>22.73</v>
      </c>
      <c r="F3651">
        <v>39</v>
      </c>
      <c r="G3651" t="s">
        <v>23</v>
      </c>
      <c r="H3651" t="s">
        <v>18</v>
      </c>
      <c r="I3651" s="2">
        <v>17.989999999999998</v>
      </c>
      <c r="J3651">
        <v>0</v>
      </c>
      <c r="K3651" s="2">
        <f t="shared" ref="K3651:K3714" si="114">SUMIF(J3651,1,I3651)</f>
        <v>0</v>
      </c>
      <c r="L3651" t="s">
        <v>43</v>
      </c>
      <c r="M3651">
        <v>5</v>
      </c>
      <c r="N3651">
        <v>0.56999999999999995</v>
      </c>
      <c r="O3651" t="str">
        <f t="shared" ref="O3651:O3714" si="115">IF(N3651&gt;1,"1+ hours",IF(N3651&lt;=0.2,"0–0.2 hours",IF(N3651&lt;=0.4,"0.2–0.4 hours",IF(N3651&lt;=0.6,"0.4–0.6 hours",IF(N3651&lt;=0.8,"0.6–0.8 hours","0.8–1 hour")))))</f>
        <v>0.4–0.6 hours</v>
      </c>
      <c r="P3651" t="s">
        <v>25</v>
      </c>
    </row>
    <row r="3652" spans="1:16" x14ac:dyDescent="0.4">
      <c r="A3652" t="s">
        <v>3693</v>
      </c>
      <c r="B3652">
        <v>63</v>
      </c>
      <c r="C3652" t="s">
        <v>41</v>
      </c>
      <c r="D3652" t="s">
        <v>16</v>
      </c>
      <c r="E3652">
        <v>0.24</v>
      </c>
      <c r="F3652">
        <v>21</v>
      </c>
      <c r="G3652" t="s">
        <v>23</v>
      </c>
      <c r="H3652" t="s">
        <v>46</v>
      </c>
      <c r="I3652" s="2">
        <v>8.99</v>
      </c>
      <c r="J3652">
        <v>1</v>
      </c>
      <c r="K3652" s="2">
        <f t="shared" si="114"/>
        <v>8.99</v>
      </c>
      <c r="L3652" t="s">
        <v>61</v>
      </c>
      <c r="M3652">
        <v>5</v>
      </c>
      <c r="N3652">
        <v>0.01</v>
      </c>
      <c r="O3652" t="str">
        <f t="shared" si="115"/>
        <v>0–0.2 hours</v>
      </c>
      <c r="P3652" t="s">
        <v>20</v>
      </c>
    </row>
    <row r="3653" spans="1:16" x14ac:dyDescent="0.4">
      <c r="A3653" t="s">
        <v>3694</v>
      </c>
      <c r="B3653">
        <v>20</v>
      </c>
      <c r="C3653" t="s">
        <v>15</v>
      </c>
      <c r="D3653" t="s">
        <v>22</v>
      </c>
      <c r="E3653">
        <v>11.07</v>
      </c>
      <c r="F3653">
        <v>23</v>
      </c>
      <c r="G3653" t="s">
        <v>70</v>
      </c>
      <c r="H3653" t="s">
        <v>46</v>
      </c>
      <c r="I3653" s="2">
        <v>13.99</v>
      </c>
      <c r="J3653">
        <v>0</v>
      </c>
      <c r="K3653" s="2">
        <f t="shared" si="114"/>
        <v>0</v>
      </c>
      <c r="L3653" t="s">
        <v>43</v>
      </c>
      <c r="M3653">
        <v>1</v>
      </c>
      <c r="N3653">
        <v>0.46</v>
      </c>
      <c r="O3653" t="str">
        <f t="shared" si="115"/>
        <v>0.4–0.6 hours</v>
      </c>
      <c r="P3653" t="s">
        <v>34</v>
      </c>
    </row>
    <row r="3654" spans="1:16" x14ac:dyDescent="0.4">
      <c r="A3654" t="s">
        <v>3695</v>
      </c>
      <c r="B3654">
        <v>37</v>
      </c>
      <c r="C3654" t="s">
        <v>27</v>
      </c>
      <c r="D3654" t="s">
        <v>22</v>
      </c>
      <c r="E3654">
        <v>11.8</v>
      </c>
      <c r="F3654">
        <v>23</v>
      </c>
      <c r="G3654" t="s">
        <v>17</v>
      </c>
      <c r="H3654" t="s">
        <v>46</v>
      </c>
      <c r="I3654" s="2">
        <v>13.99</v>
      </c>
      <c r="J3654">
        <v>0</v>
      </c>
      <c r="K3654" s="2">
        <f t="shared" si="114"/>
        <v>0</v>
      </c>
      <c r="L3654" t="s">
        <v>37</v>
      </c>
      <c r="M3654">
        <v>3</v>
      </c>
      <c r="N3654">
        <v>0.49</v>
      </c>
      <c r="O3654" t="str">
        <f t="shared" si="115"/>
        <v>0.4–0.6 hours</v>
      </c>
      <c r="P3654" t="s">
        <v>47</v>
      </c>
    </row>
    <row r="3655" spans="1:16" x14ac:dyDescent="0.4">
      <c r="A3655" t="s">
        <v>3696</v>
      </c>
      <c r="B3655">
        <v>66</v>
      </c>
      <c r="C3655" t="s">
        <v>41</v>
      </c>
      <c r="D3655" t="s">
        <v>22</v>
      </c>
      <c r="E3655">
        <v>7.95</v>
      </c>
      <c r="F3655">
        <v>47</v>
      </c>
      <c r="G3655" t="s">
        <v>28</v>
      </c>
      <c r="H3655" t="s">
        <v>55</v>
      </c>
      <c r="I3655" s="2">
        <v>13.99</v>
      </c>
      <c r="J3655">
        <v>1</v>
      </c>
      <c r="K3655" s="2">
        <f t="shared" si="114"/>
        <v>13.99</v>
      </c>
      <c r="L3655" t="s">
        <v>19</v>
      </c>
      <c r="M3655">
        <v>2</v>
      </c>
      <c r="N3655">
        <v>0.17</v>
      </c>
      <c r="O3655" t="str">
        <f t="shared" si="115"/>
        <v>0–0.2 hours</v>
      </c>
      <c r="P3655" t="s">
        <v>52</v>
      </c>
    </row>
    <row r="3656" spans="1:16" x14ac:dyDescent="0.4">
      <c r="A3656" t="s">
        <v>3697</v>
      </c>
      <c r="B3656">
        <v>36</v>
      </c>
      <c r="C3656" t="s">
        <v>41</v>
      </c>
      <c r="D3656" t="s">
        <v>22</v>
      </c>
      <c r="E3656">
        <v>4.34</v>
      </c>
      <c r="F3656">
        <v>57</v>
      </c>
      <c r="G3656" t="s">
        <v>49</v>
      </c>
      <c r="H3656" t="s">
        <v>46</v>
      </c>
      <c r="I3656" s="2">
        <v>13.99</v>
      </c>
      <c r="J3656">
        <v>1</v>
      </c>
      <c r="K3656" s="2">
        <f t="shared" si="114"/>
        <v>13.99</v>
      </c>
      <c r="L3656" t="s">
        <v>37</v>
      </c>
      <c r="M3656">
        <v>3</v>
      </c>
      <c r="N3656">
        <v>7.0000000000000007E-2</v>
      </c>
      <c r="O3656" t="str">
        <f t="shared" si="115"/>
        <v>0–0.2 hours</v>
      </c>
      <c r="P3656" t="s">
        <v>39</v>
      </c>
    </row>
    <row r="3657" spans="1:16" x14ac:dyDescent="0.4">
      <c r="A3657" t="s">
        <v>3698</v>
      </c>
      <c r="B3657">
        <v>35</v>
      </c>
      <c r="C3657" t="s">
        <v>27</v>
      </c>
      <c r="D3657" t="s">
        <v>32</v>
      </c>
      <c r="E3657">
        <v>12.01</v>
      </c>
      <c r="F3657">
        <v>5</v>
      </c>
      <c r="G3657" t="s">
        <v>28</v>
      </c>
      <c r="H3657" t="s">
        <v>24</v>
      </c>
      <c r="I3657" s="2">
        <v>17.989999999999998</v>
      </c>
      <c r="J3657">
        <v>0</v>
      </c>
      <c r="K3657" s="2">
        <f t="shared" si="114"/>
        <v>0</v>
      </c>
      <c r="L3657" t="s">
        <v>37</v>
      </c>
      <c r="M3657">
        <v>4</v>
      </c>
      <c r="N3657">
        <v>2</v>
      </c>
      <c r="O3657" t="str">
        <f t="shared" si="115"/>
        <v>1+ hours</v>
      </c>
      <c r="P3657" t="s">
        <v>34</v>
      </c>
    </row>
    <row r="3658" spans="1:16" x14ac:dyDescent="0.4">
      <c r="A3658" t="s">
        <v>3699</v>
      </c>
      <c r="B3658">
        <v>51</v>
      </c>
      <c r="C3658" t="s">
        <v>41</v>
      </c>
      <c r="D3658" t="s">
        <v>16</v>
      </c>
      <c r="E3658">
        <v>89.83</v>
      </c>
      <c r="F3658">
        <v>53</v>
      </c>
      <c r="G3658" t="s">
        <v>49</v>
      </c>
      <c r="H3658" t="s">
        <v>46</v>
      </c>
      <c r="I3658" s="2">
        <v>8.99</v>
      </c>
      <c r="J3658">
        <v>0</v>
      </c>
      <c r="K3658" s="2">
        <f t="shared" si="114"/>
        <v>0</v>
      </c>
      <c r="L3658" t="s">
        <v>19</v>
      </c>
      <c r="M3658">
        <v>5</v>
      </c>
      <c r="N3658">
        <v>1.66</v>
      </c>
      <c r="O3658" t="str">
        <f t="shared" si="115"/>
        <v>1+ hours</v>
      </c>
      <c r="P3658" t="s">
        <v>30</v>
      </c>
    </row>
    <row r="3659" spans="1:16" x14ac:dyDescent="0.4">
      <c r="A3659" t="s">
        <v>3700</v>
      </c>
      <c r="B3659">
        <v>22</v>
      </c>
      <c r="C3659" t="s">
        <v>27</v>
      </c>
      <c r="D3659" t="s">
        <v>32</v>
      </c>
      <c r="E3659">
        <v>0.79</v>
      </c>
      <c r="F3659">
        <v>17</v>
      </c>
      <c r="G3659" t="s">
        <v>70</v>
      </c>
      <c r="H3659" t="s">
        <v>24</v>
      </c>
      <c r="I3659" s="2">
        <v>17.989999999999998</v>
      </c>
      <c r="J3659">
        <v>1</v>
      </c>
      <c r="K3659" s="2">
        <f t="shared" si="114"/>
        <v>17.989999999999998</v>
      </c>
      <c r="L3659" t="s">
        <v>29</v>
      </c>
      <c r="M3659">
        <v>4</v>
      </c>
      <c r="N3659">
        <v>0.04</v>
      </c>
      <c r="O3659" t="str">
        <f t="shared" si="115"/>
        <v>0–0.2 hours</v>
      </c>
      <c r="P3659" t="s">
        <v>34</v>
      </c>
    </row>
    <row r="3660" spans="1:16" x14ac:dyDescent="0.4">
      <c r="A3660" t="s">
        <v>3701</v>
      </c>
      <c r="B3660">
        <v>19</v>
      </c>
      <c r="C3660" t="s">
        <v>27</v>
      </c>
      <c r="D3660" t="s">
        <v>22</v>
      </c>
      <c r="E3660">
        <v>13.89</v>
      </c>
      <c r="F3660">
        <v>30</v>
      </c>
      <c r="G3660" t="s">
        <v>28</v>
      </c>
      <c r="H3660" t="s">
        <v>55</v>
      </c>
      <c r="I3660" s="2">
        <v>13.99</v>
      </c>
      <c r="J3660">
        <v>0</v>
      </c>
      <c r="K3660" s="2">
        <f t="shared" si="114"/>
        <v>0</v>
      </c>
      <c r="L3660" t="s">
        <v>29</v>
      </c>
      <c r="M3660">
        <v>3</v>
      </c>
      <c r="N3660">
        <v>0.45</v>
      </c>
      <c r="O3660" t="str">
        <f t="shared" si="115"/>
        <v>0.4–0.6 hours</v>
      </c>
      <c r="P3660" t="s">
        <v>25</v>
      </c>
    </row>
    <row r="3661" spans="1:16" x14ac:dyDescent="0.4">
      <c r="A3661" t="s">
        <v>3702</v>
      </c>
      <c r="B3661">
        <v>58</v>
      </c>
      <c r="C3661" t="s">
        <v>15</v>
      </c>
      <c r="D3661" t="s">
        <v>16</v>
      </c>
      <c r="E3661">
        <v>20.100000000000001</v>
      </c>
      <c r="F3661">
        <v>25</v>
      </c>
      <c r="G3661" t="s">
        <v>49</v>
      </c>
      <c r="H3661" t="s">
        <v>24</v>
      </c>
      <c r="I3661" s="2">
        <v>8.99</v>
      </c>
      <c r="J3661">
        <v>0</v>
      </c>
      <c r="K3661" s="2">
        <f t="shared" si="114"/>
        <v>0</v>
      </c>
      <c r="L3661" t="s">
        <v>43</v>
      </c>
      <c r="M3661">
        <v>2</v>
      </c>
      <c r="N3661">
        <v>0.77</v>
      </c>
      <c r="O3661" t="str">
        <f t="shared" si="115"/>
        <v>0.6–0.8 hours</v>
      </c>
      <c r="P3661" t="s">
        <v>20</v>
      </c>
    </row>
    <row r="3662" spans="1:16" x14ac:dyDescent="0.4">
      <c r="A3662" t="s">
        <v>3703</v>
      </c>
      <c r="B3662">
        <v>37</v>
      </c>
      <c r="C3662" t="s">
        <v>15</v>
      </c>
      <c r="D3662" t="s">
        <v>22</v>
      </c>
      <c r="E3662">
        <v>0.44</v>
      </c>
      <c r="F3662">
        <v>35</v>
      </c>
      <c r="G3662" t="s">
        <v>17</v>
      </c>
      <c r="H3662" t="s">
        <v>18</v>
      </c>
      <c r="I3662" s="2">
        <v>13.99</v>
      </c>
      <c r="J3662">
        <v>1</v>
      </c>
      <c r="K3662" s="2">
        <f t="shared" si="114"/>
        <v>13.99</v>
      </c>
      <c r="L3662" t="s">
        <v>19</v>
      </c>
      <c r="M3662">
        <v>2</v>
      </c>
      <c r="N3662">
        <v>0.01</v>
      </c>
      <c r="O3662" t="str">
        <f t="shared" si="115"/>
        <v>0–0.2 hours</v>
      </c>
      <c r="P3662" t="s">
        <v>34</v>
      </c>
    </row>
    <row r="3663" spans="1:16" x14ac:dyDescent="0.4">
      <c r="A3663" t="s">
        <v>3704</v>
      </c>
      <c r="B3663">
        <v>34</v>
      </c>
      <c r="C3663" t="s">
        <v>27</v>
      </c>
      <c r="D3663" t="s">
        <v>16</v>
      </c>
      <c r="E3663">
        <v>13.6</v>
      </c>
      <c r="F3663">
        <v>1</v>
      </c>
      <c r="G3663" t="s">
        <v>70</v>
      </c>
      <c r="H3663" t="s">
        <v>24</v>
      </c>
      <c r="I3663" s="2">
        <v>8.99</v>
      </c>
      <c r="J3663">
        <v>0</v>
      </c>
      <c r="K3663" s="2">
        <f t="shared" si="114"/>
        <v>0</v>
      </c>
      <c r="L3663" t="s">
        <v>37</v>
      </c>
      <c r="M3663">
        <v>2</v>
      </c>
      <c r="N3663">
        <v>6.8</v>
      </c>
      <c r="O3663" t="str">
        <f t="shared" si="115"/>
        <v>1+ hours</v>
      </c>
      <c r="P3663" t="s">
        <v>39</v>
      </c>
    </row>
    <row r="3664" spans="1:16" x14ac:dyDescent="0.4">
      <c r="A3664" t="s">
        <v>3705</v>
      </c>
      <c r="B3664">
        <v>47</v>
      </c>
      <c r="C3664" t="s">
        <v>27</v>
      </c>
      <c r="D3664" t="s">
        <v>16</v>
      </c>
      <c r="E3664">
        <v>2.57</v>
      </c>
      <c r="F3664">
        <v>10</v>
      </c>
      <c r="G3664" t="s">
        <v>49</v>
      </c>
      <c r="H3664" t="s">
        <v>57</v>
      </c>
      <c r="I3664" s="2">
        <v>8.99</v>
      </c>
      <c r="J3664">
        <v>1</v>
      </c>
      <c r="K3664" s="2">
        <f t="shared" si="114"/>
        <v>8.99</v>
      </c>
      <c r="L3664" t="s">
        <v>19</v>
      </c>
      <c r="M3664">
        <v>5</v>
      </c>
      <c r="N3664">
        <v>0.23</v>
      </c>
      <c r="O3664" t="str">
        <f t="shared" si="115"/>
        <v>0.2–0.4 hours</v>
      </c>
      <c r="P3664" t="s">
        <v>25</v>
      </c>
    </row>
    <row r="3665" spans="1:16" x14ac:dyDescent="0.4">
      <c r="A3665" t="s">
        <v>3706</v>
      </c>
      <c r="B3665">
        <v>26</v>
      </c>
      <c r="C3665" t="s">
        <v>41</v>
      </c>
      <c r="D3665" t="s">
        <v>32</v>
      </c>
      <c r="E3665">
        <v>16.34</v>
      </c>
      <c r="F3665">
        <v>5</v>
      </c>
      <c r="G3665" t="s">
        <v>28</v>
      </c>
      <c r="H3665" t="s">
        <v>18</v>
      </c>
      <c r="I3665" s="2">
        <v>17.989999999999998</v>
      </c>
      <c r="J3665">
        <v>0</v>
      </c>
      <c r="K3665" s="2">
        <f t="shared" si="114"/>
        <v>0</v>
      </c>
      <c r="L3665" t="s">
        <v>61</v>
      </c>
      <c r="M3665">
        <v>2</v>
      </c>
      <c r="N3665">
        <v>2.72</v>
      </c>
      <c r="O3665" t="str">
        <f t="shared" si="115"/>
        <v>1+ hours</v>
      </c>
      <c r="P3665" t="s">
        <v>30</v>
      </c>
    </row>
    <row r="3666" spans="1:16" x14ac:dyDescent="0.4">
      <c r="A3666" t="s">
        <v>3707</v>
      </c>
      <c r="B3666">
        <v>35</v>
      </c>
      <c r="C3666" t="s">
        <v>15</v>
      </c>
      <c r="D3666" t="s">
        <v>16</v>
      </c>
      <c r="E3666">
        <v>14.78</v>
      </c>
      <c r="F3666">
        <v>24</v>
      </c>
      <c r="G3666" t="s">
        <v>28</v>
      </c>
      <c r="H3666" t="s">
        <v>24</v>
      </c>
      <c r="I3666" s="2">
        <v>8.99</v>
      </c>
      <c r="J3666">
        <v>0</v>
      </c>
      <c r="K3666" s="2">
        <f t="shared" si="114"/>
        <v>0</v>
      </c>
      <c r="L3666" t="s">
        <v>29</v>
      </c>
      <c r="M3666">
        <v>4</v>
      </c>
      <c r="N3666">
        <v>0.59</v>
      </c>
      <c r="O3666" t="str">
        <f t="shared" si="115"/>
        <v>0.4–0.6 hours</v>
      </c>
      <c r="P3666" t="s">
        <v>25</v>
      </c>
    </row>
    <row r="3667" spans="1:16" x14ac:dyDescent="0.4">
      <c r="A3667" t="s">
        <v>3708</v>
      </c>
      <c r="B3667">
        <v>41</v>
      </c>
      <c r="C3667" t="s">
        <v>15</v>
      </c>
      <c r="D3667" t="s">
        <v>22</v>
      </c>
      <c r="E3667">
        <v>2.14</v>
      </c>
      <c r="F3667">
        <v>59</v>
      </c>
      <c r="G3667" t="s">
        <v>70</v>
      </c>
      <c r="H3667" t="s">
        <v>55</v>
      </c>
      <c r="I3667" s="2">
        <v>13.99</v>
      </c>
      <c r="J3667">
        <v>1</v>
      </c>
      <c r="K3667" s="2">
        <f t="shared" si="114"/>
        <v>13.99</v>
      </c>
      <c r="L3667" t="s">
        <v>61</v>
      </c>
      <c r="M3667">
        <v>1</v>
      </c>
      <c r="N3667">
        <v>0.04</v>
      </c>
      <c r="O3667" t="str">
        <f t="shared" si="115"/>
        <v>0–0.2 hours</v>
      </c>
      <c r="P3667" t="s">
        <v>34</v>
      </c>
    </row>
    <row r="3668" spans="1:16" x14ac:dyDescent="0.4">
      <c r="A3668" t="s">
        <v>3709</v>
      </c>
      <c r="B3668">
        <v>65</v>
      </c>
      <c r="C3668" t="s">
        <v>41</v>
      </c>
      <c r="D3668" t="s">
        <v>16</v>
      </c>
      <c r="E3668">
        <v>0.71</v>
      </c>
      <c r="F3668">
        <v>54</v>
      </c>
      <c r="G3668" t="s">
        <v>33</v>
      </c>
      <c r="H3668" t="s">
        <v>46</v>
      </c>
      <c r="I3668" s="2">
        <v>8.99</v>
      </c>
      <c r="J3668">
        <v>1</v>
      </c>
      <c r="K3668" s="2">
        <f t="shared" si="114"/>
        <v>8.99</v>
      </c>
      <c r="L3668" t="s">
        <v>29</v>
      </c>
      <c r="M3668">
        <v>3</v>
      </c>
      <c r="N3668">
        <v>0.01</v>
      </c>
      <c r="O3668" t="str">
        <f t="shared" si="115"/>
        <v>0–0.2 hours</v>
      </c>
      <c r="P3668" t="s">
        <v>52</v>
      </c>
    </row>
    <row r="3669" spans="1:16" x14ac:dyDescent="0.4">
      <c r="A3669" t="s">
        <v>3710</v>
      </c>
      <c r="B3669">
        <v>63</v>
      </c>
      <c r="C3669" t="s">
        <v>41</v>
      </c>
      <c r="D3669" t="s">
        <v>32</v>
      </c>
      <c r="E3669">
        <v>45.68</v>
      </c>
      <c r="F3669">
        <v>52</v>
      </c>
      <c r="G3669" t="s">
        <v>49</v>
      </c>
      <c r="H3669" t="s">
        <v>55</v>
      </c>
      <c r="I3669" s="2">
        <v>17.989999999999998</v>
      </c>
      <c r="J3669">
        <v>0</v>
      </c>
      <c r="K3669" s="2">
        <f t="shared" si="114"/>
        <v>0</v>
      </c>
      <c r="L3669" t="s">
        <v>19</v>
      </c>
      <c r="M3669">
        <v>1</v>
      </c>
      <c r="N3669">
        <v>0.86</v>
      </c>
      <c r="O3669" t="str">
        <f t="shared" si="115"/>
        <v>0.8–1 hour</v>
      </c>
      <c r="P3669" t="s">
        <v>25</v>
      </c>
    </row>
    <row r="3670" spans="1:16" x14ac:dyDescent="0.4">
      <c r="A3670" t="s">
        <v>3711</v>
      </c>
      <c r="B3670">
        <v>54</v>
      </c>
      <c r="C3670" t="s">
        <v>15</v>
      </c>
      <c r="D3670" t="s">
        <v>22</v>
      </c>
      <c r="E3670">
        <v>2.91</v>
      </c>
      <c r="F3670">
        <v>26</v>
      </c>
      <c r="G3670" t="s">
        <v>23</v>
      </c>
      <c r="H3670" t="s">
        <v>46</v>
      </c>
      <c r="I3670" s="2">
        <v>13.99</v>
      </c>
      <c r="J3670">
        <v>1</v>
      </c>
      <c r="K3670" s="2">
        <f t="shared" si="114"/>
        <v>13.99</v>
      </c>
      <c r="L3670" t="s">
        <v>19</v>
      </c>
      <c r="M3670">
        <v>5</v>
      </c>
      <c r="N3670">
        <v>0.11</v>
      </c>
      <c r="O3670" t="str">
        <f t="shared" si="115"/>
        <v>0–0.2 hours</v>
      </c>
      <c r="P3670" t="s">
        <v>52</v>
      </c>
    </row>
    <row r="3671" spans="1:16" x14ac:dyDescent="0.4">
      <c r="A3671" t="s">
        <v>3712</v>
      </c>
      <c r="B3671">
        <v>26</v>
      </c>
      <c r="C3671" t="s">
        <v>41</v>
      </c>
      <c r="D3671" t="s">
        <v>22</v>
      </c>
      <c r="E3671">
        <v>3.81</v>
      </c>
      <c r="F3671">
        <v>41</v>
      </c>
      <c r="G3671" t="s">
        <v>49</v>
      </c>
      <c r="H3671" t="s">
        <v>18</v>
      </c>
      <c r="I3671" s="2">
        <v>13.99</v>
      </c>
      <c r="J3671">
        <v>1</v>
      </c>
      <c r="K3671" s="2">
        <f t="shared" si="114"/>
        <v>13.99</v>
      </c>
      <c r="L3671" t="s">
        <v>29</v>
      </c>
      <c r="M3671">
        <v>4</v>
      </c>
      <c r="N3671">
        <v>0.09</v>
      </c>
      <c r="O3671" t="str">
        <f t="shared" si="115"/>
        <v>0–0.2 hours</v>
      </c>
      <c r="P3671" t="s">
        <v>52</v>
      </c>
    </row>
    <row r="3672" spans="1:16" x14ac:dyDescent="0.4">
      <c r="A3672" t="s">
        <v>3713</v>
      </c>
      <c r="B3672">
        <v>69</v>
      </c>
      <c r="C3672" t="s">
        <v>41</v>
      </c>
      <c r="D3672" t="s">
        <v>32</v>
      </c>
      <c r="E3672">
        <v>11.8</v>
      </c>
      <c r="F3672">
        <v>53</v>
      </c>
      <c r="G3672" t="s">
        <v>33</v>
      </c>
      <c r="H3672" t="s">
        <v>57</v>
      </c>
      <c r="I3672" s="2">
        <v>17.989999999999998</v>
      </c>
      <c r="J3672">
        <v>1</v>
      </c>
      <c r="K3672" s="2">
        <f t="shared" si="114"/>
        <v>17.989999999999998</v>
      </c>
      <c r="L3672" t="s">
        <v>29</v>
      </c>
      <c r="M3672">
        <v>5</v>
      </c>
      <c r="N3672">
        <v>0.22</v>
      </c>
      <c r="O3672" t="str">
        <f t="shared" si="115"/>
        <v>0.2–0.4 hours</v>
      </c>
      <c r="P3672" t="s">
        <v>47</v>
      </c>
    </row>
    <row r="3673" spans="1:16" x14ac:dyDescent="0.4">
      <c r="A3673" t="s">
        <v>3714</v>
      </c>
      <c r="B3673">
        <v>45</v>
      </c>
      <c r="C3673" t="s">
        <v>27</v>
      </c>
      <c r="D3673" t="s">
        <v>16</v>
      </c>
      <c r="E3673">
        <v>9.77</v>
      </c>
      <c r="F3673">
        <v>16</v>
      </c>
      <c r="G3673" t="s">
        <v>28</v>
      </c>
      <c r="H3673" t="s">
        <v>46</v>
      </c>
      <c r="I3673" s="2">
        <v>8.99</v>
      </c>
      <c r="J3673">
        <v>0</v>
      </c>
      <c r="K3673" s="2">
        <f t="shared" si="114"/>
        <v>0</v>
      </c>
      <c r="L3673" t="s">
        <v>19</v>
      </c>
      <c r="M3673">
        <v>2</v>
      </c>
      <c r="N3673">
        <v>0.56999999999999995</v>
      </c>
      <c r="O3673" t="str">
        <f t="shared" si="115"/>
        <v>0.4–0.6 hours</v>
      </c>
      <c r="P3673" t="s">
        <v>39</v>
      </c>
    </row>
    <row r="3674" spans="1:16" x14ac:dyDescent="0.4">
      <c r="A3674" t="s">
        <v>3715</v>
      </c>
      <c r="B3674">
        <v>18</v>
      </c>
      <c r="C3674" t="s">
        <v>27</v>
      </c>
      <c r="D3674" t="s">
        <v>16</v>
      </c>
      <c r="E3674">
        <v>0.33</v>
      </c>
      <c r="F3674">
        <v>28</v>
      </c>
      <c r="G3674" t="s">
        <v>33</v>
      </c>
      <c r="H3674" t="s">
        <v>57</v>
      </c>
      <c r="I3674" s="2">
        <v>8.99</v>
      </c>
      <c r="J3674">
        <v>1</v>
      </c>
      <c r="K3674" s="2">
        <f t="shared" si="114"/>
        <v>8.99</v>
      </c>
      <c r="L3674" t="s">
        <v>43</v>
      </c>
      <c r="M3674">
        <v>3</v>
      </c>
      <c r="N3674">
        <v>0.01</v>
      </c>
      <c r="O3674" t="str">
        <f t="shared" si="115"/>
        <v>0–0.2 hours</v>
      </c>
      <c r="P3674" t="s">
        <v>20</v>
      </c>
    </row>
    <row r="3675" spans="1:16" x14ac:dyDescent="0.4">
      <c r="A3675" t="s">
        <v>3716</v>
      </c>
      <c r="B3675">
        <v>30</v>
      </c>
      <c r="C3675" t="s">
        <v>15</v>
      </c>
      <c r="D3675" t="s">
        <v>22</v>
      </c>
      <c r="E3675">
        <v>7.51</v>
      </c>
      <c r="F3675">
        <v>45</v>
      </c>
      <c r="G3675" t="s">
        <v>23</v>
      </c>
      <c r="H3675" t="s">
        <v>57</v>
      </c>
      <c r="I3675" s="2">
        <v>13.99</v>
      </c>
      <c r="J3675">
        <v>1</v>
      </c>
      <c r="K3675" s="2">
        <f t="shared" si="114"/>
        <v>13.99</v>
      </c>
      <c r="L3675" t="s">
        <v>29</v>
      </c>
      <c r="M3675">
        <v>3</v>
      </c>
      <c r="N3675">
        <v>0.16</v>
      </c>
      <c r="O3675" t="str">
        <f t="shared" si="115"/>
        <v>0–0.2 hours</v>
      </c>
      <c r="P3675" t="s">
        <v>34</v>
      </c>
    </row>
    <row r="3676" spans="1:16" x14ac:dyDescent="0.4">
      <c r="A3676" t="s">
        <v>3717</v>
      </c>
      <c r="B3676">
        <v>58</v>
      </c>
      <c r="C3676" t="s">
        <v>27</v>
      </c>
      <c r="D3676" t="s">
        <v>32</v>
      </c>
      <c r="E3676">
        <v>24.06</v>
      </c>
      <c r="F3676">
        <v>38</v>
      </c>
      <c r="G3676" t="s">
        <v>70</v>
      </c>
      <c r="H3676" t="s">
        <v>24</v>
      </c>
      <c r="I3676" s="2">
        <v>17.989999999999998</v>
      </c>
      <c r="J3676">
        <v>0</v>
      </c>
      <c r="K3676" s="2">
        <f t="shared" si="114"/>
        <v>0</v>
      </c>
      <c r="L3676" t="s">
        <v>43</v>
      </c>
      <c r="M3676">
        <v>5</v>
      </c>
      <c r="N3676">
        <v>0.62</v>
      </c>
      <c r="O3676" t="str">
        <f t="shared" si="115"/>
        <v>0.6–0.8 hours</v>
      </c>
      <c r="P3676" t="s">
        <v>34</v>
      </c>
    </row>
    <row r="3677" spans="1:16" x14ac:dyDescent="0.4">
      <c r="A3677" t="s">
        <v>3718</v>
      </c>
      <c r="B3677">
        <v>37</v>
      </c>
      <c r="C3677" t="s">
        <v>15</v>
      </c>
      <c r="D3677" t="s">
        <v>22</v>
      </c>
      <c r="E3677">
        <v>8.25</v>
      </c>
      <c r="F3677">
        <v>4</v>
      </c>
      <c r="G3677" t="s">
        <v>70</v>
      </c>
      <c r="H3677" t="s">
        <v>46</v>
      </c>
      <c r="I3677" s="2">
        <v>13.99</v>
      </c>
      <c r="J3677">
        <v>0</v>
      </c>
      <c r="K3677" s="2">
        <f t="shared" si="114"/>
        <v>0</v>
      </c>
      <c r="L3677" t="s">
        <v>43</v>
      </c>
      <c r="M3677">
        <v>1</v>
      </c>
      <c r="N3677">
        <v>1.65</v>
      </c>
      <c r="O3677" t="str">
        <f t="shared" si="115"/>
        <v>1+ hours</v>
      </c>
      <c r="P3677" t="s">
        <v>34</v>
      </c>
    </row>
    <row r="3678" spans="1:16" x14ac:dyDescent="0.4">
      <c r="A3678" t="s">
        <v>3719</v>
      </c>
      <c r="B3678">
        <v>18</v>
      </c>
      <c r="C3678" t="s">
        <v>27</v>
      </c>
      <c r="D3678" t="s">
        <v>22</v>
      </c>
      <c r="E3678">
        <v>0.27</v>
      </c>
      <c r="F3678">
        <v>20</v>
      </c>
      <c r="G3678" t="s">
        <v>33</v>
      </c>
      <c r="H3678" t="s">
        <v>55</v>
      </c>
      <c r="I3678" s="2">
        <v>13.99</v>
      </c>
      <c r="J3678">
        <v>1</v>
      </c>
      <c r="K3678" s="2">
        <f t="shared" si="114"/>
        <v>13.99</v>
      </c>
      <c r="L3678" t="s">
        <v>61</v>
      </c>
      <c r="M3678">
        <v>1</v>
      </c>
      <c r="N3678">
        <v>0.01</v>
      </c>
      <c r="O3678" t="str">
        <f t="shared" si="115"/>
        <v>0–0.2 hours</v>
      </c>
      <c r="P3678" t="s">
        <v>47</v>
      </c>
    </row>
    <row r="3679" spans="1:16" x14ac:dyDescent="0.4">
      <c r="A3679" t="s">
        <v>3720</v>
      </c>
      <c r="B3679">
        <v>57</v>
      </c>
      <c r="C3679" t="s">
        <v>27</v>
      </c>
      <c r="D3679" t="s">
        <v>32</v>
      </c>
      <c r="E3679">
        <v>0.98</v>
      </c>
      <c r="F3679">
        <v>59</v>
      </c>
      <c r="G3679" t="s">
        <v>17</v>
      </c>
      <c r="H3679" t="s">
        <v>46</v>
      </c>
      <c r="I3679" s="2">
        <v>17.989999999999998</v>
      </c>
      <c r="J3679">
        <v>1</v>
      </c>
      <c r="K3679" s="2">
        <f t="shared" si="114"/>
        <v>17.989999999999998</v>
      </c>
      <c r="L3679" t="s">
        <v>37</v>
      </c>
      <c r="M3679">
        <v>2</v>
      </c>
      <c r="N3679">
        <v>0.02</v>
      </c>
      <c r="O3679" t="str">
        <f t="shared" si="115"/>
        <v>0–0.2 hours</v>
      </c>
      <c r="P3679" t="s">
        <v>52</v>
      </c>
    </row>
    <row r="3680" spans="1:16" x14ac:dyDescent="0.4">
      <c r="A3680" t="s">
        <v>3721</v>
      </c>
      <c r="B3680">
        <v>59</v>
      </c>
      <c r="C3680" t="s">
        <v>27</v>
      </c>
      <c r="D3680" t="s">
        <v>32</v>
      </c>
      <c r="E3680">
        <v>0.1</v>
      </c>
      <c r="F3680">
        <v>20</v>
      </c>
      <c r="G3680" t="s">
        <v>70</v>
      </c>
      <c r="H3680" t="s">
        <v>46</v>
      </c>
      <c r="I3680" s="2">
        <v>17.989999999999998</v>
      </c>
      <c r="J3680">
        <v>1</v>
      </c>
      <c r="K3680" s="2">
        <f t="shared" si="114"/>
        <v>17.989999999999998</v>
      </c>
      <c r="L3680" t="s">
        <v>29</v>
      </c>
      <c r="M3680">
        <v>1</v>
      </c>
      <c r="N3680">
        <v>0</v>
      </c>
      <c r="O3680" t="str">
        <f t="shared" si="115"/>
        <v>0–0.2 hours</v>
      </c>
      <c r="P3680" t="s">
        <v>25</v>
      </c>
    </row>
    <row r="3681" spans="1:16" x14ac:dyDescent="0.4">
      <c r="A3681" t="s">
        <v>3722</v>
      </c>
      <c r="B3681">
        <v>29</v>
      </c>
      <c r="C3681" t="s">
        <v>15</v>
      </c>
      <c r="D3681" t="s">
        <v>32</v>
      </c>
      <c r="E3681">
        <v>8.1300000000000008</v>
      </c>
      <c r="F3681">
        <v>17</v>
      </c>
      <c r="G3681" t="s">
        <v>33</v>
      </c>
      <c r="H3681" t="s">
        <v>18</v>
      </c>
      <c r="I3681" s="2">
        <v>17.989999999999998</v>
      </c>
      <c r="J3681">
        <v>0</v>
      </c>
      <c r="K3681" s="2">
        <f t="shared" si="114"/>
        <v>0</v>
      </c>
      <c r="L3681" t="s">
        <v>61</v>
      </c>
      <c r="M3681">
        <v>2</v>
      </c>
      <c r="N3681">
        <v>0.45</v>
      </c>
      <c r="O3681" t="str">
        <f t="shared" si="115"/>
        <v>0.4–0.6 hours</v>
      </c>
      <c r="P3681" t="s">
        <v>25</v>
      </c>
    </row>
    <row r="3682" spans="1:16" x14ac:dyDescent="0.4">
      <c r="A3682" t="s">
        <v>3723</v>
      </c>
      <c r="B3682">
        <v>66</v>
      </c>
      <c r="C3682" t="s">
        <v>41</v>
      </c>
      <c r="D3682" t="s">
        <v>22</v>
      </c>
      <c r="E3682">
        <v>3.46</v>
      </c>
      <c r="F3682">
        <v>44</v>
      </c>
      <c r="G3682" t="s">
        <v>33</v>
      </c>
      <c r="H3682" t="s">
        <v>57</v>
      </c>
      <c r="I3682" s="2">
        <v>13.99</v>
      </c>
      <c r="J3682">
        <v>1</v>
      </c>
      <c r="K3682" s="2">
        <f t="shared" si="114"/>
        <v>13.99</v>
      </c>
      <c r="L3682" t="s">
        <v>29</v>
      </c>
      <c r="M3682">
        <v>4</v>
      </c>
      <c r="N3682">
        <v>0.08</v>
      </c>
      <c r="O3682" t="str">
        <f t="shared" si="115"/>
        <v>0–0.2 hours</v>
      </c>
      <c r="P3682" t="s">
        <v>47</v>
      </c>
    </row>
    <row r="3683" spans="1:16" x14ac:dyDescent="0.4">
      <c r="A3683" t="s">
        <v>3724</v>
      </c>
      <c r="B3683">
        <v>55</v>
      </c>
      <c r="C3683" t="s">
        <v>41</v>
      </c>
      <c r="D3683" t="s">
        <v>16</v>
      </c>
      <c r="E3683">
        <v>2.74</v>
      </c>
      <c r="F3683">
        <v>44</v>
      </c>
      <c r="G3683" t="s">
        <v>49</v>
      </c>
      <c r="H3683" t="s">
        <v>46</v>
      </c>
      <c r="I3683" s="2">
        <v>8.99</v>
      </c>
      <c r="J3683">
        <v>1</v>
      </c>
      <c r="K3683" s="2">
        <f t="shared" si="114"/>
        <v>8.99</v>
      </c>
      <c r="L3683" t="s">
        <v>61</v>
      </c>
      <c r="M3683">
        <v>4</v>
      </c>
      <c r="N3683">
        <v>0.06</v>
      </c>
      <c r="O3683" t="str">
        <f t="shared" si="115"/>
        <v>0–0.2 hours</v>
      </c>
      <c r="P3683" t="s">
        <v>52</v>
      </c>
    </row>
    <row r="3684" spans="1:16" x14ac:dyDescent="0.4">
      <c r="A3684" s="1" t="s">
        <v>3725</v>
      </c>
      <c r="B3684">
        <v>39</v>
      </c>
      <c r="C3684" t="s">
        <v>41</v>
      </c>
      <c r="D3684" t="s">
        <v>32</v>
      </c>
      <c r="E3684">
        <v>21.09</v>
      </c>
      <c r="F3684">
        <v>57</v>
      </c>
      <c r="G3684" t="s">
        <v>70</v>
      </c>
      <c r="H3684" t="s">
        <v>46</v>
      </c>
      <c r="I3684" s="2">
        <v>17.989999999999998</v>
      </c>
      <c r="J3684">
        <v>0</v>
      </c>
      <c r="K3684" s="2">
        <f t="shared" si="114"/>
        <v>0</v>
      </c>
      <c r="L3684" t="s">
        <v>19</v>
      </c>
      <c r="M3684">
        <v>2</v>
      </c>
      <c r="N3684">
        <v>0.36</v>
      </c>
      <c r="O3684" t="str">
        <f t="shared" si="115"/>
        <v>0.2–0.4 hours</v>
      </c>
      <c r="P3684" t="s">
        <v>30</v>
      </c>
    </row>
    <row r="3685" spans="1:16" x14ac:dyDescent="0.4">
      <c r="A3685" t="s">
        <v>3726</v>
      </c>
      <c r="B3685">
        <v>51</v>
      </c>
      <c r="C3685" t="s">
        <v>15</v>
      </c>
      <c r="D3685" t="s">
        <v>32</v>
      </c>
      <c r="E3685">
        <v>4.43</v>
      </c>
      <c r="F3685">
        <v>9</v>
      </c>
      <c r="G3685" t="s">
        <v>49</v>
      </c>
      <c r="H3685" t="s">
        <v>46</v>
      </c>
      <c r="I3685" s="2">
        <v>17.989999999999998</v>
      </c>
      <c r="J3685">
        <v>1</v>
      </c>
      <c r="K3685" s="2">
        <f t="shared" si="114"/>
        <v>17.989999999999998</v>
      </c>
      <c r="L3685" t="s">
        <v>19</v>
      </c>
      <c r="M3685">
        <v>3</v>
      </c>
      <c r="N3685">
        <v>0.44</v>
      </c>
      <c r="O3685" t="str">
        <f t="shared" si="115"/>
        <v>0.4–0.6 hours</v>
      </c>
      <c r="P3685" t="s">
        <v>34</v>
      </c>
    </row>
    <row r="3686" spans="1:16" x14ac:dyDescent="0.4">
      <c r="A3686" t="s">
        <v>3727</v>
      </c>
      <c r="B3686">
        <v>57</v>
      </c>
      <c r="C3686" t="s">
        <v>27</v>
      </c>
      <c r="D3686" t="s">
        <v>22</v>
      </c>
      <c r="E3686">
        <v>1.41</v>
      </c>
      <c r="F3686">
        <v>11</v>
      </c>
      <c r="G3686" t="s">
        <v>23</v>
      </c>
      <c r="H3686" t="s">
        <v>57</v>
      </c>
      <c r="I3686" s="2">
        <v>13.99</v>
      </c>
      <c r="J3686">
        <v>0</v>
      </c>
      <c r="K3686" s="2">
        <f t="shared" si="114"/>
        <v>0</v>
      </c>
      <c r="L3686" t="s">
        <v>43</v>
      </c>
      <c r="M3686">
        <v>5</v>
      </c>
      <c r="N3686">
        <v>0.12</v>
      </c>
      <c r="O3686" t="str">
        <f t="shared" si="115"/>
        <v>0–0.2 hours</v>
      </c>
      <c r="P3686" t="s">
        <v>39</v>
      </c>
    </row>
    <row r="3687" spans="1:16" x14ac:dyDescent="0.4">
      <c r="A3687" t="s">
        <v>3728</v>
      </c>
      <c r="B3687">
        <v>48</v>
      </c>
      <c r="C3687" t="s">
        <v>15</v>
      </c>
      <c r="D3687" t="s">
        <v>16</v>
      </c>
      <c r="E3687">
        <v>3.04</v>
      </c>
      <c r="F3687">
        <v>20</v>
      </c>
      <c r="G3687" t="s">
        <v>23</v>
      </c>
      <c r="H3687" t="s">
        <v>24</v>
      </c>
      <c r="I3687" s="2">
        <v>8.99</v>
      </c>
      <c r="J3687">
        <v>1</v>
      </c>
      <c r="K3687" s="2">
        <f t="shared" si="114"/>
        <v>8.99</v>
      </c>
      <c r="L3687" t="s">
        <v>37</v>
      </c>
      <c r="M3687">
        <v>2</v>
      </c>
      <c r="N3687">
        <v>0.14000000000000001</v>
      </c>
      <c r="O3687" t="str">
        <f t="shared" si="115"/>
        <v>0–0.2 hours</v>
      </c>
      <c r="P3687" t="s">
        <v>20</v>
      </c>
    </row>
    <row r="3688" spans="1:16" x14ac:dyDescent="0.4">
      <c r="A3688" t="s">
        <v>3729</v>
      </c>
      <c r="B3688">
        <v>26</v>
      </c>
      <c r="C3688" t="s">
        <v>27</v>
      </c>
      <c r="D3688" t="s">
        <v>32</v>
      </c>
      <c r="E3688">
        <v>4.66</v>
      </c>
      <c r="F3688">
        <v>38</v>
      </c>
      <c r="G3688" t="s">
        <v>49</v>
      </c>
      <c r="H3688" t="s">
        <v>46</v>
      </c>
      <c r="I3688" s="2">
        <v>17.989999999999998</v>
      </c>
      <c r="J3688">
        <v>1</v>
      </c>
      <c r="K3688" s="2">
        <f t="shared" si="114"/>
        <v>17.989999999999998</v>
      </c>
      <c r="L3688" t="s">
        <v>37</v>
      </c>
      <c r="M3688">
        <v>5</v>
      </c>
      <c r="N3688">
        <v>0.12</v>
      </c>
      <c r="O3688" t="str">
        <f t="shared" si="115"/>
        <v>0–0.2 hours</v>
      </c>
      <c r="P3688" t="s">
        <v>52</v>
      </c>
    </row>
    <row r="3689" spans="1:16" x14ac:dyDescent="0.4">
      <c r="A3689" t="s">
        <v>3730</v>
      </c>
      <c r="B3689">
        <v>34</v>
      </c>
      <c r="C3689" t="s">
        <v>27</v>
      </c>
      <c r="D3689" t="s">
        <v>16</v>
      </c>
      <c r="E3689">
        <v>18.39</v>
      </c>
      <c r="F3689">
        <v>53</v>
      </c>
      <c r="G3689" t="s">
        <v>33</v>
      </c>
      <c r="H3689" t="s">
        <v>46</v>
      </c>
      <c r="I3689" s="2">
        <v>8.99</v>
      </c>
      <c r="J3689">
        <v>1</v>
      </c>
      <c r="K3689" s="2">
        <f t="shared" si="114"/>
        <v>8.99</v>
      </c>
      <c r="L3689" t="s">
        <v>37</v>
      </c>
      <c r="M3689">
        <v>1</v>
      </c>
      <c r="N3689">
        <v>0.34</v>
      </c>
      <c r="O3689" t="str">
        <f t="shared" si="115"/>
        <v>0.2–0.4 hours</v>
      </c>
      <c r="P3689" t="s">
        <v>20</v>
      </c>
    </row>
    <row r="3690" spans="1:16" x14ac:dyDescent="0.4">
      <c r="A3690" t="s">
        <v>3731</v>
      </c>
      <c r="B3690">
        <v>18</v>
      </c>
      <c r="C3690" t="s">
        <v>41</v>
      </c>
      <c r="D3690" t="s">
        <v>22</v>
      </c>
      <c r="E3690">
        <v>3.03</v>
      </c>
      <c r="F3690">
        <v>22</v>
      </c>
      <c r="G3690" t="s">
        <v>33</v>
      </c>
      <c r="H3690" t="s">
        <v>57</v>
      </c>
      <c r="I3690" s="2">
        <v>13.99</v>
      </c>
      <c r="J3690">
        <v>1</v>
      </c>
      <c r="K3690" s="2">
        <f t="shared" si="114"/>
        <v>13.99</v>
      </c>
      <c r="L3690" t="s">
        <v>19</v>
      </c>
      <c r="M3690">
        <v>5</v>
      </c>
      <c r="N3690">
        <v>0.13</v>
      </c>
      <c r="O3690" t="str">
        <f t="shared" si="115"/>
        <v>0–0.2 hours</v>
      </c>
      <c r="P3690" t="s">
        <v>20</v>
      </c>
    </row>
    <row r="3691" spans="1:16" x14ac:dyDescent="0.4">
      <c r="A3691" t="s">
        <v>3732</v>
      </c>
      <c r="B3691">
        <v>51</v>
      </c>
      <c r="C3691" t="s">
        <v>41</v>
      </c>
      <c r="D3691" t="s">
        <v>16</v>
      </c>
      <c r="E3691">
        <v>6.65</v>
      </c>
      <c r="F3691">
        <v>2</v>
      </c>
      <c r="G3691" t="s">
        <v>70</v>
      </c>
      <c r="H3691" t="s">
        <v>18</v>
      </c>
      <c r="I3691" s="2">
        <v>8.99</v>
      </c>
      <c r="J3691">
        <v>0</v>
      </c>
      <c r="K3691" s="2">
        <f t="shared" si="114"/>
        <v>0</v>
      </c>
      <c r="L3691" t="s">
        <v>43</v>
      </c>
      <c r="M3691">
        <v>4</v>
      </c>
      <c r="N3691">
        <v>2.2200000000000002</v>
      </c>
      <c r="O3691" t="str">
        <f t="shared" si="115"/>
        <v>1+ hours</v>
      </c>
      <c r="P3691" t="s">
        <v>34</v>
      </c>
    </row>
    <row r="3692" spans="1:16" x14ac:dyDescent="0.4">
      <c r="A3692" t="s">
        <v>3733</v>
      </c>
      <c r="B3692">
        <v>55</v>
      </c>
      <c r="C3692" t="s">
        <v>41</v>
      </c>
      <c r="D3692" t="s">
        <v>16</v>
      </c>
      <c r="E3692">
        <v>7.22</v>
      </c>
      <c r="F3692">
        <v>3</v>
      </c>
      <c r="G3692" t="s">
        <v>70</v>
      </c>
      <c r="H3692" t="s">
        <v>57</v>
      </c>
      <c r="I3692" s="2">
        <v>8.99</v>
      </c>
      <c r="J3692">
        <v>0</v>
      </c>
      <c r="K3692" s="2">
        <f t="shared" si="114"/>
        <v>0</v>
      </c>
      <c r="L3692" t="s">
        <v>19</v>
      </c>
      <c r="M3692">
        <v>2</v>
      </c>
      <c r="N3692">
        <v>1.8</v>
      </c>
      <c r="O3692" t="str">
        <f t="shared" si="115"/>
        <v>1+ hours</v>
      </c>
      <c r="P3692" t="s">
        <v>39</v>
      </c>
    </row>
    <row r="3693" spans="1:16" x14ac:dyDescent="0.4">
      <c r="A3693" t="s">
        <v>3734</v>
      </c>
      <c r="B3693">
        <v>20</v>
      </c>
      <c r="C3693" t="s">
        <v>41</v>
      </c>
      <c r="D3693" t="s">
        <v>16</v>
      </c>
      <c r="E3693">
        <v>1.81</v>
      </c>
      <c r="F3693">
        <v>0</v>
      </c>
      <c r="G3693" t="s">
        <v>17</v>
      </c>
      <c r="H3693" t="s">
        <v>24</v>
      </c>
      <c r="I3693" s="2">
        <v>8.99</v>
      </c>
      <c r="J3693">
        <v>0</v>
      </c>
      <c r="K3693" s="2">
        <f t="shared" si="114"/>
        <v>0</v>
      </c>
      <c r="L3693" t="s">
        <v>61</v>
      </c>
      <c r="M3693">
        <v>3</v>
      </c>
      <c r="N3693">
        <v>1.81</v>
      </c>
      <c r="O3693" t="str">
        <f t="shared" si="115"/>
        <v>1+ hours</v>
      </c>
      <c r="P3693" t="s">
        <v>25</v>
      </c>
    </row>
    <row r="3694" spans="1:16" x14ac:dyDescent="0.4">
      <c r="A3694" t="s">
        <v>3735</v>
      </c>
      <c r="B3694">
        <v>21</v>
      </c>
      <c r="C3694" t="s">
        <v>15</v>
      </c>
      <c r="D3694" t="s">
        <v>32</v>
      </c>
      <c r="E3694">
        <v>27.46</v>
      </c>
      <c r="F3694">
        <v>43</v>
      </c>
      <c r="G3694" t="s">
        <v>70</v>
      </c>
      <c r="H3694" t="s">
        <v>57</v>
      </c>
      <c r="I3694" s="2">
        <v>17.989999999999998</v>
      </c>
      <c r="J3694">
        <v>0</v>
      </c>
      <c r="K3694" s="2">
        <f t="shared" si="114"/>
        <v>0</v>
      </c>
      <c r="L3694" t="s">
        <v>19</v>
      </c>
      <c r="M3694">
        <v>2</v>
      </c>
      <c r="N3694">
        <v>0.62</v>
      </c>
      <c r="O3694" t="str">
        <f t="shared" si="115"/>
        <v>0.6–0.8 hours</v>
      </c>
      <c r="P3694" t="s">
        <v>52</v>
      </c>
    </row>
    <row r="3695" spans="1:16" x14ac:dyDescent="0.4">
      <c r="A3695" t="s">
        <v>3736</v>
      </c>
      <c r="B3695">
        <v>70</v>
      </c>
      <c r="C3695" t="s">
        <v>15</v>
      </c>
      <c r="D3695" t="s">
        <v>16</v>
      </c>
      <c r="E3695">
        <v>18.36</v>
      </c>
      <c r="F3695">
        <v>46</v>
      </c>
      <c r="G3695" t="s">
        <v>70</v>
      </c>
      <c r="H3695" t="s">
        <v>46</v>
      </c>
      <c r="I3695" s="2">
        <v>8.99</v>
      </c>
      <c r="J3695">
        <v>1</v>
      </c>
      <c r="K3695" s="2">
        <f t="shared" si="114"/>
        <v>8.99</v>
      </c>
      <c r="L3695" t="s">
        <v>19</v>
      </c>
      <c r="M3695">
        <v>2</v>
      </c>
      <c r="N3695">
        <v>0.39</v>
      </c>
      <c r="O3695" t="str">
        <f t="shared" si="115"/>
        <v>0.2–0.4 hours</v>
      </c>
      <c r="P3695" t="s">
        <v>34</v>
      </c>
    </row>
    <row r="3696" spans="1:16" x14ac:dyDescent="0.4">
      <c r="A3696" t="s">
        <v>3737</v>
      </c>
      <c r="B3696">
        <v>70</v>
      </c>
      <c r="C3696" t="s">
        <v>27</v>
      </c>
      <c r="D3696" t="s">
        <v>16</v>
      </c>
      <c r="E3696">
        <v>1.26</v>
      </c>
      <c r="F3696">
        <v>20</v>
      </c>
      <c r="G3696" t="s">
        <v>17</v>
      </c>
      <c r="H3696" t="s">
        <v>18</v>
      </c>
      <c r="I3696" s="2">
        <v>8.99</v>
      </c>
      <c r="J3696">
        <v>1</v>
      </c>
      <c r="K3696" s="2">
        <f t="shared" si="114"/>
        <v>8.99</v>
      </c>
      <c r="L3696" t="s">
        <v>37</v>
      </c>
      <c r="M3696">
        <v>5</v>
      </c>
      <c r="N3696">
        <v>0.06</v>
      </c>
      <c r="O3696" t="str">
        <f t="shared" si="115"/>
        <v>0–0.2 hours</v>
      </c>
      <c r="P3696" t="s">
        <v>30</v>
      </c>
    </row>
    <row r="3697" spans="1:16" x14ac:dyDescent="0.4">
      <c r="A3697" t="s">
        <v>3738</v>
      </c>
      <c r="B3697">
        <v>66</v>
      </c>
      <c r="C3697" t="s">
        <v>41</v>
      </c>
      <c r="D3697" t="s">
        <v>22</v>
      </c>
      <c r="E3697">
        <v>0.28999999999999998</v>
      </c>
      <c r="F3697">
        <v>2</v>
      </c>
      <c r="G3697" t="s">
        <v>33</v>
      </c>
      <c r="H3697" t="s">
        <v>46</v>
      </c>
      <c r="I3697" s="2">
        <v>13.99</v>
      </c>
      <c r="J3697">
        <v>1</v>
      </c>
      <c r="K3697" s="2">
        <f t="shared" si="114"/>
        <v>13.99</v>
      </c>
      <c r="L3697" t="s">
        <v>19</v>
      </c>
      <c r="M3697">
        <v>2</v>
      </c>
      <c r="N3697">
        <v>0.1</v>
      </c>
      <c r="O3697" t="str">
        <f t="shared" si="115"/>
        <v>0–0.2 hours</v>
      </c>
      <c r="P3697" t="s">
        <v>20</v>
      </c>
    </row>
    <row r="3698" spans="1:16" x14ac:dyDescent="0.4">
      <c r="A3698" t="s">
        <v>3739</v>
      </c>
      <c r="B3698">
        <v>55</v>
      </c>
      <c r="C3698" t="s">
        <v>27</v>
      </c>
      <c r="D3698" t="s">
        <v>32</v>
      </c>
      <c r="E3698">
        <v>13.7</v>
      </c>
      <c r="F3698">
        <v>59</v>
      </c>
      <c r="G3698" t="s">
        <v>49</v>
      </c>
      <c r="H3698" t="s">
        <v>55</v>
      </c>
      <c r="I3698" s="2">
        <v>17.989999999999998</v>
      </c>
      <c r="J3698">
        <v>1</v>
      </c>
      <c r="K3698" s="2">
        <f t="shared" si="114"/>
        <v>17.989999999999998</v>
      </c>
      <c r="L3698" t="s">
        <v>43</v>
      </c>
      <c r="M3698">
        <v>3</v>
      </c>
      <c r="N3698">
        <v>0.23</v>
      </c>
      <c r="O3698" t="str">
        <f t="shared" si="115"/>
        <v>0.2–0.4 hours</v>
      </c>
      <c r="P3698" t="s">
        <v>20</v>
      </c>
    </row>
    <row r="3699" spans="1:16" x14ac:dyDescent="0.4">
      <c r="A3699" t="s">
        <v>3740</v>
      </c>
      <c r="B3699">
        <v>28</v>
      </c>
      <c r="C3699" t="s">
        <v>27</v>
      </c>
      <c r="D3699" t="s">
        <v>22</v>
      </c>
      <c r="E3699">
        <v>2.25</v>
      </c>
      <c r="F3699">
        <v>30</v>
      </c>
      <c r="G3699" t="s">
        <v>49</v>
      </c>
      <c r="H3699" t="s">
        <v>46</v>
      </c>
      <c r="I3699" s="2">
        <v>13.99</v>
      </c>
      <c r="J3699">
        <v>1</v>
      </c>
      <c r="K3699" s="2">
        <f t="shared" si="114"/>
        <v>13.99</v>
      </c>
      <c r="L3699" t="s">
        <v>29</v>
      </c>
      <c r="M3699">
        <v>3</v>
      </c>
      <c r="N3699">
        <v>7.0000000000000007E-2</v>
      </c>
      <c r="O3699" t="str">
        <f t="shared" si="115"/>
        <v>0–0.2 hours</v>
      </c>
      <c r="P3699" t="s">
        <v>20</v>
      </c>
    </row>
    <row r="3700" spans="1:16" x14ac:dyDescent="0.4">
      <c r="A3700" t="s">
        <v>3741</v>
      </c>
      <c r="B3700">
        <v>47</v>
      </c>
      <c r="C3700" t="s">
        <v>15</v>
      </c>
      <c r="D3700" t="s">
        <v>32</v>
      </c>
      <c r="E3700">
        <v>7.74</v>
      </c>
      <c r="F3700">
        <v>25</v>
      </c>
      <c r="G3700" t="s">
        <v>17</v>
      </c>
      <c r="H3700" t="s">
        <v>55</v>
      </c>
      <c r="I3700" s="2">
        <v>17.989999999999998</v>
      </c>
      <c r="J3700">
        <v>0</v>
      </c>
      <c r="K3700" s="2">
        <f t="shared" si="114"/>
        <v>0</v>
      </c>
      <c r="L3700" t="s">
        <v>37</v>
      </c>
      <c r="M3700">
        <v>1</v>
      </c>
      <c r="N3700">
        <v>0.3</v>
      </c>
      <c r="O3700" t="str">
        <f t="shared" si="115"/>
        <v>0.2–0.4 hours</v>
      </c>
      <c r="P3700" t="s">
        <v>52</v>
      </c>
    </row>
    <row r="3701" spans="1:16" x14ac:dyDescent="0.4">
      <c r="A3701" t="s">
        <v>3742</v>
      </c>
      <c r="B3701">
        <v>38</v>
      </c>
      <c r="C3701" t="s">
        <v>27</v>
      </c>
      <c r="D3701" t="s">
        <v>16</v>
      </c>
      <c r="E3701">
        <v>7.99</v>
      </c>
      <c r="F3701">
        <v>27</v>
      </c>
      <c r="G3701" t="s">
        <v>49</v>
      </c>
      <c r="H3701" t="s">
        <v>24</v>
      </c>
      <c r="I3701" s="2">
        <v>8.99</v>
      </c>
      <c r="J3701">
        <v>0</v>
      </c>
      <c r="K3701" s="2">
        <f t="shared" si="114"/>
        <v>0</v>
      </c>
      <c r="L3701" t="s">
        <v>61</v>
      </c>
      <c r="M3701">
        <v>3</v>
      </c>
      <c r="N3701">
        <v>0.28999999999999998</v>
      </c>
      <c r="O3701" t="str">
        <f t="shared" si="115"/>
        <v>0.2–0.4 hours</v>
      </c>
      <c r="P3701" t="s">
        <v>47</v>
      </c>
    </row>
    <row r="3702" spans="1:16" x14ac:dyDescent="0.4">
      <c r="A3702" t="s">
        <v>3743</v>
      </c>
      <c r="B3702">
        <v>63</v>
      </c>
      <c r="C3702" t="s">
        <v>15</v>
      </c>
      <c r="D3702" t="s">
        <v>32</v>
      </c>
      <c r="E3702">
        <v>26.2</v>
      </c>
      <c r="F3702">
        <v>52</v>
      </c>
      <c r="G3702" t="s">
        <v>70</v>
      </c>
      <c r="H3702" t="s">
        <v>46</v>
      </c>
      <c r="I3702" s="2">
        <v>17.989999999999998</v>
      </c>
      <c r="J3702">
        <v>0</v>
      </c>
      <c r="K3702" s="2">
        <f t="shared" si="114"/>
        <v>0</v>
      </c>
      <c r="L3702" t="s">
        <v>19</v>
      </c>
      <c r="M3702">
        <v>2</v>
      </c>
      <c r="N3702">
        <v>0.49</v>
      </c>
      <c r="O3702" t="str">
        <f t="shared" si="115"/>
        <v>0.4–0.6 hours</v>
      </c>
      <c r="P3702" t="s">
        <v>34</v>
      </c>
    </row>
    <row r="3703" spans="1:16" x14ac:dyDescent="0.4">
      <c r="A3703" t="s">
        <v>3744</v>
      </c>
      <c r="B3703">
        <v>29</v>
      </c>
      <c r="C3703" t="s">
        <v>15</v>
      </c>
      <c r="D3703" t="s">
        <v>22</v>
      </c>
      <c r="E3703">
        <v>8.15</v>
      </c>
      <c r="F3703">
        <v>13</v>
      </c>
      <c r="G3703" t="s">
        <v>70</v>
      </c>
      <c r="H3703" t="s">
        <v>18</v>
      </c>
      <c r="I3703" s="2">
        <v>13.99</v>
      </c>
      <c r="J3703">
        <v>0</v>
      </c>
      <c r="K3703" s="2">
        <f t="shared" si="114"/>
        <v>0</v>
      </c>
      <c r="L3703" t="s">
        <v>29</v>
      </c>
      <c r="M3703">
        <v>2</v>
      </c>
      <c r="N3703">
        <v>0.57999999999999996</v>
      </c>
      <c r="O3703" t="str">
        <f t="shared" si="115"/>
        <v>0.4–0.6 hours</v>
      </c>
      <c r="P3703" t="s">
        <v>30</v>
      </c>
    </row>
    <row r="3704" spans="1:16" x14ac:dyDescent="0.4">
      <c r="A3704" t="s">
        <v>3745</v>
      </c>
      <c r="B3704">
        <v>39</v>
      </c>
      <c r="C3704" t="s">
        <v>41</v>
      </c>
      <c r="D3704" t="s">
        <v>32</v>
      </c>
      <c r="E3704">
        <v>4.84</v>
      </c>
      <c r="F3704">
        <v>0</v>
      </c>
      <c r="G3704" t="s">
        <v>17</v>
      </c>
      <c r="H3704" t="s">
        <v>46</v>
      </c>
      <c r="I3704" s="2">
        <v>17.989999999999998</v>
      </c>
      <c r="J3704">
        <v>0</v>
      </c>
      <c r="K3704" s="2">
        <f t="shared" si="114"/>
        <v>0</v>
      </c>
      <c r="L3704" t="s">
        <v>37</v>
      </c>
      <c r="M3704">
        <v>2</v>
      </c>
      <c r="N3704">
        <v>4.84</v>
      </c>
      <c r="O3704" t="str">
        <f t="shared" si="115"/>
        <v>1+ hours</v>
      </c>
      <c r="P3704" t="s">
        <v>47</v>
      </c>
    </row>
    <row r="3705" spans="1:16" x14ac:dyDescent="0.4">
      <c r="A3705" t="s">
        <v>3746</v>
      </c>
      <c r="B3705">
        <v>23</v>
      </c>
      <c r="C3705" t="s">
        <v>41</v>
      </c>
      <c r="D3705" t="s">
        <v>16</v>
      </c>
      <c r="E3705">
        <v>0.6</v>
      </c>
      <c r="F3705">
        <v>6</v>
      </c>
      <c r="G3705" t="s">
        <v>33</v>
      </c>
      <c r="H3705" t="s">
        <v>55</v>
      </c>
      <c r="I3705" s="2">
        <v>8.99</v>
      </c>
      <c r="J3705">
        <v>1</v>
      </c>
      <c r="K3705" s="2">
        <f t="shared" si="114"/>
        <v>8.99</v>
      </c>
      <c r="L3705" t="s">
        <v>43</v>
      </c>
      <c r="M3705">
        <v>3</v>
      </c>
      <c r="N3705">
        <v>0.09</v>
      </c>
      <c r="O3705" t="str">
        <f t="shared" si="115"/>
        <v>0–0.2 hours</v>
      </c>
      <c r="P3705" t="s">
        <v>52</v>
      </c>
    </row>
    <row r="3706" spans="1:16" x14ac:dyDescent="0.4">
      <c r="A3706" t="s">
        <v>3747</v>
      </c>
      <c r="B3706">
        <v>58</v>
      </c>
      <c r="C3706" t="s">
        <v>27</v>
      </c>
      <c r="D3706" t="s">
        <v>16</v>
      </c>
      <c r="E3706">
        <v>10.42</v>
      </c>
      <c r="F3706">
        <v>6</v>
      </c>
      <c r="G3706" t="s">
        <v>33</v>
      </c>
      <c r="H3706" t="s">
        <v>57</v>
      </c>
      <c r="I3706" s="2">
        <v>8.99</v>
      </c>
      <c r="J3706">
        <v>0</v>
      </c>
      <c r="K3706" s="2">
        <f t="shared" si="114"/>
        <v>0</v>
      </c>
      <c r="L3706" t="s">
        <v>37</v>
      </c>
      <c r="M3706">
        <v>2</v>
      </c>
      <c r="N3706">
        <v>1.49</v>
      </c>
      <c r="O3706" t="str">
        <f t="shared" si="115"/>
        <v>1+ hours</v>
      </c>
      <c r="P3706" t="s">
        <v>52</v>
      </c>
    </row>
    <row r="3707" spans="1:16" x14ac:dyDescent="0.4">
      <c r="A3707" t="s">
        <v>3748</v>
      </c>
      <c r="B3707">
        <v>26</v>
      </c>
      <c r="C3707" t="s">
        <v>41</v>
      </c>
      <c r="D3707" t="s">
        <v>22</v>
      </c>
      <c r="E3707">
        <v>2.35</v>
      </c>
      <c r="F3707">
        <v>25</v>
      </c>
      <c r="G3707" t="s">
        <v>33</v>
      </c>
      <c r="H3707" t="s">
        <v>57</v>
      </c>
      <c r="I3707" s="2">
        <v>13.99</v>
      </c>
      <c r="J3707">
        <v>0</v>
      </c>
      <c r="K3707" s="2">
        <f t="shared" si="114"/>
        <v>0</v>
      </c>
      <c r="L3707" t="s">
        <v>43</v>
      </c>
      <c r="M3707">
        <v>5</v>
      </c>
      <c r="N3707">
        <v>0.09</v>
      </c>
      <c r="O3707" t="str">
        <f t="shared" si="115"/>
        <v>0–0.2 hours</v>
      </c>
      <c r="P3707" t="s">
        <v>39</v>
      </c>
    </row>
    <row r="3708" spans="1:16" x14ac:dyDescent="0.4">
      <c r="A3708" t="s">
        <v>3749</v>
      </c>
      <c r="B3708">
        <v>63</v>
      </c>
      <c r="C3708" t="s">
        <v>41</v>
      </c>
      <c r="D3708" t="s">
        <v>32</v>
      </c>
      <c r="E3708">
        <v>3.17</v>
      </c>
      <c r="F3708">
        <v>14</v>
      </c>
      <c r="G3708" t="s">
        <v>33</v>
      </c>
      <c r="H3708" t="s">
        <v>57</v>
      </c>
      <c r="I3708" s="2">
        <v>17.989999999999998</v>
      </c>
      <c r="J3708">
        <v>1</v>
      </c>
      <c r="K3708" s="2">
        <f t="shared" si="114"/>
        <v>17.989999999999998</v>
      </c>
      <c r="L3708" t="s">
        <v>19</v>
      </c>
      <c r="M3708">
        <v>5</v>
      </c>
      <c r="N3708">
        <v>0.21</v>
      </c>
      <c r="O3708" t="str">
        <f t="shared" si="115"/>
        <v>0.2–0.4 hours</v>
      </c>
      <c r="P3708" t="s">
        <v>47</v>
      </c>
    </row>
    <row r="3709" spans="1:16" x14ac:dyDescent="0.4">
      <c r="A3709" t="s">
        <v>3750</v>
      </c>
      <c r="B3709">
        <v>37</v>
      </c>
      <c r="C3709" t="s">
        <v>41</v>
      </c>
      <c r="D3709" t="s">
        <v>32</v>
      </c>
      <c r="E3709">
        <v>24.13</v>
      </c>
      <c r="F3709">
        <v>31</v>
      </c>
      <c r="G3709" t="s">
        <v>49</v>
      </c>
      <c r="H3709" t="s">
        <v>18</v>
      </c>
      <c r="I3709" s="2">
        <v>17.989999999999998</v>
      </c>
      <c r="J3709">
        <v>0</v>
      </c>
      <c r="K3709" s="2">
        <f t="shared" si="114"/>
        <v>0</v>
      </c>
      <c r="L3709" t="s">
        <v>29</v>
      </c>
      <c r="M3709">
        <v>2</v>
      </c>
      <c r="N3709">
        <v>0.75</v>
      </c>
      <c r="O3709" t="str">
        <f t="shared" si="115"/>
        <v>0.6–0.8 hours</v>
      </c>
      <c r="P3709" t="s">
        <v>20</v>
      </c>
    </row>
    <row r="3710" spans="1:16" x14ac:dyDescent="0.4">
      <c r="A3710" t="s">
        <v>3751</v>
      </c>
      <c r="B3710">
        <v>48</v>
      </c>
      <c r="C3710" t="s">
        <v>27</v>
      </c>
      <c r="D3710" t="s">
        <v>22</v>
      </c>
      <c r="E3710">
        <v>3.84</v>
      </c>
      <c r="F3710">
        <v>23</v>
      </c>
      <c r="G3710" t="s">
        <v>49</v>
      </c>
      <c r="H3710" t="s">
        <v>57</v>
      </c>
      <c r="I3710" s="2">
        <v>13.99</v>
      </c>
      <c r="J3710">
        <v>1</v>
      </c>
      <c r="K3710" s="2">
        <f t="shared" si="114"/>
        <v>13.99</v>
      </c>
      <c r="L3710" t="s">
        <v>29</v>
      </c>
      <c r="M3710">
        <v>1</v>
      </c>
      <c r="N3710">
        <v>0.16</v>
      </c>
      <c r="O3710" t="str">
        <f t="shared" si="115"/>
        <v>0–0.2 hours</v>
      </c>
      <c r="P3710" t="s">
        <v>39</v>
      </c>
    </row>
    <row r="3711" spans="1:16" x14ac:dyDescent="0.4">
      <c r="A3711" t="s">
        <v>3752</v>
      </c>
      <c r="B3711">
        <v>32</v>
      </c>
      <c r="C3711" t="s">
        <v>15</v>
      </c>
      <c r="D3711" t="s">
        <v>32</v>
      </c>
      <c r="E3711">
        <v>14.31</v>
      </c>
      <c r="F3711">
        <v>43</v>
      </c>
      <c r="G3711" t="s">
        <v>23</v>
      </c>
      <c r="H3711" t="s">
        <v>55</v>
      </c>
      <c r="I3711" s="2">
        <v>17.989999999999998</v>
      </c>
      <c r="J3711">
        <v>0</v>
      </c>
      <c r="K3711" s="2">
        <f t="shared" si="114"/>
        <v>0</v>
      </c>
      <c r="L3711" t="s">
        <v>61</v>
      </c>
      <c r="M3711">
        <v>5</v>
      </c>
      <c r="N3711">
        <v>0.33</v>
      </c>
      <c r="O3711" t="str">
        <f t="shared" si="115"/>
        <v>0.2–0.4 hours</v>
      </c>
      <c r="P3711" t="s">
        <v>34</v>
      </c>
    </row>
    <row r="3712" spans="1:16" x14ac:dyDescent="0.4">
      <c r="A3712" t="s">
        <v>3753</v>
      </c>
      <c r="B3712">
        <v>64</v>
      </c>
      <c r="C3712" t="s">
        <v>27</v>
      </c>
      <c r="D3712" t="s">
        <v>16</v>
      </c>
      <c r="E3712">
        <v>6.74</v>
      </c>
      <c r="F3712">
        <v>46</v>
      </c>
      <c r="G3712" t="s">
        <v>70</v>
      </c>
      <c r="H3712" t="s">
        <v>57</v>
      </c>
      <c r="I3712" s="2">
        <v>8.99</v>
      </c>
      <c r="J3712">
        <v>1</v>
      </c>
      <c r="K3712" s="2">
        <f t="shared" si="114"/>
        <v>8.99</v>
      </c>
      <c r="L3712" t="s">
        <v>61</v>
      </c>
      <c r="M3712">
        <v>5</v>
      </c>
      <c r="N3712">
        <v>0.14000000000000001</v>
      </c>
      <c r="O3712" t="str">
        <f t="shared" si="115"/>
        <v>0–0.2 hours</v>
      </c>
      <c r="P3712" t="s">
        <v>52</v>
      </c>
    </row>
    <row r="3713" spans="1:16" x14ac:dyDescent="0.4">
      <c r="A3713" t="s">
        <v>3754</v>
      </c>
      <c r="B3713">
        <v>47</v>
      </c>
      <c r="C3713" t="s">
        <v>27</v>
      </c>
      <c r="D3713" t="s">
        <v>16</v>
      </c>
      <c r="E3713">
        <v>10.89</v>
      </c>
      <c r="F3713">
        <v>48</v>
      </c>
      <c r="G3713" t="s">
        <v>33</v>
      </c>
      <c r="H3713" t="s">
        <v>24</v>
      </c>
      <c r="I3713" s="2">
        <v>8.99</v>
      </c>
      <c r="J3713">
        <v>1</v>
      </c>
      <c r="K3713" s="2">
        <f t="shared" si="114"/>
        <v>8.99</v>
      </c>
      <c r="L3713" t="s">
        <v>37</v>
      </c>
      <c r="M3713">
        <v>5</v>
      </c>
      <c r="N3713">
        <v>0.22</v>
      </c>
      <c r="O3713" t="str">
        <f t="shared" si="115"/>
        <v>0.2–0.4 hours</v>
      </c>
      <c r="P3713" t="s">
        <v>47</v>
      </c>
    </row>
    <row r="3714" spans="1:16" x14ac:dyDescent="0.4">
      <c r="A3714" t="s">
        <v>3755</v>
      </c>
      <c r="B3714">
        <v>48</v>
      </c>
      <c r="C3714" t="s">
        <v>27</v>
      </c>
      <c r="D3714" t="s">
        <v>22</v>
      </c>
      <c r="E3714">
        <v>21.16</v>
      </c>
      <c r="F3714">
        <v>28</v>
      </c>
      <c r="G3714" t="s">
        <v>49</v>
      </c>
      <c r="H3714" t="s">
        <v>24</v>
      </c>
      <c r="I3714" s="2">
        <v>13.99</v>
      </c>
      <c r="J3714">
        <v>0</v>
      </c>
      <c r="K3714" s="2">
        <f t="shared" si="114"/>
        <v>0</v>
      </c>
      <c r="L3714" t="s">
        <v>43</v>
      </c>
      <c r="M3714">
        <v>5</v>
      </c>
      <c r="N3714">
        <v>0.73</v>
      </c>
      <c r="O3714" t="str">
        <f t="shared" si="115"/>
        <v>0.6–0.8 hours</v>
      </c>
      <c r="P3714" t="s">
        <v>47</v>
      </c>
    </row>
    <row r="3715" spans="1:16" x14ac:dyDescent="0.4">
      <c r="A3715" t="s">
        <v>3756</v>
      </c>
      <c r="B3715">
        <v>44</v>
      </c>
      <c r="C3715" t="s">
        <v>15</v>
      </c>
      <c r="D3715" t="s">
        <v>16</v>
      </c>
      <c r="E3715">
        <v>22.22</v>
      </c>
      <c r="F3715">
        <v>42</v>
      </c>
      <c r="G3715" t="s">
        <v>28</v>
      </c>
      <c r="H3715" t="s">
        <v>57</v>
      </c>
      <c r="I3715" s="2">
        <v>8.99</v>
      </c>
      <c r="J3715">
        <v>0</v>
      </c>
      <c r="K3715" s="2">
        <f t="shared" ref="K3715:K3778" si="116">SUMIF(J3715,1,I3715)</f>
        <v>0</v>
      </c>
      <c r="L3715" t="s">
        <v>19</v>
      </c>
      <c r="M3715">
        <v>5</v>
      </c>
      <c r="N3715">
        <v>0.52</v>
      </c>
      <c r="O3715" t="str">
        <f t="shared" ref="O3715:O3778" si="117">IF(N3715&gt;1,"1+ hours",IF(N3715&lt;=0.2,"0–0.2 hours",IF(N3715&lt;=0.4,"0.2–0.4 hours",IF(N3715&lt;=0.6,"0.4–0.6 hours",IF(N3715&lt;=0.8,"0.6–0.8 hours","0.8–1 hour")))))</f>
        <v>0.4–0.6 hours</v>
      </c>
      <c r="P3715" t="s">
        <v>47</v>
      </c>
    </row>
    <row r="3716" spans="1:16" x14ac:dyDescent="0.4">
      <c r="A3716" t="s">
        <v>3757</v>
      </c>
      <c r="B3716">
        <v>44</v>
      </c>
      <c r="C3716" t="s">
        <v>41</v>
      </c>
      <c r="D3716" t="s">
        <v>22</v>
      </c>
      <c r="E3716">
        <v>27.08</v>
      </c>
      <c r="F3716">
        <v>16</v>
      </c>
      <c r="G3716" t="s">
        <v>28</v>
      </c>
      <c r="H3716" t="s">
        <v>55</v>
      </c>
      <c r="I3716" s="2">
        <v>13.99</v>
      </c>
      <c r="J3716">
        <v>0</v>
      </c>
      <c r="K3716" s="2">
        <f t="shared" si="116"/>
        <v>0</v>
      </c>
      <c r="L3716" t="s">
        <v>29</v>
      </c>
      <c r="M3716">
        <v>3</v>
      </c>
      <c r="N3716">
        <v>1.59</v>
      </c>
      <c r="O3716" t="str">
        <f t="shared" si="117"/>
        <v>1+ hours</v>
      </c>
      <c r="P3716" t="s">
        <v>34</v>
      </c>
    </row>
    <row r="3717" spans="1:16" x14ac:dyDescent="0.4">
      <c r="A3717" t="s">
        <v>3758</v>
      </c>
      <c r="B3717">
        <v>49</v>
      </c>
      <c r="C3717" t="s">
        <v>27</v>
      </c>
      <c r="D3717" t="s">
        <v>16</v>
      </c>
      <c r="E3717">
        <v>7.69</v>
      </c>
      <c r="F3717">
        <v>2</v>
      </c>
      <c r="G3717" t="s">
        <v>17</v>
      </c>
      <c r="H3717" t="s">
        <v>24</v>
      </c>
      <c r="I3717" s="2">
        <v>8.99</v>
      </c>
      <c r="J3717">
        <v>0</v>
      </c>
      <c r="K3717" s="2">
        <f t="shared" si="116"/>
        <v>0</v>
      </c>
      <c r="L3717" t="s">
        <v>19</v>
      </c>
      <c r="M3717">
        <v>1</v>
      </c>
      <c r="N3717">
        <v>2.56</v>
      </c>
      <c r="O3717" t="str">
        <f t="shared" si="117"/>
        <v>1+ hours</v>
      </c>
      <c r="P3717" t="s">
        <v>47</v>
      </c>
    </row>
    <row r="3718" spans="1:16" x14ac:dyDescent="0.4">
      <c r="A3718" t="s">
        <v>3759</v>
      </c>
      <c r="B3718">
        <v>60</v>
      </c>
      <c r="C3718" t="s">
        <v>27</v>
      </c>
      <c r="D3718" t="s">
        <v>16</v>
      </c>
      <c r="E3718">
        <v>15.01</v>
      </c>
      <c r="F3718">
        <v>20</v>
      </c>
      <c r="G3718" t="s">
        <v>49</v>
      </c>
      <c r="H3718" t="s">
        <v>24</v>
      </c>
      <c r="I3718" s="2">
        <v>8.99</v>
      </c>
      <c r="J3718">
        <v>0</v>
      </c>
      <c r="K3718" s="2">
        <f t="shared" si="116"/>
        <v>0</v>
      </c>
      <c r="L3718" t="s">
        <v>29</v>
      </c>
      <c r="M3718">
        <v>1</v>
      </c>
      <c r="N3718">
        <v>0.71</v>
      </c>
      <c r="O3718" t="str">
        <f t="shared" si="117"/>
        <v>0.6–0.8 hours</v>
      </c>
      <c r="P3718" t="s">
        <v>25</v>
      </c>
    </row>
    <row r="3719" spans="1:16" x14ac:dyDescent="0.4">
      <c r="A3719" t="s">
        <v>3760</v>
      </c>
      <c r="B3719">
        <v>61</v>
      </c>
      <c r="C3719" t="s">
        <v>15</v>
      </c>
      <c r="D3719" t="s">
        <v>32</v>
      </c>
      <c r="E3719">
        <v>12.59</v>
      </c>
      <c r="F3719">
        <v>11</v>
      </c>
      <c r="G3719" t="s">
        <v>70</v>
      </c>
      <c r="H3719" t="s">
        <v>18</v>
      </c>
      <c r="I3719" s="2">
        <v>17.989999999999998</v>
      </c>
      <c r="J3719">
        <v>0</v>
      </c>
      <c r="K3719" s="2">
        <f t="shared" si="116"/>
        <v>0</v>
      </c>
      <c r="L3719" t="s">
        <v>29</v>
      </c>
      <c r="M3719">
        <v>5</v>
      </c>
      <c r="N3719">
        <v>1.05</v>
      </c>
      <c r="O3719" t="str">
        <f t="shared" si="117"/>
        <v>1+ hours</v>
      </c>
      <c r="P3719" t="s">
        <v>39</v>
      </c>
    </row>
    <row r="3720" spans="1:16" x14ac:dyDescent="0.4">
      <c r="A3720" t="s">
        <v>3761</v>
      </c>
      <c r="B3720">
        <v>68</v>
      </c>
      <c r="C3720" t="s">
        <v>27</v>
      </c>
      <c r="D3720" t="s">
        <v>16</v>
      </c>
      <c r="E3720">
        <v>6.43</v>
      </c>
      <c r="F3720">
        <v>38</v>
      </c>
      <c r="G3720" t="s">
        <v>28</v>
      </c>
      <c r="H3720" t="s">
        <v>55</v>
      </c>
      <c r="I3720" s="2">
        <v>8.99</v>
      </c>
      <c r="J3720">
        <v>1</v>
      </c>
      <c r="K3720" s="2">
        <f t="shared" si="116"/>
        <v>8.99</v>
      </c>
      <c r="L3720" t="s">
        <v>29</v>
      </c>
      <c r="M3720">
        <v>3</v>
      </c>
      <c r="N3720">
        <v>0.16</v>
      </c>
      <c r="O3720" t="str">
        <f t="shared" si="117"/>
        <v>0–0.2 hours</v>
      </c>
      <c r="P3720" t="s">
        <v>47</v>
      </c>
    </row>
    <row r="3721" spans="1:16" x14ac:dyDescent="0.4">
      <c r="A3721" t="s">
        <v>3762</v>
      </c>
      <c r="B3721">
        <v>55</v>
      </c>
      <c r="C3721" t="s">
        <v>41</v>
      </c>
      <c r="D3721" t="s">
        <v>22</v>
      </c>
      <c r="E3721">
        <v>22.74</v>
      </c>
      <c r="F3721">
        <v>5</v>
      </c>
      <c r="G3721" t="s">
        <v>23</v>
      </c>
      <c r="H3721" t="s">
        <v>24</v>
      </c>
      <c r="I3721" s="2">
        <v>13.99</v>
      </c>
      <c r="J3721">
        <v>0</v>
      </c>
      <c r="K3721" s="2">
        <f t="shared" si="116"/>
        <v>0</v>
      </c>
      <c r="L3721" t="s">
        <v>43</v>
      </c>
      <c r="M3721">
        <v>3</v>
      </c>
      <c r="N3721">
        <v>3.79</v>
      </c>
      <c r="O3721" t="str">
        <f t="shared" si="117"/>
        <v>1+ hours</v>
      </c>
      <c r="P3721" t="s">
        <v>34</v>
      </c>
    </row>
    <row r="3722" spans="1:16" x14ac:dyDescent="0.4">
      <c r="A3722" t="s">
        <v>3763</v>
      </c>
      <c r="B3722">
        <v>54</v>
      </c>
      <c r="C3722" t="s">
        <v>41</v>
      </c>
      <c r="D3722" t="s">
        <v>32</v>
      </c>
      <c r="E3722">
        <v>10.36</v>
      </c>
      <c r="F3722">
        <v>50</v>
      </c>
      <c r="G3722" t="s">
        <v>23</v>
      </c>
      <c r="H3722" t="s">
        <v>18</v>
      </c>
      <c r="I3722" s="2">
        <v>17.989999999999998</v>
      </c>
      <c r="J3722">
        <v>0</v>
      </c>
      <c r="K3722" s="2">
        <f t="shared" si="116"/>
        <v>0</v>
      </c>
      <c r="L3722" t="s">
        <v>61</v>
      </c>
      <c r="M3722">
        <v>5</v>
      </c>
      <c r="N3722">
        <v>0.2</v>
      </c>
      <c r="O3722" t="str">
        <f t="shared" si="117"/>
        <v>0–0.2 hours</v>
      </c>
      <c r="P3722" t="s">
        <v>25</v>
      </c>
    </row>
    <row r="3723" spans="1:16" x14ac:dyDescent="0.4">
      <c r="A3723" t="s">
        <v>3764</v>
      </c>
      <c r="B3723">
        <v>29</v>
      </c>
      <c r="C3723" t="s">
        <v>27</v>
      </c>
      <c r="D3723" t="s">
        <v>16</v>
      </c>
      <c r="E3723">
        <v>0.65</v>
      </c>
      <c r="F3723">
        <v>12</v>
      </c>
      <c r="G3723" t="s">
        <v>23</v>
      </c>
      <c r="H3723" t="s">
        <v>57</v>
      </c>
      <c r="I3723" s="2">
        <v>8.99</v>
      </c>
      <c r="J3723">
        <v>1</v>
      </c>
      <c r="K3723" s="2">
        <f t="shared" si="116"/>
        <v>8.99</v>
      </c>
      <c r="L3723" t="s">
        <v>29</v>
      </c>
      <c r="M3723">
        <v>3</v>
      </c>
      <c r="N3723">
        <v>0.05</v>
      </c>
      <c r="O3723" t="str">
        <f t="shared" si="117"/>
        <v>0–0.2 hours</v>
      </c>
      <c r="P3723" t="s">
        <v>30</v>
      </c>
    </row>
    <row r="3724" spans="1:16" x14ac:dyDescent="0.4">
      <c r="A3724" t="s">
        <v>3765</v>
      </c>
      <c r="B3724">
        <v>56</v>
      </c>
      <c r="C3724" t="s">
        <v>15</v>
      </c>
      <c r="D3724" t="s">
        <v>32</v>
      </c>
      <c r="E3724">
        <v>0.85</v>
      </c>
      <c r="F3724">
        <v>29</v>
      </c>
      <c r="G3724" t="s">
        <v>33</v>
      </c>
      <c r="H3724" t="s">
        <v>18</v>
      </c>
      <c r="I3724" s="2">
        <v>17.989999999999998</v>
      </c>
      <c r="J3724">
        <v>1</v>
      </c>
      <c r="K3724" s="2">
        <f t="shared" si="116"/>
        <v>17.989999999999998</v>
      </c>
      <c r="L3724" t="s">
        <v>29</v>
      </c>
      <c r="M3724">
        <v>5</v>
      </c>
      <c r="N3724">
        <v>0.03</v>
      </c>
      <c r="O3724" t="str">
        <f t="shared" si="117"/>
        <v>0–0.2 hours</v>
      </c>
      <c r="P3724" t="s">
        <v>25</v>
      </c>
    </row>
    <row r="3725" spans="1:16" x14ac:dyDescent="0.4">
      <c r="A3725" t="s">
        <v>3766</v>
      </c>
      <c r="B3725">
        <v>18</v>
      </c>
      <c r="C3725" t="s">
        <v>15</v>
      </c>
      <c r="D3725" t="s">
        <v>32</v>
      </c>
      <c r="E3725">
        <v>6.61</v>
      </c>
      <c r="F3725">
        <v>50</v>
      </c>
      <c r="G3725" t="s">
        <v>49</v>
      </c>
      <c r="H3725" t="s">
        <v>46</v>
      </c>
      <c r="I3725" s="2">
        <v>17.989999999999998</v>
      </c>
      <c r="J3725">
        <v>1</v>
      </c>
      <c r="K3725" s="2">
        <f t="shared" si="116"/>
        <v>17.989999999999998</v>
      </c>
      <c r="L3725" t="s">
        <v>19</v>
      </c>
      <c r="M3725">
        <v>2</v>
      </c>
      <c r="N3725">
        <v>0.13</v>
      </c>
      <c r="O3725" t="str">
        <f t="shared" si="117"/>
        <v>0–0.2 hours</v>
      </c>
      <c r="P3725" t="s">
        <v>34</v>
      </c>
    </row>
    <row r="3726" spans="1:16" x14ac:dyDescent="0.4">
      <c r="A3726" t="s">
        <v>3767</v>
      </c>
      <c r="B3726">
        <v>26</v>
      </c>
      <c r="C3726" t="s">
        <v>15</v>
      </c>
      <c r="D3726" t="s">
        <v>22</v>
      </c>
      <c r="E3726">
        <v>5.59</v>
      </c>
      <c r="F3726">
        <v>1</v>
      </c>
      <c r="G3726" t="s">
        <v>70</v>
      </c>
      <c r="H3726" t="s">
        <v>57</v>
      </c>
      <c r="I3726" s="2">
        <v>13.99</v>
      </c>
      <c r="J3726">
        <v>0</v>
      </c>
      <c r="K3726" s="2">
        <f t="shared" si="116"/>
        <v>0</v>
      </c>
      <c r="L3726" t="s">
        <v>37</v>
      </c>
      <c r="M3726">
        <v>3</v>
      </c>
      <c r="N3726">
        <v>2.79</v>
      </c>
      <c r="O3726" t="str">
        <f t="shared" si="117"/>
        <v>1+ hours</v>
      </c>
      <c r="P3726" t="s">
        <v>39</v>
      </c>
    </row>
    <row r="3727" spans="1:16" x14ac:dyDescent="0.4">
      <c r="A3727" t="s">
        <v>3768</v>
      </c>
      <c r="B3727">
        <v>24</v>
      </c>
      <c r="C3727" t="s">
        <v>41</v>
      </c>
      <c r="D3727" t="s">
        <v>22</v>
      </c>
      <c r="E3727">
        <v>2.65</v>
      </c>
      <c r="F3727">
        <v>32</v>
      </c>
      <c r="G3727" t="s">
        <v>49</v>
      </c>
      <c r="H3727" t="s">
        <v>18</v>
      </c>
      <c r="I3727" s="2">
        <v>13.99</v>
      </c>
      <c r="J3727">
        <v>1</v>
      </c>
      <c r="K3727" s="2">
        <f t="shared" si="116"/>
        <v>13.99</v>
      </c>
      <c r="L3727" t="s">
        <v>61</v>
      </c>
      <c r="M3727">
        <v>4</v>
      </c>
      <c r="N3727">
        <v>0.08</v>
      </c>
      <c r="O3727" t="str">
        <f t="shared" si="117"/>
        <v>0–0.2 hours</v>
      </c>
      <c r="P3727" t="s">
        <v>30</v>
      </c>
    </row>
    <row r="3728" spans="1:16" x14ac:dyDescent="0.4">
      <c r="A3728" t="s">
        <v>3769</v>
      </c>
      <c r="B3728">
        <v>26</v>
      </c>
      <c r="C3728" t="s">
        <v>41</v>
      </c>
      <c r="D3728" t="s">
        <v>22</v>
      </c>
      <c r="E3728">
        <v>10.62</v>
      </c>
      <c r="F3728">
        <v>60</v>
      </c>
      <c r="G3728" t="s">
        <v>49</v>
      </c>
      <c r="H3728" t="s">
        <v>24</v>
      </c>
      <c r="I3728" s="2">
        <v>13.99</v>
      </c>
      <c r="J3728">
        <v>0</v>
      </c>
      <c r="K3728" s="2">
        <f t="shared" si="116"/>
        <v>0</v>
      </c>
      <c r="L3728" t="s">
        <v>37</v>
      </c>
      <c r="M3728">
        <v>5</v>
      </c>
      <c r="N3728">
        <v>0.17</v>
      </c>
      <c r="O3728" t="str">
        <f t="shared" si="117"/>
        <v>0–0.2 hours</v>
      </c>
      <c r="P3728" t="s">
        <v>20</v>
      </c>
    </row>
    <row r="3729" spans="1:16" x14ac:dyDescent="0.4">
      <c r="A3729" t="s">
        <v>3770</v>
      </c>
      <c r="B3729">
        <v>47</v>
      </c>
      <c r="C3729" t="s">
        <v>41</v>
      </c>
      <c r="D3729" t="s">
        <v>22</v>
      </c>
      <c r="E3729">
        <v>4.22</v>
      </c>
      <c r="F3729">
        <v>12</v>
      </c>
      <c r="G3729" t="s">
        <v>49</v>
      </c>
      <c r="H3729" t="s">
        <v>24</v>
      </c>
      <c r="I3729" s="2">
        <v>13.99</v>
      </c>
      <c r="J3729">
        <v>1</v>
      </c>
      <c r="K3729" s="2">
        <f t="shared" si="116"/>
        <v>13.99</v>
      </c>
      <c r="L3729" t="s">
        <v>37</v>
      </c>
      <c r="M3729">
        <v>3</v>
      </c>
      <c r="N3729">
        <v>0.32</v>
      </c>
      <c r="O3729" t="str">
        <f t="shared" si="117"/>
        <v>0.2–0.4 hours</v>
      </c>
      <c r="P3729" t="s">
        <v>30</v>
      </c>
    </row>
    <row r="3730" spans="1:16" x14ac:dyDescent="0.4">
      <c r="A3730" t="s">
        <v>3771</v>
      </c>
      <c r="B3730">
        <v>59</v>
      </c>
      <c r="C3730" t="s">
        <v>41</v>
      </c>
      <c r="D3730" t="s">
        <v>22</v>
      </c>
      <c r="E3730">
        <v>7.33</v>
      </c>
      <c r="F3730">
        <v>21</v>
      </c>
      <c r="G3730" t="s">
        <v>33</v>
      </c>
      <c r="H3730" t="s">
        <v>24</v>
      </c>
      <c r="I3730" s="2">
        <v>13.99</v>
      </c>
      <c r="J3730">
        <v>0</v>
      </c>
      <c r="K3730" s="2">
        <f t="shared" si="116"/>
        <v>0</v>
      </c>
      <c r="L3730" t="s">
        <v>43</v>
      </c>
      <c r="M3730">
        <v>4</v>
      </c>
      <c r="N3730">
        <v>0.33</v>
      </c>
      <c r="O3730" t="str">
        <f t="shared" si="117"/>
        <v>0.2–0.4 hours</v>
      </c>
      <c r="P3730" t="s">
        <v>52</v>
      </c>
    </row>
    <row r="3731" spans="1:16" x14ac:dyDescent="0.4">
      <c r="A3731" t="s">
        <v>3772</v>
      </c>
      <c r="B3731">
        <v>25</v>
      </c>
      <c r="C3731" t="s">
        <v>15</v>
      </c>
      <c r="D3731" t="s">
        <v>22</v>
      </c>
      <c r="E3731">
        <v>9.92</v>
      </c>
      <c r="F3731">
        <v>3</v>
      </c>
      <c r="G3731" t="s">
        <v>23</v>
      </c>
      <c r="H3731" t="s">
        <v>57</v>
      </c>
      <c r="I3731" s="2">
        <v>13.99</v>
      </c>
      <c r="J3731">
        <v>0</v>
      </c>
      <c r="K3731" s="2">
        <f t="shared" si="116"/>
        <v>0</v>
      </c>
      <c r="L3731" t="s">
        <v>29</v>
      </c>
      <c r="M3731">
        <v>5</v>
      </c>
      <c r="N3731">
        <v>2.48</v>
      </c>
      <c r="O3731" t="str">
        <f t="shared" si="117"/>
        <v>1+ hours</v>
      </c>
      <c r="P3731" t="s">
        <v>34</v>
      </c>
    </row>
    <row r="3732" spans="1:16" x14ac:dyDescent="0.4">
      <c r="A3732" t="s">
        <v>3773</v>
      </c>
      <c r="B3732">
        <v>35</v>
      </c>
      <c r="C3732" t="s">
        <v>41</v>
      </c>
      <c r="D3732" t="s">
        <v>32</v>
      </c>
      <c r="E3732">
        <v>9.51</v>
      </c>
      <c r="F3732">
        <v>2</v>
      </c>
      <c r="G3732" t="s">
        <v>33</v>
      </c>
      <c r="H3732" t="s">
        <v>55</v>
      </c>
      <c r="I3732" s="2">
        <v>17.989999999999998</v>
      </c>
      <c r="J3732">
        <v>0</v>
      </c>
      <c r="K3732" s="2">
        <f t="shared" si="116"/>
        <v>0</v>
      </c>
      <c r="L3732" t="s">
        <v>19</v>
      </c>
      <c r="M3732">
        <v>1</v>
      </c>
      <c r="N3732">
        <v>3.17</v>
      </c>
      <c r="O3732" t="str">
        <f t="shared" si="117"/>
        <v>1+ hours</v>
      </c>
      <c r="P3732" t="s">
        <v>34</v>
      </c>
    </row>
    <row r="3733" spans="1:16" x14ac:dyDescent="0.4">
      <c r="A3733" t="s">
        <v>3774</v>
      </c>
      <c r="B3733">
        <v>37</v>
      </c>
      <c r="C3733" t="s">
        <v>15</v>
      </c>
      <c r="D3733" t="s">
        <v>16</v>
      </c>
      <c r="E3733">
        <v>23.55</v>
      </c>
      <c r="F3733">
        <v>17</v>
      </c>
      <c r="G3733" t="s">
        <v>23</v>
      </c>
      <c r="H3733" t="s">
        <v>24</v>
      </c>
      <c r="I3733" s="2">
        <v>8.99</v>
      </c>
      <c r="J3733">
        <v>0</v>
      </c>
      <c r="K3733" s="2">
        <f t="shared" si="116"/>
        <v>0</v>
      </c>
      <c r="L3733" t="s">
        <v>29</v>
      </c>
      <c r="M3733">
        <v>2</v>
      </c>
      <c r="N3733">
        <v>1.31</v>
      </c>
      <c r="O3733" t="str">
        <f t="shared" si="117"/>
        <v>1+ hours</v>
      </c>
      <c r="P3733" t="s">
        <v>47</v>
      </c>
    </row>
    <row r="3734" spans="1:16" x14ac:dyDescent="0.4">
      <c r="A3734" t="s">
        <v>3775</v>
      </c>
      <c r="B3734">
        <v>27</v>
      </c>
      <c r="C3734" t="s">
        <v>27</v>
      </c>
      <c r="D3734" t="s">
        <v>22</v>
      </c>
      <c r="E3734">
        <v>3.4</v>
      </c>
      <c r="F3734">
        <v>46</v>
      </c>
      <c r="G3734" t="s">
        <v>17</v>
      </c>
      <c r="H3734" t="s">
        <v>46</v>
      </c>
      <c r="I3734" s="2">
        <v>13.99</v>
      </c>
      <c r="J3734">
        <v>1</v>
      </c>
      <c r="K3734" s="2">
        <f t="shared" si="116"/>
        <v>13.99</v>
      </c>
      <c r="L3734" t="s">
        <v>43</v>
      </c>
      <c r="M3734">
        <v>1</v>
      </c>
      <c r="N3734">
        <v>7.0000000000000007E-2</v>
      </c>
      <c r="O3734" t="str">
        <f t="shared" si="117"/>
        <v>0–0.2 hours</v>
      </c>
      <c r="P3734" t="s">
        <v>20</v>
      </c>
    </row>
    <row r="3735" spans="1:16" x14ac:dyDescent="0.4">
      <c r="A3735" t="s">
        <v>3776</v>
      </c>
      <c r="B3735">
        <v>54</v>
      </c>
      <c r="C3735" t="s">
        <v>15</v>
      </c>
      <c r="D3735" t="s">
        <v>22</v>
      </c>
      <c r="E3735">
        <v>3.47</v>
      </c>
      <c r="F3735">
        <v>31</v>
      </c>
      <c r="G3735" t="s">
        <v>17</v>
      </c>
      <c r="H3735" t="s">
        <v>46</v>
      </c>
      <c r="I3735" s="2">
        <v>13.99</v>
      </c>
      <c r="J3735">
        <v>1</v>
      </c>
      <c r="K3735" s="2">
        <f t="shared" si="116"/>
        <v>13.99</v>
      </c>
      <c r="L3735" t="s">
        <v>43</v>
      </c>
      <c r="M3735">
        <v>5</v>
      </c>
      <c r="N3735">
        <v>0.11</v>
      </c>
      <c r="O3735" t="str">
        <f t="shared" si="117"/>
        <v>0–0.2 hours</v>
      </c>
      <c r="P3735" t="s">
        <v>52</v>
      </c>
    </row>
    <row r="3736" spans="1:16" x14ac:dyDescent="0.4">
      <c r="A3736" t="s">
        <v>3777</v>
      </c>
      <c r="B3736">
        <v>66</v>
      </c>
      <c r="C3736" t="s">
        <v>27</v>
      </c>
      <c r="D3736" t="s">
        <v>22</v>
      </c>
      <c r="E3736">
        <v>0.06</v>
      </c>
      <c r="F3736">
        <v>58</v>
      </c>
      <c r="G3736" t="s">
        <v>23</v>
      </c>
      <c r="H3736" t="s">
        <v>24</v>
      </c>
      <c r="I3736" s="2">
        <v>13.99</v>
      </c>
      <c r="J3736">
        <v>1</v>
      </c>
      <c r="K3736" s="2">
        <f t="shared" si="116"/>
        <v>13.99</v>
      </c>
      <c r="L3736" t="s">
        <v>43</v>
      </c>
      <c r="M3736">
        <v>2</v>
      </c>
      <c r="N3736">
        <v>0</v>
      </c>
      <c r="O3736" t="str">
        <f t="shared" si="117"/>
        <v>0–0.2 hours</v>
      </c>
      <c r="P3736" t="s">
        <v>52</v>
      </c>
    </row>
    <row r="3737" spans="1:16" x14ac:dyDescent="0.4">
      <c r="A3737" t="s">
        <v>3778</v>
      </c>
      <c r="B3737">
        <v>64</v>
      </c>
      <c r="C3737" t="s">
        <v>27</v>
      </c>
      <c r="D3737" t="s">
        <v>22</v>
      </c>
      <c r="E3737">
        <v>31.14</v>
      </c>
      <c r="F3737">
        <v>39</v>
      </c>
      <c r="G3737" t="s">
        <v>33</v>
      </c>
      <c r="H3737" t="s">
        <v>46</v>
      </c>
      <c r="I3737" s="2">
        <v>13.99</v>
      </c>
      <c r="J3737">
        <v>0</v>
      </c>
      <c r="K3737" s="2">
        <f t="shared" si="116"/>
        <v>0</v>
      </c>
      <c r="L3737" t="s">
        <v>37</v>
      </c>
      <c r="M3737">
        <v>3</v>
      </c>
      <c r="N3737">
        <v>0.78</v>
      </c>
      <c r="O3737" t="str">
        <f t="shared" si="117"/>
        <v>0.6–0.8 hours</v>
      </c>
      <c r="P3737" t="s">
        <v>52</v>
      </c>
    </row>
    <row r="3738" spans="1:16" x14ac:dyDescent="0.4">
      <c r="A3738" t="s">
        <v>3779</v>
      </c>
      <c r="B3738">
        <v>38</v>
      </c>
      <c r="C3738" t="s">
        <v>27</v>
      </c>
      <c r="D3738" t="s">
        <v>16</v>
      </c>
      <c r="E3738">
        <v>5.61</v>
      </c>
      <c r="F3738">
        <v>12</v>
      </c>
      <c r="G3738" t="s">
        <v>49</v>
      </c>
      <c r="H3738" t="s">
        <v>55</v>
      </c>
      <c r="I3738" s="2">
        <v>8.99</v>
      </c>
      <c r="J3738">
        <v>1</v>
      </c>
      <c r="K3738" s="2">
        <f t="shared" si="116"/>
        <v>8.99</v>
      </c>
      <c r="L3738" t="s">
        <v>19</v>
      </c>
      <c r="M3738">
        <v>2</v>
      </c>
      <c r="N3738">
        <v>0.43</v>
      </c>
      <c r="O3738" t="str">
        <f t="shared" si="117"/>
        <v>0.4–0.6 hours</v>
      </c>
      <c r="P3738" t="s">
        <v>30</v>
      </c>
    </row>
    <row r="3739" spans="1:16" x14ac:dyDescent="0.4">
      <c r="A3739" t="s">
        <v>3780</v>
      </c>
      <c r="B3739">
        <v>53</v>
      </c>
      <c r="C3739" t="s">
        <v>41</v>
      </c>
      <c r="D3739" t="s">
        <v>22</v>
      </c>
      <c r="E3739">
        <v>3.74</v>
      </c>
      <c r="F3739">
        <v>21</v>
      </c>
      <c r="G3739" t="s">
        <v>17</v>
      </c>
      <c r="H3739" t="s">
        <v>46</v>
      </c>
      <c r="I3739" s="2">
        <v>13.99</v>
      </c>
      <c r="J3739">
        <v>1</v>
      </c>
      <c r="K3739" s="2">
        <f t="shared" si="116"/>
        <v>13.99</v>
      </c>
      <c r="L3739" t="s">
        <v>37</v>
      </c>
      <c r="M3739">
        <v>3</v>
      </c>
      <c r="N3739">
        <v>0.17</v>
      </c>
      <c r="O3739" t="str">
        <f t="shared" si="117"/>
        <v>0–0.2 hours</v>
      </c>
      <c r="P3739" t="s">
        <v>39</v>
      </c>
    </row>
    <row r="3740" spans="1:16" x14ac:dyDescent="0.4">
      <c r="A3740" t="s">
        <v>3781</v>
      </c>
      <c r="B3740">
        <v>51</v>
      </c>
      <c r="C3740" t="s">
        <v>27</v>
      </c>
      <c r="D3740" t="s">
        <v>32</v>
      </c>
      <c r="E3740">
        <v>0.46</v>
      </c>
      <c r="F3740">
        <v>7</v>
      </c>
      <c r="G3740" t="s">
        <v>17</v>
      </c>
      <c r="H3740" t="s">
        <v>18</v>
      </c>
      <c r="I3740" s="2">
        <v>17.989999999999998</v>
      </c>
      <c r="J3740">
        <v>1</v>
      </c>
      <c r="K3740" s="2">
        <f t="shared" si="116"/>
        <v>17.989999999999998</v>
      </c>
      <c r="L3740" t="s">
        <v>43</v>
      </c>
      <c r="M3740">
        <v>2</v>
      </c>
      <c r="N3740">
        <v>0.06</v>
      </c>
      <c r="O3740" t="str">
        <f t="shared" si="117"/>
        <v>0–0.2 hours</v>
      </c>
      <c r="P3740" t="s">
        <v>30</v>
      </c>
    </row>
    <row r="3741" spans="1:16" x14ac:dyDescent="0.4">
      <c r="A3741" t="s">
        <v>3782</v>
      </c>
      <c r="B3741">
        <v>69</v>
      </c>
      <c r="C3741" t="s">
        <v>41</v>
      </c>
      <c r="D3741" t="s">
        <v>16</v>
      </c>
      <c r="E3741">
        <v>4.88</v>
      </c>
      <c r="F3741">
        <v>29</v>
      </c>
      <c r="G3741" t="s">
        <v>49</v>
      </c>
      <c r="H3741" t="s">
        <v>55</v>
      </c>
      <c r="I3741" s="2">
        <v>8.99</v>
      </c>
      <c r="J3741">
        <v>1</v>
      </c>
      <c r="K3741" s="2">
        <f t="shared" si="116"/>
        <v>8.99</v>
      </c>
      <c r="L3741" t="s">
        <v>43</v>
      </c>
      <c r="M3741">
        <v>1</v>
      </c>
      <c r="N3741">
        <v>0.16</v>
      </c>
      <c r="O3741" t="str">
        <f t="shared" si="117"/>
        <v>0–0.2 hours</v>
      </c>
      <c r="P3741" t="s">
        <v>47</v>
      </c>
    </row>
    <row r="3742" spans="1:16" x14ac:dyDescent="0.4">
      <c r="A3742" t="s">
        <v>3783</v>
      </c>
      <c r="B3742">
        <v>61</v>
      </c>
      <c r="C3742" t="s">
        <v>41</v>
      </c>
      <c r="D3742" t="s">
        <v>22</v>
      </c>
      <c r="E3742">
        <v>8.85</v>
      </c>
      <c r="F3742">
        <v>13</v>
      </c>
      <c r="G3742" t="s">
        <v>17</v>
      </c>
      <c r="H3742" t="s">
        <v>57</v>
      </c>
      <c r="I3742" s="2">
        <v>13.99</v>
      </c>
      <c r="J3742">
        <v>0</v>
      </c>
      <c r="K3742" s="2">
        <f t="shared" si="116"/>
        <v>0</v>
      </c>
      <c r="L3742" t="s">
        <v>29</v>
      </c>
      <c r="M3742">
        <v>2</v>
      </c>
      <c r="N3742">
        <v>0.63</v>
      </c>
      <c r="O3742" t="str">
        <f t="shared" si="117"/>
        <v>0.6–0.8 hours</v>
      </c>
      <c r="P3742" t="s">
        <v>47</v>
      </c>
    </row>
    <row r="3743" spans="1:16" x14ac:dyDescent="0.4">
      <c r="A3743" t="s">
        <v>3784</v>
      </c>
      <c r="B3743">
        <v>18</v>
      </c>
      <c r="C3743" t="s">
        <v>41</v>
      </c>
      <c r="D3743" t="s">
        <v>16</v>
      </c>
      <c r="E3743">
        <v>4.91</v>
      </c>
      <c r="F3743">
        <v>44</v>
      </c>
      <c r="G3743" t="s">
        <v>17</v>
      </c>
      <c r="H3743" t="s">
        <v>57</v>
      </c>
      <c r="I3743" s="2">
        <v>8.99</v>
      </c>
      <c r="J3743">
        <v>1</v>
      </c>
      <c r="K3743" s="2">
        <f t="shared" si="116"/>
        <v>8.99</v>
      </c>
      <c r="L3743" t="s">
        <v>19</v>
      </c>
      <c r="M3743">
        <v>1</v>
      </c>
      <c r="N3743">
        <v>0.11</v>
      </c>
      <c r="O3743" t="str">
        <f t="shared" si="117"/>
        <v>0–0.2 hours</v>
      </c>
      <c r="P3743" t="s">
        <v>39</v>
      </c>
    </row>
    <row r="3744" spans="1:16" x14ac:dyDescent="0.4">
      <c r="A3744" t="s">
        <v>3785</v>
      </c>
      <c r="B3744">
        <v>31</v>
      </c>
      <c r="C3744" t="s">
        <v>27</v>
      </c>
      <c r="D3744" t="s">
        <v>16</v>
      </c>
      <c r="E3744">
        <v>2.82</v>
      </c>
      <c r="F3744">
        <v>51</v>
      </c>
      <c r="G3744" t="s">
        <v>70</v>
      </c>
      <c r="H3744" t="s">
        <v>55</v>
      </c>
      <c r="I3744" s="2">
        <v>8.99</v>
      </c>
      <c r="J3744">
        <v>1</v>
      </c>
      <c r="K3744" s="2">
        <f t="shared" si="116"/>
        <v>8.99</v>
      </c>
      <c r="L3744" t="s">
        <v>61</v>
      </c>
      <c r="M3744">
        <v>2</v>
      </c>
      <c r="N3744">
        <v>0.05</v>
      </c>
      <c r="O3744" t="str">
        <f t="shared" si="117"/>
        <v>0–0.2 hours</v>
      </c>
      <c r="P3744" t="s">
        <v>20</v>
      </c>
    </row>
    <row r="3745" spans="1:16" x14ac:dyDescent="0.4">
      <c r="A3745" t="s">
        <v>3786</v>
      </c>
      <c r="B3745">
        <v>29</v>
      </c>
      <c r="C3745" t="s">
        <v>15</v>
      </c>
      <c r="D3745" t="s">
        <v>22</v>
      </c>
      <c r="E3745">
        <v>2.2200000000000002</v>
      </c>
      <c r="F3745">
        <v>34</v>
      </c>
      <c r="G3745" t="s">
        <v>70</v>
      </c>
      <c r="H3745" t="s">
        <v>57</v>
      </c>
      <c r="I3745" s="2">
        <v>13.99</v>
      </c>
      <c r="J3745">
        <v>1</v>
      </c>
      <c r="K3745" s="2">
        <f t="shared" si="116"/>
        <v>13.99</v>
      </c>
      <c r="L3745" t="s">
        <v>37</v>
      </c>
      <c r="M3745">
        <v>4</v>
      </c>
      <c r="N3745">
        <v>0.06</v>
      </c>
      <c r="O3745" t="str">
        <f t="shared" si="117"/>
        <v>0–0.2 hours</v>
      </c>
      <c r="P3745" t="s">
        <v>20</v>
      </c>
    </row>
    <row r="3746" spans="1:16" x14ac:dyDescent="0.4">
      <c r="A3746" t="s">
        <v>3787</v>
      </c>
      <c r="B3746">
        <v>45</v>
      </c>
      <c r="C3746" t="s">
        <v>27</v>
      </c>
      <c r="D3746" t="s">
        <v>32</v>
      </c>
      <c r="E3746">
        <v>9.2799999999999994</v>
      </c>
      <c r="F3746">
        <v>34</v>
      </c>
      <c r="G3746" t="s">
        <v>23</v>
      </c>
      <c r="H3746" t="s">
        <v>46</v>
      </c>
      <c r="I3746" s="2">
        <v>17.989999999999998</v>
      </c>
      <c r="J3746">
        <v>1</v>
      </c>
      <c r="K3746" s="2">
        <f t="shared" si="116"/>
        <v>17.989999999999998</v>
      </c>
      <c r="L3746" t="s">
        <v>61</v>
      </c>
      <c r="M3746">
        <v>2</v>
      </c>
      <c r="N3746">
        <v>0.27</v>
      </c>
      <c r="O3746" t="str">
        <f t="shared" si="117"/>
        <v>0.2–0.4 hours</v>
      </c>
      <c r="P3746" t="s">
        <v>34</v>
      </c>
    </row>
    <row r="3747" spans="1:16" x14ac:dyDescent="0.4">
      <c r="A3747" t="s">
        <v>3788</v>
      </c>
      <c r="B3747">
        <v>41</v>
      </c>
      <c r="C3747" t="s">
        <v>41</v>
      </c>
      <c r="D3747" t="s">
        <v>32</v>
      </c>
      <c r="E3747">
        <v>10.7</v>
      </c>
      <c r="F3747">
        <v>50</v>
      </c>
      <c r="G3747" t="s">
        <v>49</v>
      </c>
      <c r="H3747" t="s">
        <v>57</v>
      </c>
      <c r="I3747" s="2">
        <v>17.989999999999998</v>
      </c>
      <c r="J3747">
        <v>0</v>
      </c>
      <c r="K3747" s="2">
        <f t="shared" si="116"/>
        <v>0</v>
      </c>
      <c r="L3747" t="s">
        <v>43</v>
      </c>
      <c r="M3747">
        <v>5</v>
      </c>
      <c r="N3747">
        <v>0.21</v>
      </c>
      <c r="O3747" t="str">
        <f t="shared" si="117"/>
        <v>0.2–0.4 hours</v>
      </c>
      <c r="P3747" t="s">
        <v>30</v>
      </c>
    </row>
    <row r="3748" spans="1:16" x14ac:dyDescent="0.4">
      <c r="A3748" t="s">
        <v>3789</v>
      </c>
      <c r="B3748">
        <v>69</v>
      </c>
      <c r="C3748" t="s">
        <v>27</v>
      </c>
      <c r="D3748" t="s">
        <v>16</v>
      </c>
      <c r="E3748">
        <v>9.9499999999999993</v>
      </c>
      <c r="F3748">
        <v>34</v>
      </c>
      <c r="G3748" t="s">
        <v>17</v>
      </c>
      <c r="H3748" t="s">
        <v>46</v>
      </c>
      <c r="I3748" s="2">
        <v>8.99</v>
      </c>
      <c r="J3748">
        <v>1</v>
      </c>
      <c r="K3748" s="2">
        <f t="shared" si="116"/>
        <v>8.99</v>
      </c>
      <c r="L3748" t="s">
        <v>29</v>
      </c>
      <c r="M3748">
        <v>4</v>
      </c>
      <c r="N3748">
        <v>0.28000000000000003</v>
      </c>
      <c r="O3748" t="str">
        <f t="shared" si="117"/>
        <v>0.2–0.4 hours</v>
      </c>
      <c r="P3748" t="s">
        <v>52</v>
      </c>
    </row>
    <row r="3749" spans="1:16" x14ac:dyDescent="0.4">
      <c r="A3749" t="s">
        <v>3790</v>
      </c>
      <c r="B3749">
        <v>33</v>
      </c>
      <c r="C3749" t="s">
        <v>41</v>
      </c>
      <c r="D3749" t="s">
        <v>22</v>
      </c>
      <c r="E3749">
        <v>2.31</v>
      </c>
      <c r="F3749">
        <v>46</v>
      </c>
      <c r="G3749" t="s">
        <v>28</v>
      </c>
      <c r="H3749" t="s">
        <v>57</v>
      </c>
      <c r="I3749" s="2">
        <v>13.99</v>
      </c>
      <c r="J3749">
        <v>1</v>
      </c>
      <c r="K3749" s="2">
        <f t="shared" si="116"/>
        <v>13.99</v>
      </c>
      <c r="L3749" t="s">
        <v>61</v>
      </c>
      <c r="M3749">
        <v>1</v>
      </c>
      <c r="N3749">
        <v>0.05</v>
      </c>
      <c r="O3749" t="str">
        <f t="shared" si="117"/>
        <v>0–0.2 hours</v>
      </c>
      <c r="P3749" t="s">
        <v>25</v>
      </c>
    </row>
    <row r="3750" spans="1:16" x14ac:dyDescent="0.4">
      <c r="A3750" t="s">
        <v>3791</v>
      </c>
      <c r="B3750">
        <v>55</v>
      </c>
      <c r="C3750" t="s">
        <v>27</v>
      </c>
      <c r="D3750" t="s">
        <v>32</v>
      </c>
      <c r="E3750">
        <v>2.59</v>
      </c>
      <c r="F3750">
        <v>17</v>
      </c>
      <c r="G3750" t="s">
        <v>70</v>
      </c>
      <c r="H3750" t="s">
        <v>24</v>
      </c>
      <c r="I3750" s="2">
        <v>17.989999999999998</v>
      </c>
      <c r="J3750">
        <v>0</v>
      </c>
      <c r="K3750" s="2">
        <f t="shared" si="116"/>
        <v>0</v>
      </c>
      <c r="L3750" t="s">
        <v>43</v>
      </c>
      <c r="M3750">
        <v>5</v>
      </c>
      <c r="N3750">
        <v>0.14000000000000001</v>
      </c>
      <c r="O3750" t="str">
        <f t="shared" si="117"/>
        <v>0–0.2 hours</v>
      </c>
      <c r="P3750" t="s">
        <v>30</v>
      </c>
    </row>
    <row r="3751" spans="1:16" x14ac:dyDescent="0.4">
      <c r="A3751" t="s">
        <v>3792</v>
      </c>
      <c r="B3751">
        <v>34</v>
      </c>
      <c r="C3751" t="s">
        <v>27</v>
      </c>
      <c r="D3751" t="s">
        <v>32</v>
      </c>
      <c r="E3751">
        <v>14.62</v>
      </c>
      <c r="F3751">
        <v>47</v>
      </c>
      <c r="G3751" t="s">
        <v>70</v>
      </c>
      <c r="H3751" t="s">
        <v>57</v>
      </c>
      <c r="I3751" s="2">
        <v>17.989999999999998</v>
      </c>
      <c r="J3751">
        <v>1</v>
      </c>
      <c r="K3751" s="2">
        <f t="shared" si="116"/>
        <v>17.989999999999998</v>
      </c>
      <c r="L3751" t="s">
        <v>29</v>
      </c>
      <c r="M3751">
        <v>5</v>
      </c>
      <c r="N3751">
        <v>0.3</v>
      </c>
      <c r="O3751" t="str">
        <f t="shared" si="117"/>
        <v>0.2–0.4 hours</v>
      </c>
      <c r="P3751" t="s">
        <v>30</v>
      </c>
    </row>
    <row r="3752" spans="1:16" x14ac:dyDescent="0.4">
      <c r="A3752" t="s">
        <v>3793</v>
      </c>
      <c r="B3752">
        <v>68</v>
      </c>
      <c r="C3752" t="s">
        <v>15</v>
      </c>
      <c r="D3752" t="s">
        <v>16</v>
      </c>
      <c r="E3752">
        <v>2.39</v>
      </c>
      <c r="F3752">
        <v>47</v>
      </c>
      <c r="G3752" t="s">
        <v>33</v>
      </c>
      <c r="H3752" t="s">
        <v>24</v>
      </c>
      <c r="I3752" s="2">
        <v>8.99</v>
      </c>
      <c r="J3752">
        <v>1</v>
      </c>
      <c r="K3752" s="2">
        <f t="shared" si="116"/>
        <v>8.99</v>
      </c>
      <c r="L3752" t="s">
        <v>61</v>
      </c>
      <c r="M3752">
        <v>5</v>
      </c>
      <c r="N3752">
        <v>0.05</v>
      </c>
      <c r="O3752" t="str">
        <f t="shared" si="117"/>
        <v>0–0.2 hours</v>
      </c>
      <c r="P3752" t="s">
        <v>25</v>
      </c>
    </row>
    <row r="3753" spans="1:16" x14ac:dyDescent="0.4">
      <c r="A3753" t="s">
        <v>3794</v>
      </c>
      <c r="B3753">
        <v>32</v>
      </c>
      <c r="C3753" t="s">
        <v>41</v>
      </c>
      <c r="D3753" t="s">
        <v>16</v>
      </c>
      <c r="E3753">
        <v>26.07</v>
      </c>
      <c r="F3753">
        <v>37</v>
      </c>
      <c r="G3753" t="s">
        <v>33</v>
      </c>
      <c r="H3753" t="s">
        <v>46</v>
      </c>
      <c r="I3753" s="2">
        <v>8.99</v>
      </c>
      <c r="J3753">
        <v>0</v>
      </c>
      <c r="K3753" s="2">
        <f t="shared" si="116"/>
        <v>0</v>
      </c>
      <c r="L3753" t="s">
        <v>61</v>
      </c>
      <c r="M3753">
        <v>2</v>
      </c>
      <c r="N3753">
        <v>0.69</v>
      </c>
      <c r="O3753" t="str">
        <f t="shared" si="117"/>
        <v>0.6–0.8 hours</v>
      </c>
      <c r="P3753" t="s">
        <v>30</v>
      </c>
    </row>
    <row r="3754" spans="1:16" x14ac:dyDescent="0.4">
      <c r="A3754" t="s">
        <v>3795</v>
      </c>
      <c r="B3754">
        <v>64</v>
      </c>
      <c r="C3754" t="s">
        <v>41</v>
      </c>
      <c r="D3754" t="s">
        <v>16</v>
      </c>
      <c r="E3754">
        <v>15.08</v>
      </c>
      <c r="F3754">
        <v>36</v>
      </c>
      <c r="G3754" t="s">
        <v>23</v>
      </c>
      <c r="H3754" t="s">
        <v>55</v>
      </c>
      <c r="I3754" s="2">
        <v>8.99</v>
      </c>
      <c r="J3754">
        <v>1</v>
      </c>
      <c r="K3754" s="2">
        <f t="shared" si="116"/>
        <v>8.99</v>
      </c>
      <c r="L3754" t="s">
        <v>61</v>
      </c>
      <c r="M3754">
        <v>3</v>
      </c>
      <c r="N3754">
        <v>0.41</v>
      </c>
      <c r="O3754" t="str">
        <f t="shared" si="117"/>
        <v>0.4–0.6 hours</v>
      </c>
      <c r="P3754" t="s">
        <v>39</v>
      </c>
    </row>
    <row r="3755" spans="1:16" x14ac:dyDescent="0.4">
      <c r="A3755" t="s">
        <v>3796</v>
      </c>
      <c r="B3755">
        <v>44</v>
      </c>
      <c r="C3755" t="s">
        <v>27</v>
      </c>
      <c r="D3755" t="s">
        <v>16</v>
      </c>
      <c r="E3755">
        <v>47.4</v>
      </c>
      <c r="F3755">
        <v>9</v>
      </c>
      <c r="G3755" t="s">
        <v>70</v>
      </c>
      <c r="H3755" t="s">
        <v>55</v>
      </c>
      <c r="I3755" s="2">
        <v>8.99</v>
      </c>
      <c r="J3755">
        <v>0</v>
      </c>
      <c r="K3755" s="2">
        <f t="shared" si="116"/>
        <v>0</v>
      </c>
      <c r="L3755" t="s">
        <v>37</v>
      </c>
      <c r="M3755">
        <v>5</v>
      </c>
      <c r="N3755">
        <v>4.74</v>
      </c>
      <c r="O3755" t="str">
        <f t="shared" si="117"/>
        <v>1+ hours</v>
      </c>
      <c r="P3755" t="s">
        <v>39</v>
      </c>
    </row>
    <row r="3756" spans="1:16" x14ac:dyDescent="0.4">
      <c r="A3756" t="s">
        <v>3797</v>
      </c>
      <c r="B3756">
        <v>29</v>
      </c>
      <c r="C3756" t="s">
        <v>15</v>
      </c>
      <c r="D3756" t="s">
        <v>22</v>
      </c>
      <c r="E3756">
        <v>0.53</v>
      </c>
      <c r="F3756">
        <v>13</v>
      </c>
      <c r="G3756" t="s">
        <v>17</v>
      </c>
      <c r="H3756" t="s">
        <v>55</v>
      </c>
      <c r="I3756" s="2">
        <v>13.99</v>
      </c>
      <c r="J3756">
        <v>1</v>
      </c>
      <c r="K3756" s="2">
        <f t="shared" si="116"/>
        <v>13.99</v>
      </c>
      <c r="L3756" t="s">
        <v>37</v>
      </c>
      <c r="M3756">
        <v>3</v>
      </c>
      <c r="N3756">
        <v>0.04</v>
      </c>
      <c r="O3756" t="str">
        <f t="shared" si="117"/>
        <v>0–0.2 hours</v>
      </c>
      <c r="P3756" t="s">
        <v>20</v>
      </c>
    </row>
    <row r="3757" spans="1:16" x14ac:dyDescent="0.4">
      <c r="A3757" t="s">
        <v>3798</v>
      </c>
      <c r="B3757">
        <v>40</v>
      </c>
      <c r="C3757" t="s">
        <v>41</v>
      </c>
      <c r="D3757" t="s">
        <v>16</v>
      </c>
      <c r="E3757">
        <v>2.2400000000000002</v>
      </c>
      <c r="F3757">
        <v>9</v>
      </c>
      <c r="G3757" t="s">
        <v>33</v>
      </c>
      <c r="H3757" t="s">
        <v>55</v>
      </c>
      <c r="I3757" s="2">
        <v>8.99</v>
      </c>
      <c r="J3757">
        <v>1</v>
      </c>
      <c r="K3757" s="2">
        <f t="shared" si="116"/>
        <v>8.99</v>
      </c>
      <c r="L3757" t="s">
        <v>37</v>
      </c>
      <c r="M3757">
        <v>2</v>
      </c>
      <c r="N3757">
        <v>0.22</v>
      </c>
      <c r="O3757" t="str">
        <f t="shared" si="117"/>
        <v>0.2–0.4 hours</v>
      </c>
      <c r="P3757" t="s">
        <v>30</v>
      </c>
    </row>
    <row r="3758" spans="1:16" x14ac:dyDescent="0.4">
      <c r="A3758" t="s">
        <v>3799</v>
      </c>
      <c r="B3758">
        <v>57</v>
      </c>
      <c r="C3758" t="s">
        <v>15</v>
      </c>
      <c r="D3758" t="s">
        <v>16</v>
      </c>
      <c r="E3758">
        <v>6.73</v>
      </c>
      <c r="F3758">
        <v>51</v>
      </c>
      <c r="G3758" t="s">
        <v>70</v>
      </c>
      <c r="H3758" t="s">
        <v>55</v>
      </c>
      <c r="I3758" s="2">
        <v>8.99</v>
      </c>
      <c r="J3758">
        <v>1</v>
      </c>
      <c r="K3758" s="2">
        <f t="shared" si="116"/>
        <v>8.99</v>
      </c>
      <c r="L3758" t="s">
        <v>37</v>
      </c>
      <c r="M3758">
        <v>1</v>
      </c>
      <c r="N3758">
        <v>0.13</v>
      </c>
      <c r="O3758" t="str">
        <f t="shared" si="117"/>
        <v>0–0.2 hours</v>
      </c>
      <c r="P3758" t="s">
        <v>39</v>
      </c>
    </row>
    <row r="3759" spans="1:16" x14ac:dyDescent="0.4">
      <c r="A3759" t="s">
        <v>3800</v>
      </c>
      <c r="B3759">
        <v>47</v>
      </c>
      <c r="C3759" t="s">
        <v>15</v>
      </c>
      <c r="D3759" t="s">
        <v>32</v>
      </c>
      <c r="E3759">
        <v>12.6</v>
      </c>
      <c r="F3759">
        <v>52</v>
      </c>
      <c r="G3759" t="s">
        <v>17</v>
      </c>
      <c r="H3759" t="s">
        <v>18</v>
      </c>
      <c r="I3759" s="2">
        <v>17.989999999999998</v>
      </c>
      <c r="J3759">
        <v>1</v>
      </c>
      <c r="K3759" s="2">
        <f t="shared" si="116"/>
        <v>17.989999999999998</v>
      </c>
      <c r="L3759" t="s">
        <v>29</v>
      </c>
      <c r="M3759">
        <v>5</v>
      </c>
      <c r="N3759">
        <v>0.24</v>
      </c>
      <c r="O3759" t="str">
        <f t="shared" si="117"/>
        <v>0.2–0.4 hours</v>
      </c>
      <c r="P3759" t="s">
        <v>25</v>
      </c>
    </row>
    <row r="3760" spans="1:16" x14ac:dyDescent="0.4">
      <c r="A3760" t="s">
        <v>3801</v>
      </c>
      <c r="B3760">
        <v>31</v>
      </c>
      <c r="C3760" t="s">
        <v>15</v>
      </c>
      <c r="D3760" t="s">
        <v>22</v>
      </c>
      <c r="E3760">
        <v>0.21</v>
      </c>
      <c r="F3760">
        <v>16</v>
      </c>
      <c r="G3760" t="s">
        <v>17</v>
      </c>
      <c r="H3760" t="s">
        <v>46</v>
      </c>
      <c r="I3760" s="2">
        <v>13.99</v>
      </c>
      <c r="J3760">
        <v>1</v>
      </c>
      <c r="K3760" s="2">
        <f t="shared" si="116"/>
        <v>13.99</v>
      </c>
      <c r="L3760" t="s">
        <v>37</v>
      </c>
      <c r="M3760">
        <v>1</v>
      </c>
      <c r="N3760">
        <v>0.01</v>
      </c>
      <c r="O3760" t="str">
        <f t="shared" si="117"/>
        <v>0–0.2 hours</v>
      </c>
      <c r="P3760" t="s">
        <v>30</v>
      </c>
    </row>
    <row r="3761" spans="1:16" x14ac:dyDescent="0.4">
      <c r="A3761" t="s">
        <v>3802</v>
      </c>
      <c r="B3761">
        <v>66</v>
      </c>
      <c r="C3761" t="s">
        <v>27</v>
      </c>
      <c r="D3761" t="s">
        <v>32</v>
      </c>
      <c r="E3761">
        <v>19.190000000000001</v>
      </c>
      <c r="F3761">
        <v>40</v>
      </c>
      <c r="G3761" t="s">
        <v>17</v>
      </c>
      <c r="H3761" t="s">
        <v>55</v>
      </c>
      <c r="I3761" s="2">
        <v>17.989999999999998</v>
      </c>
      <c r="J3761">
        <v>1</v>
      </c>
      <c r="K3761" s="2">
        <f t="shared" si="116"/>
        <v>17.989999999999998</v>
      </c>
      <c r="L3761" t="s">
        <v>61</v>
      </c>
      <c r="M3761">
        <v>3</v>
      </c>
      <c r="N3761">
        <v>0.47</v>
      </c>
      <c r="O3761" t="str">
        <f t="shared" si="117"/>
        <v>0.4–0.6 hours</v>
      </c>
      <c r="P3761" t="s">
        <v>52</v>
      </c>
    </row>
    <row r="3762" spans="1:16" x14ac:dyDescent="0.4">
      <c r="A3762" t="s">
        <v>3803</v>
      </c>
      <c r="B3762">
        <v>32</v>
      </c>
      <c r="C3762" t="s">
        <v>15</v>
      </c>
      <c r="D3762" t="s">
        <v>32</v>
      </c>
      <c r="E3762">
        <v>5.09</v>
      </c>
      <c r="F3762">
        <v>37</v>
      </c>
      <c r="G3762" t="s">
        <v>33</v>
      </c>
      <c r="H3762" t="s">
        <v>55</v>
      </c>
      <c r="I3762" s="2">
        <v>17.989999999999998</v>
      </c>
      <c r="J3762">
        <v>0</v>
      </c>
      <c r="K3762" s="2">
        <f t="shared" si="116"/>
        <v>0</v>
      </c>
      <c r="L3762" t="s">
        <v>61</v>
      </c>
      <c r="M3762">
        <v>5</v>
      </c>
      <c r="N3762">
        <v>0.13</v>
      </c>
      <c r="O3762" t="str">
        <f t="shared" si="117"/>
        <v>0–0.2 hours</v>
      </c>
      <c r="P3762" t="s">
        <v>30</v>
      </c>
    </row>
    <row r="3763" spans="1:16" x14ac:dyDescent="0.4">
      <c r="A3763" t="s">
        <v>3804</v>
      </c>
      <c r="B3763">
        <v>55</v>
      </c>
      <c r="C3763" t="s">
        <v>15</v>
      </c>
      <c r="D3763" t="s">
        <v>32</v>
      </c>
      <c r="E3763">
        <v>1.63</v>
      </c>
      <c r="F3763">
        <v>52</v>
      </c>
      <c r="G3763" t="s">
        <v>17</v>
      </c>
      <c r="H3763" t="s">
        <v>57</v>
      </c>
      <c r="I3763" s="2">
        <v>17.989999999999998</v>
      </c>
      <c r="J3763">
        <v>1</v>
      </c>
      <c r="K3763" s="2">
        <f t="shared" si="116"/>
        <v>17.989999999999998</v>
      </c>
      <c r="L3763" t="s">
        <v>19</v>
      </c>
      <c r="M3763">
        <v>1</v>
      </c>
      <c r="N3763">
        <v>0.03</v>
      </c>
      <c r="O3763" t="str">
        <f t="shared" si="117"/>
        <v>0–0.2 hours</v>
      </c>
      <c r="P3763" t="s">
        <v>20</v>
      </c>
    </row>
    <row r="3764" spans="1:16" x14ac:dyDescent="0.4">
      <c r="A3764" t="s">
        <v>3805</v>
      </c>
      <c r="B3764">
        <v>48</v>
      </c>
      <c r="C3764" t="s">
        <v>27</v>
      </c>
      <c r="D3764" t="s">
        <v>16</v>
      </c>
      <c r="E3764">
        <v>4.59</v>
      </c>
      <c r="F3764">
        <v>55</v>
      </c>
      <c r="G3764" t="s">
        <v>49</v>
      </c>
      <c r="H3764" t="s">
        <v>57</v>
      </c>
      <c r="I3764" s="2">
        <v>8.99</v>
      </c>
      <c r="J3764">
        <v>1</v>
      </c>
      <c r="K3764" s="2">
        <f t="shared" si="116"/>
        <v>8.99</v>
      </c>
      <c r="L3764" t="s">
        <v>37</v>
      </c>
      <c r="M3764">
        <v>1</v>
      </c>
      <c r="N3764">
        <v>0.08</v>
      </c>
      <c r="O3764" t="str">
        <f t="shared" si="117"/>
        <v>0–0.2 hours</v>
      </c>
      <c r="P3764" t="s">
        <v>30</v>
      </c>
    </row>
    <row r="3765" spans="1:16" x14ac:dyDescent="0.4">
      <c r="A3765" t="s">
        <v>3806</v>
      </c>
      <c r="B3765">
        <v>66</v>
      </c>
      <c r="C3765" t="s">
        <v>27</v>
      </c>
      <c r="D3765" t="s">
        <v>32</v>
      </c>
      <c r="E3765">
        <v>2.29</v>
      </c>
      <c r="F3765">
        <v>52</v>
      </c>
      <c r="G3765" t="s">
        <v>23</v>
      </c>
      <c r="H3765" t="s">
        <v>55</v>
      </c>
      <c r="I3765" s="2">
        <v>17.989999999999998</v>
      </c>
      <c r="J3765">
        <v>1</v>
      </c>
      <c r="K3765" s="2">
        <f t="shared" si="116"/>
        <v>17.989999999999998</v>
      </c>
      <c r="L3765" t="s">
        <v>29</v>
      </c>
      <c r="M3765">
        <v>2</v>
      </c>
      <c r="N3765">
        <v>0.04</v>
      </c>
      <c r="O3765" t="str">
        <f t="shared" si="117"/>
        <v>0–0.2 hours</v>
      </c>
      <c r="P3765" t="s">
        <v>39</v>
      </c>
    </row>
    <row r="3766" spans="1:16" x14ac:dyDescent="0.4">
      <c r="A3766" t="s">
        <v>3807</v>
      </c>
      <c r="B3766">
        <v>60</v>
      </c>
      <c r="C3766" t="s">
        <v>27</v>
      </c>
      <c r="D3766" t="s">
        <v>32</v>
      </c>
      <c r="E3766">
        <v>2.09</v>
      </c>
      <c r="F3766">
        <v>14</v>
      </c>
      <c r="G3766" t="s">
        <v>70</v>
      </c>
      <c r="H3766" t="s">
        <v>46</v>
      </c>
      <c r="I3766" s="2">
        <v>17.989999999999998</v>
      </c>
      <c r="J3766">
        <v>1</v>
      </c>
      <c r="K3766" s="2">
        <f t="shared" si="116"/>
        <v>17.989999999999998</v>
      </c>
      <c r="L3766" t="s">
        <v>19</v>
      </c>
      <c r="M3766">
        <v>2</v>
      </c>
      <c r="N3766">
        <v>0.14000000000000001</v>
      </c>
      <c r="O3766" t="str">
        <f t="shared" si="117"/>
        <v>0–0.2 hours</v>
      </c>
      <c r="P3766" t="s">
        <v>47</v>
      </c>
    </row>
    <row r="3767" spans="1:16" x14ac:dyDescent="0.4">
      <c r="A3767" t="s">
        <v>3808</v>
      </c>
      <c r="B3767">
        <v>34</v>
      </c>
      <c r="C3767" t="s">
        <v>41</v>
      </c>
      <c r="D3767" t="s">
        <v>32</v>
      </c>
      <c r="E3767">
        <v>27.92</v>
      </c>
      <c r="F3767">
        <v>35</v>
      </c>
      <c r="G3767" t="s">
        <v>17</v>
      </c>
      <c r="H3767" t="s">
        <v>18</v>
      </c>
      <c r="I3767" s="2">
        <v>17.989999999999998</v>
      </c>
      <c r="J3767">
        <v>0</v>
      </c>
      <c r="K3767" s="2">
        <f t="shared" si="116"/>
        <v>0</v>
      </c>
      <c r="L3767" t="s">
        <v>29</v>
      </c>
      <c r="M3767">
        <v>4</v>
      </c>
      <c r="N3767">
        <v>0.78</v>
      </c>
      <c r="O3767" t="str">
        <f t="shared" si="117"/>
        <v>0.6–0.8 hours</v>
      </c>
      <c r="P3767" t="s">
        <v>34</v>
      </c>
    </row>
    <row r="3768" spans="1:16" x14ac:dyDescent="0.4">
      <c r="A3768" t="s">
        <v>3809</v>
      </c>
      <c r="B3768">
        <v>38</v>
      </c>
      <c r="C3768" t="s">
        <v>15</v>
      </c>
      <c r="D3768" t="s">
        <v>22</v>
      </c>
      <c r="E3768">
        <v>32.69</v>
      </c>
      <c r="F3768">
        <v>7</v>
      </c>
      <c r="G3768" t="s">
        <v>28</v>
      </c>
      <c r="H3768" t="s">
        <v>57</v>
      </c>
      <c r="I3768" s="2">
        <v>13.99</v>
      </c>
      <c r="J3768">
        <v>0</v>
      </c>
      <c r="K3768" s="2">
        <f t="shared" si="116"/>
        <v>0</v>
      </c>
      <c r="L3768" t="s">
        <v>19</v>
      </c>
      <c r="M3768">
        <v>4</v>
      </c>
      <c r="N3768">
        <v>4.09</v>
      </c>
      <c r="O3768" t="str">
        <f t="shared" si="117"/>
        <v>1+ hours</v>
      </c>
      <c r="P3768" t="s">
        <v>52</v>
      </c>
    </row>
    <row r="3769" spans="1:16" x14ac:dyDescent="0.4">
      <c r="A3769" t="s">
        <v>3810</v>
      </c>
      <c r="B3769">
        <v>22</v>
      </c>
      <c r="C3769" t="s">
        <v>41</v>
      </c>
      <c r="D3769" t="s">
        <v>32</v>
      </c>
      <c r="E3769">
        <v>1.78</v>
      </c>
      <c r="F3769">
        <v>17</v>
      </c>
      <c r="G3769" t="s">
        <v>17</v>
      </c>
      <c r="H3769" t="s">
        <v>55</v>
      </c>
      <c r="I3769" s="2">
        <v>17.989999999999998</v>
      </c>
      <c r="J3769">
        <v>1</v>
      </c>
      <c r="K3769" s="2">
        <f t="shared" si="116"/>
        <v>17.989999999999998</v>
      </c>
      <c r="L3769" t="s">
        <v>19</v>
      </c>
      <c r="M3769">
        <v>4</v>
      </c>
      <c r="N3769">
        <v>0.1</v>
      </c>
      <c r="O3769" t="str">
        <f t="shared" si="117"/>
        <v>0–0.2 hours</v>
      </c>
      <c r="P3769" t="s">
        <v>52</v>
      </c>
    </row>
    <row r="3770" spans="1:16" x14ac:dyDescent="0.4">
      <c r="A3770" t="s">
        <v>3811</v>
      </c>
      <c r="B3770">
        <v>24</v>
      </c>
      <c r="C3770" t="s">
        <v>27</v>
      </c>
      <c r="D3770" t="s">
        <v>16</v>
      </c>
      <c r="E3770">
        <v>8.27</v>
      </c>
      <c r="F3770">
        <v>14</v>
      </c>
      <c r="G3770" t="s">
        <v>17</v>
      </c>
      <c r="H3770" t="s">
        <v>18</v>
      </c>
      <c r="I3770" s="2">
        <v>8.99</v>
      </c>
      <c r="J3770">
        <v>0</v>
      </c>
      <c r="K3770" s="2">
        <f t="shared" si="116"/>
        <v>0</v>
      </c>
      <c r="L3770" t="s">
        <v>61</v>
      </c>
      <c r="M3770">
        <v>3</v>
      </c>
      <c r="N3770">
        <v>0.55000000000000004</v>
      </c>
      <c r="O3770" t="str">
        <f t="shared" si="117"/>
        <v>0.4–0.6 hours</v>
      </c>
      <c r="P3770" t="s">
        <v>25</v>
      </c>
    </row>
    <row r="3771" spans="1:16" x14ac:dyDescent="0.4">
      <c r="A3771" t="s">
        <v>3812</v>
      </c>
      <c r="B3771">
        <v>65</v>
      </c>
      <c r="C3771" t="s">
        <v>15</v>
      </c>
      <c r="D3771" t="s">
        <v>22</v>
      </c>
      <c r="E3771">
        <v>10.38</v>
      </c>
      <c r="F3771">
        <v>10</v>
      </c>
      <c r="G3771" t="s">
        <v>33</v>
      </c>
      <c r="H3771" t="s">
        <v>55</v>
      </c>
      <c r="I3771" s="2">
        <v>13.99</v>
      </c>
      <c r="J3771">
        <v>0</v>
      </c>
      <c r="K3771" s="2">
        <f t="shared" si="116"/>
        <v>0</v>
      </c>
      <c r="L3771" t="s">
        <v>43</v>
      </c>
      <c r="M3771">
        <v>4</v>
      </c>
      <c r="N3771">
        <v>0.94</v>
      </c>
      <c r="O3771" t="str">
        <f t="shared" si="117"/>
        <v>0.8–1 hour</v>
      </c>
      <c r="P3771" t="s">
        <v>34</v>
      </c>
    </row>
    <row r="3772" spans="1:16" x14ac:dyDescent="0.4">
      <c r="A3772" t="s">
        <v>3813</v>
      </c>
      <c r="B3772">
        <v>41</v>
      </c>
      <c r="C3772" t="s">
        <v>41</v>
      </c>
      <c r="D3772" t="s">
        <v>32</v>
      </c>
      <c r="E3772">
        <v>10.81</v>
      </c>
      <c r="F3772">
        <v>44</v>
      </c>
      <c r="G3772" t="s">
        <v>49</v>
      </c>
      <c r="H3772" t="s">
        <v>57</v>
      </c>
      <c r="I3772" s="2">
        <v>17.989999999999998</v>
      </c>
      <c r="J3772">
        <v>1</v>
      </c>
      <c r="K3772" s="2">
        <f t="shared" si="116"/>
        <v>17.989999999999998</v>
      </c>
      <c r="L3772" t="s">
        <v>19</v>
      </c>
      <c r="M3772">
        <v>3</v>
      </c>
      <c r="N3772">
        <v>0.24</v>
      </c>
      <c r="O3772" t="str">
        <f t="shared" si="117"/>
        <v>0.2–0.4 hours</v>
      </c>
      <c r="P3772" t="s">
        <v>52</v>
      </c>
    </row>
    <row r="3773" spans="1:16" x14ac:dyDescent="0.4">
      <c r="A3773" t="s">
        <v>3814</v>
      </c>
      <c r="B3773">
        <v>20</v>
      </c>
      <c r="C3773" t="s">
        <v>15</v>
      </c>
      <c r="D3773" t="s">
        <v>32</v>
      </c>
      <c r="E3773">
        <v>2.86</v>
      </c>
      <c r="F3773">
        <v>34</v>
      </c>
      <c r="G3773" t="s">
        <v>17</v>
      </c>
      <c r="H3773" t="s">
        <v>46</v>
      </c>
      <c r="I3773" s="2">
        <v>17.989999999999998</v>
      </c>
      <c r="J3773">
        <v>1</v>
      </c>
      <c r="K3773" s="2">
        <f t="shared" si="116"/>
        <v>17.989999999999998</v>
      </c>
      <c r="L3773" t="s">
        <v>61</v>
      </c>
      <c r="M3773">
        <v>3</v>
      </c>
      <c r="N3773">
        <v>0.08</v>
      </c>
      <c r="O3773" t="str">
        <f t="shared" si="117"/>
        <v>0–0.2 hours</v>
      </c>
      <c r="P3773" t="s">
        <v>39</v>
      </c>
    </row>
    <row r="3774" spans="1:16" x14ac:dyDescent="0.4">
      <c r="A3774" t="s">
        <v>3815</v>
      </c>
      <c r="B3774">
        <v>50</v>
      </c>
      <c r="C3774" t="s">
        <v>41</v>
      </c>
      <c r="D3774" t="s">
        <v>32</v>
      </c>
      <c r="E3774">
        <v>7.96</v>
      </c>
      <c r="F3774">
        <v>51</v>
      </c>
      <c r="G3774" t="s">
        <v>33</v>
      </c>
      <c r="H3774" t="s">
        <v>57</v>
      </c>
      <c r="I3774" s="2">
        <v>17.989999999999998</v>
      </c>
      <c r="J3774">
        <v>1</v>
      </c>
      <c r="K3774" s="2">
        <f t="shared" si="116"/>
        <v>17.989999999999998</v>
      </c>
      <c r="L3774" t="s">
        <v>19</v>
      </c>
      <c r="M3774">
        <v>5</v>
      </c>
      <c r="N3774">
        <v>0.15</v>
      </c>
      <c r="O3774" t="str">
        <f t="shared" si="117"/>
        <v>0–0.2 hours</v>
      </c>
      <c r="P3774" t="s">
        <v>34</v>
      </c>
    </row>
    <row r="3775" spans="1:16" x14ac:dyDescent="0.4">
      <c r="A3775" t="s">
        <v>3816</v>
      </c>
      <c r="B3775">
        <v>38</v>
      </c>
      <c r="C3775" t="s">
        <v>15</v>
      </c>
      <c r="D3775" t="s">
        <v>22</v>
      </c>
      <c r="E3775">
        <v>29.16</v>
      </c>
      <c r="F3775">
        <v>46</v>
      </c>
      <c r="G3775" t="s">
        <v>70</v>
      </c>
      <c r="H3775" t="s">
        <v>57</v>
      </c>
      <c r="I3775" s="2">
        <v>13.99</v>
      </c>
      <c r="J3775">
        <v>0</v>
      </c>
      <c r="K3775" s="2">
        <f t="shared" si="116"/>
        <v>0</v>
      </c>
      <c r="L3775" t="s">
        <v>29</v>
      </c>
      <c r="M3775">
        <v>5</v>
      </c>
      <c r="N3775">
        <v>0.62</v>
      </c>
      <c r="O3775" t="str">
        <f t="shared" si="117"/>
        <v>0.6–0.8 hours</v>
      </c>
      <c r="P3775" t="s">
        <v>30</v>
      </c>
    </row>
    <row r="3776" spans="1:16" x14ac:dyDescent="0.4">
      <c r="A3776" t="s">
        <v>3817</v>
      </c>
      <c r="B3776">
        <v>30</v>
      </c>
      <c r="C3776" t="s">
        <v>27</v>
      </c>
      <c r="D3776" t="s">
        <v>16</v>
      </c>
      <c r="E3776">
        <v>12.11</v>
      </c>
      <c r="F3776">
        <v>25</v>
      </c>
      <c r="G3776" t="s">
        <v>33</v>
      </c>
      <c r="H3776" t="s">
        <v>18</v>
      </c>
      <c r="I3776" s="2">
        <v>8.99</v>
      </c>
      <c r="J3776">
        <v>0</v>
      </c>
      <c r="K3776" s="2">
        <f t="shared" si="116"/>
        <v>0</v>
      </c>
      <c r="L3776" t="s">
        <v>19</v>
      </c>
      <c r="M3776">
        <v>4</v>
      </c>
      <c r="N3776">
        <v>0.47</v>
      </c>
      <c r="O3776" t="str">
        <f t="shared" si="117"/>
        <v>0.4–0.6 hours</v>
      </c>
      <c r="P3776" t="s">
        <v>39</v>
      </c>
    </row>
    <row r="3777" spans="1:16" x14ac:dyDescent="0.4">
      <c r="A3777" t="s">
        <v>3818</v>
      </c>
      <c r="B3777">
        <v>35</v>
      </c>
      <c r="C3777" t="s">
        <v>27</v>
      </c>
      <c r="D3777" t="s">
        <v>32</v>
      </c>
      <c r="E3777">
        <v>14.42</v>
      </c>
      <c r="F3777">
        <v>30</v>
      </c>
      <c r="G3777" t="s">
        <v>49</v>
      </c>
      <c r="H3777" t="s">
        <v>18</v>
      </c>
      <c r="I3777" s="2">
        <v>17.989999999999998</v>
      </c>
      <c r="J3777">
        <v>0</v>
      </c>
      <c r="K3777" s="2">
        <f t="shared" si="116"/>
        <v>0</v>
      </c>
      <c r="L3777" t="s">
        <v>19</v>
      </c>
      <c r="M3777">
        <v>2</v>
      </c>
      <c r="N3777">
        <v>0.47</v>
      </c>
      <c r="O3777" t="str">
        <f t="shared" si="117"/>
        <v>0.4–0.6 hours</v>
      </c>
      <c r="P3777" t="s">
        <v>20</v>
      </c>
    </row>
    <row r="3778" spans="1:16" x14ac:dyDescent="0.4">
      <c r="A3778" t="s">
        <v>3819</v>
      </c>
      <c r="B3778">
        <v>35</v>
      </c>
      <c r="C3778" t="s">
        <v>41</v>
      </c>
      <c r="D3778" t="s">
        <v>22</v>
      </c>
      <c r="E3778">
        <v>1.91</v>
      </c>
      <c r="F3778">
        <v>38</v>
      </c>
      <c r="G3778" t="s">
        <v>28</v>
      </c>
      <c r="H3778" t="s">
        <v>55</v>
      </c>
      <c r="I3778" s="2">
        <v>13.99</v>
      </c>
      <c r="J3778">
        <v>1</v>
      </c>
      <c r="K3778" s="2">
        <f t="shared" si="116"/>
        <v>13.99</v>
      </c>
      <c r="L3778" t="s">
        <v>37</v>
      </c>
      <c r="M3778">
        <v>2</v>
      </c>
      <c r="N3778">
        <v>0.05</v>
      </c>
      <c r="O3778" t="str">
        <f t="shared" si="117"/>
        <v>0–0.2 hours</v>
      </c>
      <c r="P3778" t="s">
        <v>30</v>
      </c>
    </row>
    <row r="3779" spans="1:16" x14ac:dyDescent="0.4">
      <c r="A3779" t="s">
        <v>3820</v>
      </c>
      <c r="B3779">
        <v>59</v>
      </c>
      <c r="C3779" t="s">
        <v>41</v>
      </c>
      <c r="D3779" t="s">
        <v>32</v>
      </c>
      <c r="E3779">
        <v>9.49</v>
      </c>
      <c r="F3779">
        <v>42</v>
      </c>
      <c r="G3779" t="s">
        <v>33</v>
      </c>
      <c r="H3779" t="s">
        <v>55</v>
      </c>
      <c r="I3779" s="2">
        <v>17.989999999999998</v>
      </c>
      <c r="J3779">
        <v>1</v>
      </c>
      <c r="K3779" s="2">
        <f t="shared" ref="K3779:K3842" si="118">SUMIF(J3779,1,I3779)</f>
        <v>17.989999999999998</v>
      </c>
      <c r="L3779" t="s">
        <v>37</v>
      </c>
      <c r="M3779">
        <v>2</v>
      </c>
      <c r="N3779">
        <v>0.22</v>
      </c>
      <c r="O3779" t="str">
        <f t="shared" ref="O3779:O3842" si="119">IF(N3779&gt;1,"1+ hours",IF(N3779&lt;=0.2,"0–0.2 hours",IF(N3779&lt;=0.4,"0.2–0.4 hours",IF(N3779&lt;=0.6,"0.4–0.6 hours",IF(N3779&lt;=0.8,"0.6–0.8 hours","0.8–1 hour")))))</f>
        <v>0.2–0.4 hours</v>
      </c>
      <c r="P3779" t="s">
        <v>20</v>
      </c>
    </row>
    <row r="3780" spans="1:16" x14ac:dyDescent="0.4">
      <c r="A3780" t="s">
        <v>3821</v>
      </c>
      <c r="B3780">
        <v>27</v>
      </c>
      <c r="C3780" t="s">
        <v>41</v>
      </c>
      <c r="D3780" t="s">
        <v>32</v>
      </c>
      <c r="E3780">
        <v>2.83</v>
      </c>
      <c r="F3780">
        <v>37</v>
      </c>
      <c r="G3780" t="s">
        <v>33</v>
      </c>
      <c r="H3780" t="s">
        <v>57</v>
      </c>
      <c r="I3780" s="2">
        <v>17.989999999999998</v>
      </c>
      <c r="J3780">
        <v>1</v>
      </c>
      <c r="K3780" s="2">
        <f t="shared" si="118"/>
        <v>17.989999999999998</v>
      </c>
      <c r="L3780" t="s">
        <v>19</v>
      </c>
      <c r="M3780">
        <v>2</v>
      </c>
      <c r="N3780">
        <v>7.0000000000000007E-2</v>
      </c>
      <c r="O3780" t="str">
        <f t="shared" si="119"/>
        <v>0–0.2 hours</v>
      </c>
      <c r="P3780" t="s">
        <v>20</v>
      </c>
    </row>
    <row r="3781" spans="1:16" x14ac:dyDescent="0.4">
      <c r="A3781" t="s">
        <v>3822</v>
      </c>
      <c r="B3781">
        <v>22</v>
      </c>
      <c r="C3781" t="s">
        <v>15</v>
      </c>
      <c r="D3781" t="s">
        <v>22</v>
      </c>
      <c r="E3781">
        <v>0.72</v>
      </c>
      <c r="F3781">
        <v>49</v>
      </c>
      <c r="G3781" t="s">
        <v>17</v>
      </c>
      <c r="H3781" t="s">
        <v>55</v>
      </c>
      <c r="I3781" s="2">
        <v>13.99</v>
      </c>
      <c r="J3781">
        <v>1</v>
      </c>
      <c r="K3781" s="2">
        <f t="shared" si="118"/>
        <v>13.99</v>
      </c>
      <c r="L3781" t="s">
        <v>19</v>
      </c>
      <c r="M3781">
        <v>5</v>
      </c>
      <c r="N3781">
        <v>0.01</v>
      </c>
      <c r="O3781" t="str">
        <f t="shared" si="119"/>
        <v>0–0.2 hours</v>
      </c>
      <c r="P3781" t="s">
        <v>34</v>
      </c>
    </row>
    <row r="3782" spans="1:16" x14ac:dyDescent="0.4">
      <c r="A3782" t="s">
        <v>3823</v>
      </c>
      <c r="B3782">
        <v>23</v>
      </c>
      <c r="C3782" t="s">
        <v>27</v>
      </c>
      <c r="D3782" t="s">
        <v>32</v>
      </c>
      <c r="E3782">
        <v>5.48</v>
      </c>
      <c r="F3782">
        <v>16</v>
      </c>
      <c r="G3782" t="s">
        <v>23</v>
      </c>
      <c r="H3782" t="s">
        <v>57</v>
      </c>
      <c r="I3782" s="2">
        <v>17.989999999999998</v>
      </c>
      <c r="J3782">
        <v>0</v>
      </c>
      <c r="K3782" s="2">
        <f t="shared" si="118"/>
        <v>0</v>
      </c>
      <c r="L3782" t="s">
        <v>37</v>
      </c>
      <c r="M3782">
        <v>1</v>
      </c>
      <c r="N3782">
        <v>0.32</v>
      </c>
      <c r="O3782" t="str">
        <f t="shared" si="119"/>
        <v>0.2–0.4 hours</v>
      </c>
      <c r="P3782" t="s">
        <v>30</v>
      </c>
    </row>
    <row r="3783" spans="1:16" x14ac:dyDescent="0.4">
      <c r="A3783" t="s">
        <v>3824</v>
      </c>
      <c r="B3783">
        <v>24</v>
      </c>
      <c r="C3783" t="s">
        <v>15</v>
      </c>
      <c r="D3783" t="s">
        <v>16</v>
      </c>
      <c r="E3783">
        <v>5.28</v>
      </c>
      <c r="F3783">
        <v>55</v>
      </c>
      <c r="G3783" t="s">
        <v>49</v>
      </c>
      <c r="H3783" t="s">
        <v>57</v>
      </c>
      <c r="I3783" s="2">
        <v>8.99</v>
      </c>
      <c r="J3783">
        <v>1</v>
      </c>
      <c r="K3783" s="2">
        <f t="shared" si="118"/>
        <v>8.99</v>
      </c>
      <c r="L3783" t="s">
        <v>61</v>
      </c>
      <c r="M3783">
        <v>4</v>
      </c>
      <c r="N3783">
        <v>0.09</v>
      </c>
      <c r="O3783" t="str">
        <f t="shared" si="119"/>
        <v>0–0.2 hours</v>
      </c>
      <c r="P3783" t="s">
        <v>34</v>
      </c>
    </row>
    <row r="3784" spans="1:16" x14ac:dyDescent="0.4">
      <c r="A3784" t="s">
        <v>3825</v>
      </c>
      <c r="B3784">
        <v>20</v>
      </c>
      <c r="C3784" t="s">
        <v>15</v>
      </c>
      <c r="D3784" t="s">
        <v>22</v>
      </c>
      <c r="E3784">
        <v>8.9600000000000009</v>
      </c>
      <c r="F3784">
        <v>34</v>
      </c>
      <c r="G3784" t="s">
        <v>17</v>
      </c>
      <c r="H3784" t="s">
        <v>57</v>
      </c>
      <c r="I3784" s="2">
        <v>13.99</v>
      </c>
      <c r="J3784">
        <v>1</v>
      </c>
      <c r="K3784" s="2">
        <f t="shared" si="118"/>
        <v>13.99</v>
      </c>
      <c r="L3784" t="s">
        <v>19</v>
      </c>
      <c r="M3784">
        <v>1</v>
      </c>
      <c r="N3784">
        <v>0.26</v>
      </c>
      <c r="O3784" t="str">
        <f t="shared" si="119"/>
        <v>0.2–0.4 hours</v>
      </c>
      <c r="P3784" t="s">
        <v>47</v>
      </c>
    </row>
    <row r="3785" spans="1:16" x14ac:dyDescent="0.4">
      <c r="A3785" t="s">
        <v>3826</v>
      </c>
      <c r="B3785">
        <v>19</v>
      </c>
      <c r="C3785" t="s">
        <v>41</v>
      </c>
      <c r="D3785" t="s">
        <v>32</v>
      </c>
      <c r="E3785">
        <v>14.47</v>
      </c>
      <c r="F3785">
        <v>27</v>
      </c>
      <c r="G3785" t="s">
        <v>28</v>
      </c>
      <c r="H3785" t="s">
        <v>24</v>
      </c>
      <c r="I3785" s="2">
        <v>17.989999999999998</v>
      </c>
      <c r="J3785">
        <v>0</v>
      </c>
      <c r="K3785" s="2">
        <f t="shared" si="118"/>
        <v>0</v>
      </c>
      <c r="L3785" t="s">
        <v>29</v>
      </c>
      <c r="M3785">
        <v>2</v>
      </c>
      <c r="N3785">
        <v>0.52</v>
      </c>
      <c r="O3785" t="str">
        <f t="shared" si="119"/>
        <v>0.4–0.6 hours</v>
      </c>
      <c r="P3785" t="s">
        <v>20</v>
      </c>
    </row>
    <row r="3786" spans="1:16" x14ac:dyDescent="0.4">
      <c r="A3786" t="s">
        <v>3827</v>
      </c>
      <c r="B3786">
        <v>27</v>
      </c>
      <c r="C3786" t="s">
        <v>15</v>
      </c>
      <c r="D3786" t="s">
        <v>32</v>
      </c>
      <c r="E3786">
        <v>1.44</v>
      </c>
      <c r="F3786">
        <v>48</v>
      </c>
      <c r="G3786" t="s">
        <v>28</v>
      </c>
      <c r="H3786" t="s">
        <v>46</v>
      </c>
      <c r="I3786" s="2">
        <v>17.989999999999998</v>
      </c>
      <c r="J3786">
        <v>1</v>
      </c>
      <c r="K3786" s="2">
        <f t="shared" si="118"/>
        <v>17.989999999999998</v>
      </c>
      <c r="L3786" t="s">
        <v>61</v>
      </c>
      <c r="M3786">
        <v>1</v>
      </c>
      <c r="N3786">
        <v>0.03</v>
      </c>
      <c r="O3786" t="str">
        <f t="shared" si="119"/>
        <v>0–0.2 hours</v>
      </c>
      <c r="P3786" t="s">
        <v>25</v>
      </c>
    </row>
    <row r="3787" spans="1:16" x14ac:dyDescent="0.4">
      <c r="A3787" t="s">
        <v>3828</v>
      </c>
      <c r="B3787">
        <v>33</v>
      </c>
      <c r="C3787" t="s">
        <v>15</v>
      </c>
      <c r="D3787" t="s">
        <v>22</v>
      </c>
      <c r="E3787">
        <v>16.3</v>
      </c>
      <c r="F3787">
        <v>11</v>
      </c>
      <c r="G3787" t="s">
        <v>23</v>
      </c>
      <c r="H3787" t="s">
        <v>57</v>
      </c>
      <c r="I3787" s="2">
        <v>13.99</v>
      </c>
      <c r="J3787">
        <v>0</v>
      </c>
      <c r="K3787" s="2">
        <f t="shared" si="118"/>
        <v>0</v>
      </c>
      <c r="L3787" t="s">
        <v>19</v>
      </c>
      <c r="M3787">
        <v>2</v>
      </c>
      <c r="N3787">
        <v>1.36</v>
      </c>
      <c r="O3787" t="str">
        <f t="shared" si="119"/>
        <v>1+ hours</v>
      </c>
      <c r="P3787" t="s">
        <v>25</v>
      </c>
    </row>
    <row r="3788" spans="1:16" x14ac:dyDescent="0.4">
      <c r="A3788" t="s">
        <v>3829</v>
      </c>
      <c r="B3788">
        <v>21</v>
      </c>
      <c r="C3788" t="s">
        <v>41</v>
      </c>
      <c r="D3788" t="s">
        <v>16</v>
      </c>
      <c r="E3788">
        <v>8.58</v>
      </c>
      <c r="F3788">
        <v>44</v>
      </c>
      <c r="G3788" t="s">
        <v>49</v>
      </c>
      <c r="H3788" t="s">
        <v>18</v>
      </c>
      <c r="I3788" s="2">
        <v>8.99</v>
      </c>
      <c r="J3788">
        <v>1</v>
      </c>
      <c r="K3788" s="2">
        <f t="shared" si="118"/>
        <v>8.99</v>
      </c>
      <c r="L3788" t="s">
        <v>29</v>
      </c>
      <c r="M3788">
        <v>2</v>
      </c>
      <c r="N3788">
        <v>0.19</v>
      </c>
      <c r="O3788" t="str">
        <f t="shared" si="119"/>
        <v>0–0.2 hours</v>
      </c>
      <c r="P3788" t="s">
        <v>25</v>
      </c>
    </row>
    <row r="3789" spans="1:16" x14ac:dyDescent="0.4">
      <c r="A3789" s="1" t="s">
        <v>3830</v>
      </c>
      <c r="B3789">
        <v>61</v>
      </c>
      <c r="C3789" t="s">
        <v>27</v>
      </c>
      <c r="D3789" t="s">
        <v>22</v>
      </c>
      <c r="E3789">
        <v>6.67</v>
      </c>
      <c r="F3789">
        <v>6</v>
      </c>
      <c r="G3789" t="s">
        <v>49</v>
      </c>
      <c r="H3789" t="s">
        <v>57</v>
      </c>
      <c r="I3789" s="2">
        <v>13.99</v>
      </c>
      <c r="J3789">
        <v>0</v>
      </c>
      <c r="K3789" s="2">
        <f t="shared" si="118"/>
        <v>0</v>
      </c>
      <c r="L3789" t="s">
        <v>19</v>
      </c>
      <c r="M3789">
        <v>1</v>
      </c>
      <c r="N3789">
        <v>0.95</v>
      </c>
      <c r="O3789" t="str">
        <f t="shared" si="119"/>
        <v>0.8–1 hour</v>
      </c>
      <c r="P3789" t="s">
        <v>25</v>
      </c>
    </row>
    <row r="3790" spans="1:16" x14ac:dyDescent="0.4">
      <c r="A3790" t="s">
        <v>3831</v>
      </c>
      <c r="B3790">
        <v>67</v>
      </c>
      <c r="C3790" t="s">
        <v>27</v>
      </c>
      <c r="D3790" t="s">
        <v>16</v>
      </c>
      <c r="E3790">
        <v>35.369999999999997</v>
      </c>
      <c r="F3790">
        <v>27</v>
      </c>
      <c r="G3790" t="s">
        <v>49</v>
      </c>
      <c r="H3790" t="s">
        <v>55</v>
      </c>
      <c r="I3790" s="2">
        <v>8.99</v>
      </c>
      <c r="J3790">
        <v>0</v>
      </c>
      <c r="K3790" s="2">
        <f t="shared" si="118"/>
        <v>0</v>
      </c>
      <c r="L3790" t="s">
        <v>37</v>
      </c>
      <c r="M3790">
        <v>4</v>
      </c>
      <c r="N3790">
        <v>1.26</v>
      </c>
      <c r="O3790" t="str">
        <f t="shared" si="119"/>
        <v>1+ hours</v>
      </c>
      <c r="P3790" t="s">
        <v>25</v>
      </c>
    </row>
    <row r="3791" spans="1:16" x14ac:dyDescent="0.4">
      <c r="A3791" t="s">
        <v>3832</v>
      </c>
      <c r="B3791">
        <v>18</v>
      </c>
      <c r="C3791" t="s">
        <v>41</v>
      </c>
      <c r="D3791" t="s">
        <v>22</v>
      </c>
      <c r="E3791">
        <v>3.57</v>
      </c>
      <c r="F3791">
        <v>50</v>
      </c>
      <c r="G3791" t="s">
        <v>17</v>
      </c>
      <c r="H3791" t="s">
        <v>55</v>
      </c>
      <c r="I3791" s="2">
        <v>13.99</v>
      </c>
      <c r="J3791">
        <v>1</v>
      </c>
      <c r="K3791" s="2">
        <f t="shared" si="118"/>
        <v>13.99</v>
      </c>
      <c r="L3791" t="s">
        <v>37</v>
      </c>
      <c r="M3791">
        <v>4</v>
      </c>
      <c r="N3791">
        <v>7.0000000000000007E-2</v>
      </c>
      <c r="O3791" t="str">
        <f t="shared" si="119"/>
        <v>0–0.2 hours</v>
      </c>
      <c r="P3791" t="s">
        <v>34</v>
      </c>
    </row>
    <row r="3792" spans="1:16" x14ac:dyDescent="0.4">
      <c r="A3792" t="s">
        <v>3833</v>
      </c>
      <c r="B3792">
        <v>25</v>
      </c>
      <c r="C3792" t="s">
        <v>27</v>
      </c>
      <c r="D3792" t="s">
        <v>32</v>
      </c>
      <c r="E3792">
        <v>33.04</v>
      </c>
      <c r="F3792">
        <v>37</v>
      </c>
      <c r="G3792" t="s">
        <v>28</v>
      </c>
      <c r="H3792" t="s">
        <v>57</v>
      </c>
      <c r="I3792" s="2">
        <v>17.989999999999998</v>
      </c>
      <c r="J3792">
        <v>0</v>
      </c>
      <c r="K3792" s="2">
        <f t="shared" si="118"/>
        <v>0</v>
      </c>
      <c r="L3792" t="s">
        <v>29</v>
      </c>
      <c r="M3792">
        <v>2</v>
      </c>
      <c r="N3792">
        <v>0.87</v>
      </c>
      <c r="O3792" t="str">
        <f t="shared" si="119"/>
        <v>0.8–1 hour</v>
      </c>
      <c r="P3792" t="s">
        <v>34</v>
      </c>
    </row>
    <row r="3793" spans="1:16" x14ac:dyDescent="0.4">
      <c r="A3793" t="s">
        <v>3834</v>
      </c>
      <c r="B3793">
        <v>48</v>
      </c>
      <c r="C3793" t="s">
        <v>41</v>
      </c>
      <c r="D3793" t="s">
        <v>16</v>
      </c>
      <c r="E3793">
        <v>6.44</v>
      </c>
      <c r="F3793">
        <v>40</v>
      </c>
      <c r="G3793" t="s">
        <v>28</v>
      </c>
      <c r="H3793" t="s">
        <v>55</v>
      </c>
      <c r="I3793" s="2">
        <v>8.99</v>
      </c>
      <c r="J3793">
        <v>1</v>
      </c>
      <c r="K3793" s="2">
        <f t="shared" si="118"/>
        <v>8.99</v>
      </c>
      <c r="L3793" t="s">
        <v>29</v>
      </c>
      <c r="M3793">
        <v>5</v>
      </c>
      <c r="N3793">
        <v>0.16</v>
      </c>
      <c r="O3793" t="str">
        <f t="shared" si="119"/>
        <v>0–0.2 hours</v>
      </c>
      <c r="P3793" t="s">
        <v>52</v>
      </c>
    </row>
    <row r="3794" spans="1:16" x14ac:dyDescent="0.4">
      <c r="A3794" t="s">
        <v>3835</v>
      </c>
      <c r="B3794">
        <v>60</v>
      </c>
      <c r="C3794" t="s">
        <v>15</v>
      </c>
      <c r="D3794" t="s">
        <v>22</v>
      </c>
      <c r="E3794">
        <v>10.1</v>
      </c>
      <c r="F3794">
        <v>28</v>
      </c>
      <c r="G3794" t="s">
        <v>70</v>
      </c>
      <c r="H3794" t="s">
        <v>24</v>
      </c>
      <c r="I3794" s="2">
        <v>13.99</v>
      </c>
      <c r="J3794">
        <v>0</v>
      </c>
      <c r="K3794" s="2">
        <f t="shared" si="118"/>
        <v>0</v>
      </c>
      <c r="L3794" t="s">
        <v>29</v>
      </c>
      <c r="M3794">
        <v>5</v>
      </c>
      <c r="N3794">
        <v>0.35</v>
      </c>
      <c r="O3794" t="str">
        <f t="shared" si="119"/>
        <v>0.2–0.4 hours</v>
      </c>
      <c r="P3794" t="s">
        <v>39</v>
      </c>
    </row>
    <row r="3795" spans="1:16" x14ac:dyDescent="0.4">
      <c r="A3795" t="s">
        <v>3836</v>
      </c>
      <c r="B3795">
        <v>50</v>
      </c>
      <c r="C3795" t="s">
        <v>15</v>
      </c>
      <c r="D3795" t="s">
        <v>16</v>
      </c>
      <c r="E3795">
        <v>3.37</v>
      </c>
      <c r="F3795">
        <v>3</v>
      </c>
      <c r="G3795" t="s">
        <v>49</v>
      </c>
      <c r="H3795" t="s">
        <v>24</v>
      </c>
      <c r="I3795" s="2">
        <v>8.99</v>
      </c>
      <c r="J3795">
        <v>0</v>
      </c>
      <c r="K3795" s="2">
        <f t="shared" si="118"/>
        <v>0</v>
      </c>
      <c r="L3795" t="s">
        <v>61</v>
      </c>
      <c r="M3795">
        <v>3</v>
      </c>
      <c r="N3795">
        <v>0.84</v>
      </c>
      <c r="O3795" t="str">
        <f t="shared" si="119"/>
        <v>0.8–1 hour</v>
      </c>
      <c r="P3795" t="s">
        <v>52</v>
      </c>
    </row>
    <row r="3796" spans="1:16" x14ac:dyDescent="0.4">
      <c r="A3796" t="s">
        <v>3837</v>
      </c>
      <c r="B3796">
        <v>43</v>
      </c>
      <c r="C3796" t="s">
        <v>41</v>
      </c>
      <c r="D3796" t="s">
        <v>22</v>
      </c>
      <c r="E3796">
        <v>16.440000000000001</v>
      </c>
      <c r="F3796">
        <v>60</v>
      </c>
      <c r="G3796" t="s">
        <v>17</v>
      </c>
      <c r="H3796" t="s">
        <v>46</v>
      </c>
      <c r="I3796" s="2">
        <v>13.99</v>
      </c>
      <c r="J3796">
        <v>1</v>
      </c>
      <c r="K3796" s="2">
        <f t="shared" si="118"/>
        <v>13.99</v>
      </c>
      <c r="L3796" t="s">
        <v>19</v>
      </c>
      <c r="M3796">
        <v>4</v>
      </c>
      <c r="N3796">
        <v>0.27</v>
      </c>
      <c r="O3796" t="str">
        <f t="shared" si="119"/>
        <v>0.2–0.4 hours</v>
      </c>
      <c r="P3796" t="s">
        <v>30</v>
      </c>
    </row>
    <row r="3797" spans="1:16" x14ac:dyDescent="0.4">
      <c r="A3797" t="s">
        <v>3838</v>
      </c>
      <c r="B3797">
        <v>26</v>
      </c>
      <c r="C3797" t="s">
        <v>41</v>
      </c>
      <c r="D3797" t="s">
        <v>22</v>
      </c>
      <c r="E3797">
        <v>11.12</v>
      </c>
      <c r="F3797">
        <v>2</v>
      </c>
      <c r="G3797" t="s">
        <v>28</v>
      </c>
      <c r="H3797" t="s">
        <v>18</v>
      </c>
      <c r="I3797" s="2">
        <v>13.99</v>
      </c>
      <c r="J3797">
        <v>0</v>
      </c>
      <c r="K3797" s="2">
        <f t="shared" si="118"/>
        <v>0</v>
      </c>
      <c r="L3797" t="s">
        <v>37</v>
      </c>
      <c r="M3797">
        <v>4</v>
      </c>
      <c r="N3797">
        <v>3.71</v>
      </c>
      <c r="O3797" t="str">
        <f t="shared" si="119"/>
        <v>1+ hours</v>
      </c>
      <c r="P3797" t="s">
        <v>34</v>
      </c>
    </row>
    <row r="3798" spans="1:16" x14ac:dyDescent="0.4">
      <c r="A3798" t="s">
        <v>3839</v>
      </c>
      <c r="B3798">
        <v>25</v>
      </c>
      <c r="C3798" t="s">
        <v>27</v>
      </c>
      <c r="D3798" t="s">
        <v>32</v>
      </c>
      <c r="E3798">
        <v>11.67</v>
      </c>
      <c r="F3798">
        <v>17</v>
      </c>
      <c r="G3798" t="s">
        <v>17</v>
      </c>
      <c r="H3798" t="s">
        <v>55</v>
      </c>
      <c r="I3798" s="2">
        <v>17.989999999999998</v>
      </c>
      <c r="J3798">
        <v>0</v>
      </c>
      <c r="K3798" s="2">
        <f t="shared" si="118"/>
        <v>0</v>
      </c>
      <c r="L3798" t="s">
        <v>19</v>
      </c>
      <c r="M3798">
        <v>4</v>
      </c>
      <c r="N3798">
        <v>0.65</v>
      </c>
      <c r="O3798" t="str">
        <f t="shared" si="119"/>
        <v>0.6–0.8 hours</v>
      </c>
      <c r="P3798" t="s">
        <v>25</v>
      </c>
    </row>
    <row r="3799" spans="1:16" x14ac:dyDescent="0.4">
      <c r="A3799" t="s">
        <v>3840</v>
      </c>
      <c r="B3799">
        <v>26</v>
      </c>
      <c r="C3799" t="s">
        <v>41</v>
      </c>
      <c r="D3799" t="s">
        <v>16</v>
      </c>
      <c r="E3799">
        <v>10.54</v>
      </c>
      <c r="F3799">
        <v>27</v>
      </c>
      <c r="G3799" t="s">
        <v>33</v>
      </c>
      <c r="H3799" t="s">
        <v>18</v>
      </c>
      <c r="I3799" s="2">
        <v>8.99</v>
      </c>
      <c r="J3799">
        <v>1</v>
      </c>
      <c r="K3799" s="2">
        <f t="shared" si="118"/>
        <v>8.99</v>
      </c>
      <c r="L3799" t="s">
        <v>43</v>
      </c>
      <c r="M3799">
        <v>1</v>
      </c>
      <c r="N3799">
        <v>0.38</v>
      </c>
      <c r="O3799" t="str">
        <f t="shared" si="119"/>
        <v>0.2–0.4 hours</v>
      </c>
      <c r="P3799" t="s">
        <v>34</v>
      </c>
    </row>
    <row r="3800" spans="1:16" x14ac:dyDescent="0.4">
      <c r="A3800" t="s">
        <v>3841</v>
      </c>
      <c r="B3800">
        <v>67</v>
      </c>
      <c r="C3800" t="s">
        <v>15</v>
      </c>
      <c r="D3800" t="s">
        <v>22</v>
      </c>
      <c r="E3800">
        <v>17.13</v>
      </c>
      <c r="F3800">
        <v>42</v>
      </c>
      <c r="G3800" t="s">
        <v>70</v>
      </c>
      <c r="H3800" t="s">
        <v>57</v>
      </c>
      <c r="I3800" s="2">
        <v>13.99</v>
      </c>
      <c r="J3800">
        <v>0</v>
      </c>
      <c r="K3800" s="2">
        <f t="shared" si="118"/>
        <v>0</v>
      </c>
      <c r="L3800" t="s">
        <v>43</v>
      </c>
      <c r="M3800">
        <v>4</v>
      </c>
      <c r="N3800">
        <v>0.4</v>
      </c>
      <c r="O3800" t="str">
        <f t="shared" si="119"/>
        <v>0.2–0.4 hours</v>
      </c>
      <c r="P3800" t="s">
        <v>30</v>
      </c>
    </row>
    <row r="3801" spans="1:16" x14ac:dyDescent="0.4">
      <c r="A3801" t="s">
        <v>3842</v>
      </c>
      <c r="B3801">
        <v>47</v>
      </c>
      <c r="C3801" t="s">
        <v>15</v>
      </c>
      <c r="D3801" t="s">
        <v>32</v>
      </c>
      <c r="E3801">
        <v>33.79</v>
      </c>
      <c r="F3801">
        <v>52</v>
      </c>
      <c r="G3801" t="s">
        <v>28</v>
      </c>
      <c r="H3801" t="s">
        <v>57</v>
      </c>
      <c r="I3801" s="2">
        <v>17.989999999999998</v>
      </c>
      <c r="J3801">
        <v>0</v>
      </c>
      <c r="K3801" s="2">
        <f t="shared" si="118"/>
        <v>0</v>
      </c>
      <c r="L3801" t="s">
        <v>37</v>
      </c>
      <c r="M3801">
        <v>3</v>
      </c>
      <c r="N3801">
        <v>0.64</v>
      </c>
      <c r="O3801" t="str">
        <f t="shared" si="119"/>
        <v>0.6–0.8 hours</v>
      </c>
      <c r="P3801" t="s">
        <v>30</v>
      </c>
    </row>
    <row r="3802" spans="1:16" x14ac:dyDescent="0.4">
      <c r="A3802" t="s">
        <v>3843</v>
      </c>
      <c r="B3802">
        <v>33</v>
      </c>
      <c r="C3802" t="s">
        <v>41</v>
      </c>
      <c r="D3802" t="s">
        <v>32</v>
      </c>
      <c r="E3802">
        <v>32.700000000000003</v>
      </c>
      <c r="F3802">
        <v>47</v>
      </c>
      <c r="G3802" t="s">
        <v>28</v>
      </c>
      <c r="H3802" t="s">
        <v>18</v>
      </c>
      <c r="I3802" s="2">
        <v>17.989999999999998</v>
      </c>
      <c r="J3802">
        <v>0</v>
      </c>
      <c r="K3802" s="2">
        <f t="shared" si="118"/>
        <v>0</v>
      </c>
      <c r="L3802" t="s">
        <v>37</v>
      </c>
      <c r="M3802">
        <v>2</v>
      </c>
      <c r="N3802">
        <v>0.68</v>
      </c>
      <c r="O3802" t="str">
        <f t="shared" si="119"/>
        <v>0.6–0.8 hours</v>
      </c>
      <c r="P3802" t="s">
        <v>47</v>
      </c>
    </row>
    <row r="3803" spans="1:16" x14ac:dyDescent="0.4">
      <c r="A3803" t="s">
        <v>3844</v>
      </c>
      <c r="B3803">
        <v>41</v>
      </c>
      <c r="C3803" t="s">
        <v>15</v>
      </c>
      <c r="D3803" t="s">
        <v>22</v>
      </c>
      <c r="E3803">
        <v>3.59</v>
      </c>
      <c r="F3803">
        <v>41</v>
      </c>
      <c r="G3803" t="s">
        <v>17</v>
      </c>
      <c r="H3803" t="s">
        <v>46</v>
      </c>
      <c r="I3803" s="2">
        <v>13.99</v>
      </c>
      <c r="J3803">
        <v>1</v>
      </c>
      <c r="K3803" s="2">
        <f t="shared" si="118"/>
        <v>13.99</v>
      </c>
      <c r="L3803" t="s">
        <v>19</v>
      </c>
      <c r="M3803">
        <v>5</v>
      </c>
      <c r="N3803">
        <v>0.09</v>
      </c>
      <c r="O3803" t="str">
        <f t="shared" si="119"/>
        <v>0–0.2 hours</v>
      </c>
      <c r="P3803" t="s">
        <v>47</v>
      </c>
    </row>
    <row r="3804" spans="1:16" x14ac:dyDescent="0.4">
      <c r="A3804" t="s">
        <v>3845</v>
      </c>
      <c r="B3804">
        <v>47</v>
      </c>
      <c r="C3804" t="s">
        <v>41</v>
      </c>
      <c r="D3804" t="s">
        <v>32</v>
      </c>
      <c r="E3804">
        <v>22.31</v>
      </c>
      <c r="F3804">
        <v>6</v>
      </c>
      <c r="G3804" t="s">
        <v>17</v>
      </c>
      <c r="H3804" t="s">
        <v>18</v>
      </c>
      <c r="I3804" s="2">
        <v>17.989999999999998</v>
      </c>
      <c r="J3804">
        <v>0</v>
      </c>
      <c r="K3804" s="2">
        <f t="shared" si="118"/>
        <v>0</v>
      </c>
      <c r="L3804" t="s">
        <v>19</v>
      </c>
      <c r="M3804">
        <v>3</v>
      </c>
      <c r="N3804">
        <v>3.19</v>
      </c>
      <c r="O3804" t="str">
        <f t="shared" si="119"/>
        <v>1+ hours</v>
      </c>
      <c r="P3804" t="s">
        <v>47</v>
      </c>
    </row>
    <row r="3805" spans="1:16" x14ac:dyDescent="0.4">
      <c r="A3805" t="s">
        <v>3846</v>
      </c>
      <c r="B3805">
        <v>50</v>
      </c>
      <c r="C3805" t="s">
        <v>27</v>
      </c>
      <c r="D3805" t="s">
        <v>16</v>
      </c>
      <c r="E3805">
        <v>7.45</v>
      </c>
      <c r="F3805">
        <v>2</v>
      </c>
      <c r="G3805" t="s">
        <v>23</v>
      </c>
      <c r="H3805" t="s">
        <v>46</v>
      </c>
      <c r="I3805" s="2">
        <v>8.99</v>
      </c>
      <c r="J3805">
        <v>0</v>
      </c>
      <c r="K3805" s="2">
        <f t="shared" si="118"/>
        <v>0</v>
      </c>
      <c r="L3805" t="s">
        <v>19</v>
      </c>
      <c r="M3805">
        <v>3</v>
      </c>
      <c r="N3805">
        <v>2.48</v>
      </c>
      <c r="O3805" t="str">
        <f t="shared" si="119"/>
        <v>1+ hours</v>
      </c>
      <c r="P3805" t="s">
        <v>25</v>
      </c>
    </row>
    <row r="3806" spans="1:16" x14ac:dyDescent="0.4">
      <c r="A3806" t="s">
        <v>3847</v>
      </c>
      <c r="B3806">
        <v>56</v>
      </c>
      <c r="C3806" t="s">
        <v>15</v>
      </c>
      <c r="D3806" t="s">
        <v>32</v>
      </c>
      <c r="E3806">
        <v>3.41</v>
      </c>
      <c r="F3806">
        <v>53</v>
      </c>
      <c r="G3806" t="s">
        <v>28</v>
      </c>
      <c r="H3806" t="s">
        <v>57</v>
      </c>
      <c r="I3806" s="2">
        <v>17.989999999999998</v>
      </c>
      <c r="J3806">
        <v>1</v>
      </c>
      <c r="K3806" s="2">
        <f t="shared" si="118"/>
        <v>17.989999999999998</v>
      </c>
      <c r="L3806" t="s">
        <v>43</v>
      </c>
      <c r="M3806">
        <v>4</v>
      </c>
      <c r="N3806">
        <v>0.06</v>
      </c>
      <c r="O3806" t="str">
        <f t="shared" si="119"/>
        <v>0–0.2 hours</v>
      </c>
      <c r="P3806" t="s">
        <v>34</v>
      </c>
    </row>
    <row r="3807" spans="1:16" x14ac:dyDescent="0.4">
      <c r="A3807" t="s">
        <v>3848</v>
      </c>
      <c r="B3807">
        <v>26</v>
      </c>
      <c r="C3807" t="s">
        <v>27</v>
      </c>
      <c r="D3807" t="s">
        <v>16</v>
      </c>
      <c r="E3807">
        <v>14.85</v>
      </c>
      <c r="F3807">
        <v>26</v>
      </c>
      <c r="G3807" t="s">
        <v>70</v>
      </c>
      <c r="H3807" t="s">
        <v>24</v>
      </c>
      <c r="I3807" s="2">
        <v>8.99</v>
      </c>
      <c r="J3807">
        <v>0</v>
      </c>
      <c r="K3807" s="2">
        <f t="shared" si="118"/>
        <v>0</v>
      </c>
      <c r="L3807" t="s">
        <v>29</v>
      </c>
      <c r="M3807">
        <v>4</v>
      </c>
      <c r="N3807">
        <v>0.55000000000000004</v>
      </c>
      <c r="O3807" t="str">
        <f t="shared" si="119"/>
        <v>0.4–0.6 hours</v>
      </c>
      <c r="P3807" t="s">
        <v>20</v>
      </c>
    </row>
    <row r="3808" spans="1:16" x14ac:dyDescent="0.4">
      <c r="A3808" t="s">
        <v>3849</v>
      </c>
      <c r="B3808">
        <v>24</v>
      </c>
      <c r="C3808" t="s">
        <v>15</v>
      </c>
      <c r="D3808" t="s">
        <v>16</v>
      </c>
      <c r="E3808">
        <v>17.04</v>
      </c>
      <c r="F3808">
        <v>23</v>
      </c>
      <c r="G3808" t="s">
        <v>23</v>
      </c>
      <c r="H3808" t="s">
        <v>24</v>
      </c>
      <c r="I3808" s="2">
        <v>8.99</v>
      </c>
      <c r="J3808">
        <v>0</v>
      </c>
      <c r="K3808" s="2">
        <f t="shared" si="118"/>
        <v>0</v>
      </c>
      <c r="L3808" t="s">
        <v>61</v>
      </c>
      <c r="M3808">
        <v>4</v>
      </c>
      <c r="N3808">
        <v>0.71</v>
      </c>
      <c r="O3808" t="str">
        <f t="shared" si="119"/>
        <v>0.6–0.8 hours</v>
      </c>
      <c r="P3808" t="s">
        <v>39</v>
      </c>
    </row>
    <row r="3809" spans="1:16" x14ac:dyDescent="0.4">
      <c r="A3809" t="s">
        <v>3850</v>
      </c>
      <c r="B3809">
        <v>51</v>
      </c>
      <c r="C3809" t="s">
        <v>41</v>
      </c>
      <c r="D3809" t="s">
        <v>32</v>
      </c>
      <c r="E3809">
        <v>0.19</v>
      </c>
      <c r="F3809">
        <v>20</v>
      </c>
      <c r="G3809" t="s">
        <v>17</v>
      </c>
      <c r="H3809" t="s">
        <v>18</v>
      </c>
      <c r="I3809" s="2">
        <v>17.989999999999998</v>
      </c>
      <c r="J3809">
        <v>0</v>
      </c>
      <c r="K3809" s="2">
        <f t="shared" si="118"/>
        <v>0</v>
      </c>
      <c r="L3809" t="s">
        <v>37</v>
      </c>
      <c r="M3809">
        <v>4</v>
      </c>
      <c r="N3809">
        <v>0.01</v>
      </c>
      <c r="O3809" t="str">
        <f t="shared" si="119"/>
        <v>0–0.2 hours</v>
      </c>
      <c r="P3809" t="s">
        <v>39</v>
      </c>
    </row>
    <row r="3810" spans="1:16" x14ac:dyDescent="0.4">
      <c r="A3810" t="s">
        <v>3851</v>
      </c>
      <c r="B3810">
        <v>50</v>
      </c>
      <c r="C3810" t="s">
        <v>41</v>
      </c>
      <c r="D3810" t="s">
        <v>32</v>
      </c>
      <c r="E3810">
        <v>13.05</v>
      </c>
      <c r="F3810">
        <v>31</v>
      </c>
      <c r="G3810" t="s">
        <v>28</v>
      </c>
      <c r="H3810" t="s">
        <v>57</v>
      </c>
      <c r="I3810" s="2">
        <v>17.989999999999998</v>
      </c>
      <c r="J3810">
        <v>0</v>
      </c>
      <c r="K3810" s="2">
        <f t="shared" si="118"/>
        <v>0</v>
      </c>
      <c r="L3810" t="s">
        <v>37</v>
      </c>
      <c r="M3810">
        <v>4</v>
      </c>
      <c r="N3810">
        <v>0.41</v>
      </c>
      <c r="O3810" t="str">
        <f t="shared" si="119"/>
        <v>0.4–0.6 hours</v>
      </c>
      <c r="P3810" t="s">
        <v>34</v>
      </c>
    </row>
    <row r="3811" spans="1:16" x14ac:dyDescent="0.4">
      <c r="A3811" s="1" t="s">
        <v>3852</v>
      </c>
      <c r="B3811">
        <v>35</v>
      </c>
      <c r="C3811" t="s">
        <v>15</v>
      </c>
      <c r="D3811" t="s">
        <v>16</v>
      </c>
      <c r="E3811">
        <v>0.87</v>
      </c>
      <c r="F3811">
        <v>58</v>
      </c>
      <c r="G3811" t="s">
        <v>70</v>
      </c>
      <c r="H3811" t="s">
        <v>57</v>
      </c>
      <c r="I3811" s="2">
        <v>8.99</v>
      </c>
      <c r="J3811">
        <v>1</v>
      </c>
      <c r="K3811" s="2">
        <f t="shared" si="118"/>
        <v>8.99</v>
      </c>
      <c r="L3811" t="s">
        <v>37</v>
      </c>
      <c r="M3811">
        <v>5</v>
      </c>
      <c r="N3811">
        <v>0.01</v>
      </c>
      <c r="O3811" t="str">
        <f t="shared" si="119"/>
        <v>0–0.2 hours</v>
      </c>
      <c r="P3811" t="s">
        <v>20</v>
      </c>
    </row>
    <row r="3812" spans="1:16" x14ac:dyDescent="0.4">
      <c r="A3812" t="s">
        <v>3853</v>
      </c>
      <c r="B3812">
        <v>53</v>
      </c>
      <c r="C3812" t="s">
        <v>41</v>
      </c>
      <c r="D3812" t="s">
        <v>32</v>
      </c>
      <c r="E3812">
        <v>1.83</v>
      </c>
      <c r="F3812">
        <v>15</v>
      </c>
      <c r="G3812" t="s">
        <v>70</v>
      </c>
      <c r="H3812" t="s">
        <v>57</v>
      </c>
      <c r="I3812" s="2">
        <v>17.989999999999998</v>
      </c>
      <c r="J3812">
        <v>1</v>
      </c>
      <c r="K3812" s="2">
        <f t="shared" si="118"/>
        <v>17.989999999999998</v>
      </c>
      <c r="L3812" t="s">
        <v>43</v>
      </c>
      <c r="M3812">
        <v>3</v>
      </c>
      <c r="N3812">
        <v>0.11</v>
      </c>
      <c r="O3812" t="str">
        <f t="shared" si="119"/>
        <v>0–0.2 hours</v>
      </c>
      <c r="P3812" t="s">
        <v>30</v>
      </c>
    </row>
    <row r="3813" spans="1:16" x14ac:dyDescent="0.4">
      <c r="A3813" t="s">
        <v>3854</v>
      </c>
      <c r="B3813">
        <v>32</v>
      </c>
      <c r="C3813" t="s">
        <v>27</v>
      </c>
      <c r="D3813" t="s">
        <v>22</v>
      </c>
      <c r="E3813">
        <v>52.67</v>
      </c>
      <c r="F3813">
        <v>34</v>
      </c>
      <c r="G3813" t="s">
        <v>28</v>
      </c>
      <c r="H3813" t="s">
        <v>46</v>
      </c>
      <c r="I3813" s="2">
        <v>13.99</v>
      </c>
      <c r="J3813">
        <v>0</v>
      </c>
      <c r="K3813" s="2">
        <f t="shared" si="118"/>
        <v>0</v>
      </c>
      <c r="L3813" t="s">
        <v>19</v>
      </c>
      <c r="M3813">
        <v>3</v>
      </c>
      <c r="N3813">
        <v>1.5</v>
      </c>
      <c r="O3813" t="str">
        <f t="shared" si="119"/>
        <v>1+ hours</v>
      </c>
      <c r="P3813" t="s">
        <v>25</v>
      </c>
    </row>
    <row r="3814" spans="1:16" x14ac:dyDescent="0.4">
      <c r="A3814" t="s">
        <v>3855</v>
      </c>
      <c r="B3814">
        <v>34</v>
      </c>
      <c r="C3814" t="s">
        <v>27</v>
      </c>
      <c r="D3814" t="s">
        <v>16</v>
      </c>
      <c r="E3814">
        <v>37.61</v>
      </c>
      <c r="F3814">
        <v>50</v>
      </c>
      <c r="G3814" t="s">
        <v>28</v>
      </c>
      <c r="H3814" t="s">
        <v>18</v>
      </c>
      <c r="I3814" s="2">
        <v>8.99</v>
      </c>
      <c r="J3814">
        <v>0</v>
      </c>
      <c r="K3814" s="2">
        <f t="shared" si="118"/>
        <v>0</v>
      </c>
      <c r="L3814" t="s">
        <v>61</v>
      </c>
      <c r="M3814">
        <v>5</v>
      </c>
      <c r="N3814">
        <v>0.74</v>
      </c>
      <c r="O3814" t="str">
        <f t="shared" si="119"/>
        <v>0.6–0.8 hours</v>
      </c>
      <c r="P3814" t="s">
        <v>20</v>
      </c>
    </row>
    <row r="3815" spans="1:16" x14ac:dyDescent="0.4">
      <c r="A3815" t="s">
        <v>3856</v>
      </c>
      <c r="B3815">
        <v>69</v>
      </c>
      <c r="C3815" t="s">
        <v>41</v>
      </c>
      <c r="D3815" t="s">
        <v>22</v>
      </c>
      <c r="E3815">
        <v>11.83</v>
      </c>
      <c r="F3815">
        <v>7</v>
      </c>
      <c r="G3815" t="s">
        <v>33</v>
      </c>
      <c r="H3815" t="s">
        <v>18</v>
      </c>
      <c r="I3815" s="2">
        <v>13.99</v>
      </c>
      <c r="J3815">
        <v>0</v>
      </c>
      <c r="K3815" s="2">
        <f t="shared" si="118"/>
        <v>0</v>
      </c>
      <c r="L3815" t="s">
        <v>37</v>
      </c>
      <c r="M3815">
        <v>4</v>
      </c>
      <c r="N3815">
        <v>1.48</v>
      </c>
      <c r="O3815" t="str">
        <f t="shared" si="119"/>
        <v>1+ hours</v>
      </c>
      <c r="P3815" t="s">
        <v>52</v>
      </c>
    </row>
    <row r="3816" spans="1:16" x14ac:dyDescent="0.4">
      <c r="A3816" t="s">
        <v>3857</v>
      </c>
      <c r="B3816">
        <v>31</v>
      </c>
      <c r="C3816" t="s">
        <v>41</v>
      </c>
      <c r="D3816" t="s">
        <v>32</v>
      </c>
      <c r="E3816">
        <v>2.62</v>
      </c>
      <c r="F3816">
        <v>34</v>
      </c>
      <c r="G3816" t="s">
        <v>33</v>
      </c>
      <c r="H3816" t="s">
        <v>55</v>
      </c>
      <c r="I3816" s="2">
        <v>17.989999999999998</v>
      </c>
      <c r="J3816">
        <v>1</v>
      </c>
      <c r="K3816" s="2">
        <f t="shared" si="118"/>
        <v>17.989999999999998</v>
      </c>
      <c r="L3816" t="s">
        <v>29</v>
      </c>
      <c r="M3816">
        <v>4</v>
      </c>
      <c r="N3816">
        <v>7.0000000000000007E-2</v>
      </c>
      <c r="O3816" t="str">
        <f t="shared" si="119"/>
        <v>0–0.2 hours</v>
      </c>
      <c r="P3816" t="s">
        <v>47</v>
      </c>
    </row>
    <row r="3817" spans="1:16" x14ac:dyDescent="0.4">
      <c r="A3817" t="s">
        <v>3858</v>
      </c>
      <c r="B3817">
        <v>58</v>
      </c>
      <c r="C3817" t="s">
        <v>27</v>
      </c>
      <c r="D3817" t="s">
        <v>32</v>
      </c>
      <c r="E3817">
        <v>25.6</v>
      </c>
      <c r="F3817">
        <v>55</v>
      </c>
      <c r="G3817" t="s">
        <v>28</v>
      </c>
      <c r="H3817" t="s">
        <v>57</v>
      </c>
      <c r="I3817" s="2">
        <v>17.989999999999998</v>
      </c>
      <c r="J3817">
        <v>0</v>
      </c>
      <c r="K3817" s="2">
        <f t="shared" si="118"/>
        <v>0</v>
      </c>
      <c r="L3817" t="s">
        <v>43</v>
      </c>
      <c r="M3817">
        <v>1</v>
      </c>
      <c r="N3817">
        <v>0.46</v>
      </c>
      <c r="O3817" t="str">
        <f t="shared" si="119"/>
        <v>0.4–0.6 hours</v>
      </c>
      <c r="P3817" t="s">
        <v>20</v>
      </c>
    </row>
    <row r="3818" spans="1:16" x14ac:dyDescent="0.4">
      <c r="A3818" t="s">
        <v>3859</v>
      </c>
      <c r="B3818">
        <v>42</v>
      </c>
      <c r="C3818" t="s">
        <v>27</v>
      </c>
      <c r="D3818" t="s">
        <v>16</v>
      </c>
      <c r="E3818">
        <v>9.75</v>
      </c>
      <c r="F3818">
        <v>48</v>
      </c>
      <c r="G3818" t="s">
        <v>49</v>
      </c>
      <c r="H3818" t="s">
        <v>46</v>
      </c>
      <c r="I3818" s="2">
        <v>8.99</v>
      </c>
      <c r="J3818">
        <v>1</v>
      </c>
      <c r="K3818" s="2">
        <f t="shared" si="118"/>
        <v>8.99</v>
      </c>
      <c r="L3818" t="s">
        <v>29</v>
      </c>
      <c r="M3818">
        <v>5</v>
      </c>
      <c r="N3818">
        <v>0.2</v>
      </c>
      <c r="O3818" t="str">
        <f t="shared" si="119"/>
        <v>0–0.2 hours</v>
      </c>
      <c r="P3818" t="s">
        <v>25</v>
      </c>
    </row>
    <row r="3819" spans="1:16" x14ac:dyDescent="0.4">
      <c r="A3819" t="s">
        <v>3860</v>
      </c>
      <c r="B3819">
        <v>35</v>
      </c>
      <c r="C3819" t="s">
        <v>15</v>
      </c>
      <c r="D3819" t="s">
        <v>16</v>
      </c>
      <c r="E3819">
        <v>0.03</v>
      </c>
      <c r="F3819">
        <v>5</v>
      </c>
      <c r="G3819" t="s">
        <v>28</v>
      </c>
      <c r="H3819" t="s">
        <v>18</v>
      </c>
      <c r="I3819" s="2">
        <v>8.99</v>
      </c>
      <c r="J3819">
        <v>1</v>
      </c>
      <c r="K3819" s="2">
        <f t="shared" si="118"/>
        <v>8.99</v>
      </c>
      <c r="L3819" t="s">
        <v>43</v>
      </c>
      <c r="M3819">
        <v>3</v>
      </c>
      <c r="N3819">
        <v>0.01</v>
      </c>
      <c r="O3819" t="str">
        <f t="shared" si="119"/>
        <v>0–0.2 hours</v>
      </c>
      <c r="P3819" t="s">
        <v>34</v>
      </c>
    </row>
    <row r="3820" spans="1:16" x14ac:dyDescent="0.4">
      <c r="A3820" t="s">
        <v>3861</v>
      </c>
      <c r="B3820">
        <v>61</v>
      </c>
      <c r="C3820" t="s">
        <v>27</v>
      </c>
      <c r="D3820" t="s">
        <v>32</v>
      </c>
      <c r="E3820">
        <v>16.440000000000001</v>
      </c>
      <c r="F3820">
        <v>22</v>
      </c>
      <c r="G3820" t="s">
        <v>23</v>
      </c>
      <c r="H3820" t="s">
        <v>24</v>
      </c>
      <c r="I3820" s="2">
        <v>17.989999999999998</v>
      </c>
      <c r="J3820">
        <v>0</v>
      </c>
      <c r="K3820" s="2">
        <f t="shared" si="118"/>
        <v>0</v>
      </c>
      <c r="L3820" t="s">
        <v>61</v>
      </c>
      <c r="M3820">
        <v>2</v>
      </c>
      <c r="N3820">
        <v>0.71</v>
      </c>
      <c r="O3820" t="str">
        <f t="shared" si="119"/>
        <v>0.6–0.8 hours</v>
      </c>
      <c r="P3820" t="s">
        <v>25</v>
      </c>
    </row>
    <row r="3821" spans="1:16" x14ac:dyDescent="0.4">
      <c r="A3821" t="s">
        <v>3862</v>
      </c>
      <c r="B3821">
        <v>19</v>
      </c>
      <c r="C3821" t="s">
        <v>27</v>
      </c>
      <c r="D3821" t="s">
        <v>22</v>
      </c>
      <c r="E3821">
        <v>2.38</v>
      </c>
      <c r="F3821">
        <v>19</v>
      </c>
      <c r="G3821" t="s">
        <v>23</v>
      </c>
      <c r="H3821" t="s">
        <v>55</v>
      </c>
      <c r="I3821" s="2">
        <v>13.99</v>
      </c>
      <c r="J3821">
        <v>1</v>
      </c>
      <c r="K3821" s="2">
        <f t="shared" si="118"/>
        <v>13.99</v>
      </c>
      <c r="L3821" t="s">
        <v>29</v>
      </c>
      <c r="M3821">
        <v>3</v>
      </c>
      <c r="N3821">
        <v>0.12</v>
      </c>
      <c r="O3821" t="str">
        <f t="shared" si="119"/>
        <v>0–0.2 hours</v>
      </c>
      <c r="P3821" t="s">
        <v>20</v>
      </c>
    </row>
    <row r="3822" spans="1:16" x14ac:dyDescent="0.4">
      <c r="A3822" t="s">
        <v>3863</v>
      </c>
      <c r="B3822">
        <v>65</v>
      </c>
      <c r="C3822" t="s">
        <v>41</v>
      </c>
      <c r="D3822" t="s">
        <v>22</v>
      </c>
      <c r="E3822">
        <v>19.079999999999998</v>
      </c>
      <c r="F3822">
        <v>52</v>
      </c>
      <c r="G3822" t="s">
        <v>28</v>
      </c>
      <c r="H3822" t="s">
        <v>57</v>
      </c>
      <c r="I3822" s="2">
        <v>13.99</v>
      </c>
      <c r="J3822">
        <v>1</v>
      </c>
      <c r="K3822" s="2">
        <f t="shared" si="118"/>
        <v>13.99</v>
      </c>
      <c r="L3822" t="s">
        <v>43</v>
      </c>
      <c r="M3822">
        <v>2</v>
      </c>
      <c r="N3822">
        <v>0.36</v>
      </c>
      <c r="O3822" t="str">
        <f t="shared" si="119"/>
        <v>0.2–0.4 hours</v>
      </c>
      <c r="P3822" t="s">
        <v>30</v>
      </c>
    </row>
    <row r="3823" spans="1:16" x14ac:dyDescent="0.4">
      <c r="A3823" t="s">
        <v>3864</v>
      </c>
      <c r="B3823">
        <v>24</v>
      </c>
      <c r="C3823" t="s">
        <v>41</v>
      </c>
      <c r="D3823" t="s">
        <v>22</v>
      </c>
      <c r="E3823">
        <v>19.5</v>
      </c>
      <c r="F3823">
        <v>44</v>
      </c>
      <c r="G3823" t="s">
        <v>17</v>
      </c>
      <c r="H3823" t="s">
        <v>55</v>
      </c>
      <c r="I3823" s="2">
        <v>13.99</v>
      </c>
      <c r="J3823">
        <v>1</v>
      </c>
      <c r="K3823" s="2">
        <f t="shared" si="118"/>
        <v>13.99</v>
      </c>
      <c r="L3823" t="s">
        <v>29</v>
      </c>
      <c r="M3823">
        <v>5</v>
      </c>
      <c r="N3823">
        <v>0.43</v>
      </c>
      <c r="O3823" t="str">
        <f t="shared" si="119"/>
        <v>0.4–0.6 hours</v>
      </c>
      <c r="P3823" t="s">
        <v>25</v>
      </c>
    </row>
    <row r="3824" spans="1:16" x14ac:dyDescent="0.4">
      <c r="A3824" t="s">
        <v>3865</v>
      </c>
      <c r="B3824">
        <v>25</v>
      </c>
      <c r="C3824" t="s">
        <v>15</v>
      </c>
      <c r="D3824" t="s">
        <v>32</v>
      </c>
      <c r="E3824">
        <v>11.65</v>
      </c>
      <c r="F3824">
        <v>18</v>
      </c>
      <c r="G3824" t="s">
        <v>17</v>
      </c>
      <c r="H3824" t="s">
        <v>55</v>
      </c>
      <c r="I3824" s="2">
        <v>17.989999999999998</v>
      </c>
      <c r="J3824">
        <v>0</v>
      </c>
      <c r="K3824" s="2">
        <f t="shared" si="118"/>
        <v>0</v>
      </c>
      <c r="L3824" t="s">
        <v>61</v>
      </c>
      <c r="M3824">
        <v>3</v>
      </c>
      <c r="N3824">
        <v>0.61</v>
      </c>
      <c r="O3824" t="str">
        <f t="shared" si="119"/>
        <v>0.6–0.8 hours</v>
      </c>
      <c r="P3824" t="s">
        <v>47</v>
      </c>
    </row>
    <row r="3825" spans="1:16" x14ac:dyDescent="0.4">
      <c r="A3825" t="s">
        <v>3866</v>
      </c>
      <c r="B3825">
        <v>20</v>
      </c>
      <c r="C3825" t="s">
        <v>41</v>
      </c>
      <c r="D3825" t="s">
        <v>16</v>
      </c>
      <c r="E3825">
        <v>10.81</v>
      </c>
      <c r="F3825">
        <v>22</v>
      </c>
      <c r="G3825" t="s">
        <v>49</v>
      </c>
      <c r="H3825" t="s">
        <v>57</v>
      </c>
      <c r="I3825" s="2">
        <v>8.99</v>
      </c>
      <c r="J3825">
        <v>1</v>
      </c>
      <c r="K3825" s="2">
        <f t="shared" si="118"/>
        <v>8.99</v>
      </c>
      <c r="L3825" t="s">
        <v>19</v>
      </c>
      <c r="M3825">
        <v>2</v>
      </c>
      <c r="N3825">
        <v>0.47</v>
      </c>
      <c r="O3825" t="str">
        <f t="shared" si="119"/>
        <v>0.4–0.6 hours</v>
      </c>
      <c r="P3825" t="s">
        <v>30</v>
      </c>
    </row>
    <row r="3826" spans="1:16" x14ac:dyDescent="0.4">
      <c r="A3826" t="s">
        <v>3867</v>
      </c>
      <c r="B3826">
        <v>37</v>
      </c>
      <c r="C3826" t="s">
        <v>41</v>
      </c>
      <c r="D3826" t="s">
        <v>22</v>
      </c>
      <c r="E3826">
        <v>21.24</v>
      </c>
      <c r="F3826">
        <v>41</v>
      </c>
      <c r="G3826" t="s">
        <v>33</v>
      </c>
      <c r="H3826" t="s">
        <v>24</v>
      </c>
      <c r="I3826" s="2">
        <v>13.99</v>
      </c>
      <c r="J3826">
        <v>0</v>
      </c>
      <c r="K3826" s="2">
        <f t="shared" si="118"/>
        <v>0</v>
      </c>
      <c r="L3826" t="s">
        <v>37</v>
      </c>
      <c r="M3826">
        <v>4</v>
      </c>
      <c r="N3826">
        <v>0.51</v>
      </c>
      <c r="O3826" t="str">
        <f t="shared" si="119"/>
        <v>0.4–0.6 hours</v>
      </c>
      <c r="P3826" t="s">
        <v>30</v>
      </c>
    </row>
    <row r="3827" spans="1:16" x14ac:dyDescent="0.4">
      <c r="A3827" s="1" t="s">
        <v>3868</v>
      </c>
      <c r="B3827">
        <v>30</v>
      </c>
      <c r="C3827" t="s">
        <v>27</v>
      </c>
      <c r="D3827" t="s">
        <v>16</v>
      </c>
      <c r="E3827">
        <v>19.21</v>
      </c>
      <c r="F3827">
        <v>22</v>
      </c>
      <c r="G3827" t="s">
        <v>28</v>
      </c>
      <c r="H3827" t="s">
        <v>24</v>
      </c>
      <c r="I3827" s="2">
        <v>8.99</v>
      </c>
      <c r="J3827">
        <v>0</v>
      </c>
      <c r="K3827" s="2">
        <f t="shared" si="118"/>
        <v>0</v>
      </c>
      <c r="L3827" t="s">
        <v>43</v>
      </c>
      <c r="M3827">
        <v>4</v>
      </c>
      <c r="N3827">
        <v>0.84</v>
      </c>
      <c r="O3827" t="str">
        <f t="shared" si="119"/>
        <v>0.8–1 hour</v>
      </c>
      <c r="P3827" t="s">
        <v>39</v>
      </c>
    </row>
    <row r="3828" spans="1:16" x14ac:dyDescent="0.4">
      <c r="A3828" t="s">
        <v>3869</v>
      </c>
      <c r="B3828">
        <v>44</v>
      </c>
      <c r="C3828" t="s">
        <v>15</v>
      </c>
      <c r="D3828" t="s">
        <v>22</v>
      </c>
      <c r="E3828">
        <v>7.64</v>
      </c>
      <c r="F3828">
        <v>35</v>
      </c>
      <c r="G3828" t="s">
        <v>17</v>
      </c>
      <c r="H3828" t="s">
        <v>46</v>
      </c>
      <c r="I3828" s="2">
        <v>13.99</v>
      </c>
      <c r="J3828">
        <v>0</v>
      </c>
      <c r="K3828" s="2">
        <f t="shared" si="118"/>
        <v>0</v>
      </c>
      <c r="L3828" t="s">
        <v>61</v>
      </c>
      <c r="M3828">
        <v>4</v>
      </c>
      <c r="N3828">
        <v>0.21</v>
      </c>
      <c r="O3828" t="str">
        <f t="shared" si="119"/>
        <v>0.2–0.4 hours</v>
      </c>
      <c r="P3828" t="s">
        <v>47</v>
      </c>
    </row>
    <row r="3829" spans="1:16" x14ac:dyDescent="0.4">
      <c r="A3829" t="s">
        <v>3870</v>
      </c>
      <c r="B3829">
        <v>62</v>
      </c>
      <c r="C3829" t="s">
        <v>27</v>
      </c>
      <c r="D3829" t="s">
        <v>16</v>
      </c>
      <c r="E3829">
        <v>1.8</v>
      </c>
      <c r="F3829">
        <v>4</v>
      </c>
      <c r="G3829" t="s">
        <v>49</v>
      </c>
      <c r="H3829" t="s">
        <v>24</v>
      </c>
      <c r="I3829" s="2">
        <v>8.99</v>
      </c>
      <c r="J3829">
        <v>1</v>
      </c>
      <c r="K3829" s="2">
        <f t="shared" si="118"/>
        <v>8.99</v>
      </c>
      <c r="L3829" t="s">
        <v>29</v>
      </c>
      <c r="M3829">
        <v>5</v>
      </c>
      <c r="N3829">
        <v>0.36</v>
      </c>
      <c r="O3829" t="str">
        <f t="shared" si="119"/>
        <v>0.2–0.4 hours</v>
      </c>
      <c r="P3829" t="s">
        <v>30</v>
      </c>
    </row>
    <row r="3830" spans="1:16" x14ac:dyDescent="0.4">
      <c r="A3830" t="s">
        <v>3871</v>
      </c>
      <c r="B3830">
        <v>46</v>
      </c>
      <c r="C3830" t="s">
        <v>15</v>
      </c>
      <c r="D3830" t="s">
        <v>16</v>
      </c>
      <c r="E3830">
        <v>8.48</v>
      </c>
      <c r="F3830">
        <v>34</v>
      </c>
      <c r="G3830" t="s">
        <v>49</v>
      </c>
      <c r="H3830" t="s">
        <v>18</v>
      </c>
      <c r="I3830" s="2">
        <v>8.99</v>
      </c>
      <c r="J3830">
        <v>1</v>
      </c>
      <c r="K3830" s="2">
        <f t="shared" si="118"/>
        <v>8.99</v>
      </c>
      <c r="L3830" t="s">
        <v>37</v>
      </c>
      <c r="M3830">
        <v>5</v>
      </c>
      <c r="N3830">
        <v>0.24</v>
      </c>
      <c r="O3830" t="str">
        <f t="shared" si="119"/>
        <v>0.2–0.4 hours</v>
      </c>
      <c r="P3830" t="s">
        <v>47</v>
      </c>
    </row>
    <row r="3831" spans="1:16" x14ac:dyDescent="0.4">
      <c r="A3831" t="s">
        <v>3872</v>
      </c>
      <c r="B3831">
        <v>63</v>
      </c>
      <c r="C3831" t="s">
        <v>15</v>
      </c>
      <c r="D3831" t="s">
        <v>32</v>
      </c>
      <c r="E3831">
        <v>20.27</v>
      </c>
      <c r="F3831">
        <v>57</v>
      </c>
      <c r="G3831" t="s">
        <v>49</v>
      </c>
      <c r="H3831" t="s">
        <v>24</v>
      </c>
      <c r="I3831" s="2">
        <v>17.989999999999998</v>
      </c>
      <c r="J3831">
        <v>0</v>
      </c>
      <c r="K3831" s="2">
        <f t="shared" si="118"/>
        <v>0</v>
      </c>
      <c r="L3831" t="s">
        <v>43</v>
      </c>
      <c r="M3831">
        <v>4</v>
      </c>
      <c r="N3831">
        <v>0.35</v>
      </c>
      <c r="O3831" t="str">
        <f t="shared" si="119"/>
        <v>0.2–0.4 hours</v>
      </c>
      <c r="P3831" t="s">
        <v>52</v>
      </c>
    </row>
    <row r="3832" spans="1:16" x14ac:dyDescent="0.4">
      <c r="A3832" t="s">
        <v>3873</v>
      </c>
      <c r="B3832">
        <v>41</v>
      </c>
      <c r="C3832" t="s">
        <v>41</v>
      </c>
      <c r="D3832" t="s">
        <v>16</v>
      </c>
      <c r="E3832">
        <v>17.87</v>
      </c>
      <c r="F3832">
        <v>6</v>
      </c>
      <c r="G3832" t="s">
        <v>70</v>
      </c>
      <c r="H3832" t="s">
        <v>57</v>
      </c>
      <c r="I3832" s="2">
        <v>8.99</v>
      </c>
      <c r="J3832">
        <v>0</v>
      </c>
      <c r="K3832" s="2">
        <f t="shared" si="118"/>
        <v>0</v>
      </c>
      <c r="L3832" t="s">
        <v>43</v>
      </c>
      <c r="M3832">
        <v>1</v>
      </c>
      <c r="N3832">
        <v>2.5499999999999998</v>
      </c>
      <c r="O3832" t="str">
        <f t="shared" si="119"/>
        <v>1+ hours</v>
      </c>
      <c r="P3832" t="s">
        <v>30</v>
      </c>
    </row>
    <row r="3833" spans="1:16" x14ac:dyDescent="0.4">
      <c r="A3833" t="s">
        <v>3874</v>
      </c>
      <c r="B3833">
        <v>63</v>
      </c>
      <c r="C3833" t="s">
        <v>41</v>
      </c>
      <c r="D3833" t="s">
        <v>22</v>
      </c>
      <c r="E3833">
        <v>3.82</v>
      </c>
      <c r="F3833">
        <v>31</v>
      </c>
      <c r="G3833" t="s">
        <v>33</v>
      </c>
      <c r="H3833" t="s">
        <v>57</v>
      </c>
      <c r="I3833" s="2">
        <v>13.99</v>
      </c>
      <c r="J3833">
        <v>1</v>
      </c>
      <c r="K3833" s="2">
        <f t="shared" si="118"/>
        <v>13.99</v>
      </c>
      <c r="L3833" t="s">
        <v>43</v>
      </c>
      <c r="M3833">
        <v>4</v>
      </c>
      <c r="N3833">
        <v>0.12</v>
      </c>
      <c r="O3833" t="str">
        <f t="shared" si="119"/>
        <v>0–0.2 hours</v>
      </c>
      <c r="P3833" t="s">
        <v>20</v>
      </c>
    </row>
    <row r="3834" spans="1:16" x14ac:dyDescent="0.4">
      <c r="A3834" t="s">
        <v>3875</v>
      </c>
      <c r="B3834">
        <v>52</v>
      </c>
      <c r="C3834" t="s">
        <v>27</v>
      </c>
      <c r="D3834" t="s">
        <v>16</v>
      </c>
      <c r="E3834">
        <v>41.33</v>
      </c>
      <c r="F3834">
        <v>41</v>
      </c>
      <c r="G3834" t="s">
        <v>70</v>
      </c>
      <c r="H3834" t="s">
        <v>46</v>
      </c>
      <c r="I3834" s="2">
        <v>8.99</v>
      </c>
      <c r="J3834">
        <v>1</v>
      </c>
      <c r="K3834" s="2">
        <f t="shared" si="118"/>
        <v>8.99</v>
      </c>
      <c r="L3834" t="s">
        <v>19</v>
      </c>
      <c r="M3834">
        <v>1</v>
      </c>
      <c r="N3834">
        <v>0.98</v>
      </c>
      <c r="O3834" t="str">
        <f t="shared" si="119"/>
        <v>0.8–1 hour</v>
      </c>
      <c r="P3834" t="s">
        <v>25</v>
      </c>
    </row>
    <row r="3835" spans="1:16" x14ac:dyDescent="0.4">
      <c r="A3835" t="s">
        <v>3876</v>
      </c>
      <c r="B3835">
        <v>50</v>
      </c>
      <c r="C3835" t="s">
        <v>41</v>
      </c>
      <c r="D3835" t="s">
        <v>32</v>
      </c>
      <c r="E3835">
        <v>25.98</v>
      </c>
      <c r="F3835">
        <v>37</v>
      </c>
      <c r="G3835" t="s">
        <v>33</v>
      </c>
      <c r="H3835" t="s">
        <v>57</v>
      </c>
      <c r="I3835" s="2">
        <v>17.989999999999998</v>
      </c>
      <c r="J3835">
        <v>0</v>
      </c>
      <c r="K3835" s="2">
        <f t="shared" si="118"/>
        <v>0</v>
      </c>
      <c r="L3835" t="s">
        <v>43</v>
      </c>
      <c r="M3835">
        <v>5</v>
      </c>
      <c r="N3835">
        <v>0.68</v>
      </c>
      <c r="O3835" t="str">
        <f t="shared" si="119"/>
        <v>0.6–0.8 hours</v>
      </c>
      <c r="P3835" t="s">
        <v>30</v>
      </c>
    </row>
    <row r="3836" spans="1:16" x14ac:dyDescent="0.4">
      <c r="A3836" t="s">
        <v>3877</v>
      </c>
      <c r="B3836">
        <v>30</v>
      </c>
      <c r="C3836" t="s">
        <v>41</v>
      </c>
      <c r="D3836" t="s">
        <v>22</v>
      </c>
      <c r="E3836">
        <v>1.87</v>
      </c>
      <c r="F3836">
        <v>28</v>
      </c>
      <c r="G3836" t="s">
        <v>70</v>
      </c>
      <c r="H3836" t="s">
        <v>55</v>
      </c>
      <c r="I3836" s="2">
        <v>13.99</v>
      </c>
      <c r="J3836">
        <v>0</v>
      </c>
      <c r="K3836" s="2">
        <f t="shared" si="118"/>
        <v>0</v>
      </c>
      <c r="L3836" t="s">
        <v>37</v>
      </c>
      <c r="M3836">
        <v>4</v>
      </c>
      <c r="N3836">
        <v>0.06</v>
      </c>
      <c r="O3836" t="str">
        <f t="shared" si="119"/>
        <v>0–0.2 hours</v>
      </c>
      <c r="P3836" t="s">
        <v>25</v>
      </c>
    </row>
    <row r="3837" spans="1:16" x14ac:dyDescent="0.4">
      <c r="A3837" t="s">
        <v>3878</v>
      </c>
      <c r="B3837">
        <v>50</v>
      </c>
      <c r="C3837" t="s">
        <v>15</v>
      </c>
      <c r="D3837" t="s">
        <v>16</v>
      </c>
      <c r="E3837">
        <v>2.85</v>
      </c>
      <c r="F3837">
        <v>22</v>
      </c>
      <c r="G3837" t="s">
        <v>23</v>
      </c>
      <c r="H3837" t="s">
        <v>55</v>
      </c>
      <c r="I3837" s="2">
        <v>8.99</v>
      </c>
      <c r="J3837">
        <v>1</v>
      </c>
      <c r="K3837" s="2">
        <f t="shared" si="118"/>
        <v>8.99</v>
      </c>
      <c r="L3837" t="s">
        <v>37</v>
      </c>
      <c r="M3837">
        <v>1</v>
      </c>
      <c r="N3837">
        <v>0.12</v>
      </c>
      <c r="O3837" t="str">
        <f t="shared" si="119"/>
        <v>0–0.2 hours</v>
      </c>
      <c r="P3837" t="s">
        <v>30</v>
      </c>
    </row>
    <row r="3838" spans="1:16" x14ac:dyDescent="0.4">
      <c r="A3838" t="s">
        <v>3879</v>
      </c>
      <c r="B3838">
        <v>61</v>
      </c>
      <c r="C3838" t="s">
        <v>27</v>
      </c>
      <c r="D3838" t="s">
        <v>22</v>
      </c>
      <c r="E3838">
        <v>5.84</v>
      </c>
      <c r="F3838">
        <v>58</v>
      </c>
      <c r="G3838" t="s">
        <v>70</v>
      </c>
      <c r="H3838" t="s">
        <v>55</v>
      </c>
      <c r="I3838" s="2">
        <v>13.99</v>
      </c>
      <c r="J3838">
        <v>0</v>
      </c>
      <c r="K3838" s="2">
        <f t="shared" si="118"/>
        <v>0</v>
      </c>
      <c r="L3838" t="s">
        <v>43</v>
      </c>
      <c r="M3838">
        <v>5</v>
      </c>
      <c r="N3838">
        <v>0.1</v>
      </c>
      <c r="O3838" t="str">
        <f t="shared" si="119"/>
        <v>0–0.2 hours</v>
      </c>
      <c r="P3838" t="s">
        <v>34</v>
      </c>
    </row>
    <row r="3839" spans="1:16" x14ac:dyDescent="0.4">
      <c r="A3839" t="s">
        <v>3880</v>
      </c>
      <c r="B3839">
        <v>30</v>
      </c>
      <c r="C3839" t="s">
        <v>41</v>
      </c>
      <c r="D3839" t="s">
        <v>16</v>
      </c>
      <c r="E3839">
        <v>1.07</v>
      </c>
      <c r="F3839">
        <v>35</v>
      </c>
      <c r="G3839" t="s">
        <v>33</v>
      </c>
      <c r="H3839" t="s">
        <v>57</v>
      </c>
      <c r="I3839" s="2">
        <v>8.99</v>
      </c>
      <c r="J3839">
        <v>1</v>
      </c>
      <c r="K3839" s="2">
        <f t="shared" si="118"/>
        <v>8.99</v>
      </c>
      <c r="L3839" t="s">
        <v>61</v>
      </c>
      <c r="M3839">
        <v>3</v>
      </c>
      <c r="N3839">
        <v>0.03</v>
      </c>
      <c r="O3839" t="str">
        <f t="shared" si="119"/>
        <v>0–0.2 hours</v>
      </c>
      <c r="P3839" t="s">
        <v>34</v>
      </c>
    </row>
    <row r="3840" spans="1:16" x14ac:dyDescent="0.4">
      <c r="A3840" t="s">
        <v>3881</v>
      </c>
      <c r="B3840">
        <v>43</v>
      </c>
      <c r="C3840" t="s">
        <v>27</v>
      </c>
      <c r="D3840" t="s">
        <v>16</v>
      </c>
      <c r="E3840">
        <v>12.52</v>
      </c>
      <c r="F3840">
        <v>26</v>
      </c>
      <c r="G3840" t="s">
        <v>23</v>
      </c>
      <c r="H3840" t="s">
        <v>18</v>
      </c>
      <c r="I3840" s="2">
        <v>8.99</v>
      </c>
      <c r="J3840">
        <v>0</v>
      </c>
      <c r="K3840" s="2">
        <f t="shared" si="118"/>
        <v>0</v>
      </c>
      <c r="L3840" t="s">
        <v>61</v>
      </c>
      <c r="M3840">
        <v>2</v>
      </c>
      <c r="N3840">
        <v>0.46</v>
      </c>
      <c r="O3840" t="str">
        <f t="shared" si="119"/>
        <v>0.4–0.6 hours</v>
      </c>
      <c r="P3840" t="s">
        <v>34</v>
      </c>
    </row>
    <row r="3841" spans="1:16" x14ac:dyDescent="0.4">
      <c r="A3841" t="s">
        <v>3882</v>
      </c>
      <c r="B3841">
        <v>56</v>
      </c>
      <c r="C3841" t="s">
        <v>15</v>
      </c>
      <c r="D3841" t="s">
        <v>32</v>
      </c>
      <c r="E3841">
        <v>2.04</v>
      </c>
      <c r="F3841">
        <v>27</v>
      </c>
      <c r="G3841" t="s">
        <v>33</v>
      </c>
      <c r="H3841" t="s">
        <v>18</v>
      </c>
      <c r="I3841" s="2">
        <v>17.989999999999998</v>
      </c>
      <c r="J3841">
        <v>1</v>
      </c>
      <c r="K3841" s="2">
        <f t="shared" si="118"/>
        <v>17.989999999999998</v>
      </c>
      <c r="L3841" t="s">
        <v>37</v>
      </c>
      <c r="M3841">
        <v>1</v>
      </c>
      <c r="N3841">
        <v>7.0000000000000007E-2</v>
      </c>
      <c r="O3841" t="str">
        <f t="shared" si="119"/>
        <v>0–0.2 hours</v>
      </c>
      <c r="P3841" t="s">
        <v>39</v>
      </c>
    </row>
    <row r="3842" spans="1:16" x14ac:dyDescent="0.4">
      <c r="A3842" t="s">
        <v>3883</v>
      </c>
      <c r="B3842">
        <v>35</v>
      </c>
      <c r="C3842" t="s">
        <v>27</v>
      </c>
      <c r="D3842" t="s">
        <v>16</v>
      </c>
      <c r="E3842">
        <v>7.06</v>
      </c>
      <c r="F3842">
        <v>14</v>
      </c>
      <c r="G3842" t="s">
        <v>17</v>
      </c>
      <c r="H3842" t="s">
        <v>57</v>
      </c>
      <c r="I3842" s="2">
        <v>8.99</v>
      </c>
      <c r="J3842">
        <v>0</v>
      </c>
      <c r="K3842" s="2">
        <f t="shared" si="118"/>
        <v>0</v>
      </c>
      <c r="L3842" t="s">
        <v>19</v>
      </c>
      <c r="M3842">
        <v>5</v>
      </c>
      <c r="N3842">
        <v>0.47</v>
      </c>
      <c r="O3842" t="str">
        <f t="shared" si="119"/>
        <v>0.4–0.6 hours</v>
      </c>
      <c r="P3842" t="s">
        <v>52</v>
      </c>
    </row>
    <row r="3843" spans="1:16" x14ac:dyDescent="0.4">
      <c r="A3843" t="s">
        <v>3884</v>
      </c>
      <c r="B3843">
        <v>61</v>
      </c>
      <c r="C3843" t="s">
        <v>15</v>
      </c>
      <c r="D3843" t="s">
        <v>22</v>
      </c>
      <c r="E3843">
        <v>12.41</v>
      </c>
      <c r="F3843">
        <v>10</v>
      </c>
      <c r="G3843" t="s">
        <v>23</v>
      </c>
      <c r="H3843" t="s">
        <v>18</v>
      </c>
      <c r="I3843" s="2">
        <v>13.99</v>
      </c>
      <c r="J3843">
        <v>0</v>
      </c>
      <c r="K3843" s="2">
        <f t="shared" ref="K3843:K3906" si="120">SUMIF(J3843,1,I3843)</f>
        <v>0</v>
      </c>
      <c r="L3843" t="s">
        <v>29</v>
      </c>
      <c r="M3843">
        <v>2</v>
      </c>
      <c r="N3843">
        <v>1.1299999999999999</v>
      </c>
      <c r="O3843" t="str">
        <f t="shared" ref="O3843:O3906" si="121">IF(N3843&gt;1,"1+ hours",IF(N3843&lt;=0.2,"0–0.2 hours",IF(N3843&lt;=0.4,"0.2–0.4 hours",IF(N3843&lt;=0.6,"0.4–0.6 hours",IF(N3843&lt;=0.8,"0.6–0.8 hours","0.8–1 hour")))))</f>
        <v>1+ hours</v>
      </c>
      <c r="P3843" t="s">
        <v>39</v>
      </c>
    </row>
    <row r="3844" spans="1:16" x14ac:dyDescent="0.4">
      <c r="A3844" t="s">
        <v>3885</v>
      </c>
      <c r="B3844">
        <v>40</v>
      </c>
      <c r="C3844" t="s">
        <v>15</v>
      </c>
      <c r="D3844" t="s">
        <v>16</v>
      </c>
      <c r="E3844">
        <v>75.989999999999995</v>
      </c>
      <c r="F3844">
        <v>9</v>
      </c>
      <c r="G3844" t="s">
        <v>17</v>
      </c>
      <c r="H3844" t="s">
        <v>24</v>
      </c>
      <c r="I3844" s="2">
        <v>8.99</v>
      </c>
      <c r="J3844">
        <v>0</v>
      </c>
      <c r="K3844" s="2">
        <f t="shared" si="120"/>
        <v>0</v>
      </c>
      <c r="L3844" t="s">
        <v>61</v>
      </c>
      <c r="M3844">
        <v>1</v>
      </c>
      <c r="N3844">
        <v>7.6</v>
      </c>
      <c r="O3844" t="str">
        <f t="shared" si="121"/>
        <v>1+ hours</v>
      </c>
      <c r="P3844" t="s">
        <v>47</v>
      </c>
    </row>
    <row r="3845" spans="1:16" x14ac:dyDescent="0.4">
      <c r="A3845" t="s">
        <v>3886</v>
      </c>
      <c r="B3845">
        <v>57</v>
      </c>
      <c r="C3845" t="s">
        <v>15</v>
      </c>
      <c r="D3845" t="s">
        <v>22</v>
      </c>
      <c r="E3845">
        <v>4.99</v>
      </c>
      <c r="F3845">
        <v>9</v>
      </c>
      <c r="G3845" t="s">
        <v>70</v>
      </c>
      <c r="H3845" t="s">
        <v>57</v>
      </c>
      <c r="I3845" s="2">
        <v>13.99</v>
      </c>
      <c r="J3845">
        <v>0</v>
      </c>
      <c r="K3845" s="2">
        <f t="shared" si="120"/>
        <v>0</v>
      </c>
      <c r="L3845" t="s">
        <v>29</v>
      </c>
      <c r="M3845">
        <v>5</v>
      </c>
      <c r="N3845">
        <v>0.5</v>
      </c>
      <c r="O3845" t="str">
        <f t="shared" si="121"/>
        <v>0.4–0.6 hours</v>
      </c>
      <c r="P3845" t="s">
        <v>39</v>
      </c>
    </row>
    <row r="3846" spans="1:16" x14ac:dyDescent="0.4">
      <c r="A3846" t="s">
        <v>3887</v>
      </c>
      <c r="B3846">
        <v>19</v>
      </c>
      <c r="C3846" t="s">
        <v>15</v>
      </c>
      <c r="D3846" t="s">
        <v>22</v>
      </c>
      <c r="E3846">
        <v>12.97</v>
      </c>
      <c r="F3846">
        <v>36</v>
      </c>
      <c r="G3846" t="s">
        <v>49</v>
      </c>
      <c r="H3846" t="s">
        <v>55</v>
      </c>
      <c r="I3846" s="2">
        <v>13.99</v>
      </c>
      <c r="J3846">
        <v>0</v>
      </c>
      <c r="K3846" s="2">
        <f t="shared" si="120"/>
        <v>0</v>
      </c>
      <c r="L3846" t="s">
        <v>37</v>
      </c>
      <c r="M3846">
        <v>4</v>
      </c>
      <c r="N3846">
        <v>0.35</v>
      </c>
      <c r="O3846" t="str">
        <f t="shared" si="121"/>
        <v>0.2–0.4 hours</v>
      </c>
      <c r="P3846" t="s">
        <v>39</v>
      </c>
    </row>
    <row r="3847" spans="1:16" x14ac:dyDescent="0.4">
      <c r="A3847" t="s">
        <v>3888</v>
      </c>
      <c r="B3847">
        <v>55</v>
      </c>
      <c r="C3847" t="s">
        <v>27</v>
      </c>
      <c r="D3847" t="s">
        <v>32</v>
      </c>
      <c r="E3847">
        <v>9.52</v>
      </c>
      <c r="F3847">
        <v>15</v>
      </c>
      <c r="G3847" t="s">
        <v>28</v>
      </c>
      <c r="H3847" t="s">
        <v>57</v>
      </c>
      <c r="I3847" s="2">
        <v>17.989999999999998</v>
      </c>
      <c r="J3847">
        <v>0</v>
      </c>
      <c r="K3847" s="2">
        <f t="shared" si="120"/>
        <v>0</v>
      </c>
      <c r="L3847" t="s">
        <v>43</v>
      </c>
      <c r="M3847">
        <v>2</v>
      </c>
      <c r="N3847">
        <v>0.59</v>
      </c>
      <c r="O3847" t="str">
        <f t="shared" si="121"/>
        <v>0.4–0.6 hours</v>
      </c>
      <c r="P3847" t="s">
        <v>47</v>
      </c>
    </row>
    <row r="3848" spans="1:16" x14ac:dyDescent="0.4">
      <c r="A3848" t="s">
        <v>3889</v>
      </c>
      <c r="B3848">
        <v>41</v>
      </c>
      <c r="C3848" t="s">
        <v>15</v>
      </c>
      <c r="D3848" t="s">
        <v>16</v>
      </c>
      <c r="E3848">
        <v>2.09</v>
      </c>
      <c r="F3848">
        <v>52</v>
      </c>
      <c r="G3848" t="s">
        <v>28</v>
      </c>
      <c r="H3848" t="s">
        <v>46</v>
      </c>
      <c r="I3848" s="2">
        <v>8.99</v>
      </c>
      <c r="J3848">
        <v>1</v>
      </c>
      <c r="K3848" s="2">
        <f t="shared" si="120"/>
        <v>8.99</v>
      </c>
      <c r="L3848" t="s">
        <v>29</v>
      </c>
      <c r="M3848">
        <v>3</v>
      </c>
      <c r="N3848">
        <v>0.04</v>
      </c>
      <c r="O3848" t="str">
        <f t="shared" si="121"/>
        <v>0–0.2 hours</v>
      </c>
      <c r="P3848" t="s">
        <v>47</v>
      </c>
    </row>
    <row r="3849" spans="1:16" x14ac:dyDescent="0.4">
      <c r="A3849" t="s">
        <v>3890</v>
      </c>
      <c r="B3849">
        <v>22</v>
      </c>
      <c r="C3849" t="s">
        <v>27</v>
      </c>
      <c r="D3849" t="s">
        <v>22</v>
      </c>
      <c r="E3849">
        <v>19.190000000000001</v>
      </c>
      <c r="F3849">
        <v>29</v>
      </c>
      <c r="G3849" t="s">
        <v>28</v>
      </c>
      <c r="H3849" t="s">
        <v>18</v>
      </c>
      <c r="I3849" s="2">
        <v>13.99</v>
      </c>
      <c r="J3849">
        <v>0</v>
      </c>
      <c r="K3849" s="2">
        <f t="shared" si="120"/>
        <v>0</v>
      </c>
      <c r="L3849" t="s">
        <v>37</v>
      </c>
      <c r="M3849">
        <v>1</v>
      </c>
      <c r="N3849">
        <v>0.64</v>
      </c>
      <c r="O3849" t="str">
        <f t="shared" si="121"/>
        <v>0.6–0.8 hours</v>
      </c>
      <c r="P3849" t="s">
        <v>25</v>
      </c>
    </row>
    <row r="3850" spans="1:16" x14ac:dyDescent="0.4">
      <c r="A3850" t="s">
        <v>3891</v>
      </c>
      <c r="B3850">
        <v>35</v>
      </c>
      <c r="C3850" t="s">
        <v>27</v>
      </c>
      <c r="D3850" t="s">
        <v>22</v>
      </c>
      <c r="E3850">
        <v>0.45</v>
      </c>
      <c r="F3850">
        <v>7</v>
      </c>
      <c r="G3850" t="s">
        <v>33</v>
      </c>
      <c r="H3850" t="s">
        <v>46</v>
      </c>
      <c r="I3850" s="2">
        <v>13.99</v>
      </c>
      <c r="J3850">
        <v>0</v>
      </c>
      <c r="K3850" s="2">
        <f t="shared" si="120"/>
        <v>0</v>
      </c>
      <c r="L3850" t="s">
        <v>37</v>
      </c>
      <c r="M3850">
        <v>5</v>
      </c>
      <c r="N3850">
        <v>0.06</v>
      </c>
      <c r="O3850" t="str">
        <f t="shared" si="121"/>
        <v>0–0.2 hours</v>
      </c>
      <c r="P3850" t="s">
        <v>52</v>
      </c>
    </row>
    <row r="3851" spans="1:16" x14ac:dyDescent="0.4">
      <c r="A3851" t="s">
        <v>3892</v>
      </c>
      <c r="B3851">
        <v>35</v>
      </c>
      <c r="C3851" t="s">
        <v>15</v>
      </c>
      <c r="D3851" t="s">
        <v>32</v>
      </c>
      <c r="E3851">
        <v>5.39</v>
      </c>
      <c r="F3851">
        <v>54</v>
      </c>
      <c r="G3851" t="s">
        <v>49</v>
      </c>
      <c r="H3851" t="s">
        <v>18</v>
      </c>
      <c r="I3851" s="2">
        <v>17.989999999999998</v>
      </c>
      <c r="J3851">
        <v>1</v>
      </c>
      <c r="K3851" s="2">
        <f t="shared" si="120"/>
        <v>17.989999999999998</v>
      </c>
      <c r="L3851" t="s">
        <v>37</v>
      </c>
      <c r="M3851">
        <v>1</v>
      </c>
      <c r="N3851">
        <v>0.1</v>
      </c>
      <c r="O3851" t="str">
        <f t="shared" si="121"/>
        <v>0–0.2 hours</v>
      </c>
      <c r="P3851" t="s">
        <v>47</v>
      </c>
    </row>
    <row r="3852" spans="1:16" x14ac:dyDescent="0.4">
      <c r="A3852" t="s">
        <v>3893</v>
      </c>
      <c r="B3852">
        <v>70</v>
      </c>
      <c r="C3852" t="s">
        <v>41</v>
      </c>
      <c r="D3852" t="s">
        <v>32</v>
      </c>
      <c r="E3852">
        <v>15.73</v>
      </c>
      <c r="F3852">
        <v>56</v>
      </c>
      <c r="G3852" t="s">
        <v>70</v>
      </c>
      <c r="H3852" t="s">
        <v>24</v>
      </c>
      <c r="I3852" s="2">
        <v>17.989999999999998</v>
      </c>
      <c r="J3852">
        <v>1</v>
      </c>
      <c r="K3852" s="2">
        <f t="shared" si="120"/>
        <v>17.989999999999998</v>
      </c>
      <c r="L3852" t="s">
        <v>29</v>
      </c>
      <c r="M3852">
        <v>3</v>
      </c>
      <c r="N3852">
        <v>0.28000000000000003</v>
      </c>
      <c r="O3852" t="str">
        <f t="shared" si="121"/>
        <v>0.2–0.4 hours</v>
      </c>
      <c r="P3852" t="s">
        <v>30</v>
      </c>
    </row>
    <row r="3853" spans="1:16" x14ac:dyDescent="0.4">
      <c r="A3853" t="s">
        <v>3894</v>
      </c>
      <c r="B3853">
        <v>32</v>
      </c>
      <c r="C3853" t="s">
        <v>27</v>
      </c>
      <c r="D3853" t="s">
        <v>32</v>
      </c>
      <c r="E3853">
        <v>14.36</v>
      </c>
      <c r="F3853">
        <v>0</v>
      </c>
      <c r="G3853" t="s">
        <v>49</v>
      </c>
      <c r="H3853" t="s">
        <v>55</v>
      </c>
      <c r="I3853" s="2">
        <v>17.989999999999998</v>
      </c>
      <c r="J3853">
        <v>0</v>
      </c>
      <c r="K3853" s="2">
        <f t="shared" si="120"/>
        <v>0</v>
      </c>
      <c r="L3853" t="s">
        <v>43</v>
      </c>
      <c r="M3853">
        <v>2</v>
      </c>
      <c r="N3853">
        <v>14.36</v>
      </c>
      <c r="O3853" t="str">
        <f t="shared" si="121"/>
        <v>1+ hours</v>
      </c>
      <c r="P3853" t="s">
        <v>39</v>
      </c>
    </row>
    <row r="3854" spans="1:16" x14ac:dyDescent="0.4">
      <c r="A3854" t="s">
        <v>3895</v>
      </c>
      <c r="B3854">
        <v>25</v>
      </c>
      <c r="C3854" t="s">
        <v>15</v>
      </c>
      <c r="D3854" t="s">
        <v>16</v>
      </c>
      <c r="E3854">
        <v>15.26</v>
      </c>
      <c r="F3854">
        <v>34</v>
      </c>
      <c r="G3854" t="s">
        <v>28</v>
      </c>
      <c r="H3854" t="s">
        <v>46</v>
      </c>
      <c r="I3854" s="2">
        <v>8.99</v>
      </c>
      <c r="J3854">
        <v>1</v>
      </c>
      <c r="K3854" s="2">
        <f t="shared" si="120"/>
        <v>8.99</v>
      </c>
      <c r="L3854" t="s">
        <v>61</v>
      </c>
      <c r="M3854">
        <v>4</v>
      </c>
      <c r="N3854">
        <v>0.44</v>
      </c>
      <c r="O3854" t="str">
        <f t="shared" si="121"/>
        <v>0.4–0.6 hours</v>
      </c>
      <c r="P3854" t="s">
        <v>47</v>
      </c>
    </row>
    <row r="3855" spans="1:16" x14ac:dyDescent="0.4">
      <c r="A3855" t="s">
        <v>3896</v>
      </c>
      <c r="B3855">
        <v>49</v>
      </c>
      <c r="C3855" t="s">
        <v>27</v>
      </c>
      <c r="D3855" t="s">
        <v>16</v>
      </c>
      <c r="E3855">
        <v>1.58</v>
      </c>
      <c r="F3855">
        <v>29</v>
      </c>
      <c r="G3855" t="s">
        <v>70</v>
      </c>
      <c r="H3855" t="s">
        <v>57</v>
      </c>
      <c r="I3855" s="2">
        <v>8.99</v>
      </c>
      <c r="J3855">
        <v>1</v>
      </c>
      <c r="K3855" s="2">
        <f t="shared" si="120"/>
        <v>8.99</v>
      </c>
      <c r="L3855" t="s">
        <v>61</v>
      </c>
      <c r="M3855">
        <v>4</v>
      </c>
      <c r="N3855">
        <v>0.05</v>
      </c>
      <c r="O3855" t="str">
        <f t="shared" si="121"/>
        <v>0–0.2 hours</v>
      </c>
      <c r="P3855" t="s">
        <v>47</v>
      </c>
    </row>
    <row r="3856" spans="1:16" x14ac:dyDescent="0.4">
      <c r="A3856" t="s">
        <v>3897</v>
      </c>
      <c r="B3856">
        <v>49</v>
      </c>
      <c r="C3856" t="s">
        <v>15</v>
      </c>
      <c r="D3856" t="s">
        <v>22</v>
      </c>
      <c r="E3856">
        <v>2.76</v>
      </c>
      <c r="F3856">
        <v>20</v>
      </c>
      <c r="G3856" t="s">
        <v>23</v>
      </c>
      <c r="H3856" t="s">
        <v>24</v>
      </c>
      <c r="I3856" s="2">
        <v>13.99</v>
      </c>
      <c r="J3856">
        <v>0</v>
      </c>
      <c r="K3856" s="2">
        <f t="shared" si="120"/>
        <v>0</v>
      </c>
      <c r="L3856" t="s">
        <v>37</v>
      </c>
      <c r="M3856">
        <v>4</v>
      </c>
      <c r="N3856">
        <v>0.13</v>
      </c>
      <c r="O3856" t="str">
        <f t="shared" si="121"/>
        <v>0–0.2 hours</v>
      </c>
      <c r="P3856" t="s">
        <v>20</v>
      </c>
    </row>
    <row r="3857" spans="1:16" x14ac:dyDescent="0.4">
      <c r="A3857" t="s">
        <v>3898</v>
      </c>
      <c r="B3857">
        <v>67</v>
      </c>
      <c r="C3857" t="s">
        <v>27</v>
      </c>
      <c r="D3857" t="s">
        <v>16</v>
      </c>
      <c r="E3857">
        <v>6.88</v>
      </c>
      <c r="F3857">
        <v>44</v>
      </c>
      <c r="G3857" t="s">
        <v>17</v>
      </c>
      <c r="H3857" t="s">
        <v>46</v>
      </c>
      <c r="I3857" s="2">
        <v>8.99</v>
      </c>
      <c r="J3857">
        <v>1</v>
      </c>
      <c r="K3857" s="2">
        <f t="shared" si="120"/>
        <v>8.99</v>
      </c>
      <c r="L3857" t="s">
        <v>19</v>
      </c>
      <c r="M3857">
        <v>4</v>
      </c>
      <c r="N3857">
        <v>0.15</v>
      </c>
      <c r="O3857" t="str">
        <f t="shared" si="121"/>
        <v>0–0.2 hours</v>
      </c>
      <c r="P3857" t="s">
        <v>34</v>
      </c>
    </row>
    <row r="3858" spans="1:16" x14ac:dyDescent="0.4">
      <c r="A3858" t="s">
        <v>3899</v>
      </c>
      <c r="B3858">
        <v>39</v>
      </c>
      <c r="C3858" t="s">
        <v>41</v>
      </c>
      <c r="D3858" t="s">
        <v>32</v>
      </c>
      <c r="E3858">
        <v>4.22</v>
      </c>
      <c r="F3858">
        <v>33</v>
      </c>
      <c r="G3858" t="s">
        <v>28</v>
      </c>
      <c r="H3858" t="s">
        <v>55</v>
      </c>
      <c r="I3858" s="2">
        <v>17.989999999999998</v>
      </c>
      <c r="J3858">
        <v>1</v>
      </c>
      <c r="K3858" s="2">
        <f t="shared" si="120"/>
        <v>17.989999999999998</v>
      </c>
      <c r="L3858" t="s">
        <v>43</v>
      </c>
      <c r="M3858">
        <v>2</v>
      </c>
      <c r="N3858">
        <v>0.12</v>
      </c>
      <c r="O3858" t="str">
        <f t="shared" si="121"/>
        <v>0–0.2 hours</v>
      </c>
      <c r="P3858" t="s">
        <v>30</v>
      </c>
    </row>
    <row r="3859" spans="1:16" x14ac:dyDescent="0.4">
      <c r="A3859" t="s">
        <v>3900</v>
      </c>
      <c r="B3859">
        <v>34</v>
      </c>
      <c r="C3859" t="s">
        <v>15</v>
      </c>
      <c r="D3859" t="s">
        <v>16</v>
      </c>
      <c r="E3859">
        <v>4.43</v>
      </c>
      <c r="F3859">
        <v>33</v>
      </c>
      <c r="G3859" t="s">
        <v>33</v>
      </c>
      <c r="H3859" t="s">
        <v>46</v>
      </c>
      <c r="I3859" s="2">
        <v>8.99</v>
      </c>
      <c r="J3859">
        <v>1</v>
      </c>
      <c r="K3859" s="2">
        <f t="shared" si="120"/>
        <v>8.99</v>
      </c>
      <c r="L3859" t="s">
        <v>19</v>
      </c>
      <c r="M3859">
        <v>2</v>
      </c>
      <c r="N3859">
        <v>0.13</v>
      </c>
      <c r="O3859" t="str">
        <f t="shared" si="121"/>
        <v>0–0.2 hours</v>
      </c>
      <c r="P3859" t="s">
        <v>39</v>
      </c>
    </row>
    <row r="3860" spans="1:16" x14ac:dyDescent="0.4">
      <c r="A3860" t="s">
        <v>3901</v>
      </c>
      <c r="B3860">
        <v>27</v>
      </c>
      <c r="C3860" t="s">
        <v>15</v>
      </c>
      <c r="D3860" t="s">
        <v>32</v>
      </c>
      <c r="E3860">
        <v>5.05</v>
      </c>
      <c r="F3860">
        <v>47</v>
      </c>
      <c r="G3860" t="s">
        <v>49</v>
      </c>
      <c r="H3860" t="s">
        <v>57</v>
      </c>
      <c r="I3860" s="2">
        <v>17.989999999999998</v>
      </c>
      <c r="J3860">
        <v>1</v>
      </c>
      <c r="K3860" s="2">
        <f t="shared" si="120"/>
        <v>17.989999999999998</v>
      </c>
      <c r="L3860" t="s">
        <v>29</v>
      </c>
      <c r="M3860">
        <v>5</v>
      </c>
      <c r="N3860">
        <v>0.11</v>
      </c>
      <c r="O3860" t="str">
        <f t="shared" si="121"/>
        <v>0–0.2 hours</v>
      </c>
      <c r="P3860" t="s">
        <v>39</v>
      </c>
    </row>
    <row r="3861" spans="1:16" x14ac:dyDescent="0.4">
      <c r="A3861" t="s">
        <v>3902</v>
      </c>
      <c r="B3861">
        <v>53</v>
      </c>
      <c r="C3861" t="s">
        <v>27</v>
      </c>
      <c r="D3861" t="s">
        <v>22</v>
      </c>
      <c r="E3861">
        <v>3.47</v>
      </c>
      <c r="F3861">
        <v>38</v>
      </c>
      <c r="G3861" t="s">
        <v>28</v>
      </c>
      <c r="H3861" t="s">
        <v>24</v>
      </c>
      <c r="I3861" s="2">
        <v>13.99</v>
      </c>
      <c r="J3861">
        <v>1</v>
      </c>
      <c r="K3861" s="2">
        <f t="shared" si="120"/>
        <v>13.99</v>
      </c>
      <c r="L3861" t="s">
        <v>29</v>
      </c>
      <c r="M3861">
        <v>1</v>
      </c>
      <c r="N3861">
        <v>0.09</v>
      </c>
      <c r="O3861" t="str">
        <f t="shared" si="121"/>
        <v>0–0.2 hours</v>
      </c>
      <c r="P3861" t="s">
        <v>34</v>
      </c>
    </row>
    <row r="3862" spans="1:16" x14ac:dyDescent="0.4">
      <c r="A3862" t="s">
        <v>3903</v>
      </c>
      <c r="B3862">
        <v>31</v>
      </c>
      <c r="C3862" t="s">
        <v>41</v>
      </c>
      <c r="D3862" t="s">
        <v>32</v>
      </c>
      <c r="E3862">
        <v>8.8800000000000008</v>
      </c>
      <c r="F3862">
        <v>25</v>
      </c>
      <c r="G3862" t="s">
        <v>28</v>
      </c>
      <c r="H3862" t="s">
        <v>18</v>
      </c>
      <c r="I3862" s="2">
        <v>17.989999999999998</v>
      </c>
      <c r="J3862">
        <v>0</v>
      </c>
      <c r="K3862" s="2">
        <f t="shared" si="120"/>
        <v>0</v>
      </c>
      <c r="L3862" t="s">
        <v>37</v>
      </c>
      <c r="M3862">
        <v>4</v>
      </c>
      <c r="N3862">
        <v>0.34</v>
      </c>
      <c r="O3862" t="str">
        <f t="shared" si="121"/>
        <v>0.2–0.4 hours</v>
      </c>
      <c r="P3862" t="s">
        <v>20</v>
      </c>
    </row>
    <row r="3863" spans="1:16" x14ac:dyDescent="0.4">
      <c r="A3863" t="s">
        <v>3904</v>
      </c>
      <c r="B3863">
        <v>46</v>
      </c>
      <c r="C3863" t="s">
        <v>15</v>
      </c>
      <c r="D3863" t="s">
        <v>16</v>
      </c>
      <c r="E3863">
        <v>19.72</v>
      </c>
      <c r="F3863">
        <v>47</v>
      </c>
      <c r="G3863" t="s">
        <v>33</v>
      </c>
      <c r="H3863" t="s">
        <v>55</v>
      </c>
      <c r="I3863" s="2">
        <v>8.99</v>
      </c>
      <c r="J3863">
        <v>1</v>
      </c>
      <c r="K3863" s="2">
        <f t="shared" si="120"/>
        <v>8.99</v>
      </c>
      <c r="L3863" t="s">
        <v>61</v>
      </c>
      <c r="M3863">
        <v>1</v>
      </c>
      <c r="N3863">
        <v>0.41</v>
      </c>
      <c r="O3863" t="str">
        <f t="shared" si="121"/>
        <v>0.4–0.6 hours</v>
      </c>
      <c r="P3863" t="s">
        <v>34</v>
      </c>
    </row>
    <row r="3864" spans="1:16" x14ac:dyDescent="0.4">
      <c r="A3864" t="s">
        <v>3905</v>
      </c>
      <c r="B3864">
        <v>30</v>
      </c>
      <c r="C3864" t="s">
        <v>27</v>
      </c>
      <c r="D3864" t="s">
        <v>22</v>
      </c>
      <c r="E3864">
        <v>28.52</v>
      </c>
      <c r="F3864">
        <v>28</v>
      </c>
      <c r="G3864" t="s">
        <v>17</v>
      </c>
      <c r="H3864" t="s">
        <v>18</v>
      </c>
      <c r="I3864" s="2">
        <v>13.99</v>
      </c>
      <c r="J3864">
        <v>0</v>
      </c>
      <c r="K3864" s="2">
        <f t="shared" si="120"/>
        <v>0</v>
      </c>
      <c r="L3864" t="s">
        <v>61</v>
      </c>
      <c r="M3864">
        <v>4</v>
      </c>
      <c r="N3864">
        <v>0.98</v>
      </c>
      <c r="O3864" t="str">
        <f t="shared" si="121"/>
        <v>0.8–1 hour</v>
      </c>
      <c r="P3864" t="s">
        <v>52</v>
      </c>
    </row>
    <row r="3865" spans="1:16" x14ac:dyDescent="0.4">
      <c r="A3865" t="s">
        <v>3906</v>
      </c>
      <c r="B3865">
        <v>65</v>
      </c>
      <c r="C3865" t="s">
        <v>15</v>
      </c>
      <c r="D3865" t="s">
        <v>22</v>
      </c>
      <c r="E3865">
        <v>3.26</v>
      </c>
      <c r="F3865">
        <v>41</v>
      </c>
      <c r="G3865" t="s">
        <v>28</v>
      </c>
      <c r="H3865" t="s">
        <v>55</v>
      </c>
      <c r="I3865" s="2">
        <v>13.99</v>
      </c>
      <c r="J3865">
        <v>1</v>
      </c>
      <c r="K3865" s="2">
        <f t="shared" si="120"/>
        <v>13.99</v>
      </c>
      <c r="L3865" t="s">
        <v>43</v>
      </c>
      <c r="M3865">
        <v>5</v>
      </c>
      <c r="N3865">
        <v>0.08</v>
      </c>
      <c r="O3865" t="str">
        <f t="shared" si="121"/>
        <v>0–0.2 hours</v>
      </c>
      <c r="P3865" t="s">
        <v>20</v>
      </c>
    </row>
    <row r="3866" spans="1:16" x14ac:dyDescent="0.4">
      <c r="A3866" t="s">
        <v>3907</v>
      </c>
      <c r="B3866">
        <v>64</v>
      </c>
      <c r="C3866" t="s">
        <v>41</v>
      </c>
      <c r="D3866" t="s">
        <v>22</v>
      </c>
      <c r="E3866">
        <v>1.24</v>
      </c>
      <c r="F3866">
        <v>9</v>
      </c>
      <c r="G3866" t="s">
        <v>17</v>
      </c>
      <c r="H3866" t="s">
        <v>24</v>
      </c>
      <c r="I3866" s="2">
        <v>13.99</v>
      </c>
      <c r="J3866">
        <v>0</v>
      </c>
      <c r="K3866" s="2">
        <f t="shared" si="120"/>
        <v>0</v>
      </c>
      <c r="L3866" t="s">
        <v>61</v>
      </c>
      <c r="M3866">
        <v>4</v>
      </c>
      <c r="N3866">
        <v>0.12</v>
      </c>
      <c r="O3866" t="str">
        <f t="shared" si="121"/>
        <v>0–0.2 hours</v>
      </c>
      <c r="P3866" t="s">
        <v>25</v>
      </c>
    </row>
    <row r="3867" spans="1:16" x14ac:dyDescent="0.4">
      <c r="A3867" t="s">
        <v>3908</v>
      </c>
      <c r="B3867">
        <v>38</v>
      </c>
      <c r="C3867" t="s">
        <v>15</v>
      </c>
      <c r="D3867" t="s">
        <v>22</v>
      </c>
      <c r="E3867">
        <v>32.729999999999997</v>
      </c>
      <c r="F3867">
        <v>21</v>
      </c>
      <c r="G3867" t="s">
        <v>28</v>
      </c>
      <c r="H3867" t="s">
        <v>24</v>
      </c>
      <c r="I3867" s="2">
        <v>13.99</v>
      </c>
      <c r="J3867">
        <v>0</v>
      </c>
      <c r="K3867" s="2">
        <f t="shared" si="120"/>
        <v>0</v>
      </c>
      <c r="L3867" t="s">
        <v>37</v>
      </c>
      <c r="M3867">
        <v>5</v>
      </c>
      <c r="N3867">
        <v>1.49</v>
      </c>
      <c r="O3867" t="str">
        <f t="shared" si="121"/>
        <v>1+ hours</v>
      </c>
      <c r="P3867" t="s">
        <v>52</v>
      </c>
    </row>
    <row r="3868" spans="1:16" x14ac:dyDescent="0.4">
      <c r="A3868" t="s">
        <v>3909</v>
      </c>
      <c r="B3868">
        <v>56</v>
      </c>
      <c r="C3868" t="s">
        <v>27</v>
      </c>
      <c r="D3868" t="s">
        <v>16</v>
      </c>
      <c r="E3868">
        <v>20.91</v>
      </c>
      <c r="F3868">
        <v>35</v>
      </c>
      <c r="G3868" t="s">
        <v>70</v>
      </c>
      <c r="H3868" t="s">
        <v>57</v>
      </c>
      <c r="I3868" s="2">
        <v>8.99</v>
      </c>
      <c r="J3868">
        <v>0</v>
      </c>
      <c r="K3868" s="2">
        <f t="shared" si="120"/>
        <v>0</v>
      </c>
      <c r="L3868" t="s">
        <v>61</v>
      </c>
      <c r="M3868">
        <v>4</v>
      </c>
      <c r="N3868">
        <v>0.57999999999999996</v>
      </c>
      <c r="O3868" t="str">
        <f t="shared" si="121"/>
        <v>0.4–0.6 hours</v>
      </c>
      <c r="P3868" t="s">
        <v>52</v>
      </c>
    </row>
    <row r="3869" spans="1:16" x14ac:dyDescent="0.4">
      <c r="A3869" t="s">
        <v>3910</v>
      </c>
      <c r="B3869">
        <v>34</v>
      </c>
      <c r="C3869" t="s">
        <v>41</v>
      </c>
      <c r="D3869" t="s">
        <v>22</v>
      </c>
      <c r="E3869">
        <v>8.59</v>
      </c>
      <c r="F3869">
        <v>17</v>
      </c>
      <c r="G3869" t="s">
        <v>49</v>
      </c>
      <c r="H3869" t="s">
        <v>18</v>
      </c>
      <c r="I3869" s="2">
        <v>13.99</v>
      </c>
      <c r="J3869">
        <v>0</v>
      </c>
      <c r="K3869" s="2">
        <f t="shared" si="120"/>
        <v>0</v>
      </c>
      <c r="L3869" t="s">
        <v>19</v>
      </c>
      <c r="M3869">
        <v>3</v>
      </c>
      <c r="N3869">
        <v>0.48</v>
      </c>
      <c r="O3869" t="str">
        <f t="shared" si="121"/>
        <v>0.4–0.6 hours</v>
      </c>
      <c r="P3869" t="s">
        <v>30</v>
      </c>
    </row>
    <row r="3870" spans="1:16" x14ac:dyDescent="0.4">
      <c r="A3870" t="s">
        <v>3911</v>
      </c>
      <c r="B3870">
        <v>35</v>
      </c>
      <c r="C3870" t="s">
        <v>27</v>
      </c>
      <c r="D3870" t="s">
        <v>16</v>
      </c>
      <c r="E3870">
        <v>7.37</v>
      </c>
      <c r="F3870">
        <v>9</v>
      </c>
      <c r="G3870" t="s">
        <v>28</v>
      </c>
      <c r="H3870" t="s">
        <v>57</v>
      </c>
      <c r="I3870" s="2">
        <v>8.99</v>
      </c>
      <c r="J3870">
        <v>0</v>
      </c>
      <c r="K3870" s="2">
        <f t="shared" si="120"/>
        <v>0</v>
      </c>
      <c r="L3870" t="s">
        <v>43</v>
      </c>
      <c r="M3870">
        <v>4</v>
      </c>
      <c r="N3870">
        <v>0.74</v>
      </c>
      <c r="O3870" t="str">
        <f t="shared" si="121"/>
        <v>0.6–0.8 hours</v>
      </c>
      <c r="P3870" t="s">
        <v>34</v>
      </c>
    </row>
    <row r="3871" spans="1:16" x14ac:dyDescent="0.4">
      <c r="A3871" t="s">
        <v>3912</v>
      </c>
      <c r="B3871">
        <v>27</v>
      </c>
      <c r="C3871" t="s">
        <v>41</v>
      </c>
      <c r="D3871" t="s">
        <v>32</v>
      </c>
      <c r="E3871">
        <v>18.7</v>
      </c>
      <c r="F3871">
        <v>29</v>
      </c>
      <c r="G3871" t="s">
        <v>23</v>
      </c>
      <c r="H3871" t="s">
        <v>24</v>
      </c>
      <c r="I3871" s="2">
        <v>17.989999999999998</v>
      </c>
      <c r="J3871">
        <v>0</v>
      </c>
      <c r="K3871" s="2">
        <f t="shared" si="120"/>
        <v>0</v>
      </c>
      <c r="L3871" t="s">
        <v>61</v>
      </c>
      <c r="M3871">
        <v>4</v>
      </c>
      <c r="N3871">
        <v>0.62</v>
      </c>
      <c r="O3871" t="str">
        <f t="shared" si="121"/>
        <v>0.6–0.8 hours</v>
      </c>
      <c r="P3871" t="s">
        <v>20</v>
      </c>
    </row>
    <row r="3872" spans="1:16" x14ac:dyDescent="0.4">
      <c r="A3872" t="s">
        <v>3913</v>
      </c>
      <c r="B3872">
        <v>52</v>
      </c>
      <c r="C3872" t="s">
        <v>15</v>
      </c>
      <c r="D3872" t="s">
        <v>16</v>
      </c>
      <c r="E3872">
        <v>2.11</v>
      </c>
      <c r="F3872">
        <v>46</v>
      </c>
      <c r="G3872" t="s">
        <v>28</v>
      </c>
      <c r="H3872" t="s">
        <v>24</v>
      </c>
      <c r="I3872" s="2">
        <v>8.99</v>
      </c>
      <c r="J3872">
        <v>1</v>
      </c>
      <c r="K3872" s="2">
        <f t="shared" si="120"/>
        <v>8.99</v>
      </c>
      <c r="L3872" t="s">
        <v>43</v>
      </c>
      <c r="M3872">
        <v>5</v>
      </c>
      <c r="N3872">
        <v>0.04</v>
      </c>
      <c r="O3872" t="str">
        <f t="shared" si="121"/>
        <v>0–0.2 hours</v>
      </c>
      <c r="P3872" t="s">
        <v>20</v>
      </c>
    </row>
    <row r="3873" spans="1:16" x14ac:dyDescent="0.4">
      <c r="A3873" t="s">
        <v>3914</v>
      </c>
      <c r="B3873">
        <v>46</v>
      </c>
      <c r="C3873" t="s">
        <v>41</v>
      </c>
      <c r="D3873" t="s">
        <v>32</v>
      </c>
      <c r="E3873">
        <v>21.11</v>
      </c>
      <c r="F3873">
        <v>48</v>
      </c>
      <c r="G3873" t="s">
        <v>17</v>
      </c>
      <c r="H3873" t="s">
        <v>57</v>
      </c>
      <c r="I3873" s="2">
        <v>17.989999999999998</v>
      </c>
      <c r="J3873">
        <v>0</v>
      </c>
      <c r="K3873" s="2">
        <f t="shared" si="120"/>
        <v>0</v>
      </c>
      <c r="L3873" t="s">
        <v>19</v>
      </c>
      <c r="M3873">
        <v>4</v>
      </c>
      <c r="N3873">
        <v>0.43</v>
      </c>
      <c r="O3873" t="str">
        <f t="shared" si="121"/>
        <v>0.4–0.6 hours</v>
      </c>
      <c r="P3873" t="s">
        <v>34</v>
      </c>
    </row>
    <row r="3874" spans="1:16" x14ac:dyDescent="0.4">
      <c r="A3874" t="s">
        <v>3915</v>
      </c>
      <c r="B3874">
        <v>56</v>
      </c>
      <c r="C3874" t="s">
        <v>15</v>
      </c>
      <c r="D3874" t="s">
        <v>16</v>
      </c>
      <c r="E3874">
        <v>2.19</v>
      </c>
      <c r="F3874">
        <v>35</v>
      </c>
      <c r="G3874" t="s">
        <v>28</v>
      </c>
      <c r="H3874" t="s">
        <v>46</v>
      </c>
      <c r="I3874" s="2">
        <v>8.99</v>
      </c>
      <c r="J3874">
        <v>1</v>
      </c>
      <c r="K3874" s="2">
        <f t="shared" si="120"/>
        <v>8.99</v>
      </c>
      <c r="L3874" t="s">
        <v>61</v>
      </c>
      <c r="M3874">
        <v>5</v>
      </c>
      <c r="N3874">
        <v>0.06</v>
      </c>
      <c r="O3874" t="str">
        <f t="shared" si="121"/>
        <v>0–0.2 hours</v>
      </c>
      <c r="P3874" t="s">
        <v>52</v>
      </c>
    </row>
    <row r="3875" spans="1:16" x14ac:dyDescent="0.4">
      <c r="A3875" t="s">
        <v>3916</v>
      </c>
      <c r="B3875">
        <v>44</v>
      </c>
      <c r="C3875" t="s">
        <v>41</v>
      </c>
      <c r="D3875" t="s">
        <v>32</v>
      </c>
      <c r="E3875">
        <v>30.04</v>
      </c>
      <c r="F3875">
        <v>56</v>
      </c>
      <c r="G3875" t="s">
        <v>28</v>
      </c>
      <c r="H3875" t="s">
        <v>24</v>
      </c>
      <c r="I3875" s="2">
        <v>17.989999999999998</v>
      </c>
      <c r="J3875">
        <v>0</v>
      </c>
      <c r="K3875" s="2">
        <f t="shared" si="120"/>
        <v>0</v>
      </c>
      <c r="L3875" t="s">
        <v>37</v>
      </c>
      <c r="M3875">
        <v>5</v>
      </c>
      <c r="N3875">
        <v>0.53</v>
      </c>
      <c r="O3875" t="str">
        <f t="shared" si="121"/>
        <v>0.4–0.6 hours</v>
      </c>
      <c r="P3875" t="s">
        <v>39</v>
      </c>
    </row>
    <row r="3876" spans="1:16" x14ac:dyDescent="0.4">
      <c r="A3876" t="s">
        <v>3917</v>
      </c>
      <c r="B3876">
        <v>36</v>
      </c>
      <c r="C3876" t="s">
        <v>41</v>
      </c>
      <c r="D3876" t="s">
        <v>16</v>
      </c>
      <c r="E3876">
        <v>12.52</v>
      </c>
      <c r="F3876">
        <v>6</v>
      </c>
      <c r="G3876" t="s">
        <v>28</v>
      </c>
      <c r="H3876" t="s">
        <v>46</v>
      </c>
      <c r="I3876" s="2">
        <v>8.99</v>
      </c>
      <c r="J3876">
        <v>0</v>
      </c>
      <c r="K3876" s="2">
        <f t="shared" si="120"/>
        <v>0</v>
      </c>
      <c r="L3876" t="s">
        <v>61</v>
      </c>
      <c r="M3876">
        <v>4</v>
      </c>
      <c r="N3876">
        <v>1.79</v>
      </c>
      <c r="O3876" t="str">
        <f t="shared" si="121"/>
        <v>1+ hours</v>
      </c>
      <c r="P3876" t="s">
        <v>52</v>
      </c>
    </row>
    <row r="3877" spans="1:16" x14ac:dyDescent="0.4">
      <c r="A3877" t="s">
        <v>3918</v>
      </c>
      <c r="B3877">
        <v>62</v>
      </c>
      <c r="C3877" t="s">
        <v>41</v>
      </c>
      <c r="D3877" t="s">
        <v>22</v>
      </c>
      <c r="E3877">
        <v>21.13</v>
      </c>
      <c r="F3877">
        <v>36</v>
      </c>
      <c r="G3877" t="s">
        <v>28</v>
      </c>
      <c r="H3877" t="s">
        <v>24</v>
      </c>
      <c r="I3877" s="2">
        <v>13.99</v>
      </c>
      <c r="J3877">
        <v>0</v>
      </c>
      <c r="K3877" s="2">
        <f t="shared" si="120"/>
        <v>0</v>
      </c>
      <c r="L3877" t="s">
        <v>43</v>
      </c>
      <c r="M3877">
        <v>2</v>
      </c>
      <c r="N3877">
        <v>0.56999999999999995</v>
      </c>
      <c r="O3877" t="str">
        <f t="shared" si="121"/>
        <v>0.4–0.6 hours</v>
      </c>
      <c r="P3877" t="s">
        <v>52</v>
      </c>
    </row>
    <row r="3878" spans="1:16" x14ac:dyDescent="0.4">
      <c r="A3878" t="s">
        <v>3919</v>
      </c>
      <c r="B3878">
        <v>60</v>
      </c>
      <c r="C3878" t="s">
        <v>15</v>
      </c>
      <c r="D3878" t="s">
        <v>22</v>
      </c>
      <c r="E3878">
        <v>13.86</v>
      </c>
      <c r="F3878">
        <v>8</v>
      </c>
      <c r="G3878" t="s">
        <v>23</v>
      </c>
      <c r="H3878" t="s">
        <v>55</v>
      </c>
      <c r="I3878" s="2">
        <v>13.99</v>
      </c>
      <c r="J3878">
        <v>0</v>
      </c>
      <c r="K3878" s="2">
        <f t="shared" si="120"/>
        <v>0</v>
      </c>
      <c r="L3878" t="s">
        <v>37</v>
      </c>
      <c r="M3878">
        <v>1</v>
      </c>
      <c r="N3878">
        <v>1.54</v>
      </c>
      <c r="O3878" t="str">
        <f t="shared" si="121"/>
        <v>1+ hours</v>
      </c>
      <c r="P3878" t="s">
        <v>52</v>
      </c>
    </row>
    <row r="3879" spans="1:16" x14ac:dyDescent="0.4">
      <c r="A3879" t="s">
        <v>3920</v>
      </c>
      <c r="B3879">
        <v>21</v>
      </c>
      <c r="C3879" t="s">
        <v>27</v>
      </c>
      <c r="D3879" t="s">
        <v>22</v>
      </c>
      <c r="E3879">
        <v>12.52</v>
      </c>
      <c r="F3879">
        <v>46</v>
      </c>
      <c r="G3879" t="s">
        <v>17</v>
      </c>
      <c r="H3879" t="s">
        <v>46</v>
      </c>
      <c r="I3879" s="2">
        <v>13.99</v>
      </c>
      <c r="J3879">
        <v>1</v>
      </c>
      <c r="K3879" s="2">
        <f t="shared" si="120"/>
        <v>13.99</v>
      </c>
      <c r="L3879" t="s">
        <v>29</v>
      </c>
      <c r="M3879">
        <v>5</v>
      </c>
      <c r="N3879">
        <v>0.27</v>
      </c>
      <c r="O3879" t="str">
        <f t="shared" si="121"/>
        <v>0.2–0.4 hours</v>
      </c>
      <c r="P3879" t="s">
        <v>34</v>
      </c>
    </row>
    <row r="3880" spans="1:16" x14ac:dyDescent="0.4">
      <c r="A3880" t="s">
        <v>3921</v>
      </c>
      <c r="B3880">
        <v>53</v>
      </c>
      <c r="C3880" t="s">
        <v>41</v>
      </c>
      <c r="D3880" t="s">
        <v>32</v>
      </c>
      <c r="E3880">
        <v>2.27</v>
      </c>
      <c r="F3880">
        <v>38</v>
      </c>
      <c r="G3880" t="s">
        <v>70</v>
      </c>
      <c r="H3880" t="s">
        <v>57</v>
      </c>
      <c r="I3880" s="2">
        <v>17.989999999999998</v>
      </c>
      <c r="J3880">
        <v>1</v>
      </c>
      <c r="K3880" s="2">
        <f t="shared" si="120"/>
        <v>17.989999999999998</v>
      </c>
      <c r="L3880" t="s">
        <v>29</v>
      </c>
      <c r="M3880">
        <v>4</v>
      </c>
      <c r="N3880">
        <v>0.06</v>
      </c>
      <c r="O3880" t="str">
        <f t="shared" si="121"/>
        <v>0–0.2 hours</v>
      </c>
      <c r="P3880" t="s">
        <v>30</v>
      </c>
    </row>
    <row r="3881" spans="1:16" x14ac:dyDescent="0.4">
      <c r="A3881" t="s">
        <v>3922</v>
      </c>
      <c r="B3881">
        <v>70</v>
      </c>
      <c r="C3881" t="s">
        <v>41</v>
      </c>
      <c r="D3881" t="s">
        <v>16</v>
      </c>
      <c r="E3881">
        <v>1.69</v>
      </c>
      <c r="F3881">
        <v>23</v>
      </c>
      <c r="G3881" t="s">
        <v>33</v>
      </c>
      <c r="H3881" t="s">
        <v>57</v>
      </c>
      <c r="I3881" s="2">
        <v>8.99</v>
      </c>
      <c r="J3881">
        <v>1</v>
      </c>
      <c r="K3881" s="2">
        <f t="shared" si="120"/>
        <v>8.99</v>
      </c>
      <c r="L3881" t="s">
        <v>29</v>
      </c>
      <c r="M3881">
        <v>3</v>
      </c>
      <c r="N3881">
        <v>7.0000000000000007E-2</v>
      </c>
      <c r="O3881" t="str">
        <f t="shared" si="121"/>
        <v>0–0.2 hours</v>
      </c>
      <c r="P3881" t="s">
        <v>25</v>
      </c>
    </row>
    <row r="3882" spans="1:16" x14ac:dyDescent="0.4">
      <c r="A3882" t="s">
        <v>3923</v>
      </c>
      <c r="B3882">
        <v>32</v>
      </c>
      <c r="C3882" t="s">
        <v>41</v>
      </c>
      <c r="D3882" t="s">
        <v>32</v>
      </c>
      <c r="E3882">
        <v>0.53</v>
      </c>
      <c r="F3882">
        <v>23</v>
      </c>
      <c r="G3882" t="s">
        <v>70</v>
      </c>
      <c r="H3882" t="s">
        <v>24</v>
      </c>
      <c r="I3882" s="2">
        <v>17.989999999999998</v>
      </c>
      <c r="J3882">
        <v>1</v>
      </c>
      <c r="K3882" s="2">
        <f t="shared" si="120"/>
        <v>17.989999999999998</v>
      </c>
      <c r="L3882" t="s">
        <v>29</v>
      </c>
      <c r="M3882">
        <v>3</v>
      </c>
      <c r="N3882">
        <v>0.02</v>
      </c>
      <c r="O3882" t="str">
        <f t="shared" si="121"/>
        <v>0–0.2 hours</v>
      </c>
      <c r="P3882" t="s">
        <v>20</v>
      </c>
    </row>
    <row r="3883" spans="1:16" x14ac:dyDescent="0.4">
      <c r="A3883" t="s">
        <v>3924</v>
      </c>
      <c r="B3883">
        <v>39</v>
      </c>
      <c r="C3883" t="s">
        <v>27</v>
      </c>
      <c r="D3883" t="s">
        <v>16</v>
      </c>
      <c r="E3883">
        <v>6.52</v>
      </c>
      <c r="F3883">
        <v>54</v>
      </c>
      <c r="G3883" t="s">
        <v>28</v>
      </c>
      <c r="H3883" t="s">
        <v>18</v>
      </c>
      <c r="I3883" s="2">
        <v>8.99</v>
      </c>
      <c r="J3883">
        <v>1</v>
      </c>
      <c r="K3883" s="2">
        <f t="shared" si="120"/>
        <v>8.99</v>
      </c>
      <c r="L3883" t="s">
        <v>43</v>
      </c>
      <c r="M3883">
        <v>4</v>
      </c>
      <c r="N3883">
        <v>0.12</v>
      </c>
      <c r="O3883" t="str">
        <f t="shared" si="121"/>
        <v>0–0.2 hours</v>
      </c>
      <c r="P3883" t="s">
        <v>39</v>
      </c>
    </row>
    <row r="3884" spans="1:16" x14ac:dyDescent="0.4">
      <c r="A3884" t="s">
        <v>3925</v>
      </c>
      <c r="B3884">
        <v>35</v>
      </c>
      <c r="C3884" t="s">
        <v>27</v>
      </c>
      <c r="D3884" t="s">
        <v>22</v>
      </c>
      <c r="E3884">
        <v>2.19</v>
      </c>
      <c r="F3884">
        <v>57</v>
      </c>
      <c r="G3884" t="s">
        <v>33</v>
      </c>
      <c r="H3884" t="s">
        <v>57</v>
      </c>
      <c r="I3884" s="2">
        <v>13.99</v>
      </c>
      <c r="J3884">
        <v>1</v>
      </c>
      <c r="K3884" s="2">
        <f t="shared" si="120"/>
        <v>13.99</v>
      </c>
      <c r="L3884" t="s">
        <v>19</v>
      </c>
      <c r="M3884">
        <v>2</v>
      </c>
      <c r="N3884">
        <v>0.04</v>
      </c>
      <c r="O3884" t="str">
        <f t="shared" si="121"/>
        <v>0–0.2 hours</v>
      </c>
      <c r="P3884" t="s">
        <v>47</v>
      </c>
    </row>
    <row r="3885" spans="1:16" x14ac:dyDescent="0.4">
      <c r="A3885" t="s">
        <v>3926</v>
      </c>
      <c r="B3885">
        <v>26</v>
      </c>
      <c r="C3885" t="s">
        <v>15</v>
      </c>
      <c r="D3885" t="s">
        <v>22</v>
      </c>
      <c r="E3885">
        <v>4.42</v>
      </c>
      <c r="F3885">
        <v>55</v>
      </c>
      <c r="G3885" t="s">
        <v>28</v>
      </c>
      <c r="H3885" t="s">
        <v>46</v>
      </c>
      <c r="I3885" s="2">
        <v>13.99</v>
      </c>
      <c r="J3885">
        <v>1</v>
      </c>
      <c r="K3885" s="2">
        <f t="shared" si="120"/>
        <v>13.99</v>
      </c>
      <c r="L3885" t="s">
        <v>43</v>
      </c>
      <c r="M3885">
        <v>4</v>
      </c>
      <c r="N3885">
        <v>0.08</v>
      </c>
      <c r="O3885" t="str">
        <f t="shared" si="121"/>
        <v>0–0.2 hours</v>
      </c>
      <c r="P3885" t="s">
        <v>34</v>
      </c>
    </row>
    <row r="3886" spans="1:16" x14ac:dyDescent="0.4">
      <c r="A3886" t="s">
        <v>3927</v>
      </c>
      <c r="B3886">
        <v>38</v>
      </c>
      <c r="C3886" t="s">
        <v>27</v>
      </c>
      <c r="D3886" t="s">
        <v>22</v>
      </c>
      <c r="E3886">
        <v>3.79</v>
      </c>
      <c r="F3886">
        <v>32</v>
      </c>
      <c r="G3886" t="s">
        <v>17</v>
      </c>
      <c r="H3886" t="s">
        <v>57</v>
      </c>
      <c r="I3886" s="2">
        <v>13.99</v>
      </c>
      <c r="J3886">
        <v>1</v>
      </c>
      <c r="K3886" s="2">
        <f t="shared" si="120"/>
        <v>13.99</v>
      </c>
      <c r="L3886" t="s">
        <v>29</v>
      </c>
      <c r="M3886">
        <v>3</v>
      </c>
      <c r="N3886">
        <v>0.11</v>
      </c>
      <c r="O3886" t="str">
        <f t="shared" si="121"/>
        <v>0–0.2 hours</v>
      </c>
      <c r="P3886" t="s">
        <v>30</v>
      </c>
    </row>
    <row r="3887" spans="1:16" x14ac:dyDescent="0.4">
      <c r="A3887" t="s">
        <v>3928</v>
      </c>
      <c r="B3887">
        <v>31</v>
      </c>
      <c r="C3887" t="s">
        <v>27</v>
      </c>
      <c r="D3887" t="s">
        <v>16</v>
      </c>
      <c r="E3887">
        <v>0.42</v>
      </c>
      <c r="F3887">
        <v>43</v>
      </c>
      <c r="G3887" t="s">
        <v>33</v>
      </c>
      <c r="H3887" t="s">
        <v>57</v>
      </c>
      <c r="I3887" s="2">
        <v>8.99</v>
      </c>
      <c r="J3887">
        <v>1</v>
      </c>
      <c r="K3887" s="2">
        <f t="shared" si="120"/>
        <v>8.99</v>
      </c>
      <c r="L3887" t="s">
        <v>61</v>
      </c>
      <c r="M3887">
        <v>3</v>
      </c>
      <c r="N3887">
        <v>0.01</v>
      </c>
      <c r="O3887" t="str">
        <f t="shared" si="121"/>
        <v>0–0.2 hours</v>
      </c>
      <c r="P3887" t="s">
        <v>52</v>
      </c>
    </row>
    <row r="3888" spans="1:16" x14ac:dyDescent="0.4">
      <c r="A3888" t="s">
        <v>3929</v>
      </c>
      <c r="B3888">
        <v>43</v>
      </c>
      <c r="C3888" t="s">
        <v>41</v>
      </c>
      <c r="D3888" t="s">
        <v>32</v>
      </c>
      <c r="E3888">
        <v>0.05</v>
      </c>
      <c r="F3888">
        <v>33</v>
      </c>
      <c r="G3888" t="s">
        <v>23</v>
      </c>
      <c r="H3888" t="s">
        <v>57</v>
      </c>
      <c r="I3888" s="2">
        <v>17.989999999999998</v>
      </c>
      <c r="J3888">
        <v>1</v>
      </c>
      <c r="K3888" s="2">
        <f t="shared" si="120"/>
        <v>17.989999999999998</v>
      </c>
      <c r="L3888" t="s">
        <v>37</v>
      </c>
      <c r="M3888">
        <v>4</v>
      </c>
      <c r="N3888">
        <v>0</v>
      </c>
      <c r="O3888" t="str">
        <f t="shared" si="121"/>
        <v>0–0.2 hours</v>
      </c>
      <c r="P3888" t="s">
        <v>25</v>
      </c>
    </row>
    <row r="3889" spans="1:16" x14ac:dyDescent="0.4">
      <c r="A3889" t="s">
        <v>3930</v>
      </c>
      <c r="B3889">
        <v>62</v>
      </c>
      <c r="C3889" t="s">
        <v>15</v>
      </c>
      <c r="D3889" t="s">
        <v>16</v>
      </c>
      <c r="E3889">
        <v>6.72</v>
      </c>
      <c r="F3889">
        <v>19</v>
      </c>
      <c r="G3889" t="s">
        <v>33</v>
      </c>
      <c r="H3889" t="s">
        <v>57</v>
      </c>
      <c r="I3889" s="2">
        <v>8.99</v>
      </c>
      <c r="J3889">
        <v>0</v>
      </c>
      <c r="K3889" s="2">
        <f t="shared" si="120"/>
        <v>0</v>
      </c>
      <c r="L3889" t="s">
        <v>37</v>
      </c>
      <c r="M3889">
        <v>5</v>
      </c>
      <c r="N3889">
        <v>0.34</v>
      </c>
      <c r="O3889" t="str">
        <f t="shared" si="121"/>
        <v>0.2–0.4 hours</v>
      </c>
      <c r="P3889" t="s">
        <v>39</v>
      </c>
    </row>
    <row r="3890" spans="1:16" x14ac:dyDescent="0.4">
      <c r="A3890" t="s">
        <v>3931</v>
      </c>
      <c r="B3890">
        <v>28</v>
      </c>
      <c r="C3890" t="s">
        <v>41</v>
      </c>
      <c r="D3890" t="s">
        <v>22</v>
      </c>
      <c r="E3890">
        <v>1.05</v>
      </c>
      <c r="F3890">
        <v>26</v>
      </c>
      <c r="G3890" t="s">
        <v>23</v>
      </c>
      <c r="H3890" t="s">
        <v>46</v>
      </c>
      <c r="I3890" s="2">
        <v>13.99</v>
      </c>
      <c r="J3890">
        <v>0</v>
      </c>
      <c r="K3890" s="2">
        <f t="shared" si="120"/>
        <v>0</v>
      </c>
      <c r="L3890" t="s">
        <v>43</v>
      </c>
      <c r="M3890">
        <v>4</v>
      </c>
      <c r="N3890">
        <v>0.04</v>
      </c>
      <c r="O3890" t="str">
        <f t="shared" si="121"/>
        <v>0–0.2 hours</v>
      </c>
      <c r="P3890" t="s">
        <v>20</v>
      </c>
    </row>
    <row r="3891" spans="1:16" x14ac:dyDescent="0.4">
      <c r="A3891" t="s">
        <v>3932</v>
      </c>
      <c r="B3891">
        <v>19</v>
      </c>
      <c r="C3891" t="s">
        <v>27</v>
      </c>
      <c r="D3891" t="s">
        <v>32</v>
      </c>
      <c r="E3891">
        <v>4.0599999999999996</v>
      </c>
      <c r="F3891">
        <v>7</v>
      </c>
      <c r="G3891" t="s">
        <v>17</v>
      </c>
      <c r="H3891" t="s">
        <v>46</v>
      </c>
      <c r="I3891" s="2">
        <v>17.989999999999998</v>
      </c>
      <c r="J3891">
        <v>0</v>
      </c>
      <c r="K3891" s="2">
        <f t="shared" si="120"/>
        <v>0</v>
      </c>
      <c r="L3891" t="s">
        <v>43</v>
      </c>
      <c r="M3891">
        <v>3</v>
      </c>
      <c r="N3891">
        <v>0.51</v>
      </c>
      <c r="O3891" t="str">
        <f t="shared" si="121"/>
        <v>0.4–0.6 hours</v>
      </c>
      <c r="P3891" t="s">
        <v>20</v>
      </c>
    </row>
    <row r="3892" spans="1:16" x14ac:dyDescent="0.4">
      <c r="A3892" t="s">
        <v>3933</v>
      </c>
      <c r="B3892">
        <v>34</v>
      </c>
      <c r="C3892" t="s">
        <v>15</v>
      </c>
      <c r="D3892" t="s">
        <v>32</v>
      </c>
      <c r="E3892">
        <v>9.67</v>
      </c>
      <c r="F3892">
        <v>7</v>
      </c>
      <c r="G3892" t="s">
        <v>33</v>
      </c>
      <c r="H3892" t="s">
        <v>24</v>
      </c>
      <c r="I3892" s="2">
        <v>17.989999999999998</v>
      </c>
      <c r="J3892">
        <v>0</v>
      </c>
      <c r="K3892" s="2">
        <f t="shared" si="120"/>
        <v>0</v>
      </c>
      <c r="L3892" t="s">
        <v>61</v>
      </c>
      <c r="M3892">
        <v>1</v>
      </c>
      <c r="N3892">
        <v>1.21</v>
      </c>
      <c r="O3892" t="str">
        <f t="shared" si="121"/>
        <v>1+ hours</v>
      </c>
      <c r="P3892" t="s">
        <v>30</v>
      </c>
    </row>
    <row r="3893" spans="1:16" x14ac:dyDescent="0.4">
      <c r="A3893" t="s">
        <v>3934</v>
      </c>
      <c r="B3893">
        <v>59</v>
      </c>
      <c r="C3893" t="s">
        <v>41</v>
      </c>
      <c r="D3893" t="s">
        <v>32</v>
      </c>
      <c r="E3893">
        <v>6.27</v>
      </c>
      <c r="F3893">
        <v>12</v>
      </c>
      <c r="G3893" t="s">
        <v>70</v>
      </c>
      <c r="H3893" t="s">
        <v>24</v>
      </c>
      <c r="I3893" s="2">
        <v>17.989999999999998</v>
      </c>
      <c r="J3893">
        <v>0</v>
      </c>
      <c r="K3893" s="2">
        <f t="shared" si="120"/>
        <v>0</v>
      </c>
      <c r="L3893" t="s">
        <v>37</v>
      </c>
      <c r="M3893">
        <v>3</v>
      </c>
      <c r="N3893">
        <v>0.48</v>
      </c>
      <c r="O3893" t="str">
        <f t="shared" si="121"/>
        <v>0.4–0.6 hours</v>
      </c>
      <c r="P3893" t="s">
        <v>39</v>
      </c>
    </row>
    <row r="3894" spans="1:16" x14ac:dyDescent="0.4">
      <c r="A3894" t="s">
        <v>3935</v>
      </c>
      <c r="B3894">
        <v>27</v>
      </c>
      <c r="C3894" t="s">
        <v>15</v>
      </c>
      <c r="D3894" t="s">
        <v>16</v>
      </c>
      <c r="E3894">
        <v>2.58</v>
      </c>
      <c r="F3894">
        <v>6</v>
      </c>
      <c r="G3894" t="s">
        <v>49</v>
      </c>
      <c r="H3894" t="s">
        <v>57</v>
      </c>
      <c r="I3894" s="2">
        <v>8.99</v>
      </c>
      <c r="J3894">
        <v>1</v>
      </c>
      <c r="K3894" s="2">
        <f t="shared" si="120"/>
        <v>8.99</v>
      </c>
      <c r="L3894" t="s">
        <v>37</v>
      </c>
      <c r="M3894">
        <v>3</v>
      </c>
      <c r="N3894">
        <v>0.37</v>
      </c>
      <c r="O3894" t="str">
        <f t="shared" si="121"/>
        <v>0.2–0.4 hours</v>
      </c>
      <c r="P3894" t="s">
        <v>39</v>
      </c>
    </row>
    <row r="3895" spans="1:16" x14ac:dyDescent="0.4">
      <c r="A3895" t="s">
        <v>3936</v>
      </c>
      <c r="B3895">
        <v>65</v>
      </c>
      <c r="C3895" t="s">
        <v>15</v>
      </c>
      <c r="D3895" t="s">
        <v>22</v>
      </c>
      <c r="E3895">
        <v>10.07</v>
      </c>
      <c r="F3895">
        <v>20</v>
      </c>
      <c r="G3895" t="s">
        <v>17</v>
      </c>
      <c r="H3895" t="s">
        <v>24</v>
      </c>
      <c r="I3895" s="2">
        <v>13.99</v>
      </c>
      <c r="J3895">
        <v>0</v>
      </c>
      <c r="K3895" s="2">
        <f t="shared" si="120"/>
        <v>0</v>
      </c>
      <c r="L3895" t="s">
        <v>61</v>
      </c>
      <c r="M3895">
        <v>1</v>
      </c>
      <c r="N3895">
        <v>0.48</v>
      </c>
      <c r="O3895" t="str">
        <f t="shared" si="121"/>
        <v>0.4–0.6 hours</v>
      </c>
      <c r="P3895" t="s">
        <v>39</v>
      </c>
    </row>
    <row r="3896" spans="1:16" x14ac:dyDescent="0.4">
      <c r="A3896" t="s">
        <v>3937</v>
      </c>
      <c r="B3896">
        <v>22</v>
      </c>
      <c r="C3896" t="s">
        <v>15</v>
      </c>
      <c r="D3896" t="s">
        <v>22</v>
      </c>
      <c r="E3896">
        <v>2.12</v>
      </c>
      <c r="F3896">
        <v>58</v>
      </c>
      <c r="G3896" t="s">
        <v>23</v>
      </c>
      <c r="H3896" t="s">
        <v>24</v>
      </c>
      <c r="I3896" s="2">
        <v>13.99</v>
      </c>
      <c r="J3896">
        <v>1</v>
      </c>
      <c r="K3896" s="2">
        <f t="shared" si="120"/>
        <v>13.99</v>
      </c>
      <c r="L3896" t="s">
        <v>19</v>
      </c>
      <c r="M3896">
        <v>1</v>
      </c>
      <c r="N3896">
        <v>0.04</v>
      </c>
      <c r="O3896" t="str">
        <f t="shared" si="121"/>
        <v>0–0.2 hours</v>
      </c>
      <c r="P3896" t="s">
        <v>20</v>
      </c>
    </row>
    <row r="3897" spans="1:16" x14ac:dyDescent="0.4">
      <c r="A3897" t="s">
        <v>3938</v>
      </c>
      <c r="B3897">
        <v>51</v>
      </c>
      <c r="C3897" t="s">
        <v>41</v>
      </c>
      <c r="D3897" t="s">
        <v>22</v>
      </c>
      <c r="E3897">
        <v>11.48</v>
      </c>
      <c r="F3897">
        <v>15</v>
      </c>
      <c r="G3897" t="s">
        <v>28</v>
      </c>
      <c r="H3897" t="s">
        <v>46</v>
      </c>
      <c r="I3897" s="2">
        <v>13.99</v>
      </c>
      <c r="J3897">
        <v>0</v>
      </c>
      <c r="K3897" s="2">
        <f t="shared" si="120"/>
        <v>0</v>
      </c>
      <c r="L3897" t="s">
        <v>29</v>
      </c>
      <c r="M3897">
        <v>2</v>
      </c>
      <c r="N3897">
        <v>0.72</v>
      </c>
      <c r="O3897" t="str">
        <f t="shared" si="121"/>
        <v>0.6–0.8 hours</v>
      </c>
      <c r="P3897" t="s">
        <v>39</v>
      </c>
    </row>
    <row r="3898" spans="1:16" x14ac:dyDescent="0.4">
      <c r="A3898" t="s">
        <v>3939</v>
      </c>
      <c r="B3898">
        <v>28</v>
      </c>
      <c r="C3898" t="s">
        <v>15</v>
      </c>
      <c r="D3898" t="s">
        <v>16</v>
      </c>
      <c r="E3898">
        <v>4.82</v>
      </c>
      <c r="F3898">
        <v>31</v>
      </c>
      <c r="G3898" t="s">
        <v>70</v>
      </c>
      <c r="H3898" t="s">
        <v>55</v>
      </c>
      <c r="I3898" s="2">
        <v>8.99</v>
      </c>
      <c r="J3898">
        <v>1</v>
      </c>
      <c r="K3898" s="2">
        <f t="shared" si="120"/>
        <v>8.99</v>
      </c>
      <c r="L3898" t="s">
        <v>29</v>
      </c>
      <c r="M3898">
        <v>5</v>
      </c>
      <c r="N3898">
        <v>0.15</v>
      </c>
      <c r="O3898" t="str">
        <f t="shared" si="121"/>
        <v>0–0.2 hours</v>
      </c>
      <c r="P3898" t="s">
        <v>30</v>
      </c>
    </row>
    <row r="3899" spans="1:16" x14ac:dyDescent="0.4">
      <c r="A3899" t="s">
        <v>3940</v>
      </c>
      <c r="B3899">
        <v>27</v>
      </c>
      <c r="C3899" t="s">
        <v>41</v>
      </c>
      <c r="D3899" t="s">
        <v>16</v>
      </c>
      <c r="E3899">
        <v>46.09</v>
      </c>
      <c r="F3899">
        <v>3</v>
      </c>
      <c r="G3899" t="s">
        <v>33</v>
      </c>
      <c r="H3899" t="s">
        <v>18</v>
      </c>
      <c r="I3899" s="2">
        <v>8.99</v>
      </c>
      <c r="J3899">
        <v>0</v>
      </c>
      <c r="K3899" s="2">
        <f t="shared" si="120"/>
        <v>0</v>
      </c>
      <c r="L3899" t="s">
        <v>29</v>
      </c>
      <c r="M3899">
        <v>4</v>
      </c>
      <c r="N3899">
        <v>11.52</v>
      </c>
      <c r="O3899" t="str">
        <f t="shared" si="121"/>
        <v>1+ hours</v>
      </c>
      <c r="P3899" t="s">
        <v>52</v>
      </c>
    </row>
    <row r="3900" spans="1:16" x14ac:dyDescent="0.4">
      <c r="A3900" t="s">
        <v>3941</v>
      </c>
      <c r="B3900">
        <v>60</v>
      </c>
      <c r="C3900" t="s">
        <v>27</v>
      </c>
      <c r="D3900" t="s">
        <v>32</v>
      </c>
      <c r="E3900">
        <v>15.94</v>
      </c>
      <c r="F3900">
        <v>4</v>
      </c>
      <c r="G3900" t="s">
        <v>49</v>
      </c>
      <c r="H3900" t="s">
        <v>55</v>
      </c>
      <c r="I3900" s="2">
        <v>17.989999999999998</v>
      </c>
      <c r="J3900">
        <v>0</v>
      </c>
      <c r="K3900" s="2">
        <f t="shared" si="120"/>
        <v>0</v>
      </c>
      <c r="L3900" t="s">
        <v>43</v>
      </c>
      <c r="M3900">
        <v>3</v>
      </c>
      <c r="N3900">
        <v>3.19</v>
      </c>
      <c r="O3900" t="str">
        <f t="shared" si="121"/>
        <v>1+ hours</v>
      </c>
      <c r="P3900" t="s">
        <v>20</v>
      </c>
    </row>
    <row r="3901" spans="1:16" x14ac:dyDescent="0.4">
      <c r="A3901" t="s">
        <v>3942</v>
      </c>
      <c r="B3901">
        <v>47</v>
      </c>
      <c r="C3901" t="s">
        <v>27</v>
      </c>
      <c r="D3901" t="s">
        <v>22</v>
      </c>
      <c r="E3901">
        <v>20.83</v>
      </c>
      <c r="F3901">
        <v>58</v>
      </c>
      <c r="G3901" t="s">
        <v>28</v>
      </c>
      <c r="H3901" t="s">
        <v>18</v>
      </c>
      <c r="I3901" s="2">
        <v>13.99</v>
      </c>
      <c r="J3901">
        <v>0</v>
      </c>
      <c r="K3901" s="2">
        <f t="shared" si="120"/>
        <v>0</v>
      </c>
      <c r="L3901" t="s">
        <v>37</v>
      </c>
      <c r="M3901">
        <v>3</v>
      </c>
      <c r="N3901">
        <v>0.35</v>
      </c>
      <c r="O3901" t="str">
        <f t="shared" si="121"/>
        <v>0.2–0.4 hours</v>
      </c>
      <c r="P3901" t="s">
        <v>34</v>
      </c>
    </row>
    <row r="3902" spans="1:16" x14ac:dyDescent="0.4">
      <c r="A3902" t="s">
        <v>3943</v>
      </c>
      <c r="B3902">
        <v>40</v>
      </c>
      <c r="C3902" t="s">
        <v>27</v>
      </c>
      <c r="D3902" t="s">
        <v>32</v>
      </c>
      <c r="E3902">
        <v>2.66</v>
      </c>
      <c r="F3902">
        <v>52</v>
      </c>
      <c r="G3902" t="s">
        <v>49</v>
      </c>
      <c r="H3902" t="s">
        <v>46</v>
      </c>
      <c r="I3902" s="2">
        <v>17.989999999999998</v>
      </c>
      <c r="J3902">
        <v>1</v>
      </c>
      <c r="K3902" s="2">
        <f t="shared" si="120"/>
        <v>17.989999999999998</v>
      </c>
      <c r="L3902" t="s">
        <v>43</v>
      </c>
      <c r="M3902">
        <v>1</v>
      </c>
      <c r="N3902">
        <v>0.05</v>
      </c>
      <c r="O3902" t="str">
        <f t="shared" si="121"/>
        <v>0–0.2 hours</v>
      </c>
      <c r="P3902" t="s">
        <v>39</v>
      </c>
    </row>
    <row r="3903" spans="1:16" x14ac:dyDescent="0.4">
      <c r="A3903" t="s">
        <v>3944</v>
      </c>
      <c r="B3903">
        <v>45</v>
      </c>
      <c r="C3903" t="s">
        <v>27</v>
      </c>
      <c r="D3903" t="s">
        <v>16</v>
      </c>
      <c r="E3903">
        <v>31.15</v>
      </c>
      <c r="F3903">
        <v>22</v>
      </c>
      <c r="G3903" t="s">
        <v>28</v>
      </c>
      <c r="H3903" t="s">
        <v>57</v>
      </c>
      <c r="I3903" s="2">
        <v>8.99</v>
      </c>
      <c r="J3903">
        <v>0</v>
      </c>
      <c r="K3903" s="2">
        <f t="shared" si="120"/>
        <v>0</v>
      </c>
      <c r="L3903" t="s">
        <v>61</v>
      </c>
      <c r="M3903">
        <v>5</v>
      </c>
      <c r="N3903">
        <v>1.35</v>
      </c>
      <c r="O3903" t="str">
        <f t="shared" si="121"/>
        <v>1+ hours</v>
      </c>
      <c r="P3903" t="s">
        <v>30</v>
      </c>
    </row>
    <row r="3904" spans="1:16" x14ac:dyDescent="0.4">
      <c r="A3904" t="s">
        <v>3945</v>
      </c>
      <c r="B3904">
        <v>64</v>
      </c>
      <c r="C3904" t="s">
        <v>27</v>
      </c>
      <c r="D3904" t="s">
        <v>22</v>
      </c>
      <c r="E3904">
        <v>12.5</v>
      </c>
      <c r="F3904">
        <v>33</v>
      </c>
      <c r="G3904" t="s">
        <v>28</v>
      </c>
      <c r="H3904" t="s">
        <v>18</v>
      </c>
      <c r="I3904" s="2">
        <v>13.99</v>
      </c>
      <c r="J3904">
        <v>0</v>
      </c>
      <c r="K3904" s="2">
        <f t="shared" si="120"/>
        <v>0</v>
      </c>
      <c r="L3904" t="s">
        <v>37</v>
      </c>
      <c r="M3904">
        <v>5</v>
      </c>
      <c r="N3904">
        <v>0.37</v>
      </c>
      <c r="O3904" t="str">
        <f t="shared" si="121"/>
        <v>0.2–0.4 hours</v>
      </c>
      <c r="P3904" t="s">
        <v>39</v>
      </c>
    </row>
    <row r="3905" spans="1:16" x14ac:dyDescent="0.4">
      <c r="A3905" t="s">
        <v>3946</v>
      </c>
      <c r="B3905">
        <v>22</v>
      </c>
      <c r="C3905" t="s">
        <v>15</v>
      </c>
      <c r="D3905" t="s">
        <v>32</v>
      </c>
      <c r="E3905">
        <v>2.15</v>
      </c>
      <c r="F3905">
        <v>30</v>
      </c>
      <c r="G3905" t="s">
        <v>49</v>
      </c>
      <c r="H3905" t="s">
        <v>57</v>
      </c>
      <c r="I3905" s="2">
        <v>17.989999999999998</v>
      </c>
      <c r="J3905">
        <v>1</v>
      </c>
      <c r="K3905" s="2">
        <f t="shared" si="120"/>
        <v>17.989999999999998</v>
      </c>
      <c r="L3905" t="s">
        <v>37</v>
      </c>
      <c r="M3905">
        <v>3</v>
      </c>
      <c r="N3905">
        <v>7.0000000000000007E-2</v>
      </c>
      <c r="O3905" t="str">
        <f t="shared" si="121"/>
        <v>0–0.2 hours</v>
      </c>
      <c r="P3905" t="s">
        <v>30</v>
      </c>
    </row>
    <row r="3906" spans="1:16" x14ac:dyDescent="0.4">
      <c r="A3906" t="s">
        <v>3947</v>
      </c>
      <c r="B3906">
        <v>55</v>
      </c>
      <c r="C3906" t="s">
        <v>27</v>
      </c>
      <c r="D3906" t="s">
        <v>32</v>
      </c>
      <c r="E3906">
        <v>17.760000000000002</v>
      </c>
      <c r="F3906">
        <v>49</v>
      </c>
      <c r="G3906" t="s">
        <v>23</v>
      </c>
      <c r="H3906" t="s">
        <v>57</v>
      </c>
      <c r="I3906" s="2">
        <v>17.989999999999998</v>
      </c>
      <c r="J3906">
        <v>1</v>
      </c>
      <c r="K3906" s="2">
        <f t="shared" si="120"/>
        <v>17.989999999999998</v>
      </c>
      <c r="L3906" t="s">
        <v>61</v>
      </c>
      <c r="M3906">
        <v>3</v>
      </c>
      <c r="N3906">
        <v>0.36</v>
      </c>
      <c r="O3906" t="str">
        <f t="shared" si="121"/>
        <v>0.2–0.4 hours</v>
      </c>
      <c r="P3906" t="s">
        <v>30</v>
      </c>
    </row>
    <row r="3907" spans="1:16" x14ac:dyDescent="0.4">
      <c r="A3907" t="s">
        <v>3948</v>
      </c>
      <c r="B3907">
        <v>21</v>
      </c>
      <c r="C3907" t="s">
        <v>41</v>
      </c>
      <c r="D3907" t="s">
        <v>22</v>
      </c>
      <c r="E3907">
        <v>12.34</v>
      </c>
      <c r="F3907">
        <v>5</v>
      </c>
      <c r="G3907" t="s">
        <v>17</v>
      </c>
      <c r="H3907" t="s">
        <v>57</v>
      </c>
      <c r="I3907" s="2">
        <v>13.99</v>
      </c>
      <c r="J3907">
        <v>0</v>
      </c>
      <c r="K3907" s="2">
        <f t="shared" ref="K3907:K3970" si="122">SUMIF(J3907,1,I3907)</f>
        <v>0</v>
      </c>
      <c r="L3907" t="s">
        <v>43</v>
      </c>
      <c r="M3907">
        <v>2</v>
      </c>
      <c r="N3907">
        <v>2.06</v>
      </c>
      <c r="O3907" t="str">
        <f t="shared" ref="O3907:O3970" si="123">IF(N3907&gt;1,"1+ hours",IF(N3907&lt;=0.2,"0–0.2 hours",IF(N3907&lt;=0.4,"0.2–0.4 hours",IF(N3907&lt;=0.6,"0.4–0.6 hours",IF(N3907&lt;=0.8,"0.6–0.8 hours","0.8–1 hour")))))</f>
        <v>1+ hours</v>
      </c>
      <c r="P3907" t="s">
        <v>25</v>
      </c>
    </row>
    <row r="3908" spans="1:16" x14ac:dyDescent="0.4">
      <c r="A3908" t="s">
        <v>3949</v>
      </c>
      <c r="B3908">
        <v>37</v>
      </c>
      <c r="C3908" t="s">
        <v>27</v>
      </c>
      <c r="D3908" t="s">
        <v>16</v>
      </c>
      <c r="E3908">
        <v>18.86</v>
      </c>
      <c r="F3908">
        <v>42</v>
      </c>
      <c r="G3908" t="s">
        <v>23</v>
      </c>
      <c r="H3908" t="s">
        <v>57</v>
      </c>
      <c r="I3908" s="2">
        <v>8.99</v>
      </c>
      <c r="J3908">
        <v>1</v>
      </c>
      <c r="K3908" s="2">
        <f t="shared" si="122"/>
        <v>8.99</v>
      </c>
      <c r="L3908" t="s">
        <v>43</v>
      </c>
      <c r="M3908">
        <v>5</v>
      </c>
      <c r="N3908">
        <v>0.44</v>
      </c>
      <c r="O3908" t="str">
        <f t="shared" si="123"/>
        <v>0.4–0.6 hours</v>
      </c>
      <c r="P3908" t="s">
        <v>47</v>
      </c>
    </row>
    <row r="3909" spans="1:16" x14ac:dyDescent="0.4">
      <c r="A3909" t="s">
        <v>3950</v>
      </c>
      <c r="B3909">
        <v>21</v>
      </c>
      <c r="C3909" t="s">
        <v>15</v>
      </c>
      <c r="D3909" t="s">
        <v>32</v>
      </c>
      <c r="E3909">
        <v>13.66</v>
      </c>
      <c r="F3909">
        <v>36</v>
      </c>
      <c r="G3909" t="s">
        <v>33</v>
      </c>
      <c r="H3909" t="s">
        <v>57</v>
      </c>
      <c r="I3909" s="2">
        <v>17.989999999999998</v>
      </c>
      <c r="J3909">
        <v>1</v>
      </c>
      <c r="K3909" s="2">
        <f t="shared" si="122"/>
        <v>17.989999999999998</v>
      </c>
      <c r="L3909" t="s">
        <v>61</v>
      </c>
      <c r="M3909">
        <v>3</v>
      </c>
      <c r="N3909">
        <v>0.37</v>
      </c>
      <c r="O3909" t="str">
        <f t="shared" si="123"/>
        <v>0.2–0.4 hours</v>
      </c>
      <c r="P3909" t="s">
        <v>34</v>
      </c>
    </row>
    <row r="3910" spans="1:16" x14ac:dyDescent="0.4">
      <c r="A3910" t="s">
        <v>3951</v>
      </c>
      <c r="B3910">
        <v>32</v>
      </c>
      <c r="C3910" t="s">
        <v>41</v>
      </c>
      <c r="D3910" t="s">
        <v>32</v>
      </c>
      <c r="E3910">
        <v>13.09</v>
      </c>
      <c r="F3910">
        <v>51</v>
      </c>
      <c r="G3910" t="s">
        <v>70</v>
      </c>
      <c r="H3910" t="s">
        <v>57</v>
      </c>
      <c r="I3910" s="2">
        <v>17.989999999999998</v>
      </c>
      <c r="J3910">
        <v>1</v>
      </c>
      <c r="K3910" s="2">
        <f t="shared" si="122"/>
        <v>17.989999999999998</v>
      </c>
      <c r="L3910" t="s">
        <v>29</v>
      </c>
      <c r="M3910">
        <v>2</v>
      </c>
      <c r="N3910">
        <v>0.25</v>
      </c>
      <c r="O3910" t="str">
        <f t="shared" si="123"/>
        <v>0.2–0.4 hours</v>
      </c>
      <c r="P3910" t="s">
        <v>20</v>
      </c>
    </row>
    <row r="3911" spans="1:16" x14ac:dyDescent="0.4">
      <c r="A3911" t="s">
        <v>3952</v>
      </c>
      <c r="B3911">
        <v>37</v>
      </c>
      <c r="C3911" t="s">
        <v>15</v>
      </c>
      <c r="D3911" t="s">
        <v>22</v>
      </c>
      <c r="E3911">
        <v>10.87</v>
      </c>
      <c r="F3911">
        <v>1</v>
      </c>
      <c r="G3911" t="s">
        <v>33</v>
      </c>
      <c r="H3911" t="s">
        <v>24</v>
      </c>
      <c r="I3911" s="2">
        <v>13.99</v>
      </c>
      <c r="J3911">
        <v>0</v>
      </c>
      <c r="K3911" s="2">
        <f t="shared" si="122"/>
        <v>0</v>
      </c>
      <c r="L3911" t="s">
        <v>19</v>
      </c>
      <c r="M3911">
        <v>5</v>
      </c>
      <c r="N3911">
        <v>5.43</v>
      </c>
      <c r="O3911" t="str">
        <f t="shared" si="123"/>
        <v>1+ hours</v>
      </c>
      <c r="P3911" t="s">
        <v>52</v>
      </c>
    </row>
    <row r="3912" spans="1:16" x14ac:dyDescent="0.4">
      <c r="A3912" t="s">
        <v>3953</v>
      </c>
      <c r="B3912">
        <v>42</v>
      </c>
      <c r="C3912" t="s">
        <v>27</v>
      </c>
      <c r="D3912" t="s">
        <v>22</v>
      </c>
      <c r="E3912">
        <v>33.479999999999997</v>
      </c>
      <c r="F3912">
        <v>16</v>
      </c>
      <c r="G3912" t="s">
        <v>23</v>
      </c>
      <c r="H3912" t="s">
        <v>55</v>
      </c>
      <c r="I3912" s="2">
        <v>13.99</v>
      </c>
      <c r="J3912">
        <v>0</v>
      </c>
      <c r="K3912" s="2">
        <f t="shared" si="122"/>
        <v>0</v>
      </c>
      <c r="L3912" t="s">
        <v>37</v>
      </c>
      <c r="M3912">
        <v>2</v>
      </c>
      <c r="N3912">
        <v>1.97</v>
      </c>
      <c r="O3912" t="str">
        <f t="shared" si="123"/>
        <v>1+ hours</v>
      </c>
      <c r="P3912" t="s">
        <v>20</v>
      </c>
    </row>
    <row r="3913" spans="1:16" x14ac:dyDescent="0.4">
      <c r="A3913" t="s">
        <v>3954</v>
      </c>
      <c r="B3913">
        <v>46</v>
      </c>
      <c r="C3913" t="s">
        <v>41</v>
      </c>
      <c r="D3913" t="s">
        <v>16</v>
      </c>
      <c r="E3913">
        <v>5.07</v>
      </c>
      <c r="F3913">
        <v>0</v>
      </c>
      <c r="G3913" t="s">
        <v>17</v>
      </c>
      <c r="H3913" t="s">
        <v>55</v>
      </c>
      <c r="I3913" s="2">
        <v>8.99</v>
      </c>
      <c r="J3913">
        <v>0</v>
      </c>
      <c r="K3913" s="2">
        <f t="shared" si="122"/>
        <v>0</v>
      </c>
      <c r="L3913" t="s">
        <v>37</v>
      </c>
      <c r="M3913">
        <v>1</v>
      </c>
      <c r="N3913">
        <v>5.07</v>
      </c>
      <c r="O3913" t="str">
        <f t="shared" si="123"/>
        <v>1+ hours</v>
      </c>
      <c r="P3913" t="s">
        <v>47</v>
      </c>
    </row>
    <row r="3914" spans="1:16" x14ac:dyDescent="0.4">
      <c r="A3914" t="s">
        <v>3955</v>
      </c>
      <c r="B3914">
        <v>59</v>
      </c>
      <c r="C3914" t="s">
        <v>27</v>
      </c>
      <c r="D3914" t="s">
        <v>32</v>
      </c>
      <c r="E3914">
        <v>26.54</v>
      </c>
      <c r="F3914">
        <v>33</v>
      </c>
      <c r="G3914" t="s">
        <v>33</v>
      </c>
      <c r="H3914" t="s">
        <v>46</v>
      </c>
      <c r="I3914" s="2">
        <v>17.989999999999998</v>
      </c>
      <c r="J3914">
        <v>0</v>
      </c>
      <c r="K3914" s="2">
        <f t="shared" si="122"/>
        <v>0</v>
      </c>
      <c r="L3914" t="s">
        <v>29</v>
      </c>
      <c r="M3914">
        <v>3</v>
      </c>
      <c r="N3914">
        <v>0.78</v>
      </c>
      <c r="O3914" t="str">
        <f t="shared" si="123"/>
        <v>0.6–0.8 hours</v>
      </c>
      <c r="P3914" t="s">
        <v>25</v>
      </c>
    </row>
    <row r="3915" spans="1:16" x14ac:dyDescent="0.4">
      <c r="A3915" t="s">
        <v>3956</v>
      </c>
      <c r="B3915">
        <v>24</v>
      </c>
      <c r="C3915" t="s">
        <v>27</v>
      </c>
      <c r="D3915" t="s">
        <v>16</v>
      </c>
      <c r="E3915">
        <v>0.19</v>
      </c>
      <c r="F3915">
        <v>49</v>
      </c>
      <c r="G3915" t="s">
        <v>33</v>
      </c>
      <c r="H3915" t="s">
        <v>57</v>
      </c>
      <c r="I3915" s="2">
        <v>8.99</v>
      </c>
      <c r="J3915">
        <v>1</v>
      </c>
      <c r="K3915" s="2">
        <f t="shared" si="122"/>
        <v>8.99</v>
      </c>
      <c r="L3915" t="s">
        <v>29</v>
      </c>
      <c r="M3915">
        <v>3</v>
      </c>
      <c r="N3915">
        <v>0</v>
      </c>
      <c r="O3915" t="str">
        <f t="shared" si="123"/>
        <v>0–0.2 hours</v>
      </c>
      <c r="P3915" t="s">
        <v>39</v>
      </c>
    </row>
    <row r="3916" spans="1:16" x14ac:dyDescent="0.4">
      <c r="A3916" t="s">
        <v>3957</v>
      </c>
      <c r="B3916">
        <v>30</v>
      </c>
      <c r="C3916" t="s">
        <v>27</v>
      </c>
      <c r="D3916" t="s">
        <v>16</v>
      </c>
      <c r="E3916">
        <v>4.21</v>
      </c>
      <c r="F3916">
        <v>13</v>
      </c>
      <c r="G3916" t="s">
        <v>33</v>
      </c>
      <c r="H3916" t="s">
        <v>55</v>
      </c>
      <c r="I3916" s="2">
        <v>8.99</v>
      </c>
      <c r="J3916">
        <v>1</v>
      </c>
      <c r="K3916" s="2">
        <f t="shared" si="122"/>
        <v>8.99</v>
      </c>
      <c r="L3916" t="s">
        <v>37</v>
      </c>
      <c r="M3916">
        <v>4</v>
      </c>
      <c r="N3916">
        <v>0.3</v>
      </c>
      <c r="O3916" t="str">
        <f t="shared" si="123"/>
        <v>0.2–0.4 hours</v>
      </c>
      <c r="P3916" t="s">
        <v>30</v>
      </c>
    </row>
    <row r="3917" spans="1:16" x14ac:dyDescent="0.4">
      <c r="A3917" t="s">
        <v>3958</v>
      </c>
      <c r="B3917">
        <v>63</v>
      </c>
      <c r="C3917" t="s">
        <v>15</v>
      </c>
      <c r="D3917" t="s">
        <v>22</v>
      </c>
      <c r="E3917">
        <v>5.1100000000000003</v>
      </c>
      <c r="F3917">
        <v>18</v>
      </c>
      <c r="G3917" t="s">
        <v>28</v>
      </c>
      <c r="H3917" t="s">
        <v>57</v>
      </c>
      <c r="I3917" s="2">
        <v>13.99</v>
      </c>
      <c r="J3917">
        <v>0</v>
      </c>
      <c r="K3917" s="2">
        <f t="shared" si="122"/>
        <v>0</v>
      </c>
      <c r="L3917" t="s">
        <v>29</v>
      </c>
      <c r="M3917">
        <v>1</v>
      </c>
      <c r="N3917">
        <v>0.27</v>
      </c>
      <c r="O3917" t="str">
        <f t="shared" si="123"/>
        <v>0.2–0.4 hours</v>
      </c>
      <c r="P3917" t="s">
        <v>34</v>
      </c>
    </row>
    <row r="3918" spans="1:16" x14ac:dyDescent="0.4">
      <c r="A3918" t="s">
        <v>3959</v>
      </c>
      <c r="B3918">
        <v>51</v>
      </c>
      <c r="C3918" t="s">
        <v>41</v>
      </c>
      <c r="D3918" t="s">
        <v>32</v>
      </c>
      <c r="E3918">
        <v>3.41</v>
      </c>
      <c r="F3918">
        <v>46</v>
      </c>
      <c r="G3918" t="s">
        <v>28</v>
      </c>
      <c r="H3918" t="s">
        <v>55</v>
      </c>
      <c r="I3918" s="2">
        <v>17.989999999999998</v>
      </c>
      <c r="J3918">
        <v>1</v>
      </c>
      <c r="K3918" s="2">
        <f t="shared" si="122"/>
        <v>17.989999999999998</v>
      </c>
      <c r="L3918" t="s">
        <v>19</v>
      </c>
      <c r="M3918">
        <v>2</v>
      </c>
      <c r="N3918">
        <v>7.0000000000000007E-2</v>
      </c>
      <c r="O3918" t="str">
        <f t="shared" si="123"/>
        <v>0–0.2 hours</v>
      </c>
      <c r="P3918" t="s">
        <v>47</v>
      </c>
    </row>
    <row r="3919" spans="1:16" x14ac:dyDescent="0.4">
      <c r="A3919" t="s">
        <v>3960</v>
      </c>
      <c r="B3919">
        <v>47</v>
      </c>
      <c r="C3919" t="s">
        <v>41</v>
      </c>
      <c r="D3919" t="s">
        <v>32</v>
      </c>
      <c r="E3919">
        <v>7.42</v>
      </c>
      <c r="F3919">
        <v>47</v>
      </c>
      <c r="G3919" t="s">
        <v>17</v>
      </c>
      <c r="H3919" t="s">
        <v>57</v>
      </c>
      <c r="I3919" s="2">
        <v>17.989999999999998</v>
      </c>
      <c r="J3919">
        <v>1</v>
      </c>
      <c r="K3919" s="2">
        <f t="shared" si="122"/>
        <v>17.989999999999998</v>
      </c>
      <c r="L3919" t="s">
        <v>29</v>
      </c>
      <c r="M3919">
        <v>4</v>
      </c>
      <c r="N3919">
        <v>0.15</v>
      </c>
      <c r="O3919" t="str">
        <f t="shared" si="123"/>
        <v>0–0.2 hours</v>
      </c>
      <c r="P3919" t="s">
        <v>34</v>
      </c>
    </row>
    <row r="3920" spans="1:16" x14ac:dyDescent="0.4">
      <c r="A3920" t="s">
        <v>3961</v>
      </c>
      <c r="B3920">
        <v>32</v>
      </c>
      <c r="C3920" t="s">
        <v>27</v>
      </c>
      <c r="D3920" t="s">
        <v>22</v>
      </c>
      <c r="E3920">
        <v>2.74</v>
      </c>
      <c r="F3920">
        <v>8</v>
      </c>
      <c r="G3920" t="s">
        <v>28</v>
      </c>
      <c r="H3920" t="s">
        <v>18</v>
      </c>
      <c r="I3920" s="2">
        <v>13.99</v>
      </c>
      <c r="J3920">
        <v>1</v>
      </c>
      <c r="K3920" s="2">
        <f t="shared" si="122"/>
        <v>13.99</v>
      </c>
      <c r="L3920" t="s">
        <v>61</v>
      </c>
      <c r="M3920">
        <v>1</v>
      </c>
      <c r="N3920">
        <v>0.3</v>
      </c>
      <c r="O3920" t="str">
        <f t="shared" si="123"/>
        <v>0.2–0.4 hours</v>
      </c>
      <c r="P3920" t="s">
        <v>20</v>
      </c>
    </row>
    <row r="3921" spans="1:16" x14ac:dyDescent="0.4">
      <c r="A3921" t="s">
        <v>3962</v>
      </c>
      <c r="B3921">
        <v>60</v>
      </c>
      <c r="C3921" t="s">
        <v>15</v>
      </c>
      <c r="D3921" t="s">
        <v>32</v>
      </c>
      <c r="E3921">
        <v>2.56</v>
      </c>
      <c r="F3921">
        <v>22</v>
      </c>
      <c r="G3921" t="s">
        <v>28</v>
      </c>
      <c r="H3921" t="s">
        <v>24</v>
      </c>
      <c r="I3921" s="2">
        <v>17.989999999999998</v>
      </c>
      <c r="J3921">
        <v>1</v>
      </c>
      <c r="K3921" s="2">
        <f t="shared" si="122"/>
        <v>17.989999999999998</v>
      </c>
      <c r="L3921" t="s">
        <v>29</v>
      </c>
      <c r="M3921">
        <v>2</v>
      </c>
      <c r="N3921">
        <v>0.11</v>
      </c>
      <c r="O3921" t="str">
        <f t="shared" si="123"/>
        <v>0–0.2 hours</v>
      </c>
      <c r="P3921" t="s">
        <v>25</v>
      </c>
    </row>
    <row r="3922" spans="1:16" x14ac:dyDescent="0.4">
      <c r="A3922" t="s">
        <v>3963</v>
      </c>
      <c r="B3922">
        <v>40</v>
      </c>
      <c r="C3922" t="s">
        <v>15</v>
      </c>
      <c r="D3922" t="s">
        <v>32</v>
      </c>
      <c r="E3922">
        <v>2.2799999999999998</v>
      </c>
      <c r="F3922">
        <v>37</v>
      </c>
      <c r="G3922" t="s">
        <v>17</v>
      </c>
      <c r="H3922" t="s">
        <v>46</v>
      </c>
      <c r="I3922" s="2">
        <v>17.989999999999998</v>
      </c>
      <c r="J3922">
        <v>1</v>
      </c>
      <c r="K3922" s="2">
        <f t="shared" si="122"/>
        <v>17.989999999999998</v>
      </c>
      <c r="L3922" t="s">
        <v>19</v>
      </c>
      <c r="M3922">
        <v>2</v>
      </c>
      <c r="N3922">
        <v>0.06</v>
      </c>
      <c r="O3922" t="str">
        <f t="shared" si="123"/>
        <v>0–0.2 hours</v>
      </c>
      <c r="P3922" t="s">
        <v>20</v>
      </c>
    </row>
    <row r="3923" spans="1:16" x14ac:dyDescent="0.4">
      <c r="A3923" t="s">
        <v>3964</v>
      </c>
      <c r="B3923">
        <v>46</v>
      </c>
      <c r="C3923" t="s">
        <v>15</v>
      </c>
      <c r="D3923" t="s">
        <v>16</v>
      </c>
      <c r="E3923">
        <v>6.46</v>
      </c>
      <c r="F3923">
        <v>35</v>
      </c>
      <c r="G3923" t="s">
        <v>23</v>
      </c>
      <c r="H3923" t="s">
        <v>55</v>
      </c>
      <c r="I3923" s="2">
        <v>8.99</v>
      </c>
      <c r="J3923">
        <v>1</v>
      </c>
      <c r="K3923" s="2">
        <f t="shared" si="122"/>
        <v>8.99</v>
      </c>
      <c r="L3923" t="s">
        <v>19</v>
      </c>
      <c r="M3923">
        <v>4</v>
      </c>
      <c r="N3923">
        <v>0.18</v>
      </c>
      <c r="O3923" t="str">
        <f t="shared" si="123"/>
        <v>0–0.2 hours</v>
      </c>
      <c r="P3923" t="s">
        <v>25</v>
      </c>
    </row>
    <row r="3924" spans="1:16" x14ac:dyDescent="0.4">
      <c r="A3924" t="s">
        <v>3965</v>
      </c>
      <c r="B3924">
        <v>33</v>
      </c>
      <c r="C3924" t="s">
        <v>27</v>
      </c>
      <c r="D3924" t="s">
        <v>32</v>
      </c>
      <c r="E3924">
        <v>11.3</v>
      </c>
      <c r="F3924">
        <v>7</v>
      </c>
      <c r="G3924" t="s">
        <v>70</v>
      </c>
      <c r="H3924" t="s">
        <v>57</v>
      </c>
      <c r="I3924" s="2">
        <v>17.989999999999998</v>
      </c>
      <c r="J3924">
        <v>0</v>
      </c>
      <c r="K3924" s="2">
        <f t="shared" si="122"/>
        <v>0</v>
      </c>
      <c r="L3924" t="s">
        <v>19</v>
      </c>
      <c r="M3924">
        <v>1</v>
      </c>
      <c r="N3924">
        <v>1.41</v>
      </c>
      <c r="O3924" t="str">
        <f t="shared" si="123"/>
        <v>1+ hours</v>
      </c>
      <c r="P3924" t="s">
        <v>30</v>
      </c>
    </row>
    <row r="3925" spans="1:16" x14ac:dyDescent="0.4">
      <c r="A3925" t="s">
        <v>3966</v>
      </c>
      <c r="B3925">
        <v>31</v>
      </c>
      <c r="C3925" t="s">
        <v>27</v>
      </c>
      <c r="D3925" t="s">
        <v>32</v>
      </c>
      <c r="E3925">
        <v>3.13</v>
      </c>
      <c r="F3925">
        <v>7</v>
      </c>
      <c r="G3925" t="s">
        <v>70</v>
      </c>
      <c r="H3925" t="s">
        <v>24</v>
      </c>
      <c r="I3925" s="2">
        <v>17.989999999999998</v>
      </c>
      <c r="J3925">
        <v>0</v>
      </c>
      <c r="K3925" s="2">
        <f t="shared" si="122"/>
        <v>0</v>
      </c>
      <c r="L3925" t="s">
        <v>37</v>
      </c>
      <c r="M3925">
        <v>5</v>
      </c>
      <c r="N3925">
        <v>0.39</v>
      </c>
      <c r="O3925" t="str">
        <f t="shared" si="123"/>
        <v>0.2–0.4 hours</v>
      </c>
      <c r="P3925" t="s">
        <v>52</v>
      </c>
    </row>
    <row r="3926" spans="1:16" x14ac:dyDescent="0.4">
      <c r="A3926" t="s">
        <v>3967</v>
      </c>
      <c r="B3926">
        <v>39</v>
      </c>
      <c r="C3926" t="s">
        <v>15</v>
      </c>
      <c r="D3926" t="s">
        <v>16</v>
      </c>
      <c r="E3926">
        <v>9.89</v>
      </c>
      <c r="F3926">
        <v>45</v>
      </c>
      <c r="G3926" t="s">
        <v>17</v>
      </c>
      <c r="H3926" t="s">
        <v>24</v>
      </c>
      <c r="I3926" s="2">
        <v>8.99</v>
      </c>
      <c r="J3926">
        <v>1</v>
      </c>
      <c r="K3926" s="2">
        <f t="shared" si="122"/>
        <v>8.99</v>
      </c>
      <c r="L3926" t="s">
        <v>19</v>
      </c>
      <c r="M3926">
        <v>4</v>
      </c>
      <c r="N3926">
        <v>0.22</v>
      </c>
      <c r="O3926" t="str">
        <f t="shared" si="123"/>
        <v>0.2–0.4 hours</v>
      </c>
      <c r="P3926" t="s">
        <v>52</v>
      </c>
    </row>
    <row r="3927" spans="1:16" x14ac:dyDescent="0.4">
      <c r="A3927" t="s">
        <v>3968</v>
      </c>
      <c r="B3927">
        <v>19</v>
      </c>
      <c r="C3927" t="s">
        <v>27</v>
      </c>
      <c r="D3927" t="s">
        <v>32</v>
      </c>
      <c r="E3927">
        <v>0.6</v>
      </c>
      <c r="F3927">
        <v>26</v>
      </c>
      <c r="G3927" t="s">
        <v>33</v>
      </c>
      <c r="H3927" t="s">
        <v>24</v>
      </c>
      <c r="I3927" s="2">
        <v>17.989999999999998</v>
      </c>
      <c r="J3927">
        <v>1</v>
      </c>
      <c r="K3927" s="2">
        <f t="shared" si="122"/>
        <v>17.989999999999998</v>
      </c>
      <c r="L3927" t="s">
        <v>19</v>
      </c>
      <c r="M3927">
        <v>1</v>
      </c>
      <c r="N3927">
        <v>0.02</v>
      </c>
      <c r="O3927" t="str">
        <f t="shared" si="123"/>
        <v>0–0.2 hours</v>
      </c>
      <c r="P3927" t="s">
        <v>25</v>
      </c>
    </row>
    <row r="3928" spans="1:16" x14ac:dyDescent="0.4">
      <c r="A3928" t="s">
        <v>3969</v>
      </c>
      <c r="B3928">
        <v>25</v>
      </c>
      <c r="C3928" t="s">
        <v>41</v>
      </c>
      <c r="D3928" t="s">
        <v>32</v>
      </c>
      <c r="E3928">
        <v>44.46</v>
      </c>
      <c r="F3928">
        <v>33</v>
      </c>
      <c r="G3928" t="s">
        <v>33</v>
      </c>
      <c r="H3928" t="s">
        <v>57</v>
      </c>
      <c r="I3928" s="2">
        <v>17.989999999999998</v>
      </c>
      <c r="J3928">
        <v>0</v>
      </c>
      <c r="K3928" s="2">
        <f t="shared" si="122"/>
        <v>0</v>
      </c>
      <c r="L3928" t="s">
        <v>43</v>
      </c>
      <c r="M3928">
        <v>1</v>
      </c>
      <c r="N3928">
        <v>1.31</v>
      </c>
      <c r="O3928" t="str">
        <f t="shared" si="123"/>
        <v>1+ hours</v>
      </c>
      <c r="P3928" t="s">
        <v>30</v>
      </c>
    </row>
    <row r="3929" spans="1:16" x14ac:dyDescent="0.4">
      <c r="A3929" t="s">
        <v>3970</v>
      </c>
      <c r="B3929">
        <v>49</v>
      </c>
      <c r="C3929" t="s">
        <v>41</v>
      </c>
      <c r="D3929" t="s">
        <v>16</v>
      </c>
      <c r="E3929">
        <v>9.67</v>
      </c>
      <c r="F3929">
        <v>57</v>
      </c>
      <c r="G3929" t="s">
        <v>23</v>
      </c>
      <c r="H3929" t="s">
        <v>24</v>
      </c>
      <c r="I3929" s="2">
        <v>8.99</v>
      </c>
      <c r="J3929">
        <v>1</v>
      </c>
      <c r="K3929" s="2">
        <f t="shared" si="122"/>
        <v>8.99</v>
      </c>
      <c r="L3929" t="s">
        <v>61</v>
      </c>
      <c r="M3929">
        <v>1</v>
      </c>
      <c r="N3929">
        <v>0.17</v>
      </c>
      <c r="O3929" t="str">
        <f t="shared" si="123"/>
        <v>0–0.2 hours</v>
      </c>
      <c r="P3929" t="s">
        <v>34</v>
      </c>
    </row>
    <row r="3930" spans="1:16" x14ac:dyDescent="0.4">
      <c r="A3930" t="s">
        <v>3971</v>
      </c>
      <c r="B3930">
        <v>67</v>
      </c>
      <c r="C3930" t="s">
        <v>15</v>
      </c>
      <c r="D3930" t="s">
        <v>16</v>
      </c>
      <c r="E3930">
        <v>10.17</v>
      </c>
      <c r="F3930">
        <v>18</v>
      </c>
      <c r="G3930" t="s">
        <v>70</v>
      </c>
      <c r="H3930" t="s">
        <v>57</v>
      </c>
      <c r="I3930" s="2">
        <v>8.99</v>
      </c>
      <c r="J3930">
        <v>0</v>
      </c>
      <c r="K3930" s="2">
        <f t="shared" si="122"/>
        <v>0</v>
      </c>
      <c r="L3930" t="s">
        <v>19</v>
      </c>
      <c r="M3930">
        <v>2</v>
      </c>
      <c r="N3930">
        <v>0.54</v>
      </c>
      <c r="O3930" t="str">
        <f t="shared" si="123"/>
        <v>0.4–0.6 hours</v>
      </c>
      <c r="P3930" t="s">
        <v>20</v>
      </c>
    </row>
    <row r="3931" spans="1:16" x14ac:dyDescent="0.4">
      <c r="A3931" t="s">
        <v>3972</v>
      </c>
      <c r="B3931">
        <v>55</v>
      </c>
      <c r="C3931" t="s">
        <v>41</v>
      </c>
      <c r="D3931" t="s">
        <v>22</v>
      </c>
      <c r="E3931">
        <v>1.88</v>
      </c>
      <c r="F3931">
        <v>44</v>
      </c>
      <c r="G3931" t="s">
        <v>23</v>
      </c>
      <c r="H3931" t="s">
        <v>57</v>
      </c>
      <c r="I3931" s="2">
        <v>13.99</v>
      </c>
      <c r="J3931">
        <v>1</v>
      </c>
      <c r="K3931" s="2">
        <f t="shared" si="122"/>
        <v>13.99</v>
      </c>
      <c r="L3931" t="s">
        <v>43</v>
      </c>
      <c r="M3931">
        <v>4</v>
      </c>
      <c r="N3931">
        <v>0.04</v>
      </c>
      <c r="O3931" t="str">
        <f t="shared" si="123"/>
        <v>0–0.2 hours</v>
      </c>
      <c r="P3931" t="s">
        <v>20</v>
      </c>
    </row>
    <row r="3932" spans="1:16" x14ac:dyDescent="0.4">
      <c r="A3932" t="s">
        <v>3973</v>
      </c>
      <c r="B3932">
        <v>19</v>
      </c>
      <c r="C3932" t="s">
        <v>41</v>
      </c>
      <c r="D3932" t="s">
        <v>32</v>
      </c>
      <c r="E3932">
        <v>0.36</v>
      </c>
      <c r="F3932">
        <v>28</v>
      </c>
      <c r="G3932" t="s">
        <v>33</v>
      </c>
      <c r="H3932" t="s">
        <v>55</v>
      </c>
      <c r="I3932" s="2">
        <v>17.989999999999998</v>
      </c>
      <c r="J3932">
        <v>1</v>
      </c>
      <c r="K3932" s="2">
        <f t="shared" si="122"/>
        <v>17.989999999999998</v>
      </c>
      <c r="L3932" t="s">
        <v>61</v>
      </c>
      <c r="M3932">
        <v>1</v>
      </c>
      <c r="N3932">
        <v>0.01</v>
      </c>
      <c r="O3932" t="str">
        <f t="shared" si="123"/>
        <v>0–0.2 hours</v>
      </c>
      <c r="P3932" t="s">
        <v>47</v>
      </c>
    </row>
    <row r="3933" spans="1:16" x14ac:dyDescent="0.4">
      <c r="A3933" t="s">
        <v>3974</v>
      </c>
      <c r="B3933">
        <v>59</v>
      </c>
      <c r="C3933" t="s">
        <v>27</v>
      </c>
      <c r="D3933" t="s">
        <v>32</v>
      </c>
      <c r="E3933">
        <v>0.61</v>
      </c>
      <c r="F3933">
        <v>17</v>
      </c>
      <c r="G3933" t="s">
        <v>17</v>
      </c>
      <c r="H3933" t="s">
        <v>57</v>
      </c>
      <c r="I3933" s="2">
        <v>17.989999999999998</v>
      </c>
      <c r="J3933">
        <v>0</v>
      </c>
      <c r="K3933" s="2">
        <f t="shared" si="122"/>
        <v>0</v>
      </c>
      <c r="L3933" t="s">
        <v>37</v>
      </c>
      <c r="M3933">
        <v>5</v>
      </c>
      <c r="N3933">
        <v>0.03</v>
      </c>
      <c r="O3933" t="str">
        <f t="shared" si="123"/>
        <v>0–0.2 hours</v>
      </c>
      <c r="P3933" t="s">
        <v>52</v>
      </c>
    </row>
    <row r="3934" spans="1:16" x14ac:dyDescent="0.4">
      <c r="A3934" t="s">
        <v>3975</v>
      </c>
      <c r="B3934">
        <v>26</v>
      </c>
      <c r="C3934" t="s">
        <v>15</v>
      </c>
      <c r="D3934" t="s">
        <v>16</v>
      </c>
      <c r="E3934">
        <v>23.33</v>
      </c>
      <c r="F3934">
        <v>27</v>
      </c>
      <c r="G3934" t="s">
        <v>70</v>
      </c>
      <c r="H3934" t="s">
        <v>24</v>
      </c>
      <c r="I3934" s="2">
        <v>8.99</v>
      </c>
      <c r="J3934">
        <v>0</v>
      </c>
      <c r="K3934" s="2">
        <f t="shared" si="122"/>
        <v>0</v>
      </c>
      <c r="L3934" t="s">
        <v>19</v>
      </c>
      <c r="M3934">
        <v>1</v>
      </c>
      <c r="N3934">
        <v>0.83</v>
      </c>
      <c r="O3934" t="str">
        <f t="shared" si="123"/>
        <v>0.8–1 hour</v>
      </c>
      <c r="P3934" t="s">
        <v>20</v>
      </c>
    </row>
    <row r="3935" spans="1:16" x14ac:dyDescent="0.4">
      <c r="A3935" t="s">
        <v>3976</v>
      </c>
      <c r="B3935">
        <v>58</v>
      </c>
      <c r="C3935" t="s">
        <v>27</v>
      </c>
      <c r="D3935" t="s">
        <v>22</v>
      </c>
      <c r="E3935">
        <v>76.290000000000006</v>
      </c>
      <c r="F3935">
        <v>5</v>
      </c>
      <c r="G3935" t="s">
        <v>23</v>
      </c>
      <c r="H3935" t="s">
        <v>24</v>
      </c>
      <c r="I3935" s="2">
        <v>13.99</v>
      </c>
      <c r="J3935">
        <v>0</v>
      </c>
      <c r="K3935" s="2">
        <f t="shared" si="122"/>
        <v>0</v>
      </c>
      <c r="L3935" t="s">
        <v>29</v>
      </c>
      <c r="M3935">
        <v>5</v>
      </c>
      <c r="N3935">
        <v>12.72</v>
      </c>
      <c r="O3935" t="str">
        <f t="shared" si="123"/>
        <v>1+ hours</v>
      </c>
      <c r="P3935" t="s">
        <v>25</v>
      </c>
    </row>
    <row r="3936" spans="1:16" x14ac:dyDescent="0.4">
      <c r="A3936" t="s">
        <v>3977</v>
      </c>
      <c r="B3936">
        <v>18</v>
      </c>
      <c r="C3936" t="s">
        <v>41</v>
      </c>
      <c r="D3936" t="s">
        <v>32</v>
      </c>
      <c r="E3936">
        <v>10.08</v>
      </c>
      <c r="F3936">
        <v>33</v>
      </c>
      <c r="G3936" t="s">
        <v>33</v>
      </c>
      <c r="H3936" t="s">
        <v>24</v>
      </c>
      <c r="I3936" s="2">
        <v>17.989999999999998</v>
      </c>
      <c r="J3936">
        <v>1</v>
      </c>
      <c r="K3936" s="2">
        <f t="shared" si="122"/>
        <v>17.989999999999998</v>
      </c>
      <c r="L3936" t="s">
        <v>61</v>
      </c>
      <c r="M3936">
        <v>2</v>
      </c>
      <c r="N3936">
        <v>0.3</v>
      </c>
      <c r="O3936" t="str">
        <f t="shared" si="123"/>
        <v>0.2–0.4 hours</v>
      </c>
      <c r="P3936" t="s">
        <v>52</v>
      </c>
    </row>
    <row r="3937" spans="1:16" x14ac:dyDescent="0.4">
      <c r="A3937" t="s">
        <v>3978</v>
      </c>
      <c r="B3937">
        <v>59</v>
      </c>
      <c r="C3937" t="s">
        <v>15</v>
      </c>
      <c r="D3937" t="s">
        <v>16</v>
      </c>
      <c r="E3937">
        <v>8.48</v>
      </c>
      <c r="F3937">
        <v>24</v>
      </c>
      <c r="G3937" t="s">
        <v>70</v>
      </c>
      <c r="H3937" t="s">
        <v>18</v>
      </c>
      <c r="I3937" s="2">
        <v>8.99</v>
      </c>
      <c r="J3937">
        <v>1</v>
      </c>
      <c r="K3937" s="2">
        <f t="shared" si="122"/>
        <v>8.99</v>
      </c>
      <c r="L3937" t="s">
        <v>29</v>
      </c>
      <c r="M3937">
        <v>1</v>
      </c>
      <c r="N3937">
        <v>0.34</v>
      </c>
      <c r="O3937" t="str">
        <f t="shared" si="123"/>
        <v>0.2–0.4 hours</v>
      </c>
      <c r="P3937" t="s">
        <v>30</v>
      </c>
    </row>
    <row r="3938" spans="1:16" x14ac:dyDescent="0.4">
      <c r="A3938" t="s">
        <v>3979</v>
      </c>
      <c r="B3938">
        <v>41</v>
      </c>
      <c r="C3938" t="s">
        <v>41</v>
      </c>
      <c r="D3938" t="s">
        <v>32</v>
      </c>
      <c r="E3938">
        <v>16.13</v>
      </c>
      <c r="F3938">
        <v>44</v>
      </c>
      <c r="G3938" t="s">
        <v>28</v>
      </c>
      <c r="H3938" t="s">
        <v>55</v>
      </c>
      <c r="I3938" s="2">
        <v>17.989999999999998</v>
      </c>
      <c r="J3938">
        <v>0</v>
      </c>
      <c r="K3938" s="2">
        <f t="shared" si="122"/>
        <v>0</v>
      </c>
      <c r="L3938" t="s">
        <v>37</v>
      </c>
      <c r="M3938">
        <v>4</v>
      </c>
      <c r="N3938">
        <v>0.36</v>
      </c>
      <c r="O3938" t="str">
        <f t="shared" si="123"/>
        <v>0.2–0.4 hours</v>
      </c>
      <c r="P3938" t="s">
        <v>34</v>
      </c>
    </row>
    <row r="3939" spans="1:16" x14ac:dyDescent="0.4">
      <c r="A3939" t="s">
        <v>3980</v>
      </c>
      <c r="B3939">
        <v>28</v>
      </c>
      <c r="C3939" t="s">
        <v>41</v>
      </c>
      <c r="D3939" t="s">
        <v>16</v>
      </c>
      <c r="E3939">
        <v>0.43</v>
      </c>
      <c r="F3939">
        <v>6</v>
      </c>
      <c r="G3939" t="s">
        <v>49</v>
      </c>
      <c r="H3939" t="s">
        <v>18</v>
      </c>
      <c r="I3939" s="2">
        <v>8.99</v>
      </c>
      <c r="J3939">
        <v>1</v>
      </c>
      <c r="K3939" s="2">
        <f t="shared" si="122"/>
        <v>8.99</v>
      </c>
      <c r="L3939" t="s">
        <v>61</v>
      </c>
      <c r="M3939">
        <v>3</v>
      </c>
      <c r="N3939">
        <v>0.06</v>
      </c>
      <c r="O3939" t="str">
        <f t="shared" si="123"/>
        <v>0–0.2 hours</v>
      </c>
      <c r="P3939" t="s">
        <v>30</v>
      </c>
    </row>
    <row r="3940" spans="1:16" x14ac:dyDescent="0.4">
      <c r="A3940" t="s">
        <v>3981</v>
      </c>
      <c r="B3940">
        <v>35</v>
      </c>
      <c r="C3940" t="s">
        <v>41</v>
      </c>
      <c r="D3940" t="s">
        <v>16</v>
      </c>
      <c r="E3940">
        <v>43.84</v>
      </c>
      <c r="F3940">
        <v>24</v>
      </c>
      <c r="G3940" t="s">
        <v>49</v>
      </c>
      <c r="H3940" t="s">
        <v>18</v>
      </c>
      <c r="I3940" s="2">
        <v>8.99</v>
      </c>
      <c r="J3940">
        <v>0</v>
      </c>
      <c r="K3940" s="2">
        <f t="shared" si="122"/>
        <v>0</v>
      </c>
      <c r="L3940" t="s">
        <v>19</v>
      </c>
      <c r="M3940">
        <v>4</v>
      </c>
      <c r="N3940">
        <v>1.75</v>
      </c>
      <c r="O3940" t="str">
        <f t="shared" si="123"/>
        <v>1+ hours</v>
      </c>
      <c r="P3940" t="s">
        <v>20</v>
      </c>
    </row>
    <row r="3941" spans="1:16" x14ac:dyDescent="0.4">
      <c r="A3941" t="s">
        <v>3982</v>
      </c>
      <c r="B3941">
        <v>56</v>
      </c>
      <c r="C3941" t="s">
        <v>15</v>
      </c>
      <c r="D3941" t="s">
        <v>22</v>
      </c>
      <c r="E3941">
        <v>3.62</v>
      </c>
      <c r="F3941">
        <v>22</v>
      </c>
      <c r="G3941" t="s">
        <v>28</v>
      </c>
      <c r="H3941" t="s">
        <v>18</v>
      </c>
      <c r="I3941" s="2">
        <v>13.99</v>
      </c>
      <c r="J3941">
        <v>1</v>
      </c>
      <c r="K3941" s="2">
        <f t="shared" si="122"/>
        <v>13.99</v>
      </c>
      <c r="L3941" t="s">
        <v>29</v>
      </c>
      <c r="M3941">
        <v>1</v>
      </c>
      <c r="N3941">
        <v>0.16</v>
      </c>
      <c r="O3941" t="str">
        <f t="shared" si="123"/>
        <v>0–0.2 hours</v>
      </c>
      <c r="P3941" t="s">
        <v>34</v>
      </c>
    </row>
    <row r="3942" spans="1:16" x14ac:dyDescent="0.4">
      <c r="A3942" t="s">
        <v>3983</v>
      </c>
      <c r="B3942">
        <v>34</v>
      </c>
      <c r="C3942" t="s">
        <v>27</v>
      </c>
      <c r="D3942" t="s">
        <v>32</v>
      </c>
      <c r="E3942">
        <v>1.67</v>
      </c>
      <c r="F3942">
        <v>29</v>
      </c>
      <c r="G3942" t="s">
        <v>17</v>
      </c>
      <c r="H3942" t="s">
        <v>57</v>
      </c>
      <c r="I3942" s="2">
        <v>17.989999999999998</v>
      </c>
      <c r="J3942">
        <v>1</v>
      </c>
      <c r="K3942" s="2">
        <f t="shared" si="122"/>
        <v>17.989999999999998</v>
      </c>
      <c r="L3942" t="s">
        <v>61</v>
      </c>
      <c r="M3942">
        <v>1</v>
      </c>
      <c r="N3942">
        <v>0.06</v>
      </c>
      <c r="O3942" t="str">
        <f t="shared" si="123"/>
        <v>0–0.2 hours</v>
      </c>
      <c r="P3942" t="s">
        <v>47</v>
      </c>
    </row>
    <row r="3943" spans="1:16" x14ac:dyDescent="0.4">
      <c r="A3943" t="s">
        <v>3984</v>
      </c>
      <c r="B3943">
        <v>41</v>
      </c>
      <c r="C3943" t="s">
        <v>27</v>
      </c>
      <c r="D3943" t="s">
        <v>22</v>
      </c>
      <c r="E3943">
        <v>7.91</v>
      </c>
      <c r="F3943">
        <v>41</v>
      </c>
      <c r="G3943" t="s">
        <v>28</v>
      </c>
      <c r="H3943" t="s">
        <v>55</v>
      </c>
      <c r="I3943" s="2">
        <v>13.99</v>
      </c>
      <c r="J3943">
        <v>0</v>
      </c>
      <c r="K3943" s="2">
        <f t="shared" si="122"/>
        <v>0</v>
      </c>
      <c r="L3943" t="s">
        <v>43</v>
      </c>
      <c r="M3943">
        <v>4</v>
      </c>
      <c r="N3943">
        <v>0.19</v>
      </c>
      <c r="O3943" t="str">
        <f t="shared" si="123"/>
        <v>0–0.2 hours</v>
      </c>
      <c r="P3943" t="s">
        <v>39</v>
      </c>
    </row>
    <row r="3944" spans="1:16" x14ac:dyDescent="0.4">
      <c r="A3944" t="s">
        <v>3985</v>
      </c>
      <c r="B3944">
        <v>43</v>
      </c>
      <c r="C3944" t="s">
        <v>15</v>
      </c>
      <c r="D3944" t="s">
        <v>32</v>
      </c>
      <c r="E3944">
        <v>7.18</v>
      </c>
      <c r="F3944">
        <v>5</v>
      </c>
      <c r="G3944" t="s">
        <v>70</v>
      </c>
      <c r="H3944" t="s">
        <v>55</v>
      </c>
      <c r="I3944" s="2">
        <v>17.989999999999998</v>
      </c>
      <c r="J3944">
        <v>0</v>
      </c>
      <c r="K3944" s="2">
        <f t="shared" si="122"/>
        <v>0</v>
      </c>
      <c r="L3944" t="s">
        <v>29</v>
      </c>
      <c r="M3944">
        <v>5</v>
      </c>
      <c r="N3944">
        <v>1.2</v>
      </c>
      <c r="O3944" t="str">
        <f t="shared" si="123"/>
        <v>1+ hours</v>
      </c>
      <c r="P3944" t="s">
        <v>25</v>
      </c>
    </row>
    <row r="3945" spans="1:16" x14ac:dyDescent="0.4">
      <c r="A3945" t="s">
        <v>3986</v>
      </c>
      <c r="B3945">
        <v>56</v>
      </c>
      <c r="C3945" t="s">
        <v>27</v>
      </c>
      <c r="D3945" t="s">
        <v>22</v>
      </c>
      <c r="E3945">
        <v>30.05</v>
      </c>
      <c r="F3945">
        <v>14</v>
      </c>
      <c r="G3945" t="s">
        <v>17</v>
      </c>
      <c r="H3945" t="s">
        <v>24</v>
      </c>
      <c r="I3945" s="2">
        <v>13.99</v>
      </c>
      <c r="J3945">
        <v>0</v>
      </c>
      <c r="K3945" s="2">
        <f t="shared" si="122"/>
        <v>0</v>
      </c>
      <c r="L3945" t="s">
        <v>19</v>
      </c>
      <c r="M3945">
        <v>1</v>
      </c>
      <c r="N3945">
        <v>2</v>
      </c>
      <c r="O3945" t="str">
        <f t="shared" si="123"/>
        <v>1+ hours</v>
      </c>
      <c r="P3945" t="s">
        <v>34</v>
      </c>
    </row>
    <row r="3946" spans="1:16" x14ac:dyDescent="0.4">
      <c r="A3946" t="s">
        <v>3987</v>
      </c>
      <c r="B3946">
        <v>31</v>
      </c>
      <c r="C3946" t="s">
        <v>27</v>
      </c>
      <c r="D3946" t="s">
        <v>32</v>
      </c>
      <c r="E3946">
        <v>0.56999999999999995</v>
      </c>
      <c r="F3946">
        <v>60</v>
      </c>
      <c r="G3946" t="s">
        <v>33</v>
      </c>
      <c r="H3946" t="s">
        <v>24</v>
      </c>
      <c r="I3946" s="2">
        <v>17.989999999999998</v>
      </c>
      <c r="J3946">
        <v>1</v>
      </c>
      <c r="K3946" s="2">
        <f t="shared" si="122"/>
        <v>17.989999999999998</v>
      </c>
      <c r="L3946" t="s">
        <v>29</v>
      </c>
      <c r="M3946">
        <v>3</v>
      </c>
      <c r="N3946">
        <v>0.01</v>
      </c>
      <c r="O3946" t="str">
        <f t="shared" si="123"/>
        <v>0–0.2 hours</v>
      </c>
      <c r="P3946" t="s">
        <v>20</v>
      </c>
    </row>
    <row r="3947" spans="1:16" x14ac:dyDescent="0.4">
      <c r="A3947" t="s">
        <v>3988</v>
      </c>
      <c r="B3947">
        <v>46</v>
      </c>
      <c r="C3947" t="s">
        <v>15</v>
      </c>
      <c r="D3947" t="s">
        <v>22</v>
      </c>
      <c r="E3947">
        <v>28.66</v>
      </c>
      <c r="F3947">
        <v>37</v>
      </c>
      <c r="G3947" t="s">
        <v>17</v>
      </c>
      <c r="H3947" t="s">
        <v>46</v>
      </c>
      <c r="I3947" s="2">
        <v>13.99</v>
      </c>
      <c r="J3947">
        <v>0</v>
      </c>
      <c r="K3947" s="2">
        <f t="shared" si="122"/>
        <v>0</v>
      </c>
      <c r="L3947" t="s">
        <v>43</v>
      </c>
      <c r="M3947">
        <v>1</v>
      </c>
      <c r="N3947">
        <v>0.75</v>
      </c>
      <c r="O3947" t="str">
        <f t="shared" si="123"/>
        <v>0.6–0.8 hours</v>
      </c>
      <c r="P3947" t="s">
        <v>47</v>
      </c>
    </row>
    <row r="3948" spans="1:16" x14ac:dyDescent="0.4">
      <c r="A3948" t="s">
        <v>3989</v>
      </c>
      <c r="B3948">
        <v>45</v>
      </c>
      <c r="C3948" t="s">
        <v>41</v>
      </c>
      <c r="D3948" t="s">
        <v>32</v>
      </c>
      <c r="E3948">
        <v>18.07</v>
      </c>
      <c r="F3948">
        <v>4</v>
      </c>
      <c r="G3948" t="s">
        <v>28</v>
      </c>
      <c r="H3948" t="s">
        <v>57</v>
      </c>
      <c r="I3948" s="2">
        <v>17.989999999999998</v>
      </c>
      <c r="J3948">
        <v>0</v>
      </c>
      <c r="K3948" s="2">
        <f t="shared" si="122"/>
        <v>0</v>
      </c>
      <c r="L3948" t="s">
        <v>19</v>
      </c>
      <c r="M3948">
        <v>1</v>
      </c>
      <c r="N3948">
        <v>3.61</v>
      </c>
      <c r="O3948" t="str">
        <f t="shared" si="123"/>
        <v>1+ hours</v>
      </c>
      <c r="P3948" t="s">
        <v>39</v>
      </c>
    </row>
    <row r="3949" spans="1:16" x14ac:dyDescent="0.4">
      <c r="A3949" t="s">
        <v>3990</v>
      </c>
      <c r="B3949">
        <v>68</v>
      </c>
      <c r="C3949" t="s">
        <v>27</v>
      </c>
      <c r="D3949" t="s">
        <v>22</v>
      </c>
      <c r="E3949">
        <v>36.44</v>
      </c>
      <c r="F3949">
        <v>49</v>
      </c>
      <c r="G3949" t="s">
        <v>33</v>
      </c>
      <c r="H3949" t="s">
        <v>24</v>
      </c>
      <c r="I3949" s="2">
        <v>13.99</v>
      </c>
      <c r="J3949">
        <v>0</v>
      </c>
      <c r="K3949" s="2">
        <f t="shared" si="122"/>
        <v>0</v>
      </c>
      <c r="L3949" t="s">
        <v>19</v>
      </c>
      <c r="M3949">
        <v>3</v>
      </c>
      <c r="N3949">
        <v>0.73</v>
      </c>
      <c r="O3949" t="str">
        <f t="shared" si="123"/>
        <v>0.6–0.8 hours</v>
      </c>
      <c r="P3949" t="s">
        <v>25</v>
      </c>
    </row>
    <row r="3950" spans="1:16" x14ac:dyDescent="0.4">
      <c r="A3950" t="s">
        <v>3991</v>
      </c>
      <c r="B3950">
        <v>29</v>
      </c>
      <c r="C3950" t="s">
        <v>41</v>
      </c>
      <c r="D3950" t="s">
        <v>22</v>
      </c>
      <c r="E3950">
        <v>4.09</v>
      </c>
      <c r="F3950">
        <v>59</v>
      </c>
      <c r="G3950" t="s">
        <v>23</v>
      </c>
      <c r="H3950" t="s">
        <v>18</v>
      </c>
      <c r="I3950" s="2">
        <v>13.99</v>
      </c>
      <c r="J3950">
        <v>1</v>
      </c>
      <c r="K3950" s="2">
        <f t="shared" si="122"/>
        <v>13.99</v>
      </c>
      <c r="L3950" t="s">
        <v>61</v>
      </c>
      <c r="M3950">
        <v>2</v>
      </c>
      <c r="N3950">
        <v>7.0000000000000007E-2</v>
      </c>
      <c r="O3950" t="str">
        <f t="shared" si="123"/>
        <v>0–0.2 hours</v>
      </c>
      <c r="P3950" t="s">
        <v>25</v>
      </c>
    </row>
    <row r="3951" spans="1:16" x14ac:dyDescent="0.4">
      <c r="A3951" t="s">
        <v>3992</v>
      </c>
      <c r="B3951">
        <v>45</v>
      </c>
      <c r="C3951" t="s">
        <v>15</v>
      </c>
      <c r="D3951" t="s">
        <v>32</v>
      </c>
      <c r="E3951">
        <v>8.9499999999999993</v>
      </c>
      <c r="F3951">
        <v>16</v>
      </c>
      <c r="G3951" t="s">
        <v>23</v>
      </c>
      <c r="H3951" t="s">
        <v>46</v>
      </c>
      <c r="I3951" s="2">
        <v>17.989999999999998</v>
      </c>
      <c r="J3951">
        <v>0</v>
      </c>
      <c r="K3951" s="2">
        <f t="shared" si="122"/>
        <v>0</v>
      </c>
      <c r="L3951" t="s">
        <v>61</v>
      </c>
      <c r="M3951">
        <v>3</v>
      </c>
      <c r="N3951">
        <v>0.53</v>
      </c>
      <c r="O3951" t="str">
        <f t="shared" si="123"/>
        <v>0.4–0.6 hours</v>
      </c>
      <c r="P3951" t="s">
        <v>25</v>
      </c>
    </row>
    <row r="3952" spans="1:16" x14ac:dyDescent="0.4">
      <c r="A3952" t="s">
        <v>3993</v>
      </c>
      <c r="B3952">
        <v>64</v>
      </c>
      <c r="C3952" t="s">
        <v>41</v>
      </c>
      <c r="D3952" t="s">
        <v>16</v>
      </c>
      <c r="E3952">
        <v>1.84</v>
      </c>
      <c r="F3952">
        <v>30</v>
      </c>
      <c r="G3952" t="s">
        <v>33</v>
      </c>
      <c r="H3952" t="s">
        <v>57</v>
      </c>
      <c r="I3952" s="2">
        <v>8.99</v>
      </c>
      <c r="J3952">
        <v>1</v>
      </c>
      <c r="K3952" s="2">
        <f t="shared" si="122"/>
        <v>8.99</v>
      </c>
      <c r="L3952" t="s">
        <v>61</v>
      </c>
      <c r="M3952">
        <v>4</v>
      </c>
      <c r="N3952">
        <v>0.06</v>
      </c>
      <c r="O3952" t="str">
        <f t="shared" si="123"/>
        <v>0–0.2 hours</v>
      </c>
      <c r="P3952" t="s">
        <v>25</v>
      </c>
    </row>
    <row r="3953" spans="1:16" x14ac:dyDescent="0.4">
      <c r="A3953" t="s">
        <v>3994</v>
      </c>
      <c r="B3953">
        <v>57</v>
      </c>
      <c r="C3953" t="s">
        <v>15</v>
      </c>
      <c r="D3953" t="s">
        <v>22</v>
      </c>
      <c r="E3953">
        <v>2.93</v>
      </c>
      <c r="F3953">
        <v>35</v>
      </c>
      <c r="G3953" t="s">
        <v>49</v>
      </c>
      <c r="H3953" t="s">
        <v>46</v>
      </c>
      <c r="I3953" s="2">
        <v>13.99</v>
      </c>
      <c r="J3953">
        <v>1</v>
      </c>
      <c r="K3953" s="2">
        <f t="shared" si="122"/>
        <v>13.99</v>
      </c>
      <c r="L3953" t="s">
        <v>43</v>
      </c>
      <c r="M3953">
        <v>5</v>
      </c>
      <c r="N3953">
        <v>0.08</v>
      </c>
      <c r="O3953" t="str">
        <f t="shared" si="123"/>
        <v>0–0.2 hours</v>
      </c>
      <c r="P3953" t="s">
        <v>30</v>
      </c>
    </row>
    <row r="3954" spans="1:16" x14ac:dyDescent="0.4">
      <c r="A3954" s="1" t="s">
        <v>3995</v>
      </c>
      <c r="B3954">
        <v>27</v>
      </c>
      <c r="C3954" t="s">
        <v>41</v>
      </c>
      <c r="D3954" t="s">
        <v>16</v>
      </c>
      <c r="E3954">
        <v>3.36</v>
      </c>
      <c r="F3954">
        <v>22</v>
      </c>
      <c r="G3954" t="s">
        <v>28</v>
      </c>
      <c r="H3954" t="s">
        <v>24</v>
      </c>
      <c r="I3954" s="2">
        <v>8.99</v>
      </c>
      <c r="J3954">
        <v>1</v>
      </c>
      <c r="K3954" s="2">
        <f t="shared" si="122"/>
        <v>8.99</v>
      </c>
      <c r="L3954" t="s">
        <v>43</v>
      </c>
      <c r="M3954">
        <v>3</v>
      </c>
      <c r="N3954">
        <v>0.15</v>
      </c>
      <c r="O3954" t="str">
        <f t="shared" si="123"/>
        <v>0–0.2 hours</v>
      </c>
      <c r="P3954" t="s">
        <v>39</v>
      </c>
    </row>
    <row r="3955" spans="1:16" x14ac:dyDescent="0.4">
      <c r="A3955" t="s">
        <v>3996</v>
      </c>
      <c r="B3955">
        <v>30</v>
      </c>
      <c r="C3955" t="s">
        <v>41</v>
      </c>
      <c r="D3955" t="s">
        <v>32</v>
      </c>
      <c r="E3955">
        <v>1.84</v>
      </c>
      <c r="F3955">
        <v>2</v>
      </c>
      <c r="G3955" t="s">
        <v>33</v>
      </c>
      <c r="H3955" t="s">
        <v>57</v>
      </c>
      <c r="I3955" s="2">
        <v>17.989999999999998</v>
      </c>
      <c r="J3955">
        <v>0</v>
      </c>
      <c r="K3955" s="2">
        <f t="shared" si="122"/>
        <v>0</v>
      </c>
      <c r="L3955" t="s">
        <v>43</v>
      </c>
      <c r="M3955">
        <v>2</v>
      </c>
      <c r="N3955">
        <v>0.61</v>
      </c>
      <c r="O3955" t="str">
        <f t="shared" si="123"/>
        <v>0.6–0.8 hours</v>
      </c>
      <c r="P3955" t="s">
        <v>20</v>
      </c>
    </row>
    <row r="3956" spans="1:16" x14ac:dyDescent="0.4">
      <c r="A3956" t="s">
        <v>3997</v>
      </c>
      <c r="B3956">
        <v>69</v>
      </c>
      <c r="C3956" t="s">
        <v>27</v>
      </c>
      <c r="D3956" t="s">
        <v>22</v>
      </c>
      <c r="E3956">
        <v>5.7</v>
      </c>
      <c r="F3956">
        <v>27</v>
      </c>
      <c r="G3956" t="s">
        <v>49</v>
      </c>
      <c r="H3956" t="s">
        <v>46</v>
      </c>
      <c r="I3956" s="2">
        <v>13.99</v>
      </c>
      <c r="J3956">
        <v>0</v>
      </c>
      <c r="K3956" s="2">
        <f t="shared" si="122"/>
        <v>0</v>
      </c>
      <c r="L3956" t="s">
        <v>29</v>
      </c>
      <c r="M3956">
        <v>1</v>
      </c>
      <c r="N3956">
        <v>0.2</v>
      </c>
      <c r="O3956" t="str">
        <f t="shared" si="123"/>
        <v>0–0.2 hours</v>
      </c>
      <c r="P3956" t="s">
        <v>34</v>
      </c>
    </row>
    <row r="3957" spans="1:16" x14ac:dyDescent="0.4">
      <c r="A3957" t="s">
        <v>3998</v>
      </c>
      <c r="B3957">
        <v>33</v>
      </c>
      <c r="C3957" t="s">
        <v>15</v>
      </c>
      <c r="D3957" t="s">
        <v>16</v>
      </c>
      <c r="E3957">
        <v>4.4400000000000004</v>
      </c>
      <c r="F3957">
        <v>28</v>
      </c>
      <c r="G3957" t="s">
        <v>28</v>
      </c>
      <c r="H3957" t="s">
        <v>24</v>
      </c>
      <c r="I3957" s="2">
        <v>8.99</v>
      </c>
      <c r="J3957">
        <v>1</v>
      </c>
      <c r="K3957" s="2">
        <f t="shared" si="122"/>
        <v>8.99</v>
      </c>
      <c r="L3957" t="s">
        <v>29</v>
      </c>
      <c r="M3957">
        <v>1</v>
      </c>
      <c r="N3957">
        <v>0.15</v>
      </c>
      <c r="O3957" t="str">
        <f t="shared" si="123"/>
        <v>0–0.2 hours</v>
      </c>
      <c r="P3957" t="s">
        <v>34</v>
      </c>
    </row>
    <row r="3958" spans="1:16" x14ac:dyDescent="0.4">
      <c r="A3958" t="s">
        <v>3999</v>
      </c>
      <c r="B3958">
        <v>66</v>
      </c>
      <c r="C3958" t="s">
        <v>27</v>
      </c>
      <c r="D3958" t="s">
        <v>22</v>
      </c>
      <c r="E3958">
        <v>32.75</v>
      </c>
      <c r="F3958">
        <v>41</v>
      </c>
      <c r="G3958" t="s">
        <v>17</v>
      </c>
      <c r="H3958" t="s">
        <v>57</v>
      </c>
      <c r="I3958" s="2">
        <v>13.99</v>
      </c>
      <c r="J3958">
        <v>0</v>
      </c>
      <c r="K3958" s="2">
        <f t="shared" si="122"/>
        <v>0</v>
      </c>
      <c r="L3958" t="s">
        <v>61</v>
      </c>
      <c r="M3958">
        <v>1</v>
      </c>
      <c r="N3958">
        <v>0.78</v>
      </c>
      <c r="O3958" t="str">
        <f t="shared" si="123"/>
        <v>0.6–0.8 hours</v>
      </c>
      <c r="P3958" t="s">
        <v>39</v>
      </c>
    </row>
    <row r="3959" spans="1:16" x14ac:dyDescent="0.4">
      <c r="A3959" t="s">
        <v>4000</v>
      </c>
      <c r="B3959">
        <v>24</v>
      </c>
      <c r="C3959" t="s">
        <v>27</v>
      </c>
      <c r="D3959" t="s">
        <v>32</v>
      </c>
      <c r="E3959">
        <v>15.52</v>
      </c>
      <c r="F3959">
        <v>33</v>
      </c>
      <c r="G3959" t="s">
        <v>23</v>
      </c>
      <c r="H3959" t="s">
        <v>18</v>
      </c>
      <c r="I3959" s="2">
        <v>17.989999999999998</v>
      </c>
      <c r="J3959">
        <v>1</v>
      </c>
      <c r="K3959" s="2">
        <f t="shared" si="122"/>
        <v>17.989999999999998</v>
      </c>
      <c r="L3959" t="s">
        <v>29</v>
      </c>
      <c r="M3959">
        <v>1</v>
      </c>
      <c r="N3959">
        <v>0.46</v>
      </c>
      <c r="O3959" t="str">
        <f t="shared" si="123"/>
        <v>0.4–0.6 hours</v>
      </c>
      <c r="P3959" t="s">
        <v>39</v>
      </c>
    </row>
    <row r="3960" spans="1:16" x14ac:dyDescent="0.4">
      <c r="A3960" t="s">
        <v>4001</v>
      </c>
      <c r="B3960">
        <v>45</v>
      </c>
      <c r="C3960" t="s">
        <v>41</v>
      </c>
      <c r="D3960" t="s">
        <v>16</v>
      </c>
      <c r="E3960">
        <v>0.28999999999999998</v>
      </c>
      <c r="F3960">
        <v>45</v>
      </c>
      <c r="G3960" t="s">
        <v>33</v>
      </c>
      <c r="H3960" t="s">
        <v>57</v>
      </c>
      <c r="I3960" s="2">
        <v>8.99</v>
      </c>
      <c r="J3960">
        <v>1</v>
      </c>
      <c r="K3960" s="2">
        <f t="shared" si="122"/>
        <v>8.99</v>
      </c>
      <c r="L3960" t="s">
        <v>37</v>
      </c>
      <c r="M3960">
        <v>2</v>
      </c>
      <c r="N3960">
        <v>0.01</v>
      </c>
      <c r="O3960" t="str">
        <f t="shared" si="123"/>
        <v>0–0.2 hours</v>
      </c>
      <c r="P3960" t="s">
        <v>52</v>
      </c>
    </row>
    <row r="3961" spans="1:16" x14ac:dyDescent="0.4">
      <c r="A3961" t="s">
        <v>4002</v>
      </c>
      <c r="B3961">
        <v>19</v>
      </c>
      <c r="C3961" t="s">
        <v>15</v>
      </c>
      <c r="D3961" t="s">
        <v>32</v>
      </c>
      <c r="E3961">
        <v>1.68</v>
      </c>
      <c r="F3961">
        <v>18</v>
      </c>
      <c r="G3961" t="s">
        <v>17</v>
      </c>
      <c r="H3961" t="s">
        <v>57</v>
      </c>
      <c r="I3961" s="2">
        <v>17.989999999999998</v>
      </c>
      <c r="J3961">
        <v>0</v>
      </c>
      <c r="K3961" s="2">
        <f t="shared" si="122"/>
        <v>0</v>
      </c>
      <c r="L3961" t="s">
        <v>43</v>
      </c>
      <c r="M3961">
        <v>4</v>
      </c>
      <c r="N3961">
        <v>0.09</v>
      </c>
      <c r="O3961" t="str">
        <f t="shared" si="123"/>
        <v>0–0.2 hours</v>
      </c>
      <c r="P3961" t="s">
        <v>34</v>
      </c>
    </row>
    <row r="3962" spans="1:16" x14ac:dyDescent="0.4">
      <c r="A3962" t="s">
        <v>4003</v>
      </c>
      <c r="B3962">
        <v>33</v>
      </c>
      <c r="C3962" t="s">
        <v>41</v>
      </c>
      <c r="D3962" t="s">
        <v>32</v>
      </c>
      <c r="E3962">
        <v>22.26</v>
      </c>
      <c r="F3962">
        <v>35</v>
      </c>
      <c r="G3962" t="s">
        <v>23</v>
      </c>
      <c r="H3962" t="s">
        <v>57</v>
      </c>
      <c r="I3962" s="2">
        <v>17.989999999999998</v>
      </c>
      <c r="J3962">
        <v>0</v>
      </c>
      <c r="K3962" s="2">
        <f t="shared" si="122"/>
        <v>0</v>
      </c>
      <c r="L3962" t="s">
        <v>37</v>
      </c>
      <c r="M3962">
        <v>3</v>
      </c>
      <c r="N3962">
        <v>0.62</v>
      </c>
      <c r="O3962" t="str">
        <f t="shared" si="123"/>
        <v>0.6–0.8 hours</v>
      </c>
      <c r="P3962" t="s">
        <v>30</v>
      </c>
    </row>
    <row r="3963" spans="1:16" x14ac:dyDescent="0.4">
      <c r="A3963" t="s">
        <v>4004</v>
      </c>
      <c r="B3963">
        <v>43</v>
      </c>
      <c r="C3963" t="s">
        <v>41</v>
      </c>
      <c r="D3963" t="s">
        <v>22</v>
      </c>
      <c r="E3963">
        <v>26.79</v>
      </c>
      <c r="F3963">
        <v>6</v>
      </c>
      <c r="G3963" t="s">
        <v>17</v>
      </c>
      <c r="H3963" t="s">
        <v>18</v>
      </c>
      <c r="I3963" s="2">
        <v>13.99</v>
      </c>
      <c r="J3963">
        <v>0</v>
      </c>
      <c r="K3963" s="2">
        <f t="shared" si="122"/>
        <v>0</v>
      </c>
      <c r="L3963" t="s">
        <v>61</v>
      </c>
      <c r="M3963">
        <v>3</v>
      </c>
      <c r="N3963">
        <v>3.83</v>
      </c>
      <c r="O3963" t="str">
        <f t="shared" si="123"/>
        <v>1+ hours</v>
      </c>
      <c r="P3963" t="s">
        <v>47</v>
      </c>
    </row>
    <row r="3964" spans="1:16" x14ac:dyDescent="0.4">
      <c r="A3964" t="s">
        <v>4005</v>
      </c>
      <c r="B3964">
        <v>19</v>
      </c>
      <c r="C3964" t="s">
        <v>27</v>
      </c>
      <c r="D3964" t="s">
        <v>16</v>
      </c>
      <c r="E3964">
        <v>48.49</v>
      </c>
      <c r="F3964">
        <v>7</v>
      </c>
      <c r="G3964" t="s">
        <v>23</v>
      </c>
      <c r="H3964" t="s">
        <v>18</v>
      </c>
      <c r="I3964" s="2">
        <v>8.99</v>
      </c>
      <c r="J3964">
        <v>0</v>
      </c>
      <c r="K3964" s="2">
        <f t="shared" si="122"/>
        <v>0</v>
      </c>
      <c r="L3964" t="s">
        <v>37</v>
      </c>
      <c r="M3964">
        <v>4</v>
      </c>
      <c r="N3964">
        <v>6.06</v>
      </c>
      <c r="O3964" t="str">
        <f t="shared" si="123"/>
        <v>1+ hours</v>
      </c>
      <c r="P3964" t="s">
        <v>20</v>
      </c>
    </row>
    <row r="3965" spans="1:16" x14ac:dyDescent="0.4">
      <c r="A3965" t="s">
        <v>4006</v>
      </c>
      <c r="B3965">
        <v>64</v>
      </c>
      <c r="C3965" t="s">
        <v>15</v>
      </c>
      <c r="D3965" t="s">
        <v>32</v>
      </c>
      <c r="E3965">
        <v>1.83</v>
      </c>
      <c r="F3965">
        <v>0</v>
      </c>
      <c r="G3965" t="s">
        <v>17</v>
      </c>
      <c r="H3965" t="s">
        <v>57</v>
      </c>
      <c r="I3965" s="2">
        <v>17.989999999999998</v>
      </c>
      <c r="J3965">
        <v>0</v>
      </c>
      <c r="K3965" s="2">
        <f t="shared" si="122"/>
        <v>0</v>
      </c>
      <c r="L3965" t="s">
        <v>43</v>
      </c>
      <c r="M3965">
        <v>1</v>
      </c>
      <c r="N3965">
        <v>1.83</v>
      </c>
      <c r="O3965" t="str">
        <f t="shared" si="123"/>
        <v>1+ hours</v>
      </c>
      <c r="P3965" t="s">
        <v>39</v>
      </c>
    </row>
    <row r="3966" spans="1:16" x14ac:dyDescent="0.4">
      <c r="A3966" t="s">
        <v>4007</v>
      </c>
      <c r="B3966">
        <v>42</v>
      </c>
      <c r="C3966" t="s">
        <v>15</v>
      </c>
      <c r="D3966" t="s">
        <v>22</v>
      </c>
      <c r="E3966">
        <v>6.91</v>
      </c>
      <c r="F3966">
        <v>21</v>
      </c>
      <c r="G3966" t="s">
        <v>28</v>
      </c>
      <c r="H3966" t="s">
        <v>24</v>
      </c>
      <c r="I3966" s="2">
        <v>13.99</v>
      </c>
      <c r="J3966">
        <v>0</v>
      </c>
      <c r="K3966" s="2">
        <f t="shared" si="122"/>
        <v>0</v>
      </c>
      <c r="L3966" t="s">
        <v>19</v>
      </c>
      <c r="M3966">
        <v>4</v>
      </c>
      <c r="N3966">
        <v>0.31</v>
      </c>
      <c r="O3966" t="str">
        <f t="shared" si="123"/>
        <v>0.2–0.4 hours</v>
      </c>
      <c r="P3966" t="s">
        <v>30</v>
      </c>
    </row>
    <row r="3967" spans="1:16" x14ac:dyDescent="0.4">
      <c r="A3967" t="s">
        <v>4008</v>
      </c>
      <c r="B3967">
        <v>63</v>
      </c>
      <c r="C3967" t="s">
        <v>41</v>
      </c>
      <c r="D3967" t="s">
        <v>32</v>
      </c>
      <c r="E3967">
        <v>50.34</v>
      </c>
      <c r="F3967">
        <v>16</v>
      </c>
      <c r="G3967" t="s">
        <v>23</v>
      </c>
      <c r="H3967" t="s">
        <v>18</v>
      </c>
      <c r="I3967" s="2">
        <v>17.989999999999998</v>
      </c>
      <c r="J3967">
        <v>0</v>
      </c>
      <c r="K3967" s="2">
        <f t="shared" si="122"/>
        <v>0</v>
      </c>
      <c r="L3967" t="s">
        <v>29</v>
      </c>
      <c r="M3967">
        <v>5</v>
      </c>
      <c r="N3967">
        <v>2.96</v>
      </c>
      <c r="O3967" t="str">
        <f t="shared" si="123"/>
        <v>1+ hours</v>
      </c>
      <c r="P3967" t="s">
        <v>39</v>
      </c>
    </row>
    <row r="3968" spans="1:16" x14ac:dyDescent="0.4">
      <c r="A3968" t="s">
        <v>4009</v>
      </c>
      <c r="B3968">
        <v>37</v>
      </c>
      <c r="C3968" t="s">
        <v>15</v>
      </c>
      <c r="D3968" t="s">
        <v>16</v>
      </c>
      <c r="E3968">
        <v>11.16</v>
      </c>
      <c r="F3968">
        <v>23</v>
      </c>
      <c r="G3968" t="s">
        <v>70</v>
      </c>
      <c r="H3968" t="s">
        <v>57</v>
      </c>
      <c r="I3968" s="2">
        <v>8.99</v>
      </c>
      <c r="J3968">
        <v>0</v>
      </c>
      <c r="K3968" s="2">
        <f t="shared" si="122"/>
        <v>0</v>
      </c>
      <c r="L3968" t="s">
        <v>43</v>
      </c>
      <c r="M3968">
        <v>2</v>
      </c>
      <c r="N3968">
        <v>0.47</v>
      </c>
      <c r="O3968" t="str">
        <f t="shared" si="123"/>
        <v>0.4–0.6 hours</v>
      </c>
      <c r="P3968" t="s">
        <v>52</v>
      </c>
    </row>
    <row r="3969" spans="1:16" x14ac:dyDescent="0.4">
      <c r="A3969" t="s">
        <v>4010</v>
      </c>
      <c r="B3969">
        <v>60</v>
      </c>
      <c r="C3969" t="s">
        <v>41</v>
      </c>
      <c r="D3969" t="s">
        <v>16</v>
      </c>
      <c r="E3969">
        <v>5.34</v>
      </c>
      <c r="F3969">
        <v>18</v>
      </c>
      <c r="G3969" t="s">
        <v>28</v>
      </c>
      <c r="H3969" t="s">
        <v>18</v>
      </c>
      <c r="I3969" s="2">
        <v>8.99</v>
      </c>
      <c r="J3969">
        <v>0</v>
      </c>
      <c r="K3969" s="2">
        <f t="shared" si="122"/>
        <v>0</v>
      </c>
      <c r="L3969" t="s">
        <v>61</v>
      </c>
      <c r="M3969">
        <v>2</v>
      </c>
      <c r="N3969">
        <v>0.28000000000000003</v>
      </c>
      <c r="O3969" t="str">
        <f t="shared" si="123"/>
        <v>0.2–0.4 hours</v>
      </c>
      <c r="P3969" t="s">
        <v>30</v>
      </c>
    </row>
    <row r="3970" spans="1:16" x14ac:dyDescent="0.4">
      <c r="A3970" t="s">
        <v>4011</v>
      </c>
      <c r="B3970">
        <v>64</v>
      </c>
      <c r="C3970" t="s">
        <v>41</v>
      </c>
      <c r="D3970" t="s">
        <v>16</v>
      </c>
      <c r="E3970">
        <v>19.100000000000001</v>
      </c>
      <c r="F3970">
        <v>30</v>
      </c>
      <c r="G3970" t="s">
        <v>23</v>
      </c>
      <c r="H3970" t="s">
        <v>57</v>
      </c>
      <c r="I3970" s="2">
        <v>8.99</v>
      </c>
      <c r="J3970">
        <v>0</v>
      </c>
      <c r="K3970" s="2">
        <f t="shared" si="122"/>
        <v>0</v>
      </c>
      <c r="L3970" t="s">
        <v>61</v>
      </c>
      <c r="M3970">
        <v>4</v>
      </c>
      <c r="N3970">
        <v>0.62</v>
      </c>
      <c r="O3970" t="str">
        <f t="shared" si="123"/>
        <v>0.6–0.8 hours</v>
      </c>
      <c r="P3970" t="s">
        <v>52</v>
      </c>
    </row>
    <row r="3971" spans="1:16" x14ac:dyDescent="0.4">
      <c r="A3971" t="s">
        <v>4012</v>
      </c>
      <c r="B3971">
        <v>18</v>
      </c>
      <c r="C3971" t="s">
        <v>27</v>
      </c>
      <c r="D3971" t="s">
        <v>16</v>
      </c>
      <c r="E3971">
        <v>1.97</v>
      </c>
      <c r="F3971">
        <v>46</v>
      </c>
      <c r="G3971" t="s">
        <v>49</v>
      </c>
      <c r="H3971" t="s">
        <v>18</v>
      </c>
      <c r="I3971" s="2">
        <v>8.99</v>
      </c>
      <c r="J3971">
        <v>1</v>
      </c>
      <c r="K3971" s="2">
        <f t="shared" ref="K3971:K4034" si="124">SUMIF(J3971,1,I3971)</f>
        <v>8.99</v>
      </c>
      <c r="L3971" t="s">
        <v>29</v>
      </c>
      <c r="M3971">
        <v>2</v>
      </c>
      <c r="N3971">
        <v>0.04</v>
      </c>
      <c r="O3971" t="str">
        <f t="shared" ref="O3971:O4034" si="125">IF(N3971&gt;1,"1+ hours",IF(N3971&lt;=0.2,"0–0.2 hours",IF(N3971&lt;=0.4,"0.2–0.4 hours",IF(N3971&lt;=0.6,"0.4–0.6 hours",IF(N3971&lt;=0.8,"0.6–0.8 hours","0.8–1 hour")))))</f>
        <v>0–0.2 hours</v>
      </c>
      <c r="P3971" t="s">
        <v>20</v>
      </c>
    </row>
    <row r="3972" spans="1:16" x14ac:dyDescent="0.4">
      <c r="A3972" t="s">
        <v>4013</v>
      </c>
      <c r="B3972">
        <v>61</v>
      </c>
      <c r="C3972" t="s">
        <v>27</v>
      </c>
      <c r="D3972" t="s">
        <v>22</v>
      </c>
      <c r="E3972">
        <v>2.54</v>
      </c>
      <c r="F3972">
        <v>49</v>
      </c>
      <c r="G3972" t="s">
        <v>49</v>
      </c>
      <c r="H3972" t="s">
        <v>18</v>
      </c>
      <c r="I3972" s="2">
        <v>13.99</v>
      </c>
      <c r="J3972">
        <v>1</v>
      </c>
      <c r="K3972" s="2">
        <f t="shared" si="124"/>
        <v>13.99</v>
      </c>
      <c r="L3972" t="s">
        <v>19</v>
      </c>
      <c r="M3972">
        <v>3</v>
      </c>
      <c r="N3972">
        <v>0.05</v>
      </c>
      <c r="O3972" t="str">
        <f t="shared" si="125"/>
        <v>0–0.2 hours</v>
      </c>
      <c r="P3972" t="s">
        <v>30</v>
      </c>
    </row>
    <row r="3973" spans="1:16" x14ac:dyDescent="0.4">
      <c r="A3973" t="s">
        <v>4014</v>
      </c>
      <c r="B3973">
        <v>70</v>
      </c>
      <c r="C3973" t="s">
        <v>15</v>
      </c>
      <c r="D3973" t="s">
        <v>16</v>
      </c>
      <c r="E3973">
        <v>13.09</v>
      </c>
      <c r="F3973">
        <v>13</v>
      </c>
      <c r="G3973" t="s">
        <v>28</v>
      </c>
      <c r="H3973" t="s">
        <v>57</v>
      </c>
      <c r="I3973" s="2">
        <v>8.99</v>
      </c>
      <c r="J3973">
        <v>0</v>
      </c>
      <c r="K3973" s="2">
        <f t="shared" si="124"/>
        <v>0</v>
      </c>
      <c r="L3973" t="s">
        <v>37</v>
      </c>
      <c r="M3973">
        <v>2</v>
      </c>
      <c r="N3973">
        <v>0.93</v>
      </c>
      <c r="O3973" t="str">
        <f t="shared" si="125"/>
        <v>0.8–1 hour</v>
      </c>
      <c r="P3973" t="s">
        <v>47</v>
      </c>
    </row>
    <row r="3974" spans="1:16" x14ac:dyDescent="0.4">
      <c r="A3974" t="s">
        <v>4015</v>
      </c>
      <c r="B3974">
        <v>43</v>
      </c>
      <c r="C3974" t="s">
        <v>27</v>
      </c>
      <c r="D3974" t="s">
        <v>22</v>
      </c>
      <c r="E3974">
        <v>3.16</v>
      </c>
      <c r="F3974">
        <v>7</v>
      </c>
      <c r="G3974" t="s">
        <v>28</v>
      </c>
      <c r="H3974" t="s">
        <v>24</v>
      </c>
      <c r="I3974" s="2">
        <v>13.99</v>
      </c>
      <c r="J3974">
        <v>1</v>
      </c>
      <c r="K3974" s="2">
        <f t="shared" si="124"/>
        <v>13.99</v>
      </c>
      <c r="L3974" t="s">
        <v>43</v>
      </c>
      <c r="M3974">
        <v>2</v>
      </c>
      <c r="N3974">
        <v>0.4</v>
      </c>
      <c r="O3974" t="str">
        <f t="shared" si="125"/>
        <v>0.2–0.4 hours</v>
      </c>
      <c r="P3974" t="s">
        <v>25</v>
      </c>
    </row>
    <row r="3975" spans="1:16" x14ac:dyDescent="0.4">
      <c r="A3975" t="s">
        <v>4016</v>
      </c>
      <c r="B3975">
        <v>20</v>
      </c>
      <c r="C3975" t="s">
        <v>41</v>
      </c>
      <c r="D3975" t="s">
        <v>16</v>
      </c>
      <c r="E3975">
        <v>3.38</v>
      </c>
      <c r="F3975">
        <v>34</v>
      </c>
      <c r="G3975" t="s">
        <v>23</v>
      </c>
      <c r="H3975" t="s">
        <v>18</v>
      </c>
      <c r="I3975" s="2">
        <v>8.99</v>
      </c>
      <c r="J3975">
        <v>1</v>
      </c>
      <c r="K3975" s="2">
        <f t="shared" si="124"/>
        <v>8.99</v>
      </c>
      <c r="L3975" t="s">
        <v>61</v>
      </c>
      <c r="M3975">
        <v>5</v>
      </c>
      <c r="N3975">
        <v>0.1</v>
      </c>
      <c r="O3975" t="str">
        <f t="shared" si="125"/>
        <v>0–0.2 hours</v>
      </c>
      <c r="P3975" t="s">
        <v>39</v>
      </c>
    </row>
    <row r="3976" spans="1:16" x14ac:dyDescent="0.4">
      <c r="A3976" t="s">
        <v>4017</v>
      </c>
      <c r="B3976">
        <v>49</v>
      </c>
      <c r="C3976" t="s">
        <v>15</v>
      </c>
      <c r="D3976" t="s">
        <v>16</v>
      </c>
      <c r="E3976">
        <v>1.17</v>
      </c>
      <c r="F3976">
        <v>46</v>
      </c>
      <c r="G3976" t="s">
        <v>49</v>
      </c>
      <c r="H3976" t="s">
        <v>46</v>
      </c>
      <c r="I3976" s="2">
        <v>8.99</v>
      </c>
      <c r="J3976">
        <v>1</v>
      </c>
      <c r="K3976" s="2">
        <f t="shared" si="124"/>
        <v>8.99</v>
      </c>
      <c r="L3976" t="s">
        <v>37</v>
      </c>
      <c r="M3976">
        <v>1</v>
      </c>
      <c r="N3976">
        <v>0.02</v>
      </c>
      <c r="O3976" t="str">
        <f t="shared" si="125"/>
        <v>0–0.2 hours</v>
      </c>
      <c r="P3976" t="s">
        <v>39</v>
      </c>
    </row>
    <row r="3977" spans="1:16" x14ac:dyDescent="0.4">
      <c r="A3977" t="s">
        <v>4018</v>
      </c>
      <c r="B3977">
        <v>40</v>
      </c>
      <c r="C3977" t="s">
        <v>41</v>
      </c>
      <c r="D3977" t="s">
        <v>16</v>
      </c>
      <c r="E3977">
        <v>4.92</v>
      </c>
      <c r="F3977">
        <v>30</v>
      </c>
      <c r="G3977" t="s">
        <v>70</v>
      </c>
      <c r="H3977" t="s">
        <v>57</v>
      </c>
      <c r="I3977" s="2">
        <v>8.99</v>
      </c>
      <c r="J3977">
        <v>1</v>
      </c>
      <c r="K3977" s="2">
        <f t="shared" si="124"/>
        <v>8.99</v>
      </c>
      <c r="L3977" t="s">
        <v>61</v>
      </c>
      <c r="M3977">
        <v>5</v>
      </c>
      <c r="N3977">
        <v>0.16</v>
      </c>
      <c r="O3977" t="str">
        <f t="shared" si="125"/>
        <v>0–0.2 hours</v>
      </c>
      <c r="P3977" t="s">
        <v>52</v>
      </c>
    </row>
    <row r="3978" spans="1:16" x14ac:dyDescent="0.4">
      <c r="A3978" t="s">
        <v>4019</v>
      </c>
      <c r="B3978">
        <v>63</v>
      </c>
      <c r="C3978" t="s">
        <v>41</v>
      </c>
      <c r="D3978" t="s">
        <v>16</v>
      </c>
      <c r="E3978">
        <v>2.2400000000000002</v>
      </c>
      <c r="F3978">
        <v>27</v>
      </c>
      <c r="G3978" t="s">
        <v>17</v>
      </c>
      <c r="H3978" t="s">
        <v>24</v>
      </c>
      <c r="I3978" s="2">
        <v>8.99</v>
      </c>
      <c r="J3978">
        <v>1</v>
      </c>
      <c r="K3978" s="2">
        <f t="shared" si="124"/>
        <v>8.99</v>
      </c>
      <c r="L3978" t="s">
        <v>61</v>
      </c>
      <c r="M3978">
        <v>4</v>
      </c>
      <c r="N3978">
        <v>0.08</v>
      </c>
      <c r="O3978" t="str">
        <f t="shared" si="125"/>
        <v>0–0.2 hours</v>
      </c>
      <c r="P3978" t="s">
        <v>30</v>
      </c>
    </row>
    <row r="3979" spans="1:16" x14ac:dyDescent="0.4">
      <c r="A3979" t="s">
        <v>4020</v>
      </c>
      <c r="B3979">
        <v>30</v>
      </c>
      <c r="C3979" t="s">
        <v>15</v>
      </c>
      <c r="D3979" t="s">
        <v>32</v>
      </c>
      <c r="E3979">
        <v>4.45</v>
      </c>
      <c r="F3979">
        <v>43</v>
      </c>
      <c r="G3979" t="s">
        <v>23</v>
      </c>
      <c r="H3979" t="s">
        <v>24</v>
      </c>
      <c r="I3979" s="2">
        <v>17.989999999999998</v>
      </c>
      <c r="J3979">
        <v>1</v>
      </c>
      <c r="K3979" s="2">
        <f t="shared" si="124"/>
        <v>17.989999999999998</v>
      </c>
      <c r="L3979" t="s">
        <v>19</v>
      </c>
      <c r="M3979">
        <v>4</v>
      </c>
      <c r="N3979">
        <v>0.1</v>
      </c>
      <c r="O3979" t="str">
        <f t="shared" si="125"/>
        <v>0–0.2 hours</v>
      </c>
      <c r="P3979" t="s">
        <v>20</v>
      </c>
    </row>
    <row r="3980" spans="1:16" x14ac:dyDescent="0.4">
      <c r="A3980" t="s">
        <v>4021</v>
      </c>
      <c r="B3980">
        <v>53</v>
      </c>
      <c r="C3980" t="s">
        <v>41</v>
      </c>
      <c r="D3980" t="s">
        <v>32</v>
      </c>
      <c r="E3980">
        <v>11.18</v>
      </c>
      <c r="F3980">
        <v>19</v>
      </c>
      <c r="G3980" t="s">
        <v>49</v>
      </c>
      <c r="H3980" t="s">
        <v>57</v>
      </c>
      <c r="I3980" s="2">
        <v>17.989999999999998</v>
      </c>
      <c r="J3980">
        <v>0</v>
      </c>
      <c r="K3980" s="2">
        <f t="shared" si="124"/>
        <v>0</v>
      </c>
      <c r="L3980" t="s">
        <v>43</v>
      </c>
      <c r="M3980">
        <v>4</v>
      </c>
      <c r="N3980">
        <v>0.56000000000000005</v>
      </c>
      <c r="O3980" t="str">
        <f t="shared" si="125"/>
        <v>0.4–0.6 hours</v>
      </c>
      <c r="P3980" t="s">
        <v>47</v>
      </c>
    </row>
    <row r="3981" spans="1:16" x14ac:dyDescent="0.4">
      <c r="A3981" t="s">
        <v>4022</v>
      </c>
      <c r="B3981">
        <v>18</v>
      </c>
      <c r="C3981" t="s">
        <v>15</v>
      </c>
      <c r="D3981" t="s">
        <v>32</v>
      </c>
      <c r="E3981">
        <v>9.52</v>
      </c>
      <c r="F3981">
        <v>5</v>
      </c>
      <c r="G3981" t="s">
        <v>33</v>
      </c>
      <c r="H3981" t="s">
        <v>55</v>
      </c>
      <c r="I3981" s="2">
        <v>17.989999999999998</v>
      </c>
      <c r="J3981">
        <v>0</v>
      </c>
      <c r="K3981" s="2">
        <f t="shared" si="124"/>
        <v>0</v>
      </c>
      <c r="L3981" t="s">
        <v>19</v>
      </c>
      <c r="M3981">
        <v>2</v>
      </c>
      <c r="N3981">
        <v>1.59</v>
      </c>
      <c r="O3981" t="str">
        <f t="shared" si="125"/>
        <v>1+ hours</v>
      </c>
      <c r="P3981" t="s">
        <v>30</v>
      </c>
    </row>
    <row r="3982" spans="1:16" x14ac:dyDescent="0.4">
      <c r="A3982" t="s">
        <v>4023</v>
      </c>
      <c r="B3982">
        <v>39</v>
      </c>
      <c r="C3982" t="s">
        <v>15</v>
      </c>
      <c r="D3982" t="s">
        <v>22</v>
      </c>
      <c r="E3982">
        <v>0.75</v>
      </c>
      <c r="F3982">
        <v>27</v>
      </c>
      <c r="G3982" t="s">
        <v>17</v>
      </c>
      <c r="H3982" t="s">
        <v>46</v>
      </c>
      <c r="I3982" s="2">
        <v>13.99</v>
      </c>
      <c r="J3982">
        <v>1</v>
      </c>
      <c r="K3982" s="2">
        <f t="shared" si="124"/>
        <v>13.99</v>
      </c>
      <c r="L3982" t="s">
        <v>29</v>
      </c>
      <c r="M3982">
        <v>4</v>
      </c>
      <c r="N3982">
        <v>0.03</v>
      </c>
      <c r="O3982" t="str">
        <f t="shared" si="125"/>
        <v>0–0.2 hours</v>
      </c>
      <c r="P3982" t="s">
        <v>39</v>
      </c>
    </row>
    <row r="3983" spans="1:16" x14ac:dyDescent="0.4">
      <c r="A3983" t="s">
        <v>4024</v>
      </c>
      <c r="B3983">
        <v>70</v>
      </c>
      <c r="C3983" t="s">
        <v>41</v>
      </c>
      <c r="D3983" t="s">
        <v>22</v>
      </c>
      <c r="E3983">
        <v>13.92</v>
      </c>
      <c r="F3983">
        <v>57</v>
      </c>
      <c r="G3983" t="s">
        <v>70</v>
      </c>
      <c r="H3983" t="s">
        <v>46</v>
      </c>
      <c r="I3983" s="2">
        <v>13.99</v>
      </c>
      <c r="J3983">
        <v>1</v>
      </c>
      <c r="K3983" s="2">
        <f t="shared" si="124"/>
        <v>13.99</v>
      </c>
      <c r="L3983" t="s">
        <v>29</v>
      </c>
      <c r="M3983">
        <v>1</v>
      </c>
      <c r="N3983">
        <v>0.24</v>
      </c>
      <c r="O3983" t="str">
        <f t="shared" si="125"/>
        <v>0.2–0.4 hours</v>
      </c>
      <c r="P3983" t="s">
        <v>20</v>
      </c>
    </row>
    <row r="3984" spans="1:16" x14ac:dyDescent="0.4">
      <c r="A3984" t="s">
        <v>4025</v>
      </c>
      <c r="B3984">
        <v>19</v>
      </c>
      <c r="C3984" t="s">
        <v>41</v>
      </c>
      <c r="D3984" t="s">
        <v>32</v>
      </c>
      <c r="E3984">
        <v>5.34</v>
      </c>
      <c r="F3984">
        <v>0</v>
      </c>
      <c r="G3984" t="s">
        <v>23</v>
      </c>
      <c r="H3984" t="s">
        <v>57</v>
      </c>
      <c r="I3984" s="2">
        <v>17.989999999999998</v>
      </c>
      <c r="J3984">
        <v>0</v>
      </c>
      <c r="K3984" s="2">
        <f t="shared" si="124"/>
        <v>0</v>
      </c>
      <c r="L3984" t="s">
        <v>61</v>
      </c>
      <c r="M3984">
        <v>3</v>
      </c>
      <c r="N3984">
        <v>5.34</v>
      </c>
      <c r="O3984" t="str">
        <f t="shared" si="125"/>
        <v>1+ hours</v>
      </c>
      <c r="P3984" t="s">
        <v>52</v>
      </c>
    </row>
    <row r="3985" spans="1:16" x14ac:dyDescent="0.4">
      <c r="A3985" t="s">
        <v>4026</v>
      </c>
      <c r="B3985">
        <v>48</v>
      </c>
      <c r="C3985" t="s">
        <v>15</v>
      </c>
      <c r="D3985" t="s">
        <v>16</v>
      </c>
      <c r="E3985">
        <v>10.9</v>
      </c>
      <c r="F3985">
        <v>26</v>
      </c>
      <c r="G3985" t="s">
        <v>33</v>
      </c>
      <c r="H3985" t="s">
        <v>24</v>
      </c>
      <c r="I3985" s="2">
        <v>8.99</v>
      </c>
      <c r="J3985">
        <v>1</v>
      </c>
      <c r="K3985" s="2">
        <f t="shared" si="124"/>
        <v>8.99</v>
      </c>
      <c r="L3985" t="s">
        <v>29</v>
      </c>
      <c r="M3985">
        <v>2</v>
      </c>
      <c r="N3985">
        <v>0.4</v>
      </c>
      <c r="O3985" t="str">
        <f t="shared" si="125"/>
        <v>0.2–0.4 hours</v>
      </c>
      <c r="P3985" t="s">
        <v>34</v>
      </c>
    </row>
    <row r="3986" spans="1:16" x14ac:dyDescent="0.4">
      <c r="A3986" t="s">
        <v>4027</v>
      </c>
      <c r="B3986">
        <v>26</v>
      </c>
      <c r="C3986" t="s">
        <v>41</v>
      </c>
      <c r="D3986" t="s">
        <v>32</v>
      </c>
      <c r="E3986">
        <v>8.1300000000000008</v>
      </c>
      <c r="F3986">
        <v>12</v>
      </c>
      <c r="G3986" t="s">
        <v>49</v>
      </c>
      <c r="H3986" t="s">
        <v>46</v>
      </c>
      <c r="I3986" s="2">
        <v>17.989999999999998</v>
      </c>
      <c r="J3986">
        <v>0</v>
      </c>
      <c r="K3986" s="2">
        <f t="shared" si="124"/>
        <v>0</v>
      </c>
      <c r="L3986" t="s">
        <v>61</v>
      </c>
      <c r="M3986">
        <v>4</v>
      </c>
      <c r="N3986">
        <v>0.63</v>
      </c>
      <c r="O3986" t="str">
        <f t="shared" si="125"/>
        <v>0.6–0.8 hours</v>
      </c>
      <c r="P3986" t="s">
        <v>25</v>
      </c>
    </row>
    <row r="3987" spans="1:16" x14ac:dyDescent="0.4">
      <c r="A3987" t="s">
        <v>4028</v>
      </c>
      <c r="B3987">
        <v>48</v>
      </c>
      <c r="C3987" t="s">
        <v>27</v>
      </c>
      <c r="D3987" t="s">
        <v>22</v>
      </c>
      <c r="E3987">
        <v>17.03</v>
      </c>
      <c r="F3987">
        <v>57</v>
      </c>
      <c r="G3987" t="s">
        <v>23</v>
      </c>
      <c r="H3987" t="s">
        <v>18</v>
      </c>
      <c r="I3987" s="2">
        <v>13.99</v>
      </c>
      <c r="J3987">
        <v>0</v>
      </c>
      <c r="K3987" s="2">
        <f t="shared" si="124"/>
        <v>0</v>
      </c>
      <c r="L3987" t="s">
        <v>37</v>
      </c>
      <c r="M3987">
        <v>5</v>
      </c>
      <c r="N3987">
        <v>0.28999999999999998</v>
      </c>
      <c r="O3987" t="str">
        <f t="shared" si="125"/>
        <v>0.2–0.4 hours</v>
      </c>
      <c r="P3987" t="s">
        <v>20</v>
      </c>
    </row>
    <row r="3988" spans="1:16" x14ac:dyDescent="0.4">
      <c r="A3988" t="s">
        <v>4029</v>
      </c>
      <c r="B3988">
        <v>19</v>
      </c>
      <c r="C3988" t="s">
        <v>27</v>
      </c>
      <c r="D3988" t="s">
        <v>32</v>
      </c>
      <c r="E3988">
        <v>4.7300000000000004</v>
      </c>
      <c r="F3988">
        <v>41</v>
      </c>
      <c r="G3988" t="s">
        <v>28</v>
      </c>
      <c r="H3988" t="s">
        <v>57</v>
      </c>
      <c r="I3988" s="2">
        <v>17.989999999999998</v>
      </c>
      <c r="J3988">
        <v>1</v>
      </c>
      <c r="K3988" s="2">
        <f t="shared" si="124"/>
        <v>17.989999999999998</v>
      </c>
      <c r="L3988" t="s">
        <v>29</v>
      </c>
      <c r="M3988">
        <v>2</v>
      </c>
      <c r="N3988">
        <v>0.11</v>
      </c>
      <c r="O3988" t="str">
        <f t="shared" si="125"/>
        <v>0–0.2 hours</v>
      </c>
      <c r="P3988" t="s">
        <v>30</v>
      </c>
    </row>
    <row r="3989" spans="1:16" x14ac:dyDescent="0.4">
      <c r="A3989" t="s">
        <v>4030</v>
      </c>
      <c r="B3989">
        <v>70</v>
      </c>
      <c r="C3989" t="s">
        <v>41</v>
      </c>
      <c r="D3989" t="s">
        <v>16</v>
      </c>
      <c r="E3989">
        <v>110.4</v>
      </c>
      <c r="F3989">
        <v>33</v>
      </c>
      <c r="G3989" t="s">
        <v>17</v>
      </c>
      <c r="H3989" t="s">
        <v>55</v>
      </c>
      <c r="I3989" s="2">
        <v>8.99</v>
      </c>
      <c r="J3989">
        <v>0</v>
      </c>
      <c r="K3989" s="2">
        <f t="shared" si="124"/>
        <v>0</v>
      </c>
      <c r="L3989" t="s">
        <v>43</v>
      </c>
      <c r="M3989">
        <v>5</v>
      </c>
      <c r="N3989">
        <v>3.25</v>
      </c>
      <c r="O3989" t="str">
        <f t="shared" si="125"/>
        <v>1+ hours</v>
      </c>
      <c r="P3989" t="s">
        <v>34</v>
      </c>
    </row>
    <row r="3990" spans="1:16" x14ac:dyDescent="0.4">
      <c r="A3990" t="s">
        <v>4031</v>
      </c>
      <c r="B3990">
        <v>18</v>
      </c>
      <c r="C3990" t="s">
        <v>27</v>
      </c>
      <c r="D3990" t="s">
        <v>22</v>
      </c>
      <c r="E3990">
        <v>5.32</v>
      </c>
      <c r="F3990">
        <v>18</v>
      </c>
      <c r="G3990" t="s">
        <v>28</v>
      </c>
      <c r="H3990" t="s">
        <v>55</v>
      </c>
      <c r="I3990" s="2">
        <v>13.99</v>
      </c>
      <c r="J3990">
        <v>0</v>
      </c>
      <c r="K3990" s="2">
        <f t="shared" si="124"/>
        <v>0</v>
      </c>
      <c r="L3990" t="s">
        <v>19</v>
      </c>
      <c r="M3990">
        <v>3</v>
      </c>
      <c r="N3990">
        <v>0.28000000000000003</v>
      </c>
      <c r="O3990" t="str">
        <f t="shared" si="125"/>
        <v>0.2–0.4 hours</v>
      </c>
      <c r="P3990" t="s">
        <v>25</v>
      </c>
    </row>
    <row r="3991" spans="1:16" x14ac:dyDescent="0.4">
      <c r="A3991" t="s">
        <v>4032</v>
      </c>
      <c r="B3991">
        <v>58</v>
      </c>
      <c r="C3991" t="s">
        <v>27</v>
      </c>
      <c r="D3991" t="s">
        <v>22</v>
      </c>
      <c r="E3991">
        <v>2.5099999999999998</v>
      </c>
      <c r="F3991">
        <v>31</v>
      </c>
      <c r="G3991" t="s">
        <v>70</v>
      </c>
      <c r="H3991" t="s">
        <v>55</v>
      </c>
      <c r="I3991" s="2">
        <v>13.99</v>
      </c>
      <c r="J3991">
        <v>1</v>
      </c>
      <c r="K3991" s="2">
        <f t="shared" si="124"/>
        <v>13.99</v>
      </c>
      <c r="L3991" t="s">
        <v>43</v>
      </c>
      <c r="M3991">
        <v>5</v>
      </c>
      <c r="N3991">
        <v>0.08</v>
      </c>
      <c r="O3991" t="str">
        <f t="shared" si="125"/>
        <v>0–0.2 hours</v>
      </c>
      <c r="P3991" t="s">
        <v>30</v>
      </c>
    </row>
    <row r="3992" spans="1:16" x14ac:dyDescent="0.4">
      <c r="A3992" t="s">
        <v>4033</v>
      </c>
      <c r="B3992">
        <v>57</v>
      </c>
      <c r="C3992" t="s">
        <v>41</v>
      </c>
      <c r="D3992" t="s">
        <v>32</v>
      </c>
      <c r="E3992">
        <v>44.65</v>
      </c>
      <c r="F3992">
        <v>52</v>
      </c>
      <c r="G3992" t="s">
        <v>33</v>
      </c>
      <c r="H3992" t="s">
        <v>57</v>
      </c>
      <c r="I3992" s="2">
        <v>17.989999999999998</v>
      </c>
      <c r="J3992">
        <v>0</v>
      </c>
      <c r="K3992" s="2">
        <f t="shared" si="124"/>
        <v>0</v>
      </c>
      <c r="L3992" t="s">
        <v>61</v>
      </c>
      <c r="M3992">
        <v>5</v>
      </c>
      <c r="N3992">
        <v>0.84</v>
      </c>
      <c r="O3992" t="str">
        <f t="shared" si="125"/>
        <v>0.8–1 hour</v>
      </c>
      <c r="P3992" t="s">
        <v>47</v>
      </c>
    </row>
    <row r="3993" spans="1:16" x14ac:dyDescent="0.4">
      <c r="A3993" t="s">
        <v>4034</v>
      </c>
      <c r="B3993">
        <v>47</v>
      </c>
      <c r="C3993" t="s">
        <v>15</v>
      </c>
      <c r="D3993" t="s">
        <v>22</v>
      </c>
      <c r="E3993">
        <v>1.59</v>
      </c>
      <c r="F3993">
        <v>34</v>
      </c>
      <c r="G3993" t="s">
        <v>33</v>
      </c>
      <c r="H3993" t="s">
        <v>24</v>
      </c>
      <c r="I3993" s="2">
        <v>13.99</v>
      </c>
      <c r="J3993">
        <v>1</v>
      </c>
      <c r="K3993" s="2">
        <f t="shared" si="124"/>
        <v>13.99</v>
      </c>
      <c r="L3993" t="s">
        <v>19</v>
      </c>
      <c r="M3993">
        <v>1</v>
      </c>
      <c r="N3993">
        <v>0.05</v>
      </c>
      <c r="O3993" t="str">
        <f t="shared" si="125"/>
        <v>0–0.2 hours</v>
      </c>
      <c r="P3993" t="s">
        <v>47</v>
      </c>
    </row>
    <row r="3994" spans="1:16" x14ac:dyDescent="0.4">
      <c r="A3994" t="s">
        <v>4035</v>
      </c>
      <c r="B3994">
        <v>22</v>
      </c>
      <c r="C3994" t="s">
        <v>15</v>
      </c>
      <c r="D3994" t="s">
        <v>32</v>
      </c>
      <c r="E3994">
        <v>32.25</v>
      </c>
      <c r="F3994">
        <v>30</v>
      </c>
      <c r="G3994" t="s">
        <v>17</v>
      </c>
      <c r="H3994" t="s">
        <v>18</v>
      </c>
      <c r="I3994" s="2">
        <v>17.989999999999998</v>
      </c>
      <c r="J3994">
        <v>0</v>
      </c>
      <c r="K3994" s="2">
        <f t="shared" si="124"/>
        <v>0</v>
      </c>
      <c r="L3994" t="s">
        <v>19</v>
      </c>
      <c r="M3994">
        <v>2</v>
      </c>
      <c r="N3994">
        <v>1.04</v>
      </c>
      <c r="O3994" t="str">
        <f t="shared" si="125"/>
        <v>1+ hours</v>
      </c>
      <c r="P3994" t="s">
        <v>39</v>
      </c>
    </row>
    <row r="3995" spans="1:16" x14ac:dyDescent="0.4">
      <c r="A3995" t="s">
        <v>4036</v>
      </c>
      <c r="B3995">
        <v>52</v>
      </c>
      <c r="C3995" t="s">
        <v>15</v>
      </c>
      <c r="D3995" t="s">
        <v>32</v>
      </c>
      <c r="E3995">
        <v>1.42</v>
      </c>
      <c r="F3995">
        <v>45</v>
      </c>
      <c r="G3995" t="s">
        <v>70</v>
      </c>
      <c r="H3995" t="s">
        <v>57</v>
      </c>
      <c r="I3995" s="2">
        <v>17.989999999999998</v>
      </c>
      <c r="J3995">
        <v>1</v>
      </c>
      <c r="K3995" s="2">
        <f t="shared" si="124"/>
        <v>17.989999999999998</v>
      </c>
      <c r="L3995" t="s">
        <v>43</v>
      </c>
      <c r="M3995">
        <v>5</v>
      </c>
      <c r="N3995">
        <v>0.03</v>
      </c>
      <c r="O3995" t="str">
        <f t="shared" si="125"/>
        <v>0–0.2 hours</v>
      </c>
      <c r="P3995" t="s">
        <v>34</v>
      </c>
    </row>
    <row r="3996" spans="1:16" x14ac:dyDescent="0.4">
      <c r="A3996" t="s">
        <v>4037</v>
      </c>
      <c r="B3996">
        <v>53</v>
      </c>
      <c r="C3996" t="s">
        <v>15</v>
      </c>
      <c r="D3996" t="s">
        <v>22</v>
      </c>
      <c r="E3996">
        <v>3.68</v>
      </c>
      <c r="F3996">
        <v>55</v>
      </c>
      <c r="G3996" t="s">
        <v>33</v>
      </c>
      <c r="H3996" t="s">
        <v>57</v>
      </c>
      <c r="I3996" s="2">
        <v>13.99</v>
      </c>
      <c r="J3996">
        <v>1</v>
      </c>
      <c r="K3996" s="2">
        <f t="shared" si="124"/>
        <v>13.99</v>
      </c>
      <c r="L3996" t="s">
        <v>43</v>
      </c>
      <c r="M3996">
        <v>1</v>
      </c>
      <c r="N3996">
        <v>7.0000000000000007E-2</v>
      </c>
      <c r="O3996" t="str">
        <f t="shared" si="125"/>
        <v>0–0.2 hours</v>
      </c>
      <c r="P3996" t="s">
        <v>52</v>
      </c>
    </row>
    <row r="3997" spans="1:16" x14ac:dyDescent="0.4">
      <c r="A3997" t="s">
        <v>4038</v>
      </c>
      <c r="B3997">
        <v>34</v>
      </c>
      <c r="C3997" t="s">
        <v>15</v>
      </c>
      <c r="D3997" t="s">
        <v>32</v>
      </c>
      <c r="E3997">
        <v>1.41</v>
      </c>
      <c r="F3997">
        <v>20</v>
      </c>
      <c r="G3997" t="s">
        <v>49</v>
      </c>
      <c r="H3997" t="s">
        <v>18</v>
      </c>
      <c r="I3997" s="2">
        <v>17.989999999999998</v>
      </c>
      <c r="J3997">
        <v>0</v>
      </c>
      <c r="K3997" s="2">
        <f t="shared" si="124"/>
        <v>0</v>
      </c>
      <c r="L3997" t="s">
        <v>61</v>
      </c>
      <c r="M3997">
        <v>4</v>
      </c>
      <c r="N3997">
        <v>7.0000000000000007E-2</v>
      </c>
      <c r="O3997" t="str">
        <f t="shared" si="125"/>
        <v>0–0.2 hours</v>
      </c>
      <c r="P3997" t="s">
        <v>20</v>
      </c>
    </row>
    <row r="3998" spans="1:16" x14ac:dyDescent="0.4">
      <c r="A3998" t="s">
        <v>4039</v>
      </c>
      <c r="B3998">
        <v>46</v>
      </c>
      <c r="C3998" t="s">
        <v>41</v>
      </c>
      <c r="D3998" t="s">
        <v>16</v>
      </c>
      <c r="E3998">
        <v>1.6</v>
      </c>
      <c r="F3998">
        <v>31</v>
      </c>
      <c r="G3998" t="s">
        <v>70</v>
      </c>
      <c r="H3998" t="s">
        <v>55</v>
      </c>
      <c r="I3998" s="2">
        <v>8.99</v>
      </c>
      <c r="J3998">
        <v>1</v>
      </c>
      <c r="K3998" s="2">
        <f t="shared" si="124"/>
        <v>8.99</v>
      </c>
      <c r="L3998" t="s">
        <v>29</v>
      </c>
      <c r="M3998">
        <v>3</v>
      </c>
      <c r="N3998">
        <v>0.05</v>
      </c>
      <c r="O3998" t="str">
        <f t="shared" si="125"/>
        <v>0–0.2 hours</v>
      </c>
      <c r="P3998" t="s">
        <v>30</v>
      </c>
    </row>
    <row r="3999" spans="1:16" x14ac:dyDescent="0.4">
      <c r="A3999" t="s">
        <v>4040</v>
      </c>
      <c r="B3999">
        <v>33</v>
      </c>
      <c r="C3999" t="s">
        <v>41</v>
      </c>
      <c r="D3999" t="s">
        <v>32</v>
      </c>
      <c r="E3999">
        <v>12</v>
      </c>
      <c r="F3999">
        <v>18</v>
      </c>
      <c r="G3999" t="s">
        <v>17</v>
      </c>
      <c r="H3999" t="s">
        <v>46</v>
      </c>
      <c r="I3999" s="2">
        <v>17.989999999999998</v>
      </c>
      <c r="J3999">
        <v>0</v>
      </c>
      <c r="K3999" s="2">
        <f t="shared" si="124"/>
        <v>0</v>
      </c>
      <c r="L3999" t="s">
        <v>37</v>
      </c>
      <c r="M3999">
        <v>3</v>
      </c>
      <c r="N3999">
        <v>0.63</v>
      </c>
      <c r="O3999" t="str">
        <f t="shared" si="125"/>
        <v>0.6–0.8 hours</v>
      </c>
      <c r="P3999" t="s">
        <v>47</v>
      </c>
    </row>
    <row r="4000" spans="1:16" x14ac:dyDescent="0.4">
      <c r="A4000" t="s">
        <v>4041</v>
      </c>
      <c r="B4000">
        <v>59</v>
      </c>
      <c r="C4000" t="s">
        <v>15</v>
      </c>
      <c r="D4000" t="s">
        <v>16</v>
      </c>
      <c r="E4000">
        <v>10.68</v>
      </c>
      <c r="F4000">
        <v>13</v>
      </c>
      <c r="G4000" t="s">
        <v>28</v>
      </c>
      <c r="H4000" t="s">
        <v>18</v>
      </c>
      <c r="I4000" s="2">
        <v>8.99</v>
      </c>
      <c r="J4000">
        <v>0</v>
      </c>
      <c r="K4000" s="2">
        <f t="shared" si="124"/>
        <v>0</v>
      </c>
      <c r="L4000" t="s">
        <v>37</v>
      </c>
      <c r="M4000">
        <v>1</v>
      </c>
      <c r="N4000">
        <v>0.76</v>
      </c>
      <c r="O4000" t="str">
        <f t="shared" si="125"/>
        <v>0.6–0.8 hours</v>
      </c>
      <c r="P4000" t="s">
        <v>39</v>
      </c>
    </row>
    <row r="4001" spans="1:16" x14ac:dyDescent="0.4">
      <c r="A4001" t="s">
        <v>4042</v>
      </c>
      <c r="B4001">
        <v>51</v>
      </c>
      <c r="C4001" t="s">
        <v>15</v>
      </c>
      <c r="D4001" t="s">
        <v>22</v>
      </c>
      <c r="E4001">
        <v>1.23</v>
      </c>
      <c r="F4001">
        <v>4</v>
      </c>
      <c r="G4001" t="s">
        <v>23</v>
      </c>
      <c r="H4001" t="s">
        <v>57</v>
      </c>
      <c r="I4001" s="2">
        <v>13.99</v>
      </c>
      <c r="J4001">
        <v>0</v>
      </c>
      <c r="K4001" s="2">
        <f t="shared" si="124"/>
        <v>0</v>
      </c>
      <c r="L4001" t="s">
        <v>61</v>
      </c>
      <c r="M4001">
        <v>4</v>
      </c>
      <c r="N4001">
        <v>0.25</v>
      </c>
      <c r="O4001" t="str">
        <f t="shared" si="125"/>
        <v>0.2–0.4 hours</v>
      </c>
      <c r="P4001" t="s">
        <v>47</v>
      </c>
    </row>
    <row r="4002" spans="1:16" x14ac:dyDescent="0.4">
      <c r="A4002" t="s">
        <v>4043</v>
      </c>
      <c r="B4002">
        <v>36</v>
      </c>
      <c r="C4002" t="s">
        <v>41</v>
      </c>
      <c r="D4002" t="s">
        <v>16</v>
      </c>
      <c r="E4002">
        <v>0.38</v>
      </c>
      <c r="F4002">
        <v>44</v>
      </c>
      <c r="G4002" t="s">
        <v>33</v>
      </c>
      <c r="H4002" t="s">
        <v>46</v>
      </c>
      <c r="I4002" s="2">
        <v>8.99</v>
      </c>
      <c r="J4002">
        <v>1</v>
      </c>
      <c r="K4002" s="2">
        <f t="shared" si="124"/>
        <v>8.99</v>
      </c>
      <c r="L4002" t="s">
        <v>29</v>
      </c>
      <c r="M4002">
        <v>2</v>
      </c>
      <c r="N4002">
        <v>0.01</v>
      </c>
      <c r="O4002" t="str">
        <f t="shared" si="125"/>
        <v>0–0.2 hours</v>
      </c>
      <c r="P4002" t="s">
        <v>47</v>
      </c>
    </row>
    <row r="4003" spans="1:16" x14ac:dyDescent="0.4">
      <c r="A4003" t="s">
        <v>4044</v>
      </c>
      <c r="B4003">
        <v>31</v>
      </c>
      <c r="C4003" t="s">
        <v>27</v>
      </c>
      <c r="D4003" t="s">
        <v>16</v>
      </c>
      <c r="E4003">
        <v>9.3800000000000008</v>
      </c>
      <c r="F4003">
        <v>9</v>
      </c>
      <c r="G4003" t="s">
        <v>17</v>
      </c>
      <c r="H4003" t="s">
        <v>18</v>
      </c>
      <c r="I4003" s="2">
        <v>8.99</v>
      </c>
      <c r="J4003">
        <v>0</v>
      </c>
      <c r="K4003" s="2">
        <f t="shared" si="124"/>
        <v>0</v>
      </c>
      <c r="L4003" t="s">
        <v>29</v>
      </c>
      <c r="M4003">
        <v>1</v>
      </c>
      <c r="N4003">
        <v>0.94</v>
      </c>
      <c r="O4003" t="str">
        <f t="shared" si="125"/>
        <v>0.8–1 hour</v>
      </c>
      <c r="P4003" t="s">
        <v>34</v>
      </c>
    </row>
    <row r="4004" spans="1:16" x14ac:dyDescent="0.4">
      <c r="A4004" t="s">
        <v>4045</v>
      </c>
      <c r="B4004">
        <v>22</v>
      </c>
      <c r="C4004" t="s">
        <v>15</v>
      </c>
      <c r="D4004" t="s">
        <v>32</v>
      </c>
      <c r="E4004">
        <v>10.69</v>
      </c>
      <c r="F4004">
        <v>7</v>
      </c>
      <c r="G4004" t="s">
        <v>17</v>
      </c>
      <c r="H4004" t="s">
        <v>18</v>
      </c>
      <c r="I4004" s="2">
        <v>17.989999999999998</v>
      </c>
      <c r="J4004">
        <v>0</v>
      </c>
      <c r="K4004" s="2">
        <f t="shared" si="124"/>
        <v>0</v>
      </c>
      <c r="L4004" t="s">
        <v>19</v>
      </c>
      <c r="M4004">
        <v>2</v>
      </c>
      <c r="N4004">
        <v>1.34</v>
      </c>
      <c r="O4004" t="str">
        <f t="shared" si="125"/>
        <v>1+ hours</v>
      </c>
      <c r="P4004" t="s">
        <v>30</v>
      </c>
    </row>
    <row r="4005" spans="1:16" x14ac:dyDescent="0.4">
      <c r="A4005" t="s">
        <v>4046</v>
      </c>
      <c r="B4005">
        <v>27</v>
      </c>
      <c r="C4005" t="s">
        <v>15</v>
      </c>
      <c r="D4005" t="s">
        <v>16</v>
      </c>
      <c r="E4005">
        <v>8.8800000000000008</v>
      </c>
      <c r="F4005">
        <v>46</v>
      </c>
      <c r="G4005" t="s">
        <v>28</v>
      </c>
      <c r="H4005" t="s">
        <v>18</v>
      </c>
      <c r="I4005" s="2">
        <v>8.99</v>
      </c>
      <c r="J4005">
        <v>1</v>
      </c>
      <c r="K4005" s="2">
        <f t="shared" si="124"/>
        <v>8.99</v>
      </c>
      <c r="L4005" t="s">
        <v>37</v>
      </c>
      <c r="M4005">
        <v>2</v>
      </c>
      <c r="N4005">
        <v>0.19</v>
      </c>
      <c r="O4005" t="str">
        <f t="shared" si="125"/>
        <v>0–0.2 hours</v>
      </c>
      <c r="P4005" t="s">
        <v>20</v>
      </c>
    </row>
    <row r="4006" spans="1:16" x14ac:dyDescent="0.4">
      <c r="A4006" t="s">
        <v>4047</v>
      </c>
      <c r="B4006">
        <v>26</v>
      </c>
      <c r="C4006" t="s">
        <v>41</v>
      </c>
      <c r="D4006" t="s">
        <v>16</v>
      </c>
      <c r="E4006">
        <v>2.1800000000000002</v>
      </c>
      <c r="F4006">
        <v>37</v>
      </c>
      <c r="G4006" t="s">
        <v>23</v>
      </c>
      <c r="H4006" t="s">
        <v>24</v>
      </c>
      <c r="I4006" s="2">
        <v>8.99</v>
      </c>
      <c r="J4006">
        <v>1</v>
      </c>
      <c r="K4006" s="2">
        <f t="shared" si="124"/>
        <v>8.99</v>
      </c>
      <c r="L4006" t="s">
        <v>43</v>
      </c>
      <c r="M4006">
        <v>5</v>
      </c>
      <c r="N4006">
        <v>0.06</v>
      </c>
      <c r="O4006" t="str">
        <f t="shared" si="125"/>
        <v>0–0.2 hours</v>
      </c>
      <c r="P4006" t="s">
        <v>47</v>
      </c>
    </row>
    <row r="4007" spans="1:16" x14ac:dyDescent="0.4">
      <c r="A4007" t="s">
        <v>4048</v>
      </c>
      <c r="B4007">
        <v>54</v>
      </c>
      <c r="C4007" t="s">
        <v>41</v>
      </c>
      <c r="D4007" t="s">
        <v>16</v>
      </c>
      <c r="E4007">
        <v>30</v>
      </c>
      <c r="F4007">
        <v>9</v>
      </c>
      <c r="G4007" t="s">
        <v>28</v>
      </c>
      <c r="H4007" t="s">
        <v>57</v>
      </c>
      <c r="I4007" s="2">
        <v>8.99</v>
      </c>
      <c r="J4007">
        <v>0</v>
      </c>
      <c r="K4007" s="2">
        <f t="shared" si="124"/>
        <v>0</v>
      </c>
      <c r="L4007" t="s">
        <v>61</v>
      </c>
      <c r="M4007">
        <v>4</v>
      </c>
      <c r="N4007">
        <v>3</v>
      </c>
      <c r="O4007" t="str">
        <f t="shared" si="125"/>
        <v>1+ hours</v>
      </c>
      <c r="P4007" t="s">
        <v>30</v>
      </c>
    </row>
    <row r="4008" spans="1:16" x14ac:dyDescent="0.4">
      <c r="A4008" t="s">
        <v>4049</v>
      </c>
      <c r="B4008">
        <v>45</v>
      </c>
      <c r="C4008" t="s">
        <v>41</v>
      </c>
      <c r="D4008" t="s">
        <v>32</v>
      </c>
      <c r="E4008">
        <v>17.57</v>
      </c>
      <c r="F4008">
        <v>37</v>
      </c>
      <c r="G4008" t="s">
        <v>17</v>
      </c>
      <c r="H4008" t="s">
        <v>18</v>
      </c>
      <c r="I4008" s="2">
        <v>17.989999999999998</v>
      </c>
      <c r="J4008">
        <v>0</v>
      </c>
      <c r="K4008" s="2">
        <f t="shared" si="124"/>
        <v>0</v>
      </c>
      <c r="L4008" t="s">
        <v>43</v>
      </c>
      <c r="M4008">
        <v>4</v>
      </c>
      <c r="N4008">
        <v>0.46</v>
      </c>
      <c r="O4008" t="str">
        <f t="shared" si="125"/>
        <v>0.4–0.6 hours</v>
      </c>
      <c r="P4008" t="s">
        <v>34</v>
      </c>
    </row>
    <row r="4009" spans="1:16" x14ac:dyDescent="0.4">
      <c r="A4009" t="s">
        <v>4050</v>
      </c>
      <c r="B4009">
        <v>44</v>
      </c>
      <c r="C4009" t="s">
        <v>27</v>
      </c>
      <c r="D4009" t="s">
        <v>16</v>
      </c>
      <c r="E4009">
        <v>6</v>
      </c>
      <c r="F4009">
        <v>44</v>
      </c>
      <c r="G4009" t="s">
        <v>23</v>
      </c>
      <c r="H4009" t="s">
        <v>46</v>
      </c>
      <c r="I4009" s="2">
        <v>8.99</v>
      </c>
      <c r="J4009">
        <v>1</v>
      </c>
      <c r="K4009" s="2">
        <f t="shared" si="124"/>
        <v>8.99</v>
      </c>
      <c r="L4009" t="s">
        <v>29</v>
      </c>
      <c r="M4009">
        <v>4</v>
      </c>
      <c r="N4009">
        <v>0.13</v>
      </c>
      <c r="O4009" t="str">
        <f t="shared" si="125"/>
        <v>0–0.2 hours</v>
      </c>
      <c r="P4009" t="s">
        <v>34</v>
      </c>
    </row>
    <row r="4010" spans="1:16" x14ac:dyDescent="0.4">
      <c r="A4010" t="s">
        <v>4051</v>
      </c>
      <c r="B4010">
        <v>24</v>
      </c>
      <c r="C4010" t="s">
        <v>15</v>
      </c>
      <c r="D4010" t="s">
        <v>22</v>
      </c>
      <c r="E4010">
        <v>0.72</v>
      </c>
      <c r="F4010">
        <v>56</v>
      </c>
      <c r="G4010" t="s">
        <v>49</v>
      </c>
      <c r="H4010" t="s">
        <v>18</v>
      </c>
      <c r="I4010" s="2">
        <v>13.99</v>
      </c>
      <c r="J4010">
        <v>1</v>
      </c>
      <c r="K4010" s="2">
        <f t="shared" si="124"/>
        <v>13.99</v>
      </c>
      <c r="L4010" t="s">
        <v>29</v>
      </c>
      <c r="M4010">
        <v>2</v>
      </c>
      <c r="N4010">
        <v>0.01</v>
      </c>
      <c r="O4010" t="str">
        <f t="shared" si="125"/>
        <v>0–0.2 hours</v>
      </c>
      <c r="P4010" t="s">
        <v>39</v>
      </c>
    </row>
    <row r="4011" spans="1:16" x14ac:dyDescent="0.4">
      <c r="A4011" t="s">
        <v>4052</v>
      </c>
      <c r="B4011">
        <v>64</v>
      </c>
      <c r="C4011" t="s">
        <v>41</v>
      </c>
      <c r="D4011" t="s">
        <v>32</v>
      </c>
      <c r="E4011">
        <v>2.66</v>
      </c>
      <c r="F4011">
        <v>57</v>
      </c>
      <c r="G4011" t="s">
        <v>70</v>
      </c>
      <c r="H4011" t="s">
        <v>55</v>
      </c>
      <c r="I4011" s="2">
        <v>17.989999999999998</v>
      </c>
      <c r="J4011">
        <v>1</v>
      </c>
      <c r="K4011" s="2">
        <f t="shared" si="124"/>
        <v>17.989999999999998</v>
      </c>
      <c r="L4011" t="s">
        <v>61</v>
      </c>
      <c r="M4011">
        <v>2</v>
      </c>
      <c r="N4011">
        <v>0.05</v>
      </c>
      <c r="O4011" t="str">
        <f t="shared" si="125"/>
        <v>0–0.2 hours</v>
      </c>
      <c r="P4011" t="s">
        <v>39</v>
      </c>
    </row>
    <row r="4012" spans="1:16" x14ac:dyDescent="0.4">
      <c r="A4012" t="s">
        <v>4053</v>
      </c>
      <c r="B4012">
        <v>41</v>
      </c>
      <c r="C4012" t="s">
        <v>27</v>
      </c>
      <c r="D4012" t="s">
        <v>22</v>
      </c>
      <c r="E4012">
        <v>4.13</v>
      </c>
      <c r="F4012">
        <v>26</v>
      </c>
      <c r="G4012" t="s">
        <v>28</v>
      </c>
      <c r="H4012" t="s">
        <v>18</v>
      </c>
      <c r="I4012" s="2">
        <v>13.99</v>
      </c>
      <c r="J4012">
        <v>1</v>
      </c>
      <c r="K4012" s="2">
        <f t="shared" si="124"/>
        <v>13.99</v>
      </c>
      <c r="L4012" t="s">
        <v>43</v>
      </c>
      <c r="M4012">
        <v>3</v>
      </c>
      <c r="N4012">
        <v>0.15</v>
      </c>
      <c r="O4012" t="str">
        <f t="shared" si="125"/>
        <v>0–0.2 hours</v>
      </c>
      <c r="P4012" t="s">
        <v>34</v>
      </c>
    </row>
    <row r="4013" spans="1:16" x14ac:dyDescent="0.4">
      <c r="A4013" s="1" t="s">
        <v>4054</v>
      </c>
      <c r="B4013">
        <v>42</v>
      </c>
      <c r="C4013" t="s">
        <v>15</v>
      </c>
      <c r="D4013" t="s">
        <v>32</v>
      </c>
      <c r="E4013">
        <v>0.15</v>
      </c>
      <c r="F4013">
        <v>5</v>
      </c>
      <c r="G4013" t="s">
        <v>49</v>
      </c>
      <c r="H4013" t="s">
        <v>57</v>
      </c>
      <c r="I4013" s="2">
        <v>17.989999999999998</v>
      </c>
      <c r="J4013">
        <v>0</v>
      </c>
      <c r="K4013" s="2">
        <f t="shared" si="124"/>
        <v>0</v>
      </c>
      <c r="L4013" t="s">
        <v>37</v>
      </c>
      <c r="M4013">
        <v>4</v>
      </c>
      <c r="N4013">
        <v>0.02</v>
      </c>
      <c r="O4013" t="str">
        <f t="shared" si="125"/>
        <v>0–0.2 hours</v>
      </c>
      <c r="P4013" t="s">
        <v>25</v>
      </c>
    </row>
    <row r="4014" spans="1:16" x14ac:dyDescent="0.4">
      <c r="A4014" t="s">
        <v>4055</v>
      </c>
      <c r="B4014">
        <v>30</v>
      </c>
      <c r="C4014" t="s">
        <v>27</v>
      </c>
      <c r="D4014" t="s">
        <v>32</v>
      </c>
      <c r="E4014">
        <v>6.24</v>
      </c>
      <c r="F4014">
        <v>29</v>
      </c>
      <c r="G4014" t="s">
        <v>33</v>
      </c>
      <c r="H4014" t="s">
        <v>57</v>
      </c>
      <c r="I4014" s="2">
        <v>17.989999999999998</v>
      </c>
      <c r="J4014">
        <v>0</v>
      </c>
      <c r="K4014" s="2">
        <f t="shared" si="124"/>
        <v>0</v>
      </c>
      <c r="L4014" t="s">
        <v>19</v>
      </c>
      <c r="M4014">
        <v>3</v>
      </c>
      <c r="N4014">
        <v>0.21</v>
      </c>
      <c r="O4014" t="str">
        <f t="shared" si="125"/>
        <v>0.2–0.4 hours</v>
      </c>
      <c r="P4014" t="s">
        <v>25</v>
      </c>
    </row>
    <row r="4015" spans="1:16" x14ac:dyDescent="0.4">
      <c r="A4015" t="s">
        <v>4056</v>
      </c>
      <c r="B4015">
        <v>28</v>
      </c>
      <c r="C4015" t="s">
        <v>41</v>
      </c>
      <c r="D4015" t="s">
        <v>22</v>
      </c>
      <c r="E4015">
        <v>10.69</v>
      </c>
      <c r="F4015">
        <v>51</v>
      </c>
      <c r="G4015" t="s">
        <v>28</v>
      </c>
      <c r="H4015" t="s">
        <v>46</v>
      </c>
      <c r="I4015" s="2">
        <v>13.99</v>
      </c>
      <c r="J4015">
        <v>1</v>
      </c>
      <c r="K4015" s="2">
        <f t="shared" si="124"/>
        <v>13.99</v>
      </c>
      <c r="L4015" t="s">
        <v>29</v>
      </c>
      <c r="M4015">
        <v>3</v>
      </c>
      <c r="N4015">
        <v>0.21</v>
      </c>
      <c r="O4015" t="str">
        <f t="shared" si="125"/>
        <v>0.2–0.4 hours</v>
      </c>
      <c r="P4015" t="s">
        <v>47</v>
      </c>
    </row>
    <row r="4016" spans="1:16" x14ac:dyDescent="0.4">
      <c r="A4016" t="s">
        <v>4057</v>
      </c>
      <c r="B4016">
        <v>24</v>
      </c>
      <c r="C4016" t="s">
        <v>27</v>
      </c>
      <c r="D4016" t="s">
        <v>16</v>
      </c>
      <c r="E4016">
        <v>26.07</v>
      </c>
      <c r="F4016">
        <v>27</v>
      </c>
      <c r="G4016" t="s">
        <v>28</v>
      </c>
      <c r="H4016" t="s">
        <v>46</v>
      </c>
      <c r="I4016" s="2">
        <v>8.99</v>
      </c>
      <c r="J4016">
        <v>0</v>
      </c>
      <c r="K4016" s="2">
        <f t="shared" si="124"/>
        <v>0</v>
      </c>
      <c r="L4016" t="s">
        <v>61</v>
      </c>
      <c r="M4016">
        <v>2</v>
      </c>
      <c r="N4016">
        <v>0.93</v>
      </c>
      <c r="O4016" t="str">
        <f t="shared" si="125"/>
        <v>0.8–1 hour</v>
      </c>
      <c r="P4016" t="s">
        <v>25</v>
      </c>
    </row>
    <row r="4017" spans="1:16" x14ac:dyDescent="0.4">
      <c r="A4017" t="s">
        <v>4058</v>
      </c>
      <c r="B4017">
        <v>23</v>
      </c>
      <c r="C4017" t="s">
        <v>15</v>
      </c>
      <c r="D4017" t="s">
        <v>32</v>
      </c>
      <c r="E4017">
        <v>12.51</v>
      </c>
      <c r="F4017">
        <v>11</v>
      </c>
      <c r="G4017" t="s">
        <v>23</v>
      </c>
      <c r="H4017" t="s">
        <v>24</v>
      </c>
      <c r="I4017" s="2">
        <v>17.989999999999998</v>
      </c>
      <c r="J4017">
        <v>0</v>
      </c>
      <c r="K4017" s="2">
        <f t="shared" si="124"/>
        <v>0</v>
      </c>
      <c r="L4017" t="s">
        <v>29</v>
      </c>
      <c r="M4017">
        <v>4</v>
      </c>
      <c r="N4017">
        <v>1.04</v>
      </c>
      <c r="O4017" t="str">
        <f t="shared" si="125"/>
        <v>1+ hours</v>
      </c>
      <c r="P4017" t="s">
        <v>52</v>
      </c>
    </row>
    <row r="4018" spans="1:16" x14ac:dyDescent="0.4">
      <c r="A4018" t="s">
        <v>4059</v>
      </c>
      <c r="B4018">
        <v>30</v>
      </c>
      <c r="C4018" t="s">
        <v>27</v>
      </c>
      <c r="D4018" t="s">
        <v>16</v>
      </c>
      <c r="E4018">
        <v>1.6</v>
      </c>
      <c r="F4018">
        <v>56</v>
      </c>
      <c r="G4018" t="s">
        <v>23</v>
      </c>
      <c r="H4018" t="s">
        <v>55</v>
      </c>
      <c r="I4018" s="2">
        <v>8.99</v>
      </c>
      <c r="J4018">
        <v>1</v>
      </c>
      <c r="K4018" s="2">
        <f t="shared" si="124"/>
        <v>8.99</v>
      </c>
      <c r="L4018" t="s">
        <v>37</v>
      </c>
      <c r="M4018">
        <v>2</v>
      </c>
      <c r="N4018">
        <v>0.03</v>
      </c>
      <c r="O4018" t="str">
        <f t="shared" si="125"/>
        <v>0–0.2 hours</v>
      </c>
      <c r="P4018" t="s">
        <v>34</v>
      </c>
    </row>
    <row r="4019" spans="1:16" x14ac:dyDescent="0.4">
      <c r="A4019" t="s">
        <v>4060</v>
      </c>
      <c r="B4019">
        <v>35</v>
      </c>
      <c r="C4019" t="s">
        <v>27</v>
      </c>
      <c r="D4019" t="s">
        <v>16</v>
      </c>
      <c r="E4019">
        <v>1.1000000000000001</v>
      </c>
      <c r="F4019">
        <v>25</v>
      </c>
      <c r="G4019" t="s">
        <v>70</v>
      </c>
      <c r="H4019" t="s">
        <v>46</v>
      </c>
      <c r="I4019" s="2">
        <v>8.99</v>
      </c>
      <c r="J4019">
        <v>1</v>
      </c>
      <c r="K4019" s="2">
        <f t="shared" si="124"/>
        <v>8.99</v>
      </c>
      <c r="L4019" t="s">
        <v>43</v>
      </c>
      <c r="M4019">
        <v>2</v>
      </c>
      <c r="N4019">
        <v>0.04</v>
      </c>
      <c r="O4019" t="str">
        <f t="shared" si="125"/>
        <v>0–0.2 hours</v>
      </c>
      <c r="P4019" t="s">
        <v>34</v>
      </c>
    </row>
    <row r="4020" spans="1:16" x14ac:dyDescent="0.4">
      <c r="A4020" t="s">
        <v>4061</v>
      </c>
      <c r="B4020">
        <v>22</v>
      </c>
      <c r="C4020" t="s">
        <v>15</v>
      </c>
      <c r="D4020" t="s">
        <v>32</v>
      </c>
      <c r="E4020">
        <v>17.850000000000001</v>
      </c>
      <c r="F4020">
        <v>46</v>
      </c>
      <c r="G4020" t="s">
        <v>49</v>
      </c>
      <c r="H4020" t="s">
        <v>18</v>
      </c>
      <c r="I4020" s="2">
        <v>17.989999999999998</v>
      </c>
      <c r="J4020">
        <v>1</v>
      </c>
      <c r="K4020" s="2">
        <f t="shared" si="124"/>
        <v>17.989999999999998</v>
      </c>
      <c r="L4020" t="s">
        <v>43</v>
      </c>
      <c r="M4020">
        <v>2</v>
      </c>
      <c r="N4020">
        <v>0.38</v>
      </c>
      <c r="O4020" t="str">
        <f t="shared" si="125"/>
        <v>0.2–0.4 hours</v>
      </c>
      <c r="P4020" t="s">
        <v>39</v>
      </c>
    </row>
    <row r="4021" spans="1:16" x14ac:dyDescent="0.4">
      <c r="A4021" s="1" t="s">
        <v>4062</v>
      </c>
      <c r="B4021">
        <v>35</v>
      </c>
      <c r="C4021" t="s">
        <v>27</v>
      </c>
      <c r="D4021" t="s">
        <v>16</v>
      </c>
      <c r="E4021">
        <v>1.1000000000000001</v>
      </c>
      <c r="F4021">
        <v>35</v>
      </c>
      <c r="G4021" t="s">
        <v>17</v>
      </c>
      <c r="H4021" t="s">
        <v>18</v>
      </c>
      <c r="I4021" s="2">
        <v>8.99</v>
      </c>
      <c r="J4021">
        <v>1</v>
      </c>
      <c r="K4021" s="2">
        <f t="shared" si="124"/>
        <v>8.99</v>
      </c>
      <c r="L4021" t="s">
        <v>43</v>
      </c>
      <c r="M4021">
        <v>2</v>
      </c>
      <c r="N4021">
        <v>0.03</v>
      </c>
      <c r="O4021" t="str">
        <f t="shared" si="125"/>
        <v>0–0.2 hours</v>
      </c>
      <c r="P4021" t="s">
        <v>25</v>
      </c>
    </row>
    <row r="4022" spans="1:16" x14ac:dyDescent="0.4">
      <c r="A4022" t="s">
        <v>4063</v>
      </c>
      <c r="B4022">
        <v>35</v>
      </c>
      <c r="C4022" t="s">
        <v>27</v>
      </c>
      <c r="D4022" t="s">
        <v>16</v>
      </c>
      <c r="E4022">
        <v>37.93</v>
      </c>
      <c r="F4022">
        <v>14</v>
      </c>
      <c r="G4022" t="s">
        <v>17</v>
      </c>
      <c r="H4022" t="s">
        <v>55</v>
      </c>
      <c r="I4022" s="2">
        <v>8.99</v>
      </c>
      <c r="J4022">
        <v>0</v>
      </c>
      <c r="K4022" s="2">
        <f t="shared" si="124"/>
        <v>0</v>
      </c>
      <c r="L4022" t="s">
        <v>29</v>
      </c>
      <c r="M4022">
        <v>4</v>
      </c>
      <c r="N4022">
        <v>2.5299999999999998</v>
      </c>
      <c r="O4022" t="str">
        <f t="shared" si="125"/>
        <v>1+ hours</v>
      </c>
      <c r="P4022" t="s">
        <v>39</v>
      </c>
    </row>
    <row r="4023" spans="1:16" x14ac:dyDescent="0.4">
      <c r="A4023" t="s">
        <v>4064</v>
      </c>
      <c r="B4023">
        <v>22</v>
      </c>
      <c r="C4023" t="s">
        <v>27</v>
      </c>
      <c r="D4023" t="s">
        <v>16</v>
      </c>
      <c r="E4023">
        <v>0.68</v>
      </c>
      <c r="F4023">
        <v>21</v>
      </c>
      <c r="G4023" t="s">
        <v>33</v>
      </c>
      <c r="H4023" t="s">
        <v>18</v>
      </c>
      <c r="I4023" s="2">
        <v>8.99</v>
      </c>
      <c r="J4023">
        <v>1</v>
      </c>
      <c r="K4023" s="2">
        <f t="shared" si="124"/>
        <v>8.99</v>
      </c>
      <c r="L4023" t="s">
        <v>37</v>
      </c>
      <c r="M4023">
        <v>1</v>
      </c>
      <c r="N4023">
        <v>0.03</v>
      </c>
      <c r="O4023" t="str">
        <f t="shared" si="125"/>
        <v>0–0.2 hours</v>
      </c>
      <c r="P4023" t="s">
        <v>20</v>
      </c>
    </row>
    <row r="4024" spans="1:16" x14ac:dyDescent="0.4">
      <c r="A4024" t="s">
        <v>4065</v>
      </c>
      <c r="B4024">
        <v>43</v>
      </c>
      <c r="C4024" t="s">
        <v>41</v>
      </c>
      <c r="D4024" t="s">
        <v>32</v>
      </c>
      <c r="E4024">
        <v>13.49</v>
      </c>
      <c r="F4024">
        <v>8</v>
      </c>
      <c r="G4024" t="s">
        <v>23</v>
      </c>
      <c r="H4024" t="s">
        <v>55</v>
      </c>
      <c r="I4024" s="2">
        <v>17.989999999999998</v>
      </c>
      <c r="J4024">
        <v>0</v>
      </c>
      <c r="K4024" s="2">
        <f t="shared" si="124"/>
        <v>0</v>
      </c>
      <c r="L4024" t="s">
        <v>19</v>
      </c>
      <c r="M4024">
        <v>4</v>
      </c>
      <c r="N4024">
        <v>1.5</v>
      </c>
      <c r="O4024" t="str">
        <f t="shared" si="125"/>
        <v>1+ hours</v>
      </c>
      <c r="P4024" t="s">
        <v>52</v>
      </c>
    </row>
    <row r="4025" spans="1:16" x14ac:dyDescent="0.4">
      <c r="A4025" t="s">
        <v>4066</v>
      </c>
      <c r="B4025">
        <v>33</v>
      </c>
      <c r="C4025" t="s">
        <v>41</v>
      </c>
      <c r="D4025" t="s">
        <v>32</v>
      </c>
      <c r="E4025">
        <v>0.69</v>
      </c>
      <c r="F4025">
        <v>13</v>
      </c>
      <c r="G4025" t="s">
        <v>28</v>
      </c>
      <c r="H4025" t="s">
        <v>57</v>
      </c>
      <c r="I4025" s="2">
        <v>17.989999999999998</v>
      </c>
      <c r="J4025">
        <v>1</v>
      </c>
      <c r="K4025" s="2">
        <f t="shared" si="124"/>
        <v>17.989999999999998</v>
      </c>
      <c r="L4025" t="s">
        <v>29</v>
      </c>
      <c r="M4025">
        <v>4</v>
      </c>
      <c r="N4025">
        <v>0.05</v>
      </c>
      <c r="O4025" t="str">
        <f t="shared" si="125"/>
        <v>0–0.2 hours</v>
      </c>
      <c r="P4025" t="s">
        <v>52</v>
      </c>
    </row>
    <row r="4026" spans="1:16" x14ac:dyDescent="0.4">
      <c r="A4026" t="s">
        <v>4067</v>
      </c>
      <c r="B4026">
        <v>48</v>
      </c>
      <c r="C4026" t="s">
        <v>27</v>
      </c>
      <c r="D4026" t="s">
        <v>32</v>
      </c>
      <c r="E4026">
        <v>10.54</v>
      </c>
      <c r="F4026">
        <v>19</v>
      </c>
      <c r="G4026" t="s">
        <v>23</v>
      </c>
      <c r="H4026" t="s">
        <v>24</v>
      </c>
      <c r="I4026" s="2">
        <v>17.989999999999998</v>
      </c>
      <c r="J4026">
        <v>0</v>
      </c>
      <c r="K4026" s="2">
        <f t="shared" si="124"/>
        <v>0</v>
      </c>
      <c r="L4026" t="s">
        <v>61</v>
      </c>
      <c r="M4026">
        <v>1</v>
      </c>
      <c r="N4026">
        <v>0.53</v>
      </c>
      <c r="O4026" t="str">
        <f t="shared" si="125"/>
        <v>0.4–0.6 hours</v>
      </c>
      <c r="P4026" t="s">
        <v>25</v>
      </c>
    </row>
    <row r="4027" spans="1:16" x14ac:dyDescent="0.4">
      <c r="A4027" t="s">
        <v>4068</v>
      </c>
      <c r="B4027">
        <v>68</v>
      </c>
      <c r="C4027" t="s">
        <v>27</v>
      </c>
      <c r="D4027" t="s">
        <v>32</v>
      </c>
      <c r="E4027">
        <v>1.85</v>
      </c>
      <c r="F4027">
        <v>3</v>
      </c>
      <c r="G4027" t="s">
        <v>23</v>
      </c>
      <c r="H4027" t="s">
        <v>57</v>
      </c>
      <c r="I4027" s="2">
        <v>17.989999999999998</v>
      </c>
      <c r="J4027">
        <v>0</v>
      </c>
      <c r="K4027" s="2">
        <f t="shared" si="124"/>
        <v>0</v>
      </c>
      <c r="L4027" t="s">
        <v>19</v>
      </c>
      <c r="M4027">
        <v>5</v>
      </c>
      <c r="N4027">
        <v>0.46</v>
      </c>
      <c r="O4027" t="str">
        <f t="shared" si="125"/>
        <v>0.4–0.6 hours</v>
      </c>
      <c r="P4027" t="s">
        <v>39</v>
      </c>
    </row>
    <row r="4028" spans="1:16" x14ac:dyDescent="0.4">
      <c r="A4028" t="s">
        <v>4069</v>
      </c>
      <c r="B4028">
        <v>58</v>
      </c>
      <c r="C4028" t="s">
        <v>15</v>
      </c>
      <c r="D4028" t="s">
        <v>22</v>
      </c>
      <c r="E4028">
        <v>1.32</v>
      </c>
      <c r="F4028">
        <v>29</v>
      </c>
      <c r="G4028" t="s">
        <v>33</v>
      </c>
      <c r="H4028" t="s">
        <v>24</v>
      </c>
      <c r="I4028" s="2">
        <v>13.99</v>
      </c>
      <c r="J4028">
        <v>1</v>
      </c>
      <c r="K4028" s="2">
        <f t="shared" si="124"/>
        <v>13.99</v>
      </c>
      <c r="L4028" t="s">
        <v>43</v>
      </c>
      <c r="M4028">
        <v>2</v>
      </c>
      <c r="N4028">
        <v>0.04</v>
      </c>
      <c r="O4028" t="str">
        <f t="shared" si="125"/>
        <v>0–0.2 hours</v>
      </c>
      <c r="P4028" t="s">
        <v>52</v>
      </c>
    </row>
    <row r="4029" spans="1:16" x14ac:dyDescent="0.4">
      <c r="A4029" t="s">
        <v>4070</v>
      </c>
      <c r="B4029">
        <v>49</v>
      </c>
      <c r="C4029" t="s">
        <v>15</v>
      </c>
      <c r="D4029" t="s">
        <v>16</v>
      </c>
      <c r="E4029">
        <v>10.47</v>
      </c>
      <c r="F4029">
        <v>43</v>
      </c>
      <c r="G4029" t="s">
        <v>17</v>
      </c>
      <c r="H4029" t="s">
        <v>46</v>
      </c>
      <c r="I4029" s="2">
        <v>8.99</v>
      </c>
      <c r="J4029">
        <v>1</v>
      </c>
      <c r="K4029" s="2">
        <f t="shared" si="124"/>
        <v>8.99</v>
      </c>
      <c r="L4029" t="s">
        <v>37</v>
      </c>
      <c r="M4029">
        <v>5</v>
      </c>
      <c r="N4029">
        <v>0.24</v>
      </c>
      <c r="O4029" t="str">
        <f t="shared" si="125"/>
        <v>0.2–0.4 hours</v>
      </c>
      <c r="P4029" t="s">
        <v>52</v>
      </c>
    </row>
    <row r="4030" spans="1:16" x14ac:dyDescent="0.4">
      <c r="A4030" t="s">
        <v>4071</v>
      </c>
      <c r="B4030">
        <v>24</v>
      </c>
      <c r="C4030" t="s">
        <v>15</v>
      </c>
      <c r="D4030" t="s">
        <v>16</v>
      </c>
      <c r="E4030">
        <v>2.59</v>
      </c>
      <c r="F4030">
        <v>24</v>
      </c>
      <c r="G4030" t="s">
        <v>70</v>
      </c>
      <c r="H4030" t="s">
        <v>24</v>
      </c>
      <c r="I4030" s="2">
        <v>8.99</v>
      </c>
      <c r="J4030">
        <v>1</v>
      </c>
      <c r="K4030" s="2">
        <f t="shared" si="124"/>
        <v>8.99</v>
      </c>
      <c r="L4030" t="s">
        <v>19</v>
      </c>
      <c r="M4030">
        <v>3</v>
      </c>
      <c r="N4030">
        <v>0.1</v>
      </c>
      <c r="O4030" t="str">
        <f t="shared" si="125"/>
        <v>0–0.2 hours</v>
      </c>
      <c r="P4030" t="s">
        <v>34</v>
      </c>
    </row>
    <row r="4031" spans="1:16" x14ac:dyDescent="0.4">
      <c r="A4031" t="s">
        <v>4072</v>
      </c>
      <c r="B4031">
        <v>66</v>
      </c>
      <c r="C4031" t="s">
        <v>15</v>
      </c>
      <c r="D4031" t="s">
        <v>22</v>
      </c>
      <c r="E4031">
        <v>26.89</v>
      </c>
      <c r="F4031">
        <v>17</v>
      </c>
      <c r="G4031" t="s">
        <v>17</v>
      </c>
      <c r="H4031" t="s">
        <v>55</v>
      </c>
      <c r="I4031" s="2">
        <v>13.99</v>
      </c>
      <c r="J4031">
        <v>0</v>
      </c>
      <c r="K4031" s="2">
        <f t="shared" si="124"/>
        <v>0</v>
      </c>
      <c r="L4031" t="s">
        <v>19</v>
      </c>
      <c r="M4031">
        <v>1</v>
      </c>
      <c r="N4031">
        <v>1.49</v>
      </c>
      <c r="O4031" t="str">
        <f t="shared" si="125"/>
        <v>1+ hours</v>
      </c>
      <c r="P4031" t="s">
        <v>52</v>
      </c>
    </row>
    <row r="4032" spans="1:16" x14ac:dyDescent="0.4">
      <c r="A4032" t="s">
        <v>4073</v>
      </c>
      <c r="B4032">
        <v>26</v>
      </c>
      <c r="C4032" t="s">
        <v>41</v>
      </c>
      <c r="D4032" t="s">
        <v>32</v>
      </c>
      <c r="E4032">
        <v>1.87</v>
      </c>
      <c r="F4032">
        <v>26</v>
      </c>
      <c r="G4032" t="s">
        <v>49</v>
      </c>
      <c r="H4032" t="s">
        <v>18</v>
      </c>
      <c r="I4032" s="2">
        <v>17.989999999999998</v>
      </c>
      <c r="J4032">
        <v>1</v>
      </c>
      <c r="K4032" s="2">
        <f t="shared" si="124"/>
        <v>17.989999999999998</v>
      </c>
      <c r="L4032" t="s">
        <v>29</v>
      </c>
      <c r="M4032">
        <v>3</v>
      </c>
      <c r="N4032">
        <v>7.0000000000000007E-2</v>
      </c>
      <c r="O4032" t="str">
        <f t="shared" si="125"/>
        <v>0–0.2 hours</v>
      </c>
      <c r="P4032" t="s">
        <v>47</v>
      </c>
    </row>
    <row r="4033" spans="1:16" x14ac:dyDescent="0.4">
      <c r="A4033" t="s">
        <v>4074</v>
      </c>
      <c r="B4033">
        <v>32</v>
      </c>
      <c r="C4033" t="s">
        <v>27</v>
      </c>
      <c r="D4033" t="s">
        <v>16</v>
      </c>
      <c r="E4033">
        <v>6.82</v>
      </c>
      <c r="F4033">
        <v>42</v>
      </c>
      <c r="G4033" t="s">
        <v>17</v>
      </c>
      <c r="H4033" t="s">
        <v>24</v>
      </c>
      <c r="I4033" s="2">
        <v>8.99</v>
      </c>
      <c r="J4033">
        <v>1</v>
      </c>
      <c r="K4033" s="2">
        <f t="shared" si="124"/>
        <v>8.99</v>
      </c>
      <c r="L4033" t="s">
        <v>61</v>
      </c>
      <c r="M4033">
        <v>5</v>
      </c>
      <c r="N4033">
        <v>0.16</v>
      </c>
      <c r="O4033" t="str">
        <f t="shared" si="125"/>
        <v>0–0.2 hours</v>
      </c>
      <c r="P4033" t="s">
        <v>47</v>
      </c>
    </row>
    <row r="4034" spans="1:16" x14ac:dyDescent="0.4">
      <c r="A4034" s="1" t="s">
        <v>4075</v>
      </c>
      <c r="B4034">
        <v>54</v>
      </c>
      <c r="C4034" t="s">
        <v>27</v>
      </c>
      <c r="D4034" t="s">
        <v>16</v>
      </c>
      <c r="E4034">
        <v>6.76</v>
      </c>
      <c r="F4034">
        <v>52</v>
      </c>
      <c r="G4034" t="s">
        <v>28</v>
      </c>
      <c r="H4034" t="s">
        <v>57</v>
      </c>
      <c r="I4034" s="2">
        <v>8.99</v>
      </c>
      <c r="J4034">
        <v>1</v>
      </c>
      <c r="K4034" s="2">
        <f t="shared" si="124"/>
        <v>8.99</v>
      </c>
      <c r="L4034" t="s">
        <v>43</v>
      </c>
      <c r="M4034">
        <v>5</v>
      </c>
      <c r="N4034">
        <v>0.13</v>
      </c>
      <c r="O4034" t="str">
        <f t="shared" si="125"/>
        <v>0–0.2 hours</v>
      </c>
      <c r="P4034" t="s">
        <v>30</v>
      </c>
    </row>
    <row r="4035" spans="1:16" x14ac:dyDescent="0.4">
      <c r="A4035" t="s">
        <v>4076</v>
      </c>
      <c r="B4035">
        <v>45</v>
      </c>
      <c r="C4035" t="s">
        <v>27</v>
      </c>
      <c r="D4035" t="s">
        <v>32</v>
      </c>
      <c r="E4035">
        <v>1.85</v>
      </c>
      <c r="F4035">
        <v>23</v>
      </c>
      <c r="G4035" t="s">
        <v>28</v>
      </c>
      <c r="H4035" t="s">
        <v>18</v>
      </c>
      <c r="I4035" s="2">
        <v>17.989999999999998</v>
      </c>
      <c r="J4035">
        <v>1</v>
      </c>
      <c r="K4035" s="2">
        <f t="shared" ref="K4035:K4098" si="126">SUMIF(J4035,1,I4035)</f>
        <v>17.989999999999998</v>
      </c>
      <c r="L4035" t="s">
        <v>29</v>
      </c>
      <c r="M4035">
        <v>5</v>
      </c>
      <c r="N4035">
        <v>0.08</v>
      </c>
      <c r="O4035" t="str">
        <f t="shared" ref="O4035:O4098" si="127">IF(N4035&gt;1,"1+ hours",IF(N4035&lt;=0.2,"0–0.2 hours",IF(N4035&lt;=0.4,"0.2–0.4 hours",IF(N4035&lt;=0.6,"0.4–0.6 hours",IF(N4035&lt;=0.8,"0.6–0.8 hours","0.8–1 hour")))))</f>
        <v>0–0.2 hours</v>
      </c>
      <c r="P4035" t="s">
        <v>25</v>
      </c>
    </row>
    <row r="4036" spans="1:16" x14ac:dyDescent="0.4">
      <c r="A4036" t="s">
        <v>4077</v>
      </c>
      <c r="B4036">
        <v>59</v>
      </c>
      <c r="C4036" t="s">
        <v>15</v>
      </c>
      <c r="D4036" t="s">
        <v>32</v>
      </c>
      <c r="E4036">
        <v>8.8800000000000008</v>
      </c>
      <c r="F4036">
        <v>16</v>
      </c>
      <c r="G4036" t="s">
        <v>49</v>
      </c>
      <c r="H4036" t="s">
        <v>24</v>
      </c>
      <c r="I4036" s="2">
        <v>17.989999999999998</v>
      </c>
      <c r="J4036">
        <v>0</v>
      </c>
      <c r="K4036" s="2">
        <f t="shared" si="126"/>
        <v>0</v>
      </c>
      <c r="L4036" t="s">
        <v>37</v>
      </c>
      <c r="M4036">
        <v>1</v>
      </c>
      <c r="N4036">
        <v>0.52</v>
      </c>
      <c r="O4036" t="str">
        <f t="shared" si="127"/>
        <v>0.4–0.6 hours</v>
      </c>
      <c r="P4036" t="s">
        <v>39</v>
      </c>
    </row>
    <row r="4037" spans="1:16" x14ac:dyDescent="0.4">
      <c r="A4037" t="s">
        <v>4078</v>
      </c>
      <c r="B4037">
        <v>67</v>
      </c>
      <c r="C4037" t="s">
        <v>15</v>
      </c>
      <c r="D4037" t="s">
        <v>16</v>
      </c>
      <c r="E4037">
        <v>17.079999999999998</v>
      </c>
      <c r="F4037">
        <v>33</v>
      </c>
      <c r="G4037" t="s">
        <v>49</v>
      </c>
      <c r="H4037" t="s">
        <v>18</v>
      </c>
      <c r="I4037" s="2">
        <v>8.99</v>
      </c>
      <c r="J4037">
        <v>0</v>
      </c>
      <c r="K4037" s="2">
        <f t="shared" si="126"/>
        <v>0</v>
      </c>
      <c r="L4037" t="s">
        <v>61</v>
      </c>
      <c r="M4037">
        <v>5</v>
      </c>
      <c r="N4037">
        <v>0.5</v>
      </c>
      <c r="O4037" t="str">
        <f t="shared" si="127"/>
        <v>0.4–0.6 hours</v>
      </c>
      <c r="P4037" t="s">
        <v>30</v>
      </c>
    </row>
    <row r="4038" spans="1:16" x14ac:dyDescent="0.4">
      <c r="A4038" t="s">
        <v>4079</v>
      </c>
      <c r="B4038">
        <v>61</v>
      </c>
      <c r="C4038" t="s">
        <v>27</v>
      </c>
      <c r="D4038" t="s">
        <v>16</v>
      </c>
      <c r="E4038">
        <v>12.55</v>
      </c>
      <c r="F4038">
        <v>8</v>
      </c>
      <c r="G4038" t="s">
        <v>17</v>
      </c>
      <c r="H4038" t="s">
        <v>18</v>
      </c>
      <c r="I4038" s="2">
        <v>8.99</v>
      </c>
      <c r="J4038">
        <v>0</v>
      </c>
      <c r="K4038" s="2">
        <f t="shared" si="126"/>
        <v>0</v>
      </c>
      <c r="L4038" t="s">
        <v>43</v>
      </c>
      <c r="M4038">
        <v>3</v>
      </c>
      <c r="N4038">
        <v>1.39</v>
      </c>
      <c r="O4038" t="str">
        <f t="shared" si="127"/>
        <v>1+ hours</v>
      </c>
      <c r="P4038" t="s">
        <v>39</v>
      </c>
    </row>
    <row r="4039" spans="1:16" x14ac:dyDescent="0.4">
      <c r="A4039" t="s">
        <v>4080</v>
      </c>
      <c r="B4039">
        <v>22</v>
      </c>
      <c r="C4039" t="s">
        <v>27</v>
      </c>
      <c r="D4039" t="s">
        <v>22</v>
      </c>
      <c r="E4039">
        <v>3.05</v>
      </c>
      <c r="F4039">
        <v>48</v>
      </c>
      <c r="G4039" t="s">
        <v>49</v>
      </c>
      <c r="H4039" t="s">
        <v>55</v>
      </c>
      <c r="I4039" s="2">
        <v>13.99</v>
      </c>
      <c r="J4039">
        <v>1</v>
      </c>
      <c r="K4039" s="2">
        <f t="shared" si="126"/>
        <v>13.99</v>
      </c>
      <c r="L4039" t="s">
        <v>29</v>
      </c>
      <c r="M4039">
        <v>4</v>
      </c>
      <c r="N4039">
        <v>0.06</v>
      </c>
      <c r="O4039" t="str">
        <f t="shared" si="127"/>
        <v>0–0.2 hours</v>
      </c>
      <c r="P4039" t="s">
        <v>52</v>
      </c>
    </row>
    <row r="4040" spans="1:16" x14ac:dyDescent="0.4">
      <c r="A4040" t="s">
        <v>4081</v>
      </c>
      <c r="B4040">
        <v>23</v>
      </c>
      <c r="C4040" t="s">
        <v>15</v>
      </c>
      <c r="D4040" t="s">
        <v>16</v>
      </c>
      <c r="E4040">
        <v>14.42</v>
      </c>
      <c r="F4040">
        <v>2</v>
      </c>
      <c r="G4040" t="s">
        <v>17</v>
      </c>
      <c r="H4040" t="s">
        <v>57</v>
      </c>
      <c r="I4040" s="2">
        <v>8.99</v>
      </c>
      <c r="J4040">
        <v>0</v>
      </c>
      <c r="K4040" s="2">
        <f t="shared" si="126"/>
        <v>0</v>
      </c>
      <c r="L4040" t="s">
        <v>29</v>
      </c>
      <c r="M4040">
        <v>2</v>
      </c>
      <c r="N4040">
        <v>4.8099999999999996</v>
      </c>
      <c r="O4040" t="str">
        <f t="shared" si="127"/>
        <v>1+ hours</v>
      </c>
      <c r="P4040" t="s">
        <v>39</v>
      </c>
    </row>
    <row r="4041" spans="1:16" x14ac:dyDescent="0.4">
      <c r="A4041" t="s">
        <v>4082</v>
      </c>
      <c r="B4041">
        <v>61</v>
      </c>
      <c r="C4041" t="s">
        <v>27</v>
      </c>
      <c r="D4041" t="s">
        <v>22</v>
      </c>
      <c r="E4041">
        <v>16.829999999999998</v>
      </c>
      <c r="F4041">
        <v>46</v>
      </c>
      <c r="G4041" t="s">
        <v>49</v>
      </c>
      <c r="H4041" t="s">
        <v>24</v>
      </c>
      <c r="I4041" s="2">
        <v>13.99</v>
      </c>
      <c r="J4041">
        <v>0</v>
      </c>
      <c r="K4041" s="2">
        <f t="shared" si="126"/>
        <v>0</v>
      </c>
      <c r="L4041" t="s">
        <v>43</v>
      </c>
      <c r="M4041">
        <v>5</v>
      </c>
      <c r="N4041">
        <v>0.36</v>
      </c>
      <c r="O4041" t="str">
        <f t="shared" si="127"/>
        <v>0.2–0.4 hours</v>
      </c>
      <c r="P4041" t="s">
        <v>39</v>
      </c>
    </row>
    <row r="4042" spans="1:16" x14ac:dyDescent="0.4">
      <c r="A4042" t="s">
        <v>4083</v>
      </c>
      <c r="B4042">
        <v>66</v>
      </c>
      <c r="C4042" t="s">
        <v>41</v>
      </c>
      <c r="D4042" t="s">
        <v>22</v>
      </c>
      <c r="E4042">
        <v>1.65</v>
      </c>
      <c r="F4042">
        <v>44</v>
      </c>
      <c r="G4042" t="s">
        <v>17</v>
      </c>
      <c r="H4042" t="s">
        <v>18</v>
      </c>
      <c r="I4042" s="2">
        <v>13.99</v>
      </c>
      <c r="J4042">
        <v>1</v>
      </c>
      <c r="K4042" s="2">
        <f t="shared" si="126"/>
        <v>13.99</v>
      </c>
      <c r="L4042" t="s">
        <v>43</v>
      </c>
      <c r="M4042">
        <v>2</v>
      </c>
      <c r="N4042">
        <v>0.04</v>
      </c>
      <c r="O4042" t="str">
        <f t="shared" si="127"/>
        <v>0–0.2 hours</v>
      </c>
      <c r="P4042" t="s">
        <v>39</v>
      </c>
    </row>
    <row r="4043" spans="1:16" x14ac:dyDescent="0.4">
      <c r="A4043" t="s">
        <v>4084</v>
      </c>
      <c r="B4043">
        <v>39</v>
      </c>
      <c r="C4043" t="s">
        <v>27</v>
      </c>
      <c r="D4043" t="s">
        <v>22</v>
      </c>
      <c r="E4043">
        <v>2.76</v>
      </c>
      <c r="F4043">
        <v>1</v>
      </c>
      <c r="G4043" t="s">
        <v>49</v>
      </c>
      <c r="H4043" t="s">
        <v>24</v>
      </c>
      <c r="I4043" s="2">
        <v>13.99</v>
      </c>
      <c r="J4043">
        <v>0</v>
      </c>
      <c r="K4043" s="2">
        <f t="shared" si="126"/>
        <v>0</v>
      </c>
      <c r="L4043" t="s">
        <v>43</v>
      </c>
      <c r="M4043">
        <v>3</v>
      </c>
      <c r="N4043">
        <v>1.38</v>
      </c>
      <c r="O4043" t="str">
        <f t="shared" si="127"/>
        <v>1+ hours</v>
      </c>
      <c r="P4043" t="s">
        <v>52</v>
      </c>
    </row>
    <row r="4044" spans="1:16" x14ac:dyDescent="0.4">
      <c r="A4044" t="s">
        <v>4085</v>
      </c>
      <c r="B4044">
        <v>68</v>
      </c>
      <c r="C4044" t="s">
        <v>15</v>
      </c>
      <c r="D4044" t="s">
        <v>32</v>
      </c>
      <c r="E4044">
        <v>1.23</v>
      </c>
      <c r="F4044">
        <v>12</v>
      </c>
      <c r="G4044" t="s">
        <v>28</v>
      </c>
      <c r="H4044" t="s">
        <v>24</v>
      </c>
      <c r="I4044" s="2">
        <v>17.989999999999998</v>
      </c>
      <c r="J4044">
        <v>1</v>
      </c>
      <c r="K4044" s="2">
        <f t="shared" si="126"/>
        <v>17.989999999999998</v>
      </c>
      <c r="L4044" t="s">
        <v>29</v>
      </c>
      <c r="M4044">
        <v>5</v>
      </c>
      <c r="N4044">
        <v>0.09</v>
      </c>
      <c r="O4044" t="str">
        <f t="shared" si="127"/>
        <v>0–0.2 hours</v>
      </c>
      <c r="P4044" t="s">
        <v>34</v>
      </c>
    </row>
    <row r="4045" spans="1:16" x14ac:dyDescent="0.4">
      <c r="A4045" t="s">
        <v>4086</v>
      </c>
      <c r="B4045">
        <v>52</v>
      </c>
      <c r="C4045" t="s">
        <v>15</v>
      </c>
      <c r="D4045" t="s">
        <v>32</v>
      </c>
      <c r="E4045">
        <v>3.1</v>
      </c>
      <c r="F4045">
        <v>6</v>
      </c>
      <c r="G4045" t="s">
        <v>23</v>
      </c>
      <c r="H4045" t="s">
        <v>57</v>
      </c>
      <c r="I4045" s="2">
        <v>17.989999999999998</v>
      </c>
      <c r="J4045">
        <v>0</v>
      </c>
      <c r="K4045" s="2">
        <f t="shared" si="126"/>
        <v>0</v>
      </c>
      <c r="L4045" t="s">
        <v>61</v>
      </c>
      <c r="M4045">
        <v>3</v>
      </c>
      <c r="N4045">
        <v>0.44</v>
      </c>
      <c r="O4045" t="str">
        <f t="shared" si="127"/>
        <v>0.4–0.6 hours</v>
      </c>
      <c r="P4045" t="s">
        <v>52</v>
      </c>
    </row>
    <row r="4046" spans="1:16" x14ac:dyDescent="0.4">
      <c r="A4046" t="s">
        <v>4087</v>
      </c>
      <c r="B4046">
        <v>21</v>
      </c>
      <c r="C4046" t="s">
        <v>27</v>
      </c>
      <c r="D4046" t="s">
        <v>32</v>
      </c>
      <c r="E4046">
        <v>34.18</v>
      </c>
      <c r="F4046">
        <v>47</v>
      </c>
      <c r="G4046" t="s">
        <v>23</v>
      </c>
      <c r="H4046" t="s">
        <v>24</v>
      </c>
      <c r="I4046" s="2">
        <v>17.989999999999998</v>
      </c>
      <c r="J4046">
        <v>0</v>
      </c>
      <c r="K4046" s="2">
        <f t="shared" si="126"/>
        <v>0</v>
      </c>
      <c r="L4046" t="s">
        <v>19</v>
      </c>
      <c r="M4046">
        <v>1</v>
      </c>
      <c r="N4046">
        <v>0.71</v>
      </c>
      <c r="O4046" t="str">
        <f t="shared" si="127"/>
        <v>0.6–0.8 hours</v>
      </c>
      <c r="P4046" t="s">
        <v>47</v>
      </c>
    </row>
    <row r="4047" spans="1:16" x14ac:dyDescent="0.4">
      <c r="A4047" t="s">
        <v>4088</v>
      </c>
      <c r="B4047">
        <v>53</v>
      </c>
      <c r="C4047" t="s">
        <v>41</v>
      </c>
      <c r="D4047" t="s">
        <v>22</v>
      </c>
      <c r="E4047">
        <v>16.059999999999999</v>
      </c>
      <c r="F4047">
        <v>57</v>
      </c>
      <c r="G4047" t="s">
        <v>70</v>
      </c>
      <c r="H4047" t="s">
        <v>57</v>
      </c>
      <c r="I4047" s="2">
        <v>13.99</v>
      </c>
      <c r="J4047">
        <v>1</v>
      </c>
      <c r="K4047" s="2">
        <f t="shared" si="126"/>
        <v>13.99</v>
      </c>
      <c r="L4047" t="s">
        <v>19</v>
      </c>
      <c r="M4047">
        <v>4</v>
      </c>
      <c r="N4047">
        <v>0.28000000000000003</v>
      </c>
      <c r="O4047" t="str">
        <f t="shared" si="127"/>
        <v>0.2–0.4 hours</v>
      </c>
      <c r="P4047" t="s">
        <v>20</v>
      </c>
    </row>
    <row r="4048" spans="1:16" x14ac:dyDescent="0.4">
      <c r="A4048" t="s">
        <v>4089</v>
      </c>
      <c r="B4048">
        <v>68</v>
      </c>
      <c r="C4048" t="s">
        <v>41</v>
      </c>
      <c r="D4048" t="s">
        <v>16</v>
      </c>
      <c r="E4048">
        <v>5.26</v>
      </c>
      <c r="F4048">
        <v>45</v>
      </c>
      <c r="G4048" t="s">
        <v>28</v>
      </c>
      <c r="H4048" t="s">
        <v>55</v>
      </c>
      <c r="I4048" s="2">
        <v>8.99</v>
      </c>
      <c r="J4048">
        <v>1</v>
      </c>
      <c r="K4048" s="2">
        <f t="shared" si="126"/>
        <v>8.99</v>
      </c>
      <c r="L4048" t="s">
        <v>19</v>
      </c>
      <c r="M4048">
        <v>1</v>
      </c>
      <c r="N4048">
        <v>0.11</v>
      </c>
      <c r="O4048" t="str">
        <f t="shared" si="127"/>
        <v>0–0.2 hours</v>
      </c>
      <c r="P4048" t="s">
        <v>20</v>
      </c>
    </row>
    <row r="4049" spans="1:16" x14ac:dyDescent="0.4">
      <c r="A4049" t="s">
        <v>4090</v>
      </c>
      <c r="B4049">
        <v>46</v>
      </c>
      <c r="C4049" t="s">
        <v>27</v>
      </c>
      <c r="D4049" t="s">
        <v>22</v>
      </c>
      <c r="E4049">
        <v>4.76</v>
      </c>
      <c r="F4049">
        <v>43</v>
      </c>
      <c r="G4049" t="s">
        <v>23</v>
      </c>
      <c r="H4049" t="s">
        <v>55</v>
      </c>
      <c r="I4049" s="2">
        <v>13.99</v>
      </c>
      <c r="J4049">
        <v>1</v>
      </c>
      <c r="K4049" s="2">
        <f t="shared" si="126"/>
        <v>13.99</v>
      </c>
      <c r="L4049" t="s">
        <v>43</v>
      </c>
      <c r="M4049">
        <v>5</v>
      </c>
      <c r="N4049">
        <v>0.11</v>
      </c>
      <c r="O4049" t="str">
        <f t="shared" si="127"/>
        <v>0–0.2 hours</v>
      </c>
      <c r="P4049" t="s">
        <v>39</v>
      </c>
    </row>
    <row r="4050" spans="1:16" x14ac:dyDescent="0.4">
      <c r="A4050" t="s">
        <v>4091</v>
      </c>
      <c r="B4050">
        <v>20</v>
      </c>
      <c r="C4050" t="s">
        <v>15</v>
      </c>
      <c r="D4050" t="s">
        <v>32</v>
      </c>
      <c r="E4050">
        <v>1.78</v>
      </c>
      <c r="F4050">
        <v>34</v>
      </c>
      <c r="G4050" t="s">
        <v>28</v>
      </c>
      <c r="H4050" t="s">
        <v>55</v>
      </c>
      <c r="I4050" s="2">
        <v>17.989999999999998</v>
      </c>
      <c r="J4050">
        <v>1</v>
      </c>
      <c r="K4050" s="2">
        <f t="shared" si="126"/>
        <v>17.989999999999998</v>
      </c>
      <c r="L4050" t="s">
        <v>61</v>
      </c>
      <c r="M4050">
        <v>5</v>
      </c>
      <c r="N4050">
        <v>0.05</v>
      </c>
      <c r="O4050" t="str">
        <f t="shared" si="127"/>
        <v>0–0.2 hours</v>
      </c>
      <c r="P4050" t="s">
        <v>20</v>
      </c>
    </row>
    <row r="4051" spans="1:16" x14ac:dyDescent="0.4">
      <c r="A4051" t="s">
        <v>4092</v>
      </c>
      <c r="B4051">
        <v>34</v>
      </c>
      <c r="C4051" t="s">
        <v>41</v>
      </c>
      <c r="D4051" t="s">
        <v>16</v>
      </c>
      <c r="E4051">
        <v>10.48</v>
      </c>
      <c r="F4051">
        <v>60</v>
      </c>
      <c r="G4051" t="s">
        <v>23</v>
      </c>
      <c r="H4051" t="s">
        <v>55</v>
      </c>
      <c r="I4051" s="2">
        <v>8.99</v>
      </c>
      <c r="J4051">
        <v>1</v>
      </c>
      <c r="K4051" s="2">
        <f t="shared" si="126"/>
        <v>8.99</v>
      </c>
      <c r="L4051" t="s">
        <v>29</v>
      </c>
      <c r="M4051">
        <v>5</v>
      </c>
      <c r="N4051">
        <v>0.17</v>
      </c>
      <c r="O4051" t="str">
        <f t="shared" si="127"/>
        <v>0–0.2 hours</v>
      </c>
      <c r="P4051" t="s">
        <v>39</v>
      </c>
    </row>
    <row r="4052" spans="1:16" x14ac:dyDescent="0.4">
      <c r="A4052" t="s">
        <v>4093</v>
      </c>
      <c r="B4052">
        <v>31</v>
      </c>
      <c r="C4052" t="s">
        <v>41</v>
      </c>
      <c r="D4052" t="s">
        <v>16</v>
      </c>
      <c r="E4052">
        <v>1.61</v>
      </c>
      <c r="F4052">
        <v>41</v>
      </c>
      <c r="G4052" t="s">
        <v>70</v>
      </c>
      <c r="H4052" t="s">
        <v>57</v>
      </c>
      <c r="I4052" s="2">
        <v>8.99</v>
      </c>
      <c r="J4052">
        <v>1</v>
      </c>
      <c r="K4052" s="2">
        <f t="shared" si="126"/>
        <v>8.99</v>
      </c>
      <c r="L4052" t="s">
        <v>19</v>
      </c>
      <c r="M4052">
        <v>2</v>
      </c>
      <c r="N4052">
        <v>0.04</v>
      </c>
      <c r="O4052" t="str">
        <f t="shared" si="127"/>
        <v>0–0.2 hours</v>
      </c>
      <c r="P4052" t="s">
        <v>25</v>
      </c>
    </row>
    <row r="4053" spans="1:16" x14ac:dyDescent="0.4">
      <c r="A4053" t="s">
        <v>4094</v>
      </c>
      <c r="B4053">
        <v>31</v>
      </c>
      <c r="C4053" t="s">
        <v>41</v>
      </c>
      <c r="D4053" t="s">
        <v>32</v>
      </c>
      <c r="E4053">
        <v>4</v>
      </c>
      <c r="F4053">
        <v>10</v>
      </c>
      <c r="G4053" t="s">
        <v>49</v>
      </c>
      <c r="H4053" t="s">
        <v>24</v>
      </c>
      <c r="I4053" s="2">
        <v>17.989999999999998</v>
      </c>
      <c r="J4053">
        <v>0</v>
      </c>
      <c r="K4053" s="2">
        <f t="shared" si="126"/>
        <v>0</v>
      </c>
      <c r="L4053" t="s">
        <v>37</v>
      </c>
      <c r="M4053">
        <v>5</v>
      </c>
      <c r="N4053">
        <v>0.36</v>
      </c>
      <c r="O4053" t="str">
        <f t="shared" si="127"/>
        <v>0.2–0.4 hours</v>
      </c>
      <c r="P4053" t="s">
        <v>47</v>
      </c>
    </row>
    <row r="4054" spans="1:16" x14ac:dyDescent="0.4">
      <c r="A4054" t="s">
        <v>4095</v>
      </c>
      <c r="B4054">
        <v>24</v>
      </c>
      <c r="C4054" t="s">
        <v>27</v>
      </c>
      <c r="D4054" t="s">
        <v>16</v>
      </c>
      <c r="E4054">
        <v>6.65</v>
      </c>
      <c r="F4054">
        <v>41</v>
      </c>
      <c r="G4054" t="s">
        <v>23</v>
      </c>
      <c r="H4054" t="s">
        <v>55</v>
      </c>
      <c r="I4054" s="2">
        <v>8.99</v>
      </c>
      <c r="J4054">
        <v>1</v>
      </c>
      <c r="K4054" s="2">
        <f t="shared" si="126"/>
        <v>8.99</v>
      </c>
      <c r="L4054" t="s">
        <v>29</v>
      </c>
      <c r="M4054">
        <v>2</v>
      </c>
      <c r="N4054">
        <v>0.16</v>
      </c>
      <c r="O4054" t="str">
        <f t="shared" si="127"/>
        <v>0–0.2 hours</v>
      </c>
      <c r="P4054" t="s">
        <v>39</v>
      </c>
    </row>
    <row r="4055" spans="1:16" x14ac:dyDescent="0.4">
      <c r="A4055" t="s">
        <v>4096</v>
      </c>
      <c r="B4055">
        <v>66</v>
      </c>
      <c r="C4055" t="s">
        <v>15</v>
      </c>
      <c r="D4055" t="s">
        <v>16</v>
      </c>
      <c r="E4055">
        <v>12.76</v>
      </c>
      <c r="F4055">
        <v>0</v>
      </c>
      <c r="G4055" t="s">
        <v>70</v>
      </c>
      <c r="H4055" t="s">
        <v>57</v>
      </c>
      <c r="I4055" s="2">
        <v>8.99</v>
      </c>
      <c r="J4055">
        <v>0</v>
      </c>
      <c r="K4055" s="2">
        <f t="shared" si="126"/>
        <v>0</v>
      </c>
      <c r="L4055" t="s">
        <v>61</v>
      </c>
      <c r="M4055">
        <v>1</v>
      </c>
      <c r="N4055">
        <v>12.76</v>
      </c>
      <c r="O4055" t="str">
        <f t="shared" si="127"/>
        <v>1+ hours</v>
      </c>
      <c r="P4055" t="s">
        <v>25</v>
      </c>
    </row>
    <row r="4056" spans="1:16" x14ac:dyDescent="0.4">
      <c r="A4056" t="s">
        <v>4097</v>
      </c>
      <c r="B4056">
        <v>26</v>
      </c>
      <c r="C4056" t="s">
        <v>27</v>
      </c>
      <c r="D4056" t="s">
        <v>16</v>
      </c>
      <c r="E4056">
        <v>7.83</v>
      </c>
      <c r="F4056">
        <v>1</v>
      </c>
      <c r="G4056" t="s">
        <v>70</v>
      </c>
      <c r="H4056" t="s">
        <v>57</v>
      </c>
      <c r="I4056" s="2">
        <v>8.99</v>
      </c>
      <c r="J4056">
        <v>0</v>
      </c>
      <c r="K4056" s="2">
        <f t="shared" si="126"/>
        <v>0</v>
      </c>
      <c r="L4056" t="s">
        <v>61</v>
      </c>
      <c r="M4056">
        <v>1</v>
      </c>
      <c r="N4056">
        <v>3.92</v>
      </c>
      <c r="O4056" t="str">
        <f t="shared" si="127"/>
        <v>1+ hours</v>
      </c>
      <c r="P4056" t="s">
        <v>52</v>
      </c>
    </row>
    <row r="4057" spans="1:16" x14ac:dyDescent="0.4">
      <c r="A4057" t="s">
        <v>4098</v>
      </c>
      <c r="B4057">
        <v>53</v>
      </c>
      <c r="C4057" t="s">
        <v>27</v>
      </c>
      <c r="D4057" t="s">
        <v>22</v>
      </c>
      <c r="E4057">
        <v>2.34</v>
      </c>
      <c r="F4057">
        <v>46</v>
      </c>
      <c r="G4057" t="s">
        <v>28</v>
      </c>
      <c r="H4057" t="s">
        <v>55</v>
      </c>
      <c r="I4057" s="2">
        <v>13.99</v>
      </c>
      <c r="J4057">
        <v>1</v>
      </c>
      <c r="K4057" s="2">
        <f t="shared" si="126"/>
        <v>13.99</v>
      </c>
      <c r="L4057" t="s">
        <v>43</v>
      </c>
      <c r="M4057">
        <v>1</v>
      </c>
      <c r="N4057">
        <v>0.05</v>
      </c>
      <c r="O4057" t="str">
        <f t="shared" si="127"/>
        <v>0–0.2 hours</v>
      </c>
      <c r="P4057" t="s">
        <v>39</v>
      </c>
    </row>
    <row r="4058" spans="1:16" x14ac:dyDescent="0.4">
      <c r="A4058" t="s">
        <v>4099</v>
      </c>
      <c r="B4058">
        <v>32</v>
      </c>
      <c r="C4058" t="s">
        <v>15</v>
      </c>
      <c r="D4058" t="s">
        <v>16</v>
      </c>
      <c r="E4058">
        <v>8.18</v>
      </c>
      <c r="F4058">
        <v>16</v>
      </c>
      <c r="G4058" t="s">
        <v>33</v>
      </c>
      <c r="H4058" t="s">
        <v>55</v>
      </c>
      <c r="I4058" s="2">
        <v>8.99</v>
      </c>
      <c r="J4058">
        <v>0</v>
      </c>
      <c r="K4058" s="2">
        <f t="shared" si="126"/>
        <v>0</v>
      </c>
      <c r="L4058" t="s">
        <v>37</v>
      </c>
      <c r="M4058">
        <v>4</v>
      </c>
      <c r="N4058">
        <v>0.48</v>
      </c>
      <c r="O4058" t="str">
        <f t="shared" si="127"/>
        <v>0.4–0.6 hours</v>
      </c>
      <c r="P4058" t="s">
        <v>25</v>
      </c>
    </row>
    <row r="4059" spans="1:16" x14ac:dyDescent="0.4">
      <c r="A4059" t="s">
        <v>4100</v>
      </c>
      <c r="B4059">
        <v>33</v>
      </c>
      <c r="C4059" t="s">
        <v>15</v>
      </c>
      <c r="D4059" t="s">
        <v>32</v>
      </c>
      <c r="E4059">
        <v>9.1</v>
      </c>
      <c r="F4059">
        <v>26</v>
      </c>
      <c r="G4059" t="s">
        <v>49</v>
      </c>
      <c r="H4059" t="s">
        <v>46</v>
      </c>
      <c r="I4059" s="2">
        <v>17.989999999999998</v>
      </c>
      <c r="J4059">
        <v>0</v>
      </c>
      <c r="K4059" s="2">
        <f t="shared" si="126"/>
        <v>0</v>
      </c>
      <c r="L4059" t="s">
        <v>19</v>
      </c>
      <c r="M4059">
        <v>2</v>
      </c>
      <c r="N4059">
        <v>0.34</v>
      </c>
      <c r="O4059" t="str">
        <f t="shared" si="127"/>
        <v>0.2–0.4 hours</v>
      </c>
      <c r="P4059" t="s">
        <v>30</v>
      </c>
    </row>
    <row r="4060" spans="1:16" x14ac:dyDescent="0.4">
      <c r="A4060" t="s">
        <v>4101</v>
      </c>
      <c r="B4060">
        <v>49</v>
      </c>
      <c r="C4060" t="s">
        <v>27</v>
      </c>
      <c r="D4060" t="s">
        <v>32</v>
      </c>
      <c r="E4060">
        <v>15.64</v>
      </c>
      <c r="F4060">
        <v>1</v>
      </c>
      <c r="G4060" t="s">
        <v>17</v>
      </c>
      <c r="H4060" t="s">
        <v>57</v>
      </c>
      <c r="I4060" s="2">
        <v>17.989999999999998</v>
      </c>
      <c r="J4060">
        <v>0</v>
      </c>
      <c r="K4060" s="2">
        <f t="shared" si="126"/>
        <v>0</v>
      </c>
      <c r="L4060" t="s">
        <v>43</v>
      </c>
      <c r="M4060">
        <v>4</v>
      </c>
      <c r="N4060">
        <v>7.82</v>
      </c>
      <c r="O4060" t="str">
        <f t="shared" si="127"/>
        <v>1+ hours</v>
      </c>
      <c r="P4060" t="s">
        <v>34</v>
      </c>
    </row>
    <row r="4061" spans="1:16" x14ac:dyDescent="0.4">
      <c r="A4061" t="s">
        <v>4102</v>
      </c>
      <c r="B4061">
        <v>46</v>
      </c>
      <c r="C4061" t="s">
        <v>41</v>
      </c>
      <c r="D4061" t="s">
        <v>22</v>
      </c>
      <c r="E4061">
        <v>8.7200000000000006</v>
      </c>
      <c r="F4061">
        <v>8</v>
      </c>
      <c r="G4061" t="s">
        <v>23</v>
      </c>
      <c r="H4061" t="s">
        <v>55</v>
      </c>
      <c r="I4061" s="2">
        <v>13.99</v>
      </c>
      <c r="J4061">
        <v>0</v>
      </c>
      <c r="K4061" s="2">
        <f t="shared" si="126"/>
        <v>0</v>
      </c>
      <c r="L4061" t="s">
        <v>37</v>
      </c>
      <c r="M4061">
        <v>5</v>
      </c>
      <c r="N4061">
        <v>0.97</v>
      </c>
      <c r="O4061" t="str">
        <f t="shared" si="127"/>
        <v>0.8–1 hour</v>
      </c>
      <c r="P4061" t="s">
        <v>52</v>
      </c>
    </row>
    <row r="4062" spans="1:16" x14ac:dyDescent="0.4">
      <c r="A4062" t="s">
        <v>4103</v>
      </c>
      <c r="B4062">
        <v>29</v>
      </c>
      <c r="C4062" t="s">
        <v>41</v>
      </c>
      <c r="D4062" t="s">
        <v>16</v>
      </c>
      <c r="E4062">
        <v>3.75</v>
      </c>
      <c r="F4062">
        <v>49</v>
      </c>
      <c r="G4062" t="s">
        <v>49</v>
      </c>
      <c r="H4062" t="s">
        <v>57</v>
      </c>
      <c r="I4062" s="2">
        <v>8.99</v>
      </c>
      <c r="J4062">
        <v>1</v>
      </c>
      <c r="K4062" s="2">
        <f t="shared" si="126"/>
        <v>8.99</v>
      </c>
      <c r="L4062" t="s">
        <v>29</v>
      </c>
      <c r="M4062">
        <v>1</v>
      </c>
      <c r="N4062">
        <v>7.0000000000000007E-2</v>
      </c>
      <c r="O4062" t="str">
        <f t="shared" si="127"/>
        <v>0–0.2 hours</v>
      </c>
      <c r="P4062" t="s">
        <v>39</v>
      </c>
    </row>
    <row r="4063" spans="1:16" x14ac:dyDescent="0.4">
      <c r="A4063" t="s">
        <v>4104</v>
      </c>
      <c r="B4063">
        <v>69</v>
      </c>
      <c r="C4063" t="s">
        <v>15</v>
      </c>
      <c r="D4063" t="s">
        <v>16</v>
      </c>
      <c r="E4063">
        <v>2.86</v>
      </c>
      <c r="F4063">
        <v>1</v>
      </c>
      <c r="G4063" t="s">
        <v>49</v>
      </c>
      <c r="H4063" t="s">
        <v>46</v>
      </c>
      <c r="I4063" s="2">
        <v>8.99</v>
      </c>
      <c r="J4063">
        <v>0</v>
      </c>
      <c r="K4063" s="2">
        <f t="shared" si="126"/>
        <v>0</v>
      </c>
      <c r="L4063" t="s">
        <v>19</v>
      </c>
      <c r="M4063">
        <v>4</v>
      </c>
      <c r="N4063">
        <v>1.43</v>
      </c>
      <c r="O4063" t="str">
        <f t="shared" si="127"/>
        <v>1+ hours</v>
      </c>
      <c r="P4063" t="s">
        <v>20</v>
      </c>
    </row>
    <row r="4064" spans="1:16" x14ac:dyDescent="0.4">
      <c r="A4064" t="s">
        <v>4105</v>
      </c>
      <c r="B4064">
        <v>54</v>
      </c>
      <c r="C4064" t="s">
        <v>41</v>
      </c>
      <c r="D4064" t="s">
        <v>16</v>
      </c>
      <c r="E4064">
        <v>1.29</v>
      </c>
      <c r="F4064">
        <v>49</v>
      </c>
      <c r="G4064" t="s">
        <v>23</v>
      </c>
      <c r="H4064" t="s">
        <v>46</v>
      </c>
      <c r="I4064" s="2">
        <v>8.99</v>
      </c>
      <c r="J4064">
        <v>1</v>
      </c>
      <c r="K4064" s="2">
        <f t="shared" si="126"/>
        <v>8.99</v>
      </c>
      <c r="L4064" t="s">
        <v>61</v>
      </c>
      <c r="M4064">
        <v>4</v>
      </c>
      <c r="N4064">
        <v>0.03</v>
      </c>
      <c r="O4064" t="str">
        <f t="shared" si="127"/>
        <v>0–0.2 hours</v>
      </c>
      <c r="P4064" t="s">
        <v>25</v>
      </c>
    </row>
    <row r="4065" spans="1:16" x14ac:dyDescent="0.4">
      <c r="A4065" t="s">
        <v>4106</v>
      </c>
      <c r="B4065">
        <v>59</v>
      </c>
      <c r="C4065" t="s">
        <v>41</v>
      </c>
      <c r="D4065" t="s">
        <v>22</v>
      </c>
      <c r="E4065">
        <v>4.1399999999999997</v>
      </c>
      <c r="F4065">
        <v>55</v>
      </c>
      <c r="G4065" t="s">
        <v>49</v>
      </c>
      <c r="H4065" t="s">
        <v>55</v>
      </c>
      <c r="I4065" s="2">
        <v>13.99</v>
      </c>
      <c r="J4065">
        <v>1</v>
      </c>
      <c r="K4065" s="2">
        <f t="shared" si="126"/>
        <v>13.99</v>
      </c>
      <c r="L4065" t="s">
        <v>29</v>
      </c>
      <c r="M4065">
        <v>5</v>
      </c>
      <c r="N4065">
        <v>7.0000000000000007E-2</v>
      </c>
      <c r="O4065" t="str">
        <f t="shared" si="127"/>
        <v>0–0.2 hours</v>
      </c>
      <c r="P4065" t="s">
        <v>34</v>
      </c>
    </row>
    <row r="4066" spans="1:16" x14ac:dyDescent="0.4">
      <c r="A4066" t="s">
        <v>4107</v>
      </c>
      <c r="B4066">
        <v>18</v>
      </c>
      <c r="C4066" t="s">
        <v>41</v>
      </c>
      <c r="D4066" t="s">
        <v>32</v>
      </c>
      <c r="E4066">
        <v>2.5299999999999998</v>
      </c>
      <c r="F4066">
        <v>38</v>
      </c>
      <c r="G4066" t="s">
        <v>28</v>
      </c>
      <c r="H4066" t="s">
        <v>24</v>
      </c>
      <c r="I4066" s="2">
        <v>17.989999999999998</v>
      </c>
      <c r="J4066">
        <v>1</v>
      </c>
      <c r="K4066" s="2">
        <f t="shared" si="126"/>
        <v>17.989999999999998</v>
      </c>
      <c r="L4066" t="s">
        <v>37</v>
      </c>
      <c r="M4066">
        <v>3</v>
      </c>
      <c r="N4066">
        <v>0.06</v>
      </c>
      <c r="O4066" t="str">
        <f t="shared" si="127"/>
        <v>0–0.2 hours</v>
      </c>
      <c r="P4066" t="s">
        <v>25</v>
      </c>
    </row>
    <row r="4067" spans="1:16" x14ac:dyDescent="0.4">
      <c r="A4067" t="s">
        <v>4108</v>
      </c>
      <c r="B4067">
        <v>42</v>
      </c>
      <c r="C4067" t="s">
        <v>41</v>
      </c>
      <c r="D4067" t="s">
        <v>32</v>
      </c>
      <c r="E4067">
        <v>22.19</v>
      </c>
      <c r="F4067">
        <v>6</v>
      </c>
      <c r="G4067" t="s">
        <v>28</v>
      </c>
      <c r="H4067" t="s">
        <v>55</v>
      </c>
      <c r="I4067" s="2">
        <v>17.989999999999998</v>
      </c>
      <c r="J4067">
        <v>0</v>
      </c>
      <c r="K4067" s="2">
        <f t="shared" si="126"/>
        <v>0</v>
      </c>
      <c r="L4067" t="s">
        <v>43</v>
      </c>
      <c r="M4067">
        <v>2</v>
      </c>
      <c r="N4067">
        <v>3.17</v>
      </c>
      <c r="O4067" t="str">
        <f t="shared" si="127"/>
        <v>1+ hours</v>
      </c>
      <c r="P4067" t="s">
        <v>25</v>
      </c>
    </row>
    <row r="4068" spans="1:16" x14ac:dyDescent="0.4">
      <c r="A4068" t="s">
        <v>4109</v>
      </c>
      <c r="B4068">
        <v>47</v>
      </c>
      <c r="C4068" t="s">
        <v>15</v>
      </c>
      <c r="D4068" t="s">
        <v>22</v>
      </c>
      <c r="E4068">
        <v>2.92</v>
      </c>
      <c r="F4068">
        <v>56</v>
      </c>
      <c r="G4068" t="s">
        <v>49</v>
      </c>
      <c r="H4068" t="s">
        <v>24</v>
      </c>
      <c r="I4068" s="2">
        <v>13.99</v>
      </c>
      <c r="J4068">
        <v>1</v>
      </c>
      <c r="K4068" s="2">
        <f t="shared" si="126"/>
        <v>13.99</v>
      </c>
      <c r="L4068" t="s">
        <v>37</v>
      </c>
      <c r="M4068">
        <v>5</v>
      </c>
      <c r="N4068">
        <v>0.05</v>
      </c>
      <c r="O4068" t="str">
        <f t="shared" si="127"/>
        <v>0–0.2 hours</v>
      </c>
      <c r="P4068" t="s">
        <v>30</v>
      </c>
    </row>
    <row r="4069" spans="1:16" x14ac:dyDescent="0.4">
      <c r="A4069" t="s">
        <v>4110</v>
      </c>
      <c r="B4069">
        <v>23</v>
      </c>
      <c r="C4069" t="s">
        <v>15</v>
      </c>
      <c r="D4069" t="s">
        <v>16</v>
      </c>
      <c r="E4069">
        <v>10.62</v>
      </c>
      <c r="F4069">
        <v>52</v>
      </c>
      <c r="G4069" t="s">
        <v>70</v>
      </c>
      <c r="H4069" t="s">
        <v>24</v>
      </c>
      <c r="I4069" s="2">
        <v>8.99</v>
      </c>
      <c r="J4069">
        <v>1</v>
      </c>
      <c r="K4069" s="2">
        <f t="shared" si="126"/>
        <v>8.99</v>
      </c>
      <c r="L4069" t="s">
        <v>19</v>
      </c>
      <c r="M4069">
        <v>4</v>
      </c>
      <c r="N4069">
        <v>0.2</v>
      </c>
      <c r="O4069" t="str">
        <f t="shared" si="127"/>
        <v>0–0.2 hours</v>
      </c>
      <c r="P4069" t="s">
        <v>47</v>
      </c>
    </row>
    <row r="4070" spans="1:16" x14ac:dyDescent="0.4">
      <c r="A4070" t="s">
        <v>4111</v>
      </c>
      <c r="B4070">
        <v>51</v>
      </c>
      <c r="C4070" t="s">
        <v>41</v>
      </c>
      <c r="D4070" t="s">
        <v>22</v>
      </c>
      <c r="E4070">
        <v>18</v>
      </c>
      <c r="F4070">
        <v>60</v>
      </c>
      <c r="G4070" t="s">
        <v>49</v>
      </c>
      <c r="H4070" t="s">
        <v>55</v>
      </c>
      <c r="I4070" s="2">
        <v>13.99</v>
      </c>
      <c r="J4070">
        <v>0</v>
      </c>
      <c r="K4070" s="2">
        <f t="shared" si="126"/>
        <v>0</v>
      </c>
      <c r="L4070" t="s">
        <v>37</v>
      </c>
      <c r="M4070">
        <v>4</v>
      </c>
      <c r="N4070">
        <v>0.3</v>
      </c>
      <c r="O4070" t="str">
        <f t="shared" si="127"/>
        <v>0.2–0.4 hours</v>
      </c>
      <c r="P4070" t="s">
        <v>39</v>
      </c>
    </row>
    <row r="4071" spans="1:16" x14ac:dyDescent="0.4">
      <c r="A4071" t="s">
        <v>4112</v>
      </c>
      <c r="B4071">
        <v>30</v>
      </c>
      <c r="C4071" t="s">
        <v>27</v>
      </c>
      <c r="D4071" t="s">
        <v>16</v>
      </c>
      <c r="E4071">
        <v>8.52</v>
      </c>
      <c r="F4071">
        <v>11</v>
      </c>
      <c r="G4071" t="s">
        <v>28</v>
      </c>
      <c r="H4071" t="s">
        <v>46</v>
      </c>
      <c r="I4071" s="2">
        <v>8.99</v>
      </c>
      <c r="J4071">
        <v>0</v>
      </c>
      <c r="K4071" s="2">
        <f t="shared" si="126"/>
        <v>0</v>
      </c>
      <c r="L4071" t="s">
        <v>19</v>
      </c>
      <c r="M4071">
        <v>4</v>
      </c>
      <c r="N4071">
        <v>0.71</v>
      </c>
      <c r="O4071" t="str">
        <f t="shared" si="127"/>
        <v>0.6–0.8 hours</v>
      </c>
      <c r="P4071" t="s">
        <v>20</v>
      </c>
    </row>
    <row r="4072" spans="1:16" x14ac:dyDescent="0.4">
      <c r="A4072" t="s">
        <v>4113</v>
      </c>
      <c r="B4072">
        <v>65</v>
      </c>
      <c r="C4072" t="s">
        <v>15</v>
      </c>
      <c r="D4072" t="s">
        <v>16</v>
      </c>
      <c r="E4072">
        <v>9.9499999999999993</v>
      </c>
      <c r="F4072">
        <v>8</v>
      </c>
      <c r="G4072" t="s">
        <v>70</v>
      </c>
      <c r="H4072" t="s">
        <v>46</v>
      </c>
      <c r="I4072" s="2">
        <v>8.99</v>
      </c>
      <c r="J4072">
        <v>0</v>
      </c>
      <c r="K4072" s="2">
        <f t="shared" si="126"/>
        <v>0</v>
      </c>
      <c r="L4072" t="s">
        <v>29</v>
      </c>
      <c r="M4072">
        <v>5</v>
      </c>
      <c r="N4072">
        <v>1.1100000000000001</v>
      </c>
      <c r="O4072" t="str">
        <f t="shared" si="127"/>
        <v>1+ hours</v>
      </c>
      <c r="P4072" t="s">
        <v>47</v>
      </c>
    </row>
    <row r="4073" spans="1:16" x14ac:dyDescent="0.4">
      <c r="A4073" s="1" t="s">
        <v>4114</v>
      </c>
      <c r="B4073">
        <v>70</v>
      </c>
      <c r="C4073" t="s">
        <v>27</v>
      </c>
      <c r="D4073" t="s">
        <v>32</v>
      </c>
      <c r="E4073">
        <v>9.25</v>
      </c>
      <c r="F4073">
        <v>8</v>
      </c>
      <c r="G4073" t="s">
        <v>49</v>
      </c>
      <c r="H4073" t="s">
        <v>57</v>
      </c>
      <c r="I4073" s="2">
        <v>17.989999999999998</v>
      </c>
      <c r="J4073">
        <v>0</v>
      </c>
      <c r="K4073" s="2">
        <f t="shared" si="126"/>
        <v>0</v>
      </c>
      <c r="L4073" t="s">
        <v>43</v>
      </c>
      <c r="M4073">
        <v>5</v>
      </c>
      <c r="N4073">
        <v>1.03</v>
      </c>
      <c r="O4073" t="str">
        <f t="shared" si="127"/>
        <v>1+ hours</v>
      </c>
      <c r="P4073" t="s">
        <v>52</v>
      </c>
    </row>
    <row r="4074" spans="1:16" x14ac:dyDescent="0.4">
      <c r="A4074" t="s">
        <v>4115</v>
      </c>
      <c r="B4074">
        <v>49</v>
      </c>
      <c r="C4074" t="s">
        <v>27</v>
      </c>
      <c r="D4074" t="s">
        <v>16</v>
      </c>
      <c r="E4074">
        <v>9.65</v>
      </c>
      <c r="F4074">
        <v>8</v>
      </c>
      <c r="G4074" t="s">
        <v>28</v>
      </c>
      <c r="H4074" t="s">
        <v>46</v>
      </c>
      <c r="I4074" s="2">
        <v>8.99</v>
      </c>
      <c r="J4074">
        <v>0</v>
      </c>
      <c r="K4074" s="2">
        <f t="shared" si="126"/>
        <v>0</v>
      </c>
      <c r="L4074" t="s">
        <v>29</v>
      </c>
      <c r="M4074">
        <v>3</v>
      </c>
      <c r="N4074">
        <v>1.07</v>
      </c>
      <c r="O4074" t="str">
        <f t="shared" si="127"/>
        <v>1+ hours</v>
      </c>
      <c r="P4074" t="s">
        <v>39</v>
      </c>
    </row>
    <row r="4075" spans="1:16" x14ac:dyDescent="0.4">
      <c r="A4075" t="s">
        <v>4116</v>
      </c>
      <c r="B4075">
        <v>37</v>
      </c>
      <c r="C4075" t="s">
        <v>41</v>
      </c>
      <c r="D4075" t="s">
        <v>32</v>
      </c>
      <c r="E4075">
        <v>0.64</v>
      </c>
      <c r="F4075">
        <v>10</v>
      </c>
      <c r="G4075" t="s">
        <v>23</v>
      </c>
      <c r="H4075" t="s">
        <v>55</v>
      </c>
      <c r="I4075" s="2">
        <v>17.989999999999998</v>
      </c>
      <c r="J4075">
        <v>1</v>
      </c>
      <c r="K4075" s="2">
        <f t="shared" si="126"/>
        <v>17.989999999999998</v>
      </c>
      <c r="L4075" t="s">
        <v>19</v>
      </c>
      <c r="M4075">
        <v>5</v>
      </c>
      <c r="N4075">
        <v>0.06</v>
      </c>
      <c r="O4075" t="str">
        <f t="shared" si="127"/>
        <v>0–0.2 hours</v>
      </c>
      <c r="P4075" t="s">
        <v>47</v>
      </c>
    </row>
    <row r="4076" spans="1:16" x14ac:dyDescent="0.4">
      <c r="A4076" t="s">
        <v>4117</v>
      </c>
      <c r="B4076">
        <v>70</v>
      </c>
      <c r="C4076" t="s">
        <v>15</v>
      </c>
      <c r="D4076" t="s">
        <v>22</v>
      </c>
      <c r="E4076">
        <v>1.34</v>
      </c>
      <c r="F4076">
        <v>0</v>
      </c>
      <c r="G4076" t="s">
        <v>28</v>
      </c>
      <c r="H4076" t="s">
        <v>18</v>
      </c>
      <c r="I4076" s="2">
        <v>13.99</v>
      </c>
      <c r="J4076">
        <v>0</v>
      </c>
      <c r="K4076" s="2">
        <f t="shared" si="126"/>
        <v>0</v>
      </c>
      <c r="L4076" t="s">
        <v>37</v>
      </c>
      <c r="M4076">
        <v>1</v>
      </c>
      <c r="N4076">
        <v>1.34</v>
      </c>
      <c r="O4076" t="str">
        <f t="shared" si="127"/>
        <v>1+ hours</v>
      </c>
      <c r="P4076" t="s">
        <v>52</v>
      </c>
    </row>
    <row r="4077" spans="1:16" x14ac:dyDescent="0.4">
      <c r="A4077" t="s">
        <v>4118</v>
      </c>
      <c r="B4077">
        <v>26</v>
      </c>
      <c r="C4077" t="s">
        <v>41</v>
      </c>
      <c r="D4077" t="s">
        <v>32</v>
      </c>
      <c r="E4077">
        <v>10.65</v>
      </c>
      <c r="F4077">
        <v>37</v>
      </c>
      <c r="G4077" t="s">
        <v>49</v>
      </c>
      <c r="H4077" t="s">
        <v>18</v>
      </c>
      <c r="I4077" s="2">
        <v>17.989999999999998</v>
      </c>
      <c r="J4077">
        <v>1</v>
      </c>
      <c r="K4077" s="2">
        <f t="shared" si="126"/>
        <v>17.989999999999998</v>
      </c>
      <c r="L4077" t="s">
        <v>61</v>
      </c>
      <c r="M4077">
        <v>3</v>
      </c>
      <c r="N4077">
        <v>0.28000000000000003</v>
      </c>
      <c r="O4077" t="str">
        <f t="shared" si="127"/>
        <v>0.2–0.4 hours</v>
      </c>
      <c r="P4077" t="s">
        <v>34</v>
      </c>
    </row>
    <row r="4078" spans="1:16" x14ac:dyDescent="0.4">
      <c r="A4078" t="s">
        <v>4119</v>
      </c>
      <c r="B4078">
        <v>64</v>
      </c>
      <c r="C4078" t="s">
        <v>41</v>
      </c>
      <c r="D4078" t="s">
        <v>32</v>
      </c>
      <c r="E4078">
        <v>3.74</v>
      </c>
      <c r="F4078">
        <v>32</v>
      </c>
      <c r="G4078" t="s">
        <v>70</v>
      </c>
      <c r="H4078" t="s">
        <v>57</v>
      </c>
      <c r="I4078" s="2">
        <v>17.989999999999998</v>
      </c>
      <c r="J4078">
        <v>1</v>
      </c>
      <c r="K4078" s="2">
        <f t="shared" si="126"/>
        <v>17.989999999999998</v>
      </c>
      <c r="L4078" t="s">
        <v>43</v>
      </c>
      <c r="M4078">
        <v>3</v>
      </c>
      <c r="N4078">
        <v>0.11</v>
      </c>
      <c r="O4078" t="str">
        <f t="shared" si="127"/>
        <v>0–0.2 hours</v>
      </c>
      <c r="P4078" t="s">
        <v>30</v>
      </c>
    </row>
    <row r="4079" spans="1:16" x14ac:dyDescent="0.4">
      <c r="A4079" t="s">
        <v>4120</v>
      </c>
      <c r="B4079">
        <v>43</v>
      </c>
      <c r="C4079" t="s">
        <v>27</v>
      </c>
      <c r="D4079" t="s">
        <v>32</v>
      </c>
      <c r="E4079">
        <v>12.51</v>
      </c>
      <c r="F4079">
        <v>47</v>
      </c>
      <c r="G4079" t="s">
        <v>33</v>
      </c>
      <c r="H4079" t="s">
        <v>18</v>
      </c>
      <c r="I4079" s="2">
        <v>17.989999999999998</v>
      </c>
      <c r="J4079">
        <v>1</v>
      </c>
      <c r="K4079" s="2">
        <f t="shared" si="126"/>
        <v>17.989999999999998</v>
      </c>
      <c r="L4079" t="s">
        <v>61</v>
      </c>
      <c r="M4079">
        <v>1</v>
      </c>
      <c r="N4079">
        <v>0.26</v>
      </c>
      <c r="O4079" t="str">
        <f t="shared" si="127"/>
        <v>0.2–0.4 hours</v>
      </c>
      <c r="P4079" t="s">
        <v>20</v>
      </c>
    </row>
    <row r="4080" spans="1:16" x14ac:dyDescent="0.4">
      <c r="A4080" t="s">
        <v>4121</v>
      </c>
      <c r="B4080">
        <v>59</v>
      </c>
      <c r="C4080" t="s">
        <v>15</v>
      </c>
      <c r="D4080" t="s">
        <v>32</v>
      </c>
      <c r="E4080">
        <v>32.81</v>
      </c>
      <c r="F4080">
        <v>0</v>
      </c>
      <c r="G4080" t="s">
        <v>70</v>
      </c>
      <c r="H4080" t="s">
        <v>46</v>
      </c>
      <c r="I4080" s="2">
        <v>17.989999999999998</v>
      </c>
      <c r="J4080">
        <v>0</v>
      </c>
      <c r="K4080" s="2">
        <f t="shared" si="126"/>
        <v>0</v>
      </c>
      <c r="L4080" t="s">
        <v>37</v>
      </c>
      <c r="M4080">
        <v>3</v>
      </c>
      <c r="N4080">
        <v>32.81</v>
      </c>
      <c r="O4080" t="str">
        <f t="shared" si="127"/>
        <v>1+ hours</v>
      </c>
      <c r="P4080" t="s">
        <v>25</v>
      </c>
    </row>
    <row r="4081" spans="1:16" x14ac:dyDescent="0.4">
      <c r="A4081" t="s">
        <v>4122</v>
      </c>
      <c r="B4081">
        <v>60</v>
      </c>
      <c r="C4081" t="s">
        <v>41</v>
      </c>
      <c r="D4081" t="s">
        <v>32</v>
      </c>
      <c r="E4081">
        <v>6.91</v>
      </c>
      <c r="F4081">
        <v>46</v>
      </c>
      <c r="G4081" t="s">
        <v>70</v>
      </c>
      <c r="H4081" t="s">
        <v>57</v>
      </c>
      <c r="I4081" s="2">
        <v>17.989999999999998</v>
      </c>
      <c r="J4081">
        <v>1</v>
      </c>
      <c r="K4081" s="2">
        <f t="shared" si="126"/>
        <v>17.989999999999998</v>
      </c>
      <c r="L4081" t="s">
        <v>37</v>
      </c>
      <c r="M4081">
        <v>1</v>
      </c>
      <c r="N4081">
        <v>0.15</v>
      </c>
      <c r="O4081" t="str">
        <f t="shared" si="127"/>
        <v>0–0.2 hours</v>
      </c>
      <c r="P4081" t="s">
        <v>20</v>
      </c>
    </row>
    <row r="4082" spans="1:16" x14ac:dyDescent="0.4">
      <c r="A4082" t="s">
        <v>4123</v>
      </c>
      <c r="B4082">
        <v>60</v>
      </c>
      <c r="C4082" t="s">
        <v>27</v>
      </c>
      <c r="D4082" t="s">
        <v>16</v>
      </c>
      <c r="E4082">
        <v>4.46</v>
      </c>
      <c r="F4082">
        <v>10</v>
      </c>
      <c r="G4082" t="s">
        <v>23</v>
      </c>
      <c r="H4082" t="s">
        <v>46</v>
      </c>
      <c r="I4082" s="2">
        <v>8.99</v>
      </c>
      <c r="J4082">
        <v>1</v>
      </c>
      <c r="K4082" s="2">
        <f t="shared" si="126"/>
        <v>8.99</v>
      </c>
      <c r="L4082" t="s">
        <v>19</v>
      </c>
      <c r="M4082">
        <v>5</v>
      </c>
      <c r="N4082">
        <v>0.41</v>
      </c>
      <c r="O4082" t="str">
        <f t="shared" si="127"/>
        <v>0.4–0.6 hours</v>
      </c>
      <c r="P4082" t="s">
        <v>20</v>
      </c>
    </row>
    <row r="4083" spans="1:16" x14ac:dyDescent="0.4">
      <c r="A4083" t="s">
        <v>4124</v>
      </c>
      <c r="B4083">
        <v>69</v>
      </c>
      <c r="C4083" t="s">
        <v>15</v>
      </c>
      <c r="D4083" t="s">
        <v>16</v>
      </c>
      <c r="E4083">
        <v>2.16</v>
      </c>
      <c r="F4083">
        <v>57</v>
      </c>
      <c r="G4083" t="s">
        <v>23</v>
      </c>
      <c r="H4083" t="s">
        <v>57</v>
      </c>
      <c r="I4083" s="2">
        <v>8.99</v>
      </c>
      <c r="J4083">
        <v>1</v>
      </c>
      <c r="K4083" s="2">
        <f t="shared" si="126"/>
        <v>8.99</v>
      </c>
      <c r="L4083" t="s">
        <v>29</v>
      </c>
      <c r="M4083">
        <v>2</v>
      </c>
      <c r="N4083">
        <v>0.04</v>
      </c>
      <c r="O4083" t="str">
        <f t="shared" si="127"/>
        <v>0–0.2 hours</v>
      </c>
      <c r="P4083" t="s">
        <v>20</v>
      </c>
    </row>
    <row r="4084" spans="1:16" x14ac:dyDescent="0.4">
      <c r="A4084" t="s">
        <v>4125</v>
      </c>
      <c r="B4084">
        <v>42</v>
      </c>
      <c r="C4084" t="s">
        <v>15</v>
      </c>
      <c r="D4084" t="s">
        <v>32</v>
      </c>
      <c r="E4084">
        <v>6.34</v>
      </c>
      <c r="F4084">
        <v>28</v>
      </c>
      <c r="G4084" t="s">
        <v>28</v>
      </c>
      <c r="H4084" t="s">
        <v>18</v>
      </c>
      <c r="I4084" s="2">
        <v>17.989999999999998</v>
      </c>
      <c r="J4084">
        <v>0</v>
      </c>
      <c r="K4084" s="2">
        <f t="shared" si="126"/>
        <v>0</v>
      </c>
      <c r="L4084" t="s">
        <v>19</v>
      </c>
      <c r="M4084">
        <v>1</v>
      </c>
      <c r="N4084">
        <v>0.22</v>
      </c>
      <c r="O4084" t="str">
        <f t="shared" si="127"/>
        <v>0.2–0.4 hours</v>
      </c>
      <c r="P4084" t="s">
        <v>52</v>
      </c>
    </row>
    <row r="4085" spans="1:16" x14ac:dyDescent="0.4">
      <c r="A4085" t="s">
        <v>4126</v>
      </c>
      <c r="B4085">
        <v>47</v>
      </c>
      <c r="C4085" t="s">
        <v>15</v>
      </c>
      <c r="D4085" t="s">
        <v>32</v>
      </c>
      <c r="E4085">
        <v>12.5</v>
      </c>
      <c r="F4085">
        <v>18</v>
      </c>
      <c r="G4085" t="s">
        <v>17</v>
      </c>
      <c r="H4085" t="s">
        <v>24</v>
      </c>
      <c r="I4085" s="2">
        <v>17.989999999999998</v>
      </c>
      <c r="J4085">
        <v>0</v>
      </c>
      <c r="K4085" s="2">
        <f t="shared" si="126"/>
        <v>0</v>
      </c>
      <c r="L4085" t="s">
        <v>61</v>
      </c>
      <c r="M4085">
        <v>1</v>
      </c>
      <c r="N4085">
        <v>0.66</v>
      </c>
      <c r="O4085" t="str">
        <f t="shared" si="127"/>
        <v>0.6–0.8 hours</v>
      </c>
      <c r="P4085" t="s">
        <v>30</v>
      </c>
    </row>
    <row r="4086" spans="1:16" x14ac:dyDescent="0.4">
      <c r="A4086" t="s">
        <v>4127</v>
      </c>
      <c r="B4086">
        <v>54</v>
      </c>
      <c r="C4086" t="s">
        <v>15</v>
      </c>
      <c r="D4086" t="s">
        <v>32</v>
      </c>
      <c r="E4086">
        <v>5.37</v>
      </c>
      <c r="F4086">
        <v>35</v>
      </c>
      <c r="G4086" t="s">
        <v>33</v>
      </c>
      <c r="H4086" t="s">
        <v>55</v>
      </c>
      <c r="I4086" s="2">
        <v>17.989999999999998</v>
      </c>
      <c r="J4086">
        <v>1</v>
      </c>
      <c r="K4086" s="2">
        <f t="shared" si="126"/>
        <v>17.989999999999998</v>
      </c>
      <c r="L4086" t="s">
        <v>29</v>
      </c>
      <c r="M4086">
        <v>4</v>
      </c>
      <c r="N4086">
        <v>0.15</v>
      </c>
      <c r="O4086" t="str">
        <f t="shared" si="127"/>
        <v>0–0.2 hours</v>
      </c>
      <c r="P4086" t="s">
        <v>39</v>
      </c>
    </row>
    <row r="4087" spans="1:16" x14ac:dyDescent="0.4">
      <c r="A4087" t="s">
        <v>4128</v>
      </c>
      <c r="B4087">
        <v>35</v>
      </c>
      <c r="C4087" t="s">
        <v>41</v>
      </c>
      <c r="D4087" t="s">
        <v>22</v>
      </c>
      <c r="E4087">
        <v>32.86</v>
      </c>
      <c r="F4087">
        <v>25</v>
      </c>
      <c r="G4087" t="s">
        <v>33</v>
      </c>
      <c r="H4087" t="s">
        <v>18</v>
      </c>
      <c r="I4087" s="2">
        <v>13.99</v>
      </c>
      <c r="J4087">
        <v>0</v>
      </c>
      <c r="K4087" s="2">
        <f t="shared" si="126"/>
        <v>0</v>
      </c>
      <c r="L4087" t="s">
        <v>19</v>
      </c>
      <c r="M4087">
        <v>4</v>
      </c>
      <c r="N4087">
        <v>1.26</v>
      </c>
      <c r="O4087" t="str">
        <f t="shared" si="127"/>
        <v>1+ hours</v>
      </c>
      <c r="P4087" t="s">
        <v>39</v>
      </c>
    </row>
    <row r="4088" spans="1:16" x14ac:dyDescent="0.4">
      <c r="A4088" t="s">
        <v>4129</v>
      </c>
      <c r="B4088">
        <v>50</v>
      </c>
      <c r="C4088" t="s">
        <v>15</v>
      </c>
      <c r="D4088" t="s">
        <v>32</v>
      </c>
      <c r="E4088">
        <v>12.5</v>
      </c>
      <c r="F4088">
        <v>56</v>
      </c>
      <c r="G4088" t="s">
        <v>28</v>
      </c>
      <c r="H4088" t="s">
        <v>57</v>
      </c>
      <c r="I4088" s="2">
        <v>17.989999999999998</v>
      </c>
      <c r="J4088">
        <v>0</v>
      </c>
      <c r="K4088" s="2">
        <f t="shared" si="126"/>
        <v>0</v>
      </c>
      <c r="L4088" t="s">
        <v>61</v>
      </c>
      <c r="M4088">
        <v>5</v>
      </c>
      <c r="N4088">
        <v>0.22</v>
      </c>
      <c r="O4088" t="str">
        <f t="shared" si="127"/>
        <v>0.2–0.4 hours</v>
      </c>
      <c r="P4088" t="s">
        <v>20</v>
      </c>
    </row>
    <row r="4089" spans="1:16" x14ac:dyDescent="0.4">
      <c r="A4089" t="s">
        <v>4130</v>
      </c>
      <c r="B4089">
        <v>69</v>
      </c>
      <c r="C4089" t="s">
        <v>27</v>
      </c>
      <c r="D4089" t="s">
        <v>32</v>
      </c>
      <c r="E4089">
        <v>1.75</v>
      </c>
      <c r="F4089">
        <v>6</v>
      </c>
      <c r="G4089" t="s">
        <v>33</v>
      </c>
      <c r="H4089" t="s">
        <v>24</v>
      </c>
      <c r="I4089" s="2">
        <v>17.989999999999998</v>
      </c>
      <c r="J4089">
        <v>0</v>
      </c>
      <c r="K4089" s="2">
        <f t="shared" si="126"/>
        <v>0</v>
      </c>
      <c r="L4089" t="s">
        <v>43</v>
      </c>
      <c r="M4089">
        <v>5</v>
      </c>
      <c r="N4089">
        <v>0.25</v>
      </c>
      <c r="O4089" t="str">
        <f t="shared" si="127"/>
        <v>0.2–0.4 hours</v>
      </c>
      <c r="P4089" t="s">
        <v>39</v>
      </c>
    </row>
    <row r="4090" spans="1:16" x14ac:dyDescent="0.4">
      <c r="A4090" t="s">
        <v>4131</v>
      </c>
      <c r="B4090">
        <v>25</v>
      </c>
      <c r="C4090" t="s">
        <v>15</v>
      </c>
      <c r="D4090" t="s">
        <v>16</v>
      </c>
      <c r="E4090">
        <v>19.309999999999999</v>
      </c>
      <c r="F4090">
        <v>5</v>
      </c>
      <c r="G4090" t="s">
        <v>17</v>
      </c>
      <c r="H4090" t="s">
        <v>24</v>
      </c>
      <c r="I4090" s="2">
        <v>8.99</v>
      </c>
      <c r="J4090">
        <v>0</v>
      </c>
      <c r="K4090" s="2">
        <f t="shared" si="126"/>
        <v>0</v>
      </c>
      <c r="L4090" t="s">
        <v>43</v>
      </c>
      <c r="M4090">
        <v>2</v>
      </c>
      <c r="N4090">
        <v>3.22</v>
      </c>
      <c r="O4090" t="str">
        <f t="shared" si="127"/>
        <v>1+ hours</v>
      </c>
      <c r="P4090" t="s">
        <v>52</v>
      </c>
    </row>
    <row r="4091" spans="1:16" x14ac:dyDescent="0.4">
      <c r="A4091" t="s">
        <v>4132</v>
      </c>
      <c r="B4091">
        <v>51</v>
      </c>
      <c r="C4091" t="s">
        <v>27</v>
      </c>
      <c r="D4091" t="s">
        <v>16</v>
      </c>
      <c r="E4091">
        <v>17.62</v>
      </c>
      <c r="F4091">
        <v>55</v>
      </c>
      <c r="G4091" t="s">
        <v>28</v>
      </c>
      <c r="H4091" t="s">
        <v>46</v>
      </c>
      <c r="I4091" s="2">
        <v>8.99</v>
      </c>
      <c r="J4091">
        <v>1</v>
      </c>
      <c r="K4091" s="2">
        <f t="shared" si="126"/>
        <v>8.99</v>
      </c>
      <c r="L4091" t="s">
        <v>37</v>
      </c>
      <c r="M4091">
        <v>4</v>
      </c>
      <c r="N4091">
        <v>0.31</v>
      </c>
      <c r="O4091" t="str">
        <f t="shared" si="127"/>
        <v>0.2–0.4 hours</v>
      </c>
      <c r="P4091" t="s">
        <v>47</v>
      </c>
    </row>
    <row r="4092" spans="1:16" x14ac:dyDescent="0.4">
      <c r="A4092" t="s">
        <v>4133</v>
      </c>
      <c r="B4092">
        <v>23</v>
      </c>
      <c r="C4092" t="s">
        <v>27</v>
      </c>
      <c r="D4092" t="s">
        <v>22</v>
      </c>
      <c r="E4092">
        <v>3.7</v>
      </c>
      <c r="F4092">
        <v>6</v>
      </c>
      <c r="G4092" t="s">
        <v>17</v>
      </c>
      <c r="H4092" t="s">
        <v>24</v>
      </c>
      <c r="I4092" s="2">
        <v>13.99</v>
      </c>
      <c r="J4092">
        <v>0</v>
      </c>
      <c r="K4092" s="2">
        <f t="shared" si="126"/>
        <v>0</v>
      </c>
      <c r="L4092" t="s">
        <v>43</v>
      </c>
      <c r="M4092">
        <v>3</v>
      </c>
      <c r="N4092">
        <v>0.53</v>
      </c>
      <c r="O4092" t="str">
        <f t="shared" si="127"/>
        <v>0.4–0.6 hours</v>
      </c>
      <c r="P4092" t="s">
        <v>30</v>
      </c>
    </row>
    <row r="4093" spans="1:16" x14ac:dyDescent="0.4">
      <c r="A4093" t="s">
        <v>4134</v>
      </c>
      <c r="B4093">
        <v>39</v>
      </c>
      <c r="C4093" t="s">
        <v>15</v>
      </c>
      <c r="D4093" t="s">
        <v>32</v>
      </c>
      <c r="E4093">
        <v>7.99</v>
      </c>
      <c r="F4093">
        <v>50</v>
      </c>
      <c r="G4093" t="s">
        <v>28</v>
      </c>
      <c r="H4093" t="s">
        <v>24</v>
      </c>
      <c r="I4093" s="2">
        <v>17.989999999999998</v>
      </c>
      <c r="J4093">
        <v>1</v>
      </c>
      <c r="K4093" s="2">
        <f t="shared" si="126"/>
        <v>17.989999999999998</v>
      </c>
      <c r="L4093" t="s">
        <v>43</v>
      </c>
      <c r="M4093">
        <v>3</v>
      </c>
      <c r="N4093">
        <v>0.16</v>
      </c>
      <c r="O4093" t="str">
        <f t="shared" si="127"/>
        <v>0–0.2 hours</v>
      </c>
      <c r="P4093" t="s">
        <v>30</v>
      </c>
    </row>
    <row r="4094" spans="1:16" x14ac:dyDescent="0.4">
      <c r="A4094" t="s">
        <v>4135</v>
      </c>
      <c r="B4094">
        <v>22</v>
      </c>
      <c r="C4094" t="s">
        <v>15</v>
      </c>
      <c r="D4094" t="s">
        <v>32</v>
      </c>
      <c r="E4094">
        <v>8.18</v>
      </c>
      <c r="F4094">
        <v>29</v>
      </c>
      <c r="G4094" t="s">
        <v>33</v>
      </c>
      <c r="H4094" t="s">
        <v>55</v>
      </c>
      <c r="I4094" s="2">
        <v>17.989999999999998</v>
      </c>
      <c r="J4094">
        <v>0</v>
      </c>
      <c r="K4094" s="2">
        <f t="shared" si="126"/>
        <v>0</v>
      </c>
      <c r="L4094" t="s">
        <v>19</v>
      </c>
      <c r="M4094">
        <v>2</v>
      </c>
      <c r="N4094">
        <v>0.27</v>
      </c>
      <c r="O4094" t="str">
        <f t="shared" si="127"/>
        <v>0.2–0.4 hours</v>
      </c>
      <c r="P4094" t="s">
        <v>34</v>
      </c>
    </row>
    <row r="4095" spans="1:16" x14ac:dyDescent="0.4">
      <c r="A4095" t="s">
        <v>4136</v>
      </c>
      <c r="B4095">
        <v>51</v>
      </c>
      <c r="C4095" t="s">
        <v>15</v>
      </c>
      <c r="D4095" t="s">
        <v>32</v>
      </c>
      <c r="E4095">
        <v>12.41</v>
      </c>
      <c r="F4095">
        <v>53</v>
      </c>
      <c r="G4095" t="s">
        <v>28</v>
      </c>
      <c r="H4095" t="s">
        <v>46</v>
      </c>
      <c r="I4095" s="2">
        <v>17.989999999999998</v>
      </c>
      <c r="J4095">
        <v>1</v>
      </c>
      <c r="K4095" s="2">
        <f t="shared" si="126"/>
        <v>17.989999999999998</v>
      </c>
      <c r="L4095" t="s">
        <v>19</v>
      </c>
      <c r="M4095">
        <v>3</v>
      </c>
      <c r="N4095">
        <v>0.23</v>
      </c>
      <c r="O4095" t="str">
        <f t="shared" si="127"/>
        <v>0.2–0.4 hours</v>
      </c>
      <c r="P4095" t="s">
        <v>39</v>
      </c>
    </row>
    <row r="4096" spans="1:16" x14ac:dyDescent="0.4">
      <c r="A4096" t="s">
        <v>4137</v>
      </c>
      <c r="B4096">
        <v>52</v>
      </c>
      <c r="C4096" t="s">
        <v>15</v>
      </c>
      <c r="D4096" t="s">
        <v>16</v>
      </c>
      <c r="E4096">
        <v>28.04</v>
      </c>
      <c r="F4096">
        <v>11</v>
      </c>
      <c r="G4096" t="s">
        <v>23</v>
      </c>
      <c r="H4096" t="s">
        <v>46</v>
      </c>
      <c r="I4096" s="2">
        <v>8.99</v>
      </c>
      <c r="J4096">
        <v>0</v>
      </c>
      <c r="K4096" s="2">
        <f t="shared" si="126"/>
        <v>0</v>
      </c>
      <c r="L4096" t="s">
        <v>37</v>
      </c>
      <c r="M4096">
        <v>2</v>
      </c>
      <c r="N4096">
        <v>2.34</v>
      </c>
      <c r="O4096" t="str">
        <f t="shared" si="127"/>
        <v>1+ hours</v>
      </c>
      <c r="P4096" t="s">
        <v>20</v>
      </c>
    </row>
    <row r="4097" spans="1:16" x14ac:dyDescent="0.4">
      <c r="A4097" t="s">
        <v>4138</v>
      </c>
      <c r="B4097">
        <v>51</v>
      </c>
      <c r="C4097" t="s">
        <v>41</v>
      </c>
      <c r="D4097" t="s">
        <v>22</v>
      </c>
      <c r="E4097">
        <v>5.05</v>
      </c>
      <c r="F4097">
        <v>24</v>
      </c>
      <c r="G4097" t="s">
        <v>70</v>
      </c>
      <c r="H4097" t="s">
        <v>57</v>
      </c>
      <c r="I4097" s="2">
        <v>13.99</v>
      </c>
      <c r="J4097">
        <v>0</v>
      </c>
      <c r="K4097" s="2">
        <f t="shared" si="126"/>
        <v>0</v>
      </c>
      <c r="L4097" t="s">
        <v>19</v>
      </c>
      <c r="M4097">
        <v>3</v>
      </c>
      <c r="N4097">
        <v>0.2</v>
      </c>
      <c r="O4097" t="str">
        <f t="shared" si="127"/>
        <v>0–0.2 hours</v>
      </c>
      <c r="P4097" t="s">
        <v>20</v>
      </c>
    </row>
    <row r="4098" spans="1:16" x14ac:dyDescent="0.4">
      <c r="A4098" t="s">
        <v>4139</v>
      </c>
      <c r="B4098">
        <v>68</v>
      </c>
      <c r="C4098" t="s">
        <v>41</v>
      </c>
      <c r="D4098" t="s">
        <v>32</v>
      </c>
      <c r="E4098">
        <v>10</v>
      </c>
      <c r="F4098">
        <v>60</v>
      </c>
      <c r="G4098" t="s">
        <v>70</v>
      </c>
      <c r="H4098" t="s">
        <v>55</v>
      </c>
      <c r="I4098" s="2">
        <v>17.989999999999998</v>
      </c>
      <c r="J4098">
        <v>1</v>
      </c>
      <c r="K4098" s="2">
        <f t="shared" si="126"/>
        <v>17.989999999999998</v>
      </c>
      <c r="L4098" t="s">
        <v>29</v>
      </c>
      <c r="M4098">
        <v>4</v>
      </c>
      <c r="N4098">
        <v>0.16</v>
      </c>
      <c r="O4098" t="str">
        <f t="shared" si="127"/>
        <v>0–0.2 hours</v>
      </c>
      <c r="P4098" t="s">
        <v>34</v>
      </c>
    </row>
    <row r="4099" spans="1:16" x14ac:dyDescent="0.4">
      <c r="A4099" t="s">
        <v>4140</v>
      </c>
      <c r="B4099">
        <v>46</v>
      </c>
      <c r="C4099" t="s">
        <v>15</v>
      </c>
      <c r="D4099" t="s">
        <v>16</v>
      </c>
      <c r="E4099">
        <v>2.04</v>
      </c>
      <c r="F4099">
        <v>26</v>
      </c>
      <c r="G4099" t="s">
        <v>70</v>
      </c>
      <c r="H4099" t="s">
        <v>24</v>
      </c>
      <c r="I4099" s="2">
        <v>8.99</v>
      </c>
      <c r="J4099">
        <v>1</v>
      </c>
      <c r="K4099" s="2">
        <f t="shared" ref="K4099:K4162" si="128">SUMIF(J4099,1,I4099)</f>
        <v>8.99</v>
      </c>
      <c r="L4099" t="s">
        <v>19</v>
      </c>
      <c r="M4099">
        <v>4</v>
      </c>
      <c r="N4099">
        <v>0.08</v>
      </c>
      <c r="O4099" t="str">
        <f t="shared" ref="O4099:O4162" si="129">IF(N4099&gt;1,"1+ hours",IF(N4099&lt;=0.2,"0–0.2 hours",IF(N4099&lt;=0.4,"0.2–0.4 hours",IF(N4099&lt;=0.6,"0.4–0.6 hours",IF(N4099&lt;=0.8,"0.6–0.8 hours","0.8–1 hour")))))</f>
        <v>0–0.2 hours</v>
      </c>
      <c r="P4099" t="s">
        <v>20</v>
      </c>
    </row>
    <row r="4100" spans="1:16" x14ac:dyDescent="0.4">
      <c r="A4100" t="s">
        <v>4141</v>
      </c>
      <c r="B4100">
        <v>55</v>
      </c>
      <c r="C4100" t="s">
        <v>15</v>
      </c>
      <c r="D4100" t="s">
        <v>32</v>
      </c>
      <c r="E4100">
        <v>2.69</v>
      </c>
      <c r="F4100">
        <v>37</v>
      </c>
      <c r="G4100" t="s">
        <v>17</v>
      </c>
      <c r="H4100" t="s">
        <v>18</v>
      </c>
      <c r="I4100" s="2">
        <v>17.989999999999998</v>
      </c>
      <c r="J4100">
        <v>1</v>
      </c>
      <c r="K4100" s="2">
        <f t="shared" si="128"/>
        <v>17.989999999999998</v>
      </c>
      <c r="L4100" t="s">
        <v>37</v>
      </c>
      <c r="M4100">
        <v>2</v>
      </c>
      <c r="N4100">
        <v>7.0000000000000007E-2</v>
      </c>
      <c r="O4100" t="str">
        <f t="shared" si="129"/>
        <v>0–0.2 hours</v>
      </c>
      <c r="P4100" t="s">
        <v>25</v>
      </c>
    </row>
    <row r="4101" spans="1:16" x14ac:dyDescent="0.4">
      <c r="A4101" t="s">
        <v>4142</v>
      </c>
      <c r="B4101">
        <v>70</v>
      </c>
      <c r="C4101" t="s">
        <v>41</v>
      </c>
      <c r="D4101" t="s">
        <v>22</v>
      </c>
      <c r="E4101">
        <v>17.8</v>
      </c>
      <c r="F4101">
        <v>48</v>
      </c>
      <c r="G4101" t="s">
        <v>70</v>
      </c>
      <c r="H4101" t="s">
        <v>24</v>
      </c>
      <c r="I4101" s="2">
        <v>13.99</v>
      </c>
      <c r="J4101">
        <v>1</v>
      </c>
      <c r="K4101" s="2">
        <f t="shared" si="128"/>
        <v>13.99</v>
      </c>
      <c r="L4101" t="s">
        <v>19</v>
      </c>
      <c r="M4101">
        <v>2</v>
      </c>
      <c r="N4101">
        <v>0.36</v>
      </c>
      <c r="O4101" t="str">
        <f t="shared" si="129"/>
        <v>0.2–0.4 hours</v>
      </c>
      <c r="P4101" t="s">
        <v>30</v>
      </c>
    </row>
    <row r="4102" spans="1:16" x14ac:dyDescent="0.4">
      <c r="A4102" t="s">
        <v>4143</v>
      </c>
      <c r="B4102">
        <v>56</v>
      </c>
      <c r="C4102" t="s">
        <v>15</v>
      </c>
      <c r="D4102" t="s">
        <v>32</v>
      </c>
      <c r="E4102">
        <v>36.200000000000003</v>
      </c>
      <c r="F4102">
        <v>3</v>
      </c>
      <c r="G4102" t="s">
        <v>23</v>
      </c>
      <c r="H4102" t="s">
        <v>24</v>
      </c>
      <c r="I4102" s="2">
        <v>17.989999999999998</v>
      </c>
      <c r="J4102">
        <v>0</v>
      </c>
      <c r="K4102" s="2">
        <f t="shared" si="128"/>
        <v>0</v>
      </c>
      <c r="L4102" t="s">
        <v>19</v>
      </c>
      <c r="M4102">
        <v>5</v>
      </c>
      <c r="N4102">
        <v>9.0500000000000007</v>
      </c>
      <c r="O4102" t="str">
        <f t="shared" si="129"/>
        <v>1+ hours</v>
      </c>
      <c r="P4102" t="s">
        <v>25</v>
      </c>
    </row>
    <row r="4103" spans="1:16" x14ac:dyDescent="0.4">
      <c r="A4103" t="s">
        <v>4144</v>
      </c>
      <c r="B4103">
        <v>24</v>
      </c>
      <c r="C4103" t="s">
        <v>41</v>
      </c>
      <c r="D4103" t="s">
        <v>22</v>
      </c>
      <c r="E4103">
        <v>0.49</v>
      </c>
      <c r="F4103">
        <v>2</v>
      </c>
      <c r="G4103" t="s">
        <v>33</v>
      </c>
      <c r="H4103" t="s">
        <v>46</v>
      </c>
      <c r="I4103" s="2">
        <v>13.99</v>
      </c>
      <c r="J4103">
        <v>0</v>
      </c>
      <c r="K4103" s="2">
        <f t="shared" si="128"/>
        <v>0</v>
      </c>
      <c r="L4103" t="s">
        <v>37</v>
      </c>
      <c r="M4103">
        <v>2</v>
      </c>
      <c r="N4103">
        <v>0.16</v>
      </c>
      <c r="O4103" t="str">
        <f t="shared" si="129"/>
        <v>0–0.2 hours</v>
      </c>
      <c r="P4103" t="s">
        <v>39</v>
      </c>
    </row>
    <row r="4104" spans="1:16" x14ac:dyDescent="0.4">
      <c r="A4104" s="1" t="s">
        <v>4145</v>
      </c>
      <c r="B4104">
        <v>68</v>
      </c>
      <c r="C4104" t="s">
        <v>41</v>
      </c>
      <c r="D4104" t="s">
        <v>22</v>
      </c>
      <c r="E4104">
        <v>0.88</v>
      </c>
      <c r="F4104">
        <v>32</v>
      </c>
      <c r="G4104" t="s">
        <v>23</v>
      </c>
      <c r="H4104" t="s">
        <v>46</v>
      </c>
      <c r="I4104" s="2">
        <v>13.99</v>
      </c>
      <c r="J4104">
        <v>1</v>
      </c>
      <c r="K4104" s="2">
        <f t="shared" si="128"/>
        <v>13.99</v>
      </c>
      <c r="L4104" t="s">
        <v>61</v>
      </c>
      <c r="M4104">
        <v>3</v>
      </c>
      <c r="N4104">
        <v>0.03</v>
      </c>
      <c r="O4104" t="str">
        <f t="shared" si="129"/>
        <v>0–0.2 hours</v>
      </c>
      <c r="P4104" t="s">
        <v>52</v>
      </c>
    </row>
    <row r="4105" spans="1:16" x14ac:dyDescent="0.4">
      <c r="A4105" t="s">
        <v>4146</v>
      </c>
      <c r="B4105">
        <v>59</v>
      </c>
      <c r="C4105" t="s">
        <v>15</v>
      </c>
      <c r="D4105" t="s">
        <v>16</v>
      </c>
      <c r="E4105">
        <v>12.02</v>
      </c>
      <c r="F4105">
        <v>4</v>
      </c>
      <c r="G4105" t="s">
        <v>70</v>
      </c>
      <c r="H4105" t="s">
        <v>24</v>
      </c>
      <c r="I4105" s="2">
        <v>8.99</v>
      </c>
      <c r="J4105">
        <v>0</v>
      </c>
      <c r="K4105" s="2">
        <f t="shared" si="128"/>
        <v>0</v>
      </c>
      <c r="L4105" t="s">
        <v>29</v>
      </c>
      <c r="M4105">
        <v>2</v>
      </c>
      <c r="N4105">
        <v>2.4</v>
      </c>
      <c r="O4105" t="str">
        <f t="shared" si="129"/>
        <v>1+ hours</v>
      </c>
      <c r="P4105" t="s">
        <v>20</v>
      </c>
    </row>
    <row r="4106" spans="1:16" x14ac:dyDescent="0.4">
      <c r="A4106" t="s">
        <v>4147</v>
      </c>
      <c r="B4106">
        <v>28</v>
      </c>
      <c r="C4106" t="s">
        <v>27</v>
      </c>
      <c r="D4106" t="s">
        <v>22</v>
      </c>
      <c r="E4106">
        <v>11.94</v>
      </c>
      <c r="F4106">
        <v>1</v>
      </c>
      <c r="G4106" t="s">
        <v>33</v>
      </c>
      <c r="H4106" t="s">
        <v>57</v>
      </c>
      <c r="I4106" s="2">
        <v>13.99</v>
      </c>
      <c r="J4106">
        <v>0</v>
      </c>
      <c r="K4106" s="2">
        <f t="shared" si="128"/>
        <v>0</v>
      </c>
      <c r="L4106" t="s">
        <v>29</v>
      </c>
      <c r="M4106">
        <v>2</v>
      </c>
      <c r="N4106">
        <v>5.97</v>
      </c>
      <c r="O4106" t="str">
        <f t="shared" si="129"/>
        <v>1+ hours</v>
      </c>
      <c r="P4106" t="s">
        <v>47</v>
      </c>
    </row>
    <row r="4107" spans="1:16" x14ac:dyDescent="0.4">
      <c r="A4107" t="s">
        <v>4148</v>
      </c>
      <c r="B4107">
        <v>36</v>
      </c>
      <c r="C4107" t="s">
        <v>41</v>
      </c>
      <c r="D4107" t="s">
        <v>32</v>
      </c>
      <c r="E4107">
        <v>3.28</v>
      </c>
      <c r="F4107">
        <v>15</v>
      </c>
      <c r="G4107" t="s">
        <v>49</v>
      </c>
      <c r="H4107" t="s">
        <v>57</v>
      </c>
      <c r="I4107" s="2">
        <v>17.989999999999998</v>
      </c>
      <c r="J4107">
        <v>1</v>
      </c>
      <c r="K4107" s="2">
        <f t="shared" si="128"/>
        <v>17.989999999999998</v>
      </c>
      <c r="L4107" t="s">
        <v>43</v>
      </c>
      <c r="M4107">
        <v>3</v>
      </c>
      <c r="N4107">
        <v>0.2</v>
      </c>
      <c r="O4107" t="str">
        <f t="shared" si="129"/>
        <v>0–0.2 hours</v>
      </c>
      <c r="P4107" t="s">
        <v>34</v>
      </c>
    </row>
    <row r="4108" spans="1:16" x14ac:dyDescent="0.4">
      <c r="A4108" t="s">
        <v>4149</v>
      </c>
      <c r="B4108">
        <v>31</v>
      </c>
      <c r="C4108" t="s">
        <v>15</v>
      </c>
      <c r="D4108" t="s">
        <v>16</v>
      </c>
      <c r="E4108">
        <v>7.46</v>
      </c>
      <c r="F4108">
        <v>45</v>
      </c>
      <c r="G4108" t="s">
        <v>33</v>
      </c>
      <c r="H4108" t="s">
        <v>24</v>
      </c>
      <c r="I4108" s="2">
        <v>8.99</v>
      </c>
      <c r="J4108">
        <v>1</v>
      </c>
      <c r="K4108" s="2">
        <f t="shared" si="128"/>
        <v>8.99</v>
      </c>
      <c r="L4108" t="s">
        <v>61</v>
      </c>
      <c r="M4108">
        <v>2</v>
      </c>
      <c r="N4108">
        <v>0.16</v>
      </c>
      <c r="O4108" t="str">
        <f t="shared" si="129"/>
        <v>0–0.2 hours</v>
      </c>
      <c r="P4108" t="s">
        <v>20</v>
      </c>
    </row>
    <row r="4109" spans="1:16" x14ac:dyDescent="0.4">
      <c r="A4109" t="s">
        <v>4150</v>
      </c>
      <c r="B4109">
        <v>18</v>
      </c>
      <c r="C4109" t="s">
        <v>27</v>
      </c>
      <c r="D4109" t="s">
        <v>22</v>
      </c>
      <c r="E4109">
        <v>25.19</v>
      </c>
      <c r="F4109">
        <v>11</v>
      </c>
      <c r="G4109" t="s">
        <v>70</v>
      </c>
      <c r="H4109" t="s">
        <v>18</v>
      </c>
      <c r="I4109" s="2">
        <v>13.99</v>
      </c>
      <c r="J4109">
        <v>0</v>
      </c>
      <c r="K4109" s="2">
        <f t="shared" si="128"/>
        <v>0</v>
      </c>
      <c r="L4109" t="s">
        <v>43</v>
      </c>
      <c r="M4109">
        <v>1</v>
      </c>
      <c r="N4109">
        <v>2.1</v>
      </c>
      <c r="O4109" t="str">
        <f t="shared" si="129"/>
        <v>1+ hours</v>
      </c>
      <c r="P4109" t="s">
        <v>34</v>
      </c>
    </row>
    <row r="4110" spans="1:16" x14ac:dyDescent="0.4">
      <c r="A4110" t="s">
        <v>4151</v>
      </c>
      <c r="B4110">
        <v>30</v>
      </c>
      <c r="C4110" t="s">
        <v>27</v>
      </c>
      <c r="D4110" t="s">
        <v>16</v>
      </c>
      <c r="E4110">
        <v>2.99</v>
      </c>
      <c r="F4110">
        <v>51</v>
      </c>
      <c r="G4110" t="s">
        <v>23</v>
      </c>
      <c r="H4110" t="s">
        <v>46</v>
      </c>
      <c r="I4110" s="2">
        <v>8.99</v>
      </c>
      <c r="J4110">
        <v>1</v>
      </c>
      <c r="K4110" s="2">
        <f t="shared" si="128"/>
        <v>8.99</v>
      </c>
      <c r="L4110" t="s">
        <v>61</v>
      </c>
      <c r="M4110">
        <v>4</v>
      </c>
      <c r="N4110">
        <v>0.06</v>
      </c>
      <c r="O4110" t="str">
        <f t="shared" si="129"/>
        <v>0–0.2 hours</v>
      </c>
      <c r="P4110" t="s">
        <v>34</v>
      </c>
    </row>
    <row r="4111" spans="1:16" x14ac:dyDescent="0.4">
      <c r="A4111" t="s">
        <v>4152</v>
      </c>
      <c r="B4111">
        <v>58</v>
      </c>
      <c r="C4111" t="s">
        <v>41</v>
      </c>
      <c r="D4111" t="s">
        <v>16</v>
      </c>
      <c r="E4111">
        <v>14.69</v>
      </c>
      <c r="F4111">
        <v>30</v>
      </c>
      <c r="G4111" t="s">
        <v>23</v>
      </c>
      <c r="H4111" t="s">
        <v>18</v>
      </c>
      <c r="I4111" s="2">
        <v>8.99</v>
      </c>
      <c r="J4111">
        <v>1</v>
      </c>
      <c r="K4111" s="2">
        <f t="shared" si="128"/>
        <v>8.99</v>
      </c>
      <c r="L4111" t="s">
        <v>29</v>
      </c>
      <c r="M4111">
        <v>2</v>
      </c>
      <c r="N4111">
        <v>0.47</v>
      </c>
      <c r="O4111" t="str">
        <f t="shared" si="129"/>
        <v>0.4–0.6 hours</v>
      </c>
      <c r="P4111" t="s">
        <v>34</v>
      </c>
    </row>
    <row r="4112" spans="1:16" x14ac:dyDescent="0.4">
      <c r="A4112" t="s">
        <v>4153</v>
      </c>
      <c r="B4112">
        <v>24</v>
      </c>
      <c r="C4112" t="s">
        <v>41</v>
      </c>
      <c r="D4112" t="s">
        <v>16</v>
      </c>
      <c r="E4112">
        <v>9.34</v>
      </c>
      <c r="F4112">
        <v>17</v>
      </c>
      <c r="G4112" t="s">
        <v>28</v>
      </c>
      <c r="H4112" t="s">
        <v>18</v>
      </c>
      <c r="I4112" s="2">
        <v>8.99</v>
      </c>
      <c r="J4112">
        <v>0</v>
      </c>
      <c r="K4112" s="2">
        <f t="shared" si="128"/>
        <v>0</v>
      </c>
      <c r="L4112" t="s">
        <v>43</v>
      </c>
      <c r="M4112">
        <v>4</v>
      </c>
      <c r="N4112">
        <v>0.52</v>
      </c>
      <c r="O4112" t="str">
        <f t="shared" si="129"/>
        <v>0.4–0.6 hours</v>
      </c>
      <c r="P4112" t="s">
        <v>25</v>
      </c>
    </row>
    <row r="4113" spans="1:16" x14ac:dyDescent="0.4">
      <c r="A4113" t="s">
        <v>4154</v>
      </c>
      <c r="B4113">
        <v>62</v>
      </c>
      <c r="C4113" t="s">
        <v>27</v>
      </c>
      <c r="D4113" t="s">
        <v>32</v>
      </c>
      <c r="E4113">
        <v>6.03</v>
      </c>
      <c r="F4113">
        <v>49</v>
      </c>
      <c r="G4113" t="s">
        <v>33</v>
      </c>
      <c r="H4113" t="s">
        <v>18</v>
      </c>
      <c r="I4113" s="2">
        <v>17.989999999999998</v>
      </c>
      <c r="J4113">
        <v>1</v>
      </c>
      <c r="K4113" s="2">
        <f t="shared" si="128"/>
        <v>17.989999999999998</v>
      </c>
      <c r="L4113" t="s">
        <v>37</v>
      </c>
      <c r="M4113">
        <v>2</v>
      </c>
      <c r="N4113">
        <v>0.12</v>
      </c>
      <c r="O4113" t="str">
        <f t="shared" si="129"/>
        <v>0–0.2 hours</v>
      </c>
      <c r="P4113" t="s">
        <v>34</v>
      </c>
    </row>
    <row r="4114" spans="1:16" x14ac:dyDescent="0.4">
      <c r="A4114" t="s">
        <v>4155</v>
      </c>
      <c r="B4114">
        <v>35</v>
      </c>
      <c r="C4114" t="s">
        <v>15</v>
      </c>
      <c r="D4114" t="s">
        <v>32</v>
      </c>
      <c r="E4114">
        <v>1.45</v>
      </c>
      <c r="F4114">
        <v>12</v>
      </c>
      <c r="G4114" t="s">
        <v>17</v>
      </c>
      <c r="H4114" t="s">
        <v>46</v>
      </c>
      <c r="I4114" s="2">
        <v>17.989999999999998</v>
      </c>
      <c r="J4114">
        <v>1</v>
      </c>
      <c r="K4114" s="2">
        <f t="shared" si="128"/>
        <v>17.989999999999998</v>
      </c>
      <c r="L4114" t="s">
        <v>61</v>
      </c>
      <c r="M4114">
        <v>2</v>
      </c>
      <c r="N4114">
        <v>0.11</v>
      </c>
      <c r="O4114" t="str">
        <f t="shared" si="129"/>
        <v>0–0.2 hours</v>
      </c>
      <c r="P4114" t="s">
        <v>52</v>
      </c>
    </row>
    <row r="4115" spans="1:16" x14ac:dyDescent="0.4">
      <c r="A4115" t="s">
        <v>4156</v>
      </c>
      <c r="B4115">
        <v>54</v>
      </c>
      <c r="C4115" t="s">
        <v>15</v>
      </c>
      <c r="D4115" t="s">
        <v>16</v>
      </c>
      <c r="E4115">
        <v>29.19</v>
      </c>
      <c r="F4115">
        <v>28</v>
      </c>
      <c r="G4115" t="s">
        <v>28</v>
      </c>
      <c r="H4115" t="s">
        <v>57</v>
      </c>
      <c r="I4115" s="2">
        <v>8.99</v>
      </c>
      <c r="J4115">
        <v>0</v>
      </c>
      <c r="K4115" s="2">
        <f t="shared" si="128"/>
        <v>0</v>
      </c>
      <c r="L4115" t="s">
        <v>19</v>
      </c>
      <c r="M4115">
        <v>2</v>
      </c>
      <c r="N4115">
        <v>1.01</v>
      </c>
      <c r="O4115" t="str">
        <f t="shared" si="129"/>
        <v>1+ hours</v>
      </c>
      <c r="P4115" t="s">
        <v>39</v>
      </c>
    </row>
    <row r="4116" spans="1:16" x14ac:dyDescent="0.4">
      <c r="A4116" t="s">
        <v>4157</v>
      </c>
      <c r="B4116">
        <v>42</v>
      </c>
      <c r="C4116" t="s">
        <v>15</v>
      </c>
      <c r="D4116" t="s">
        <v>16</v>
      </c>
      <c r="E4116">
        <v>8.18</v>
      </c>
      <c r="F4116">
        <v>15</v>
      </c>
      <c r="G4116" t="s">
        <v>49</v>
      </c>
      <c r="H4116" t="s">
        <v>46</v>
      </c>
      <c r="I4116" s="2">
        <v>8.99</v>
      </c>
      <c r="J4116">
        <v>0</v>
      </c>
      <c r="K4116" s="2">
        <f t="shared" si="128"/>
        <v>0</v>
      </c>
      <c r="L4116" t="s">
        <v>19</v>
      </c>
      <c r="M4116">
        <v>2</v>
      </c>
      <c r="N4116">
        <v>0.51</v>
      </c>
      <c r="O4116" t="str">
        <f t="shared" si="129"/>
        <v>0.4–0.6 hours</v>
      </c>
      <c r="P4116" t="s">
        <v>34</v>
      </c>
    </row>
    <row r="4117" spans="1:16" x14ac:dyDescent="0.4">
      <c r="A4117" s="1" t="s">
        <v>4158</v>
      </c>
      <c r="B4117">
        <v>36</v>
      </c>
      <c r="C4117" t="s">
        <v>27</v>
      </c>
      <c r="D4117" t="s">
        <v>22</v>
      </c>
      <c r="E4117">
        <v>7.28</v>
      </c>
      <c r="F4117">
        <v>2</v>
      </c>
      <c r="G4117" t="s">
        <v>70</v>
      </c>
      <c r="H4117" t="s">
        <v>57</v>
      </c>
      <c r="I4117" s="2">
        <v>13.99</v>
      </c>
      <c r="J4117">
        <v>0</v>
      </c>
      <c r="K4117" s="2">
        <f t="shared" si="128"/>
        <v>0</v>
      </c>
      <c r="L4117" t="s">
        <v>37</v>
      </c>
      <c r="M4117">
        <v>4</v>
      </c>
      <c r="N4117">
        <v>2.4300000000000002</v>
      </c>
      <c r="O4117" t="str">
        <f t="shared" si="129"/>
        <v>1+ hours</v>
      </c>
      <c r="P4117" t="s">
        <v>25</v>
      </c>
    </row>
    <row r="4118" spans="1:16" x14ac:dyDescent="0.4">
      <c r="A4118" t="s">
        <v>4159</v>
      </c>
      <c r="B4118">
        <v>47</v>
      </c>
      <c r="C4118" t="s">
        <v>15</v>
      </c>
      <c r="D4118" t="s">
        <v>32</v>
      </c>
      <c r="E4118">
        <v>5.41</v>
      </c>
      <c r="F4118">
        <v>10</v>
      </c>
      <c r="G4118" t="s">
        <v>33</v>
      </c>
      <c r="H4118" t="s">
        <v>57</v>
      </c>
      <c r="I4118" s="2">
        <v>17.989999999999998</v>
      </c>
      <c r="J4118">
        <v>0</v>
      </c>
      <c r="K4118" s="2">
        <f t="shared" si="128"/>
        <v>0</v>
      </c>
      <c r="L4118" t="s">
        <v>37</v>
      </c>
      <c r="M4118">
        <v>3</v>
      </c>
      <c r="N4118">
        <v>0.49</v>
      </c>
      <c r="O4118" t="str">
        <f t="shared" si="129"/>
        <v>0.4–0.6 hours</v>
      </c>
      <c r="P4118" t="s">
        <v>34</v>
      </c>
    </row>
    <row r="4119" spans="1:16" x14ac:dyDescent="0.4">
      <c r="A4119" t="s">
        <v>4160</v>
      </c>
      <c r="B4119">
        <v>45</v>
      </c>
      <c r="C4119" t="s">
        <v>15</v>
      </c>
      <c r="D4119" t="s">
        <v>22</v>
      </c>
      <c r="E4119">
        <v>4.13</v>
      </c>
      <c r="F4119">
        <v>4</v>
      </c>
      <c r="G4119" t="s">
        <v>49</v>
      </c>
      <c r="H4119" t="s">
        <v>57</v>
      </c>
      <c r="I4119" s="2">
        <v>13.99</v>
      </c>
      <c r="J4119">
        <v>0</v>
      </c>
      <c r="K4119" s="2">
        <f t="shared" si="128"/>
        <v>0</v>
      </c>
      <c r="L4119" t="s">
        <v>37</v>
      </c>
      <c r="M4119">
        <v>2</v>
      </c>
      <c r="N4119">
        <v>0.83</v>
      </c>
      <c r="O4119" t="str">
        <f t="shared" si="129"/>
        <v>0.8–1 hour</v>
      </c>
      <c r="P4119" t="s">
        <v>47</v>
      </c>
    </row>
    <row r="4120" spans="1:16" x14ac:dyDescent="0.4">
      <c r="A4120" t="s">
        <v>4161</v>
      </c>
      <c r="B4120">
        <v>36</v>
      </c>
      <c r="C4120" t="s">
        <v>15</v>
      </c>
      <c r="D4120" t="s">
        <v>32</v>
      </c>
      <c r="E4120">
        <v>5.09</v>
      </c>
      <c r="F4120">
        <v>26</v>
      </c>
      <c r="G4120" t="s">
        <v>23</v>
      </c>
      <c r="H4120" t="s">
        <v>46</v>
      </c>
      <c r="I4120" s="2">
        <v>17.989999999999998</v>
      </c>
      <c r="J4120">
        <v>0</v>
      </c>
      <c r="K4120" s="2">
        <f t="shared" si="128"/>
        <v>0</v>
      </c>
      <c r="L4120" t="s">
        <v>37</v>
      </c>
      <c r="M4120">
        <v>4</v>
      </c>
      <c r="N4120">
        <v>0.19</v>
      </c>
      <c r="O4120" t="str">
        <f t="shared" si="129"/>
        <v>0–0.2 hours</v>
      </c>
      <c r="P4120" t="s">
        <v>52</v>
      </c>
    </row>
    <row r="4121" spans="1:16" x14ac:dyDescent="0.4">
      <c r="A4121" t="s">
        <v>4162</v>
      </c>
      <c r="B4121">
        <v>23</v>
      </c>
      <c r="C4121" t="s">
        <v>41</v>
      </c>
      <c r="D4121" t="s">
        <v>22</v>
      </c>
      <c r="E4121">
        <v>22.05</v>
      </c>
      <c r="F4121">
        <v>53</v>
      </c>
      <c r="G4121" t="s">
        <v>49</v>
      </c>
      <c r="H4121" t="s">
        <v>46</v>
      </c>
      <c r="I4121" s="2">
        <v>13.99</v>
      </c>
      <c r="J4121">
        <v>0</v>
      </c>
      <c r="K4121" s="2">
        <f t="shared" si="128"/>
        <v>0</v>
      </c>
      <c r="L4121" t="s">
        <v>37</v>
      </c>
      <c r="M4121">
        <v>3</v>
      </c>
      <c r="N4121">
        <v>0.41</v>
      </c>
      <c r="O4121" t="str">
        <f t="shared" si="129"/>
        <v>0.4–0.6 hours</v>
      </c>
      <c r="P4121" t="s">
        <v>20</v>
      </c>
    </row>
    <row r="4122" spans="1:16" x14ac:dyDescent="0.4">
      <c r="A4122" t="s">
        <v>4163</v>
      </c>
      <c r="B4122">
        <v>58</v>
      </c>
      <c r="C4122" t="s">
        <v>15</v>
      </c>
      <c r="D4122" t="s">
        <v>22</v>
      </c>
      <c r="E4122">
        <v>14.37</v>
      </c>
      <c r="F4122">
        <v>1</v>
      </c>
      <c r="G4122" t="s">
        <v>70</v>
      </c>
      <c r="H4122" t="s">
        <v>18</v>
      </c>
      <c r="I4122" s="2">
        <v>13.99</v>
      </c>
      <c r="J4122">
        <v>0</v>
      </c>
      <c r="K4122" s="2">
        <f t="shared" si="128"/>
        <v>0</v>
      </c>
      <c r="L4122" t="s">
        <v>37</v>
      </c>
      <c r="M4122">
        <v>3</v>
      </c>
      <c r="N4122">
        <v>7.18</v>
      </c>
      <c r="O4122" t="str">
        <f t="shared" si="129"/>
        <v>1+ hours</v>
      </c>
      <c r="P4122" t="s">
        <v>20</v>
      </c>
    </row>
    <row r="4123" spans="1:16" x14ac:dyDescent="0.4">
      <c r="A4123" t="s">
        <v>4164</v>
      </c>
      <c r="B4123">
        <v>27</v>
      </c>
      <c r="C4123" t="s">
        <v>27</v>
      </c>
      <c r="D4123" t="s">
        <v>22</v>
      </c>
      <c r="E4123">
        <v>2.62</v>
      </c>
      <c r="F4123">
        <v>10</v>
      </c>
      <c r="G4123" t="s">
        <v>49</v>
      </c>
      <c r="H4123" t="s">
        <v>55</v>
      </c>
      <c r="I4123" s="2">
        <v>13.99</v>
      </c>
      <c r="J4123">
        <v>1</v>
      </c>
      <c r="K4123" s="2">
        <f t="shared" si="128"/>
        <v>13.99</v>
      </c>
      <c r="L4123" t="s">
        <v>29</v>
      </c>
      <c r="M4123">
        <v>4</v>
      </c>
      <c r="N4123">
        <v>0.24</v>
      </c>
      <c r="O4123" t="str">
        <f t="shared" si="129"/>
        <v>0.2–0.4 hours</v>
      </c>
      <c r="P4123" t="s">
        <v>20</v>
      </c>
    </row>
    <row r="4124" spans="1:16" x14ac:dyDescent="0.4">
      <c r="A4124" t="s">
        <v>4165</v>
      </c>
      <c r="B4124">
        <v>40</v>
      </c>
      <c r="C4124" t="s">
        <v>15</v>
      </c>
      <c r="D4124" t="s">
        <v>32</v>
      </c>
      <c r="E4124">
        <v>2.78</v>
      </c>
      <c r="F4124">
        <v>12</v>
      </c>
      <c r="G4124" t="s">
        <v>70</v>
      </c>
      <c r="H4124" t="s">
        <v>46</v>
      </c>
      <c r="I4124" s="2">
        <v>17.989999999999998</v>
      </c>
      <c r="J4124">
        <v>1</v>
      </c>
      <c r="K4124" s="2">
        <f t="shared" si="128"/>
        <v>17.989999999999998</v>
      </c>
      <c r="L4124" t="s">
        <v>43</v>
      </c>
      <c r="M4124">
        <v>2</v>
      </c>
      <c r="N4124">
        <v>0.21</v>
      </c>
      <c r="O4124" t="str">
        <f t="shared" si="129"/>
        <v>0.2–0.4 hours</v>
      </c>
      <c r="P4124" t="s">
        <v>30</v>
      </c>
    </row>
    <row r="4125" spans="1:16" x14ac:dyDescent="0.4">
      <c r="A4125" t="s">
        <v>4166</v>
      </c>
      <c r="B4125">
        <v>47</v>
      </c>
      <c r="C4125" t="s">
        <v>15</v>
      </c>
      <c r="D4125" t="s">
        <v>22</v>
      </c>
      <c r="E4125">
        <v>3.3</v>
      </c>
      <c r="F4125">
        <v>51</v>
      </c>
      <c r="G4125" t="s">
        <v>23</v>
      </c>
      <c r="H4125" t="s">
        <v>57</v>
      </c>
      <c r="I4125" s="2">
        <v>13.99</v>
      </c>
      <c r="J4125">
        <v>1</v>
      </c>
      <c r="K4125" s="2">
        <f t="shared" si="128"/>
        <v>13.99</v>
      </c>
      <c r="L4125" t="s">
        <v>37</v>
      </c>
      <c r="M4125">
        <v>5</v>
      </c>
      <c r="N4125">
        <v>0.06</v>
      </c>
      <c r="O4125" t="str">
        <f t="shared" si="129"/>
        <v>0–0.2 hours</v>
      </c>
      <c r="P4125" t="s">
        <v>34</v>
      </c>
    </row>
    <row r="4126" spans="1:16" x14ac:dyDescent="0.4">
      <c r="A4126" t="s">
        <v>4167</v>
      </c>
      <c r="B4126">
        <v>57</v>
      </c>
      <c r="C4126" t="s">
        <v>15</v>
      </c>
      <c r="D4126" t="s">
        <v>32</v>
      </c>
      <c r="E4126">
        <v>13.72</v>
      </c>
      <c r="F4126">
        <v>29</v>
      </c>
      <c r="G4126" t="s">
        <v>49</v>
      </c>
      <c r="H4126" t="s">
        <v>55</v>
      </c>
      <c r="I4126" s="2">
        <v>17.989999999999998</v>
      </c>
      <c r="J4126">
        <v>0</v>
      </c>
      <c r="K4126" s="2">
        <f t="shared" si="128"/>
        <v>0</v>
      </c>
      <c r="L4126" t="s">
        <v>61</v>
      </c>
      <c r="M4126">
        <v>1</v>
      </c>
      <c r="N4126">
        <v>0.46</v>
      </c>
      <c r="O4126" t="str">
        <f t="shared" si="129"/>
        <v>0.4–0.6 hours</v>
      </c>
      <c r="P4126" t="s">
        <v>25</v>
      </c>
    </row>
    <row r="4127" spans="1:16" x14ac:dyDescent="0.4">
      <c r="A4127" t="s">
        <v>4168</v>
      </c>
      <c r="B4127">
        <v>52</v>
      </c>
      <c r="C4127" t="s">
        <v>15</v>
      </c>
      <c r="D4127" t="s">
        <v>22</v>
      </c>
      <c r="E4127">
        <v>12.96</v>
      </c>
      <c r="F4127">
        <v>40</v>
      </c>
      <c r="G4127" t="s">
        <v>49</v>
      </c>
      <c r="H4127" t="s">
        <v>24</v>
      </c>
      <c r="I4127" s="2">
        <v>13.99</v>
      </c>
      <c r="J4127">
        <v>1</v>
      </c>
      <c r="K4127" s="2">
        <f t="shared" si="128"/>
        <v>13.99</v>
      </c>
      <c r="L4127" t="s">
        <v>19</v>
      </c>
      <c r="M4127">
        <v>4</v>
      </c>
      <c r="N4127">
        <v>0.32</v>
      </c>
      <c r="O4127" t="str">
        <f t="shared" si="129"/>
        <v>0.2–0.4 hours</v>
      </c>
      <c r="P4127" t="s">
        <v>47</v>
      </c>
    </row>
    <row r="4128" spans="1:16" x14ac:dyDescent="0.4">
      <c r="A4128" t="s">
        <v>4169</v>
      </c>
      <c r="B4128">
        <v>25</v>
      </c>
      <c r="C4128" t="s">
        <v>15</v>
      </c>
      <c r="D4128" t="s">
        <v>22</v>
      </c>
      <c r="E4128">
        <v>1.7</v>
      </c>
      <c r="F4128">
        <v>21</v>
      </c>
      <c r="G4128" t="s">
        <v>33</v>
      </c>
      <c r="H4128" t="s">
        <v>18</v>
      </c>
      <c r="I4128" s="2">
        <v>13.99</v>
      </c>
      <c r="J4128">
        <v>1</v>
      </c>
      <c r="K4128" s="2">
        <f t="shared" si="128"/>
        <v>13.99</v>
      </c>
      <c r="L4128" t="s">
        <v>43</v>
      </c>
      <c r="M4128">
        <v>3</v>
      </c>
      <c r="N4128">
        <v>0.08</v>
      </c>
      <c r="O4128" t="str">
        <f t="shared" si="129"/>
        <v>0–0.2 hours</v>
      </c>
      <c r="P4128" t="s">
        <v>30</v>
      </c>
    </row>
    <row r="4129" spans="1:16" x14ac:dyDescent="0.4">
      <c r="A4129" t="s">
        <v>4170</v>
      </c>
      <c r="B4129">
        <v>32</v>
      </c>
      <c r="C4129" t="s">
        <v>41</v>
      </c>
      <c r="D4129" t="s">
        <v>32</v>
      </c>
      <c r="E4129">
        <v>30.07</v>
      </c>
      <c r="F4129">
        <v>24</v>
      </c>
      <c r="G4129" t="s">
        <v>49</v>
      </c>
      <c r="H4129" t="s">
        <v>24</v>
      </c>
      <c r="I4129" s="2">
        <v>17.989999999999998</v>
      </c>
      <c r="J4129">
        <v>0</v>
      </c>
      <c r="K4129" s="2">
        <f t="shared" si="128"/>
        <v>0</v>
      </c>
      <c r="L4129" t="s">
        <v>37</v>
      </c>
      <c r="M4129">
        <v>3</v>
      </c>
      <c r="N4129">
        <v>1.2</v>
      </c>
      <c r="O4129" t="str">
        <f t="shared" si="129"/>
        <v>1+ hours</v>
      </c>
      <c r="P4129" t="s">
        <v>52</v>
      </c>
    </row>
    <row r="4130" spans="1:16" x14ac:dyDescent="0.4">
      <c r="A4130" t="s">
        <v>4171</v>
      </c>
      <c r="B4130">
        <v>32</v>
      </c>
      <c r="C4130" t="s">
        <v>15</v>
      </c>
      <c r="D4130" t="s">
        <v>16</v>
      </c>
      <c r="E4130">
        <v>8.94</v>
      </c>
      <c r="F4130">
        <v>24</v>
      </c>
      <c r="G4130" t="s">
        <v>33</v>
      </c>
      <c r="H4130" t="s">
        <v>57</v>
      </c>
      <c r="I4130" s="2">
        <v>8.99</v>
      </c>
      <c r="J4130">
        <v>1</v>
      </c>
      <c r="K4130" s="2">
        <f t="shared" si="128"/>
        <v>8.99</v>
      </c>
      <c r="L4130" t="s">
        <v>29</v>
      </c>
      <c r="M4130">
        <v>3</v>
      </c>
      <c r="N4130">
        <v>0.36</v>
      </c>
      <c r="O4130" t="str">
        <f t="shared" si="129"/>
        <v>0.2–0.4 hours</v>
      </c>
      <c r="P4130" t="s">
        <v>30</v>
      </c>
    </row>
    <row r="4131" spans="1:16" x14ac:dyDescent="0.4">
      <c r="A4131" t="s">
        <v>4172</v>
      </c>
      <c r="B4131">
        <v>44</v>
      </c>
      <c r="C4131" t="s">
        <v>15</v>
      </c>
      <c r="D4131" t="s">
        <v>22</v>
      </c>
      <c r="E4131">
        <v>5.3</v>
      </c>
      <c r="F4131">
        <v>29</v>
      </c>
      <c r="G4131" t="s">
        <v>17</v>
      </c>
      <c r="H4131" t="s">
        <v>24</v>
      </c>
      <c r="I4131" s="2">
        <v>13.99</v>
      </c>
      <c r="J4131">
        <v>0</v>
      </c>
      <c r="K4131" s="2">
        <f t="shared" si="128"/>
        <v>0</v>
      </c>
      <c r="L4131" t="s">
        <v>19</v>
      </c>
      <c r="M4131">
        <v>1</v>
      </c>
      <c r="N4131">
        <v>0.18</v>
      </c>
      <c r="O4131" t="str">
        <f t="shared" si="129"/>
        <v>0–0.2 hours</v>
      </c>
      <c r="P4131" t="s">
        <v>52</v>
      </c>
    </row>
    <row r="4132" spans="1:16" x14ac:dyDescent="0.4">
      <c r="A4132" t="s">
        <v>4173</v>
      </c>
      <c r="B4132">
        <v>20</v>
      </c>
      <c r="C4132" t="s">
        <v>27</v>
      </c>
      <c r="D4132" t="s">
        <v>16</v>
      </c>
      <c r="E4132">
        <v>1.98</v>
      </c>
      <c r="F4132">
        <v>2</v>
      </c>
      <c r="G4132" t="s">
        <v>28</v>
      </c>
      <c r="H4132" t="s">
        <v>57</v>
      </c>
      <c r="I4132" s="2">
        <v>8.99</v>
      </c>
      <c r="J4132">
        <v>1</v>
      </c>
      <c r="K4132" s="2">
        <f t="shared" si="128"/>
        <v>8.99</v>
      </c>
      <c r="L4132" t="s">
        <v>29</v>
      </c>
      <c r="M4132">
        <v>1</v>
      </c>
      <c r="N4132">
        <v>0.66</v>
      </c>
      <c r="O4132" t="str">
        <f t="shared" si="129"/>
        <v>0.6–0.8 hours</v>
      </c>
      <c r="P4132" t="s">
        <v>25</v>
      </c>
    </row>
    <row r="4133" spans="1:16" x14ac:dyDescent="0.4">
      <c r="A4133" t="s">
        <v>4174</v>
      </c>
      <c r="B4133">
        <v>51</v>
      </c>
      <c r="C4133" t="s">
        <v>41</v>
      </c>
      <c r="D4133" t="s">
        <v>22</v>
      </c>
      <c r="E4133">
        <v>20.53</v>
      </c>
      <c r="F4133">
        <v>1</v>
      </c>
      <c r="G4133" t="s">
        <v>23</v>
      </c>
      <c r="H4133" t="s">
        <v>46</v>
      </c>
      <c r="I4133" s="2">
        <v>13.99</v>
      </c>
      <c r="J4133">
        <v>0</v>
      </c>
      <c r="K4133" s="2">
        <f t="shared" si="128"/>
        <v>0</v>
      </c>
      <c r="L4133" t="s">
        <v>37</v>
      </c>
      <c r="M4133">
        <v>4</v>
      </c>
      <c r="N4133">
        <v>10.27</v>
      </c>
      <c r="O4133" t="str">
        <f t="shared" si="129"/>
        <v>1+ hours</v>
      </c>
      <c r="P4133" t="s">
        <v>47</v>
      </c>
    </row>
    <row r="4134" spans="1:16" x14ac:dyDescent="0.4">
      <c r="A4134" t="s">
        <v>4175</v>
      </c>
      <c r="B4134">
        <v>64</v>
      </c>
      <c r="C4134" t="s">
        <v>15</v>
      </c>
      <c r="D4134" t="s">
        <v>16</v>
      </c>
      <c r="E4134">
        <v>0.95</v>
      </c>
      <c r="F4134">
        <v>50</v>
      </c>
      <c r="G4134" t="s">
        <v>17</v>
      </c>
      <c r="H4134" t="s">
        <v>57</v>
      </c>
      <c r="I4134" s="2">
        <v>8.99</v>
      </c>
      <c r="J4134">
        <v>1</v>
      </c>
      <c r="K4134" s="2">
        <f t="shared" si="128"/>
        <v>8.99</v>
      </c>
      <c r="L4134" t="s">
        <v>61</v>
      </c>
      <c r="M4134">
        <v>2</v>
      </c>
      <c r="N4134">
        <v>0.02</v>
      </c>
      <c r="O4134" t="str">
        <f t="shared" si="129"/>
        <v>0–0.2 hours</v>
      </c>
      <c r="P4134" t="s">
        <v>20</v>
      </c>
    </row>
    <row r="4135" spans="1:16" x14ac:dyDescent="0.4">
      <c r="A4135" t="s">
        <v>4176</v>
      </c>
      <c r="B4135">
        <v>47</v>
      </c>
      <c r="C4135" t="s">
        <v>15</v>
      </c>
      <c r="D4135" t="s">
        <v>32</v>
      </c>
      <c r="E4135">
        <v>3.3</v>
      </c>
      <c r="F4135">
        <v>24</v>
      </c>
      <c r="G4135" t="s">
        <v>70</v>
      </c>
      <c r="H4135" t="s">
        <v>55</v>
      </c>
      <c r="I4135" s="2">
        <v>17.989999999999998</v>
      </c>
      <c r="J4135">
        <v>1</v>
      </c>
      <c r="K4135" s="2">
        <f t="shared" si="128"/>
        <v>17.989999999999998</v>
      </c>
      <c r="L4135" t="s">
        <v>29</v>
      </c>
      <c r="M4135">
        <v>4</v>
      </c>
      <c r="N4135">
        <v>0.13</v>
      </c>
      <c r="O4135" t="str">
        <f t="shared" si="129"/>
        <v>0–0.2 hours</v>
      </c>
      <c r="P4135" t="s">
        <v>20</v>
      </c>
    </row>
    <row r="4136" spans="1:16" x14ac:dyDescent="0.4">
      <c r="A4136" t="s">
        <v>4177</v>
      </c>
      <c r="B4136">
        <v>25</v>
      </c>
      <c r="C4136" t="s">
        <v>15</v>
      </c>
      <c r="D4136" t="s">
        <v>16</v>
      </c>
      <c r="E4136">
        <v>2.2000000000000002</v>
      </c>
      <c r="F4136">
        <v>55</v>
      </c>
      <c r="G4136" t="s">
        <v>70</v>
      </c>
      <c r="H4136" t="s">
        <v>57</v>
      </c>
      <c r="I4136" s="2">
        <v>8.99</v>
      </c>
      <c r="J4136">
        <v>1</v>
      </c>
      <c r="K4136" s="2">
        <f t="shared" si="128"/>
        <v>8.99</v>
      </c>
      <c r="L4136" t="s">
        <v>19</v>
      </c>
      <c r="M4136">
        <v>4</v>
      </c>
      <c r="N4136">
        <v>0.04</v>
      </c>
      <c r="O4136" t="str">
        <f t="shared" si="129"/>
        <v>0–0.2 hours</v>
      </c>
      <c r="P4136" t="s">
        <v>39</v>
      </c>
    </row>
    <row r="4137" spans="1:16" x14ac:dyDescent="0.4">
      <c r="A4137" t="s">
        <v>4178</v>
      </c>
      <c r="B4137">
        <v>56</v>
      </c>
      <c r="C4137" t="s">
        <v>15</v>
      </c>
      <c r="D4137" t="s">
        <v>22</v>
      </c>
      <c r="E4137">
        <v>34.799999999999997</v>
      </c>
      <c r="F4137">
        <v>2</v>
      </c>
      <c r="G4137" t="s">
        <v>33</v>
      </c>
      <c r="H4137" t="s">
        <v>55</v>
      </c>
      <c r="I4137" s="2">
        <v>13.99</v>
      </c>
      <c r="J4137">
        <v>0</v>
      </c>
      <c r="K4137" s="2">
        <f t="shared" si="128"/>
        <v>0</v>
      </c>
      <c r="L4137" t="s">
        <v>37</v>
      </c>
      <c r="M4137">
        <v>4</v>
      </c>
      <c r="N4137">
        <v>11.6</v>
      </c>
      <c r="O4137" t="str">
        <f t="shared" si="129"/>
        <v>1+ hours</v>
      </c>
      <c r="P4137" t="s">
        <v>30</v>
      </c>
    </row>
    <row r="4138" spans="1:16" x14ac:dyDescent="0.4">
      <c r="A4138" t="s">
        <v>4179</v>
      </c>
      <c r="B4138">
        <v>59</v>
      </c>
      <c r="C4138" t="s">
        <v>15</v>
      </c>
      <c r="D4138" t="s">
        <v>32</v>
      </c>
      <c r="E4138">
        <v>10.17</v>
      </c>
      <c r="F4138">
        <v>14</v>
      </c>
      <c r="G4138" t="s">
        <v>49</v>
      </c>
      <c r="H4138" t="s">
        <v>46</v>
      </c>
      <c r="I4138" s="2">
        <v>17.989999999999998</v>
      </c>
      <c r="J4138">
        <v>0</v>
      </c>
      <c r="K4138" s="2">
        <f t="shared" si="128"/>
        <v>0</v>
      </c>
      <c r="L4138" t="s">
        <v>37</v>
      </c>
      <c r="M4138">
        <v>3</v>
      </c>
      <c r="N4138">
        <v>0.68</v>
      </c>
      <c r="O4138" t="str">
        <f t="shared" si="129"/>
        <v>0.6–0.8 hours</v>
      </c>
      <c r="P4138" t="s">
        <v>20</v>
      </c>
    </row>
    <row r="4139" spans="1:16" x14ac:dyDescent="0.4">
      <c r="A4139" t="s">
        <v>4180</v>
      </c>
      <c r="B4139">
        <v>45</v>
      </c>
      <c r="C4139" t="s">
        <v>41</v>
      </c>
      <c r="D4139" t="s">
        <v>22</v>
      </c>
      <c r="E4139">
        <v>43.5</v>
      </c>
      <c r="F4139">
        <v>7</v>
      </c>
      <c r="G4139" t="s">
        <v>70</v>
      </c>
      <c r="H4139" t="s">
        <v>55</v>
      </c>
      <c r="I4139" s="2">
        <v>13.99</v>
      </c>
      <c r="J4139">
        <v>0</v>
      </c>
      <c r="K4139" s="2">
        <f t="shared" si="128"/>
        <v>0</v>
      </c>
      <c r="L4139" t="s">
        <v>19</v>
      </c>
      <c r="M4139">
        <v>5</v>
      </c>
      <c r="N4139">
        <v>5.44</v>
      </c>
      <c r="O4139" t="str">
        <f t="shared" si="129"/>
        <v>1+ hours</v>
      </c>
      <c r="P4139" t="s">
        <v>30</v>
      </c>
    </row>
    <row r="4140" spans="1:16" x14ac:dyDescent="0.4">
      <c r="A4140" t="s">
        <v>4181</v>
      </c>
      <c r="B4140">
        <v>68</v>
      </c>
      <c r="C4140" t="s">
        <v>15</v>
      </c>
      <c r="D4140" t="s">
        <v>32</v>
      </c>
      <c r="E4140">
        <v>13.82</v>
      </c>
      <c r="F4140">
        <v>44</v>
      </c>
      <c r="G4140" t="s">
        <v>33</v>
      </c>
      <c r="H4140" t="s">
        <v>18</v>
      </c>
      <c r="I4140" s="2">
        <v>17.989999999999998</v>
      </c>
      <c r="J4140">
        <v>1</v>
      </c>
      <c r="K4140" s="2">
        <f t="shared" si="128"/>
        <v>17.989999999999998</v>
      </c>
      <c r="L4140" t="s">
        <v>19</v>
      </c>
      <c r="M4140">
        <v>4</v>
      </c>
      <c r="N4140">
        <v>0.31</v>
      </c>
      <c r="O4140" t="str">
        <f t="shared" si="129"/>
        <v>0.2–0.4 hours</v>
      </c>
      <c r="P4140" t="s">
        <v>47</v>
      </c>
    </row>
    <row r="4141" spans="1:16" x14ac:dyDescent="0.4">
      <c r="A4141" t="s">
        <v>4182</v>
      </c>
      <c r="B4141">
        <v>50</v>
      </c>
      <c r="C4141" t="s">
        <v>15</v>
      </c>
      <c r="D4141" t="s">
        <v>32</v>
      </c>
      <c r="E4141">
        <v>13.02</v>
      </c>
      <c r="F4141">
        <v>51</v>
      </c>
      <c r="G4141" t="s">
        <v>49</v>
      </c>
      <c r="H4141" t="s">
        <v>55</v>
      </c>
      <c r="I4141" s="2">
        <v>17.989999999999998</v>
      </c>
      <c r="J4141">
        <v>1</v>
      </c>
      <c r="K4141" s="2">
        <f t="shared" si="128"/>
        <v>17.989999999999998</v>
      </c>
      <c r="L4141" t="s">
        <v>29</v>
      </c>
      <c r="M4141">
        <v>2</v>
      </c>
      <c r="N4141">
        <v>0.25</v>
      </c>
      <c r="O4141" t="str">
        <f t="shared" si="129"/>
        <v>0.2–0.4 hours</v>
      </c>
      <c r="P4141" t="s">
        <v>39</v>
      </c>
    </row>
    <row r="4142" spans="1:16" x14ac:dyDescent="0.4">
      <c r="A4142" t="s">
        <v>4183</v>
      </c>
      <c r="B4142">
        <v>20</v>
      </c>
      <c r="C4142" t="s">
        <v>15</v>
      </c>
      <c r="D4142" t="s">
        <v>22</v>
      </c>
      <c r="E4142">
        <v>2</v>
      </c>
      <c r="F4142">
        <v>24</v>
      </c>
      <c r="G4142" t="s">
        <v>23</v>
      </c>
      <c r="H4142" t="s">
        <v>57</v>
      </c>
      <c r="I4142" s="2">
        <v>13.99</v>
      </c>
      <c r="J4142">
        <v>1</v>
      </c>
      <c r="K4142" s="2">
        <f t="shared" si="128"/>
        <v>13.99</v>
      </c>
      <c r="L4142" t="s">
        <v>61</v>
      </c>
      <c r="M4142">
        <v>2</v>
      </c>
      <c r="N4142">
        <v>0.08</v>
      </c>
      <c r="O4142" t="str">
        <f t="shared" si="129"/>
        <v>0–0.2 hours</v>
      </c>
      <c r="P4142" t="s">
        <v>20</v>
      </c>
    </row>
    <row r="4143" spans="1:16" x14ac:dyDescent="0.4">
      <c r="A4143" t="s">
        <v>4184</v>
      </c>
      <c r="B4143">
        <v>23</v>
      </c>
      <c r="C4143" t="s">
        <v>27</v>
      </c>
      <c r="D4143" t="s">
        <v>16</v>
      </c>
      <c r="E4143">
        <v>3.03</v>
      </c>
      <c r="F4143">
        <v>45</v>
      </c>
      <c r="G4143" t="s">
        <v>17</v>
      </c>
      <c r="H4143" t="s">
        <v>46</v>
      </c>
      <c r="I4143" s="2">
        <v>8.99</v>
      </c>
      <c r="J4143">
        <v>1</v>
      </c>
      <c r="K4143" s="2">
        <f t="shared" si="128"/>
        <v>8.99</v>
      </c>
      <c r="L4143" t="s">
        <v>37</v>
      </c>
      <c r="M4143">
        <v>3</v>
      </c>
      <c r="N4143">
        <v>7.0000000000000007E-2</v>
      </c>
      <c r="O4143" t="str">
        <f t="shared" si="129"/>
        <v>0–0.2 hours</v>
      </c>
      <c r="P4143" t="s">
        <v>30</v>
      </c>
    </row>
    <row r="4144" spans="1:16" x14ac:dyDescent="0.4">
      <c r="A4144" t="s">
        <v>4185</v>
      </c>
      <c r="B4144">
        <v>45</v>
      </c>
      <c r="C4144" t="s">
        <v>15</v>
      </c>
      <c r="D4144" t="s">
        <v>16</v>
      </c>
      <c r="E4144">
        <v>11.67</v>
      </c>
      <c r="F4144">
        <v>16</v>
      </c>
      <c r="G4144" t="s">
        <v>70</v>
      </c>
      <c r="H4144" t="s">
        <v>57</v>
      </c>
      <c r="I4144" s="2">
        <v>8.99</v>
      </c>
      <c r="J4144">
        <v>0</v>
      </c>
      <c r="K4144" s="2">
        <f t="shared" si="128"/>
        <v>0</v>
      </c>
      <c r="L4144" t="s">
        <v>43</v>
      </c>
      <c r="M4144">
        <v>1</v>
      </c>
      <c r="N4144">
        <v>0.69</v>
      </c>
      <c r="O4144" t="str">
        <f t="shared" si="129"/>
        <v>0.6–0.8 hours</v>
      </c>
      <c r="P4144" t="s">
        <v>25</v>
      </c>
    </row>
    <row r="4145" spans="1:16" x14ac:dyDescent="0.4">
      <c r="A4145" t="s">
        <v>4186</v>
      </c>
      <c r="B4145">
        <v>19</v>
      </c>
      <c r="C4145" t="s">
        <v>15</v>
      </c>
      <c r="D4145" t="s">
        <v>32</v>
      </c>
      <c r="E4145">
        <v>3.81</v>
      </c>
      <c r="F4145">
        <v>45</v>
      </c>
      <c r="G4145" t="s">
        <v>33</v>
      </c>
      <c r="H4145" t="s">
        <v>18</v>
      </c>
      <c r="I4145" s="2">
        <v>17.989999999999998</v>
      </c>
      <c r="J4145">
        <v>1</v>
      </c>
      <c r="K4145" s="2">
        <f t="shared" si="128"/>
        <v>17.989999999999998</v>
      </c>
      <c r="L4145" t="s">
        <v>37</v>
      </c>
      <c r="M4145">
        <v>3</v>
      </c>
      <c r="N4145">
        <v>0.08</v>
      </c>
      <c r="O4145" t="str">
        <f t="shared" si="129"/>
        <v>0–0.2 hours</v>
      </c>
      <c r="P4145" t="s">
        <v>52</v>
      </c>
    </row>
    <row r="4146" spans="1:16" x14ac:dyDescent="0.4">
      <c r="A4146" t="s">
        <v>4187</v>
      </c>
      <c r="B4146">
        <v>34</v>
      </c>
      <c r="C4146" t="s">
        <v>15</v>
      </c>
      <c r="D4146" t="s">
        <v>22</v>
      </c>
      <c r="E4146">
        <v>12.44</v>
      </c>
      <c r="F4146">
        <v>59</v>
      </c>
      <c r="G4146" t="s">
        <v>28</v>
      </c>
      <c r="H4146" t="s">
        <v>18</v>
      </c>
      <c r="I4146" s="2">
        <v>13.99</v>
      </c>
      <c r="J4146">
        <v>0</v>
      </c>
      <c r="K4146" s="2">
        <f t="shared" si="128"/>
        <v>0</v>
      </c>
      <c r="L4146" t="s">
        <v>61</v>
      </c>
      <c r="M4146">
        <v>4</v>
      </c>
      <c r="N4146">
        <v>0.21</v>
      </c>
      <c r="O4146" t="str">
        <f t="shared" si="129"/>
        <v>0.2–0.4 hours</v>
      </c>
      <c r="P4146" t="s">
        <v>30</v>
      </c>
    </row>
    <row r="4147" spans="1:16" x14ac:dyDescent="0.4">
      <c r="A4147" t="s">
        <v>4188</v>
      </c>
      <c r="B4147">
        <v>54</v>
      </c>
      <c r="C4147" t="s">
        <v>41</v>
      </c>
      <c r="D4147" t="s">
        <v>16</v>
      </c>
      <c r="E4147">
        <v>14.95</v>
      </c>
      <c r="F4147">
        <v>44</v>
      </c>
      <c r="G4147" t="s">
        <v>23</v>
      </c>
      <c r="H4147" t="s">
        <v>55</v>
      </c>
      <c r="I4147" s="2">
        <v>8.99</v>
      </c>
      <c r="J4147">
        <v>1</v>
      </c>
      <c r="K4147" s="2">
        <f t="shared" si="128"/>
        <v>8.99</v>
      </c>
      <c r="L4147" t="s">
        <v>37</v>
      </c>
      <c r="M4147">
        <v>1</v>
      </c>
      <c r="N4147">
        <v>0.33</v>
      </c>
      <c r="O4147" t="str">
        <f t="shared" si="129"/>
        <v>0.2–0.4 hours</v>
      </c>
      <c r="P4147" t="s">
        <v>34</v>
      </c>
    </row>
    <row r="4148" spans="1:16" x14ac:dyDescent="0.4">
      <c r="A4148" t="s">
        <v>4189</v>
      </c>
      <c r="B4148">
        <v>47</v>
      </c>
      <c r="C4148" t="s">
        <v>27</v>
      </c>
      <c r="D4148" t="s">
        <v>22</v>
      </c>
      <c r="E4148">
        <v>1.23</v>
      </c>
      <c r="F4148">
        <v>54</v>
      </c>
      <c r="G4148" t="s">
        <v>28</v>
      </c>
      <c r="H4148" t="s">
        <v>18</v>
      </c>
      <c r="I4148" s="2">
        <v>13.99</v>
      </c>
      <c r="J4148">
        <v>1</v>
      </c>
      <c r="K4148" s="2">
        <f t="shared" si="128"/>
        <v>13.99</v>
      </c>
      <c r="L4148" t="s">
        <v>29</v>
      </c>
      <c r="M4148">
        <v>1</v>
      </c>
      <c r="N4148">
        <v>0.02</v>
      </c>
      <c r="O4148" t="str">
        <f t="shared" si="129"/>
        <v>0–0.2 hours</v>
      </c>
      <c r="P4148" t="s">
        <v>52</v>
      </c>
    </row>
    <row r="4149" spans="1:16" x14ac:dyDescent="0.4">
      <c r="A4149" t="s">
        <v>4190</v>
      </c>
      <c r="B4149">
        <v>32</v>
      </c>
      <c r="C4149" t="s">
        <v>41</v>
      </c>
      <c r="D4149" t="s">
        <v>16</v>
      </c>
      <c r="E4149">
        <v>24.51</v>
      </c>
      <c r="F4149">
        <v>50</v>
      </c>
      <c r="G4149" t="s">
        <v>17</v>
      </c>
      <c r="H4149" t="s">
        <v>46</v>
      </c>
      <c r="I4149" s="2">
        <v>8.99</v>
      </c>
      <c r="J4149">
        <v>1</v>
      </c>
      <c r="K4149" s="2">
        <f t="shared" si="128"/>
        <v>8.99</v>
      </c>
      <c r="L4149" t="s">
        <v>43</v>
      </c>
      <c r="M4149">
        <v>3</v>
      </c>
      <c r="N4149">
        <v>0.48</v>
      </c>
      <c r="O4149" t="str">
        <f t="shared" si="129"/>
        <v>0.4–0.6 hours</v>
      </c>
      <c r="P4149" t="s">
        <v>39</v>
      </c>
    </row>
    <row r="4150" spans="1:16" x14ac:dyDescent="0.4">
      <c r="A4150" t="s">
        <v>4191</v>
      </c>
      <c r="B4150">
        <v>30</v>
      </c>
      <c r="C4150" t="s">
        <v>41</v>
      </c>
      <c r="D4150" t="s">
        <v>32</v>
      </c>
      <c r="E4150">
        <v>5.12</v>
      </c>
      <c r="F4150">
        <v>59</v>
      </c>
      <c r="G4150" t="s">
        <v>23</v>
      </c>
      <c r="H4150" t="s">
        <v>24</v>
      </c>
      <c r="I4150" s="2">
        <v>17.989999999999998</v>
      </c>
      <c r="J4150">
        <v>1</v>
      </c>
      <c r="K4150" s="2">
        <f t="shared" si="128"/>
        <v>17.989999999999998</v>
      </c>
      <c r="L4150" t="s">
        <v>43</v>
      </c>
      <c r="M4150">
        <v>1</v>
      </c>
      <c r="N4150">
        <v>0.09</v>
      </c>
      <c r="O4150" t="str">
        <f t="shared" si="129"/>
        <v>0–0.2 hours</v>
      </c>
      <c r="P4150" t="s">
        <v>20</v>
      </c>
    </row>
    <row r="4151" spans="1:16" x14ac:dyDescent="0.4">
      <c r="A4151" t="s">
        <v>4192</v>
      </c>
      <c r="B4151">
        <v>59</v>
      </c>
      <c r="C4151" t="s">
        <v>15</v>
      </c>
      <c r="D4151" t="s">
        <v>22</v>
      </c>
      <c r="E4151">
        <v>19.18</v>
      </c>
      <c r="F4151">
        <v>20</v>
      </c>
      <c r="G4151" t="s">
        <v>33</v>
      </c>
      <c r="H4151" t="s">
        <v>55</v>
      </c>
      <c r="I4151" s="2">
        <v>13.99</v>
      </c>
      <c r="J4151">
        <v>0</v>
      </c>
      <c r="K4151" s="2">
        <f t="shared" si="128"/>
        <v>0</v>
      </c>
      <c r="L4151" t="s">
        <v>29</v>
      </c>
      <c r="M4151">
        <v>2</v>
      </c>
      <c r="N4151">
        <v>0.91</v>
      </c>
      <c r="O4151" t="str">
        <f t="shared" si="129"/>
        <v>0.8–1 hour</v>
      </c>
      <c r="P4151" t="s">
        <v>34</v>
      </c>
    </row>
    <row r="4152" spans="1:16" x14ac:dyDescent="0.4">
      <c r="A4152" t="s">
        <v>4193</v>
      </c>
      <c r="B4152">
        <v>54</v>
      </c>
      <c r="C4152" t="s">
        <v>15</v>
      </c>
      <c r="D4152" t="s">
        <v>22</v>
      </c>
      <c r="E4152">
        <v>25.32</v>
      </c>
      <c r="F4152">
        <v>57</v>
      </c>
      <c r="G4152" t="s">
        <v>28</v>
      </c>
      <c r="H4152" t="s">
        <v>24</v>
      </c>
      <c r="I4152" s="2">
        <v>13.99</v>
      </c>
      <c r="J4152">
        <v>0</v>
      </c>
      <c r="K4152" s="2">
        <f t="shared" si="128"/>
        <v>0</v>
      </c>
      <c r="L4152" t="s">
        <v>61</v>
      </c>
      <c r="M4152">
        <v>3</v>
      </c>
      <c r="N4152">
        <v>0.44</v>
      </c>
      <c r="O4152" t="str">
        <f t="shared" si="129"/>
        <v>0.4–0.6 hours</v>
      </c>
      <c r="P4152" t="s">
        <v>30</v>
      </c>
    </row>
    <row r="4153" spans="1:16" x14ac:dyDescent="0.4">
      <c r="A4153" t="s">
        <v>4194</v>
      </c>
      <c r="B4153">
        <v>44</v>
      </c>
      <c r="C4153" t="s">
        <v>41</v>
      </c>
      <c r="D4153" t="s">
        <v>16</v>
      </c>
      <c r="E4153">
        <v>4.99</v>
      </c>
      <c r="F4153">
        <v>57</v>
      </c>
      <c r="G4153" t="s">
        <v>23</v>
      </c>
      <c r="H4153" t="s">
        <v>46</v>
      </c>
      <c r="I4153" s="2">
        <v>8.99</v>
      </c>
      <c r="J4153">
        <v>1</v>
      </c>
      <c r="K4153" s="2">
        <f t="shared" si="128"/>
        <v>8.99</v>
      </c>
      <c r="L4153" t="s">
        <v>61</v>
      </c>
      <c r="M4153">
        <v>3</v>
      </c>
      <c r="N4153">
        <v>0.09</v>
      </c>
      <c r="O4153" t="str">
        <f t="shared" si="129"/>
        <v>0–0.2 hours</v>
      </c>
      <c r="P4153" t="s">
        <v>30</v>
      </c>
    </row>
    <row r="4154" spans="1:16" x14ac:dyDescent="0.4">
      <c r="A4154" t="s">
        <v>4195</v>
      </c>
      <c r="B4154">
        <v>35</v>
      </c>
      <c r="C4154" t="s">
        <v>41</v>
      </c>
      <c r="D4154" t="s">
        <v>22</v>
      </c>
      <c r="E4154">
        <v>1.75</v>
      </c>
      <c r="F4154">
        <v>41</v>
      </c>
      <c r="G4154" t="s">
        <v>23</v>
      </c>
      <c r="H4154" t="s">
        <v>18</v>
      </c>
      <c r="I4154" s="2">
        <v>13.99</v>
      </c>
      <c r="J4154">
        <v>1</v>
      </c>
      <c r="K4154" s="2">
        <f t="shared" si="128"/>
        <v>13.99</v>
      </c>
      <c r="L4154" t="s">
        <v>43</v>
      </c>
      <c r="M4154">
        <v>1</v>
      </c>
      <c r="N4154">
        <v>0.04</v>
      </c>
      <c r="O4154" t="str">
        <f t="shared" si="129"/>
        <v>0–0.2 hours</v>
      </c>
      <c r="P4154" t="s">
        <v>39</v>
      </c>
    </row>
    <row r="4155" spans="1:16" x14ac:dyDescent="0.4">
      <c r="A4155" t="s">
        <v>4196</v>
      </c>
      <c r="B4155">
        <v>56</v>
      </c>
      <c r="C4155" t="s">
        <v>41</v>
      </c>
      <c r="D4155" t="s">
        <v>32</v>
      </c>
      <c r="E4155">
        <v>42.86</v>
      </c>
      <c r="F4155">
        <v>41</v>
      </c>
      <c r="G4155" t="s">
        <v>23</v>
      </c>
      <c r="H4155" t="s">
        <v>18</v>
      </c>
      <c r="I4155" s="2">
        <v>17.989999999999998</v>
      </c>
      <c r="J4155">
        <v>0</v>
      </c>
      <c r="K4155" s="2">
        <f t="shared" si="128"/>
        <v>0</v>
      </c>
      <c r="L4155" t="s">
        <v>43</v>
      </c>
      <c r="M4155">
        <v>3</v>
      </c>
      <c r="N4155">
        <v>1.02</v>
      </c>
      <c r="O4155" t="str">
        <f t="shared" si="129"/>
        <v>1+ hours</v>
      </c>
      <c r="P4155" t="s">
        <v>20</v>
      </c>
    </row>
    <row r="4156" spans="1:16" x14ac:dyDescent="0.4">
      <c r="A4156" t="s">
        <v>4197</v>
      </c>
      <c r="B4156">
        <v>18</v>
      </c>
      <c r="C4156" t="s">
        <v>15</v>
      </c>
      <c r="D4156" t="s">
        <v>32</v>
      </c>
      <c r="E4156">
        <v>4.12</v>
      </c>
      <c r="F4156">
        <v>47</v>
      </c>
      <c r="G4156" t="s">
        <v>23</v>
      </c>
      <c r="H4156" t="s">
        <v>24</v>
      </c>
      <c r="I4156" s="2">
        <v>17.989999999999998</v>
      </c>
      <c r="J4156">
        <v>1</v>
      </c>
      <c r="K4156" s="2">
        <f t="shared" si="128"/>
        <v>17.989999999999998</v>
      </c>
      <c r="L4156" t="s">
        <v>37</v>
      </c>
      <c r="M4156">
        <v>3</v>
      </c>
      <c r="N4156">
        <v>0.09</v>
      </c>
      <c r="O4156" t="str">
        <f t="shared" si="129"/>
        <v>0–0.2 hours</v>
      </c>
      <c r="P4156" t="s">
        <v>39</v>
      </c>
    </row>
    <row r="4157" spans="1:16" x14ac:dyDescent="0.4">
      <c r="A4157" t="s">
        <v>4198</v>
      </c>
      <c r="B4157">
        <v>63</v>
      </c>
      <c r="C4157" t="s">
        <v>15</v>
      </c>
      <c r="D4157" t="s">
        <v>22</v>
      </c>
      <c r="E4157">
        <v>1.38</v>
      </c>
      <c r="F4157">
        <v>0</v>
      </c>
      <c r="G4157" t="s">
        <v>33</v>
      </c>
      <c r="H4157" t="s">
        <v>55</v>
      </c>
      <c r="I4157" s="2">
        <v>13.99</v>
      </c>
      <c r="J4157">
        <v>0</v>
      </c>
      <c r="K4157" s="2">
        <f t="shared" si="128"/>
        <v>0</v>
      </c>
      <c r="L4157" t="s">
        <v>19</v>
      </c>
      <c r="M4157">
        <v>4</v>
      </c>
      <c r="N4157">
        <v>1.38</v>
      </c>
      <c r="O4157" t="str">
        <f t="shared" si="129"/>
        <v>1+ hours</v>
      </c>
      <c r="P4157" t="s">
        <v>25</v>
      </c>
    </row>
    <row r="4158" spans="1:16" x14ac:dyDescent="0.4">
      <c r="A4158" t="s">
        <v>4199</v>
      </c>
      <c r="B4158">
        <v>38</v>
      </c>
      <c r="C4158" t="s">
        <v>15</v>
      </c>
      <c r="D4158" t="s">
        <v>32</v>
      </c>
      <c r="E4158">
        <v>7.13</v>
      </c>
      <c r="F4158">
        <v>60</v>
      </c>
      <c r="G4158" t="s">
        <v>23</v>
      </c>
      <c r="H4158" t="s">
        <v>55</v>
      </c>
      <c r="I4158" s="2">
        <v>17.989999999999998</v>
      </c>
      <c r="J4158">
        <v>1</v>
      </c>
      <c r="K4158" s="2">
        <f t="shared" si="128"/>
        <v>17.989999999999998</v>
      </c>
      <c r="L4158" t="s">
        <v>43</v>
      </c>
      <c r="M4158">
        <v>1</v>
      </c>
      <c r="N4158">
        <v>0.12</v>
      </c>
      <c r="O4158" t="str">
        <f t="shared" si="129"/>
        <v>0–0.2 hours</v>
      </c>
      <c r="P4158" t="s">
        <v>30</v>
      </c>
    </row>
    <row r="4159" spans="1:16" x14ac:dyDescent="0.4">
      <c r="A4159" t="s">
        <v>4200</v>
      </c>
      <c r="B4159">
        <v>39</v>
      </c>
      <c r="C4159" t="s">
        <v>15</v>
      </c>
      <c r="D4159" t="s">
        <v>22</v>
      </c>
      <c r="E4159">
        <v>7.27</v>
      </c>
      <c r="F4159">
        <v>31</v>
      </c>
      <c r="G4159" t="s">
        <v>28</v>
      </c>
      <c r="H4159" t="s">
        <v>24</v>
      </c>
      <c r="I4159" s="2">
        <v>13.99</v>
      </c>
      <c r="J4159">
        <v>1</v>
      </c>
      <c r="K4159" s="2">
        <f t="shared" si="128"/>
        <v>13.99</v>
      </c>
      <c r="L4159" t="s">
        <v>29</v>
      </c>
      <c r="M4159">
        <v>1</v>
      </c>
      <c r="N4159">
        <v>0.23</v>
      </c>
      <c r="O4159" t="str">
        <f t="shared" si="129"/>
        <v>0.2–0.4 hours</v>
      </c>
      <c r="P4159" t="s">
        <v>30</v>
      </c>
    </row>
    <row r="4160" spans="1:16" x14ac:dyDescent="0.4">
      <c r="A4160" t="s">
        <v>4201</v>
      </c>
      <c r="B4160">
        <v>52</v>
      </c>
      <c r="C4160" t="s">
        <v>15</v>
      </c>
      <c r="D4160" t="s">
        <v>32</v>
      </c>
      <c r="E4160">
        <v>34.96</v>
      </c>
      <c r="F4160">
        <v>50</v>
      </c>
      <c r="G4160" t="s">
        <v>70</v>
      </c>
      <c r="H4160" t="s">
        <v>55</v>
      </c>
      <c r="I4160" s="2">
        <v>17.989999999999998</v>
      </c>
      <c r="J4160">
        <v>0</v>
      </c>
      <c r="K4160" s="2">
        <f t="shared" si="128"/>
        <v>0</v>
      </c>
      <c r="L4160" t="s">
        <v>61</v>
      </c>
      <c r="M4160">
        <v>3</v>
      </c>
      <c r="N4160">
        <v>0.69</v>
      </c>
      <c r="O4160" t="str">
        <f t="shared" si="129"/>
        <v>0.6–0.8 hours</v>
      </c>
      <c r="P4160" t="s">
        <v>34</v>
      </c>
    </row>
    <row r="4161" spans="1:16" x14ac:dyDescent="0.4">
      <c r="A4161" t="s">
        <v>4202</v>
      </c>
      <c r="B4161">
        <v>57</v>
      </c>
      <c r="C4161" t="s">
        <v>15</v>
      </c>
      <c r="D4161" t="s">
        <v>32</v>
      </c>
      <c r="E4161">
        <v>7.31</v>
      </c>
      <c r="F4161">
        <v>53</v>
      </c>
      <c r="G4161" t="s">
        <v>33</v>
      </c>
      <c r="H4161" t="s">
        <v>57</v>
      </c>
      <c r="I4161" s="2">
        <v>17.989999999999998</v>
      </c>
      <c r="J4161">
        <v>1</v>
      </c>
      <c r="K4161" s="2">
        <f t="shared" si="128"/>
        <v>17.989999999999998</v>
      </c>
      <c r="L4161" t="s">
        <v>43</v>
      </c>
      <c r="M4161">
        <v>3</v>
      </c>
      <c r="N4161">
        <v>0.14000000000000001</v>
      </c>
      <c r="O4161" t="str">
        <f t="shared" si="129"/>
        <v>0–0.2 hours</v>
      </c>
      <c r="P4161" t="s">
        <v>39</v>
      </c>
    </row>
    <row r="4162" spans="1:16" x14ac:dyDescent="0.4">
      <c r="A4162" t="s">
        <v>4203</v>
      </c>
      <c r="B4162">
        <v>37</v>
      </c>
      <c r="C4162" t="s">
        <v>41</v>
      </c>
      <c r="D4162" t="s">
        <v>22</v>
      </c>
      <c r="E4162">
        <v>3.66</v>
      </c>
      <c r="F4162">
        <v>5</v>
      </c>
      <c r="G4162" t="s">
        <v>17</v>
      </c>
      <c r="H4162" t="s">
        <v>57</v>
      </c>
      <c r="I4162" s="2">
        <v>13.99</v>
      </c>
      <c r="J4162">
        <v>0</v>
      </c>
      <c r="K4162" s="2">
        <f t="shared" si="128"/>
        <v>0</v>
      </c>
      <c r="L4162" t="s">
        <v>43</v>
      </c>
      <c r="M4162">
        <v>1</v>
      </c>
      <c r="N4162">
        <v>0.61</v>
      </c>
      <c r="O4162" t="str">
        <f t="shared" si="129"/>
        <v>0.6–0.8 hours</v>
      </c>
      <c r="P4162" t="s">
        <v>25</v>
      </c>
    </row>
    <row r="4163" spans="1:16" x14ac:dyDescent="0.4">
      <c r="A4163" t="s">
        <v>4204</v>
      </c>
      <c r="B4163">
        <v>53</v>
      </c>
      <c r="C4163" t="s">
        <v>15</v>
      </c>
      <c r="D4163" t="s">
        <v>22</v>
      </c>
      <c r="E4163">
        <v>0.51</v>
      </c>
      <c r="F4163">
        <v>30</v>
      </c>
      <c r="G4163" t="s">
        <v>49</v>
      </c>
      <c r="H4163" t="s">
        <v>24</v>
      </c>
      <c r="I4163" s="2">
        <v>13.99</v>
      </c>
      <c r="J4163">
        <v>0</v>
      </c>
      <c r="K4163" s="2">
        <f t="shared" ref="K4163:K4226" si="130">SUMIF(J4163,1,I4163)</f>
        <v>0</v>
      </c>
      <c r="L4163" t="s">
        <v>37</v>
      </c>
      <c r="M4163">
        <v>5</v>
      </c>
      <c r="N4163">
        <v>0.02</v>
      </c>
      <c r="O4163" t="str">
        <f t="shared" ref="O4163:O4226" si="131">IF(N4163&gt;1,"1+ hours",IF(N4163&lt;=0.2,"0–0.2 hours",IF(N4163&lt;=0.4,"0.2–0.4 hours",IF(N4163&lt;=0.6,"0.4–0.6 hours",IF(N4163&lt;=0.8,"0.6–0.8 hours","0.8–1 hour")))))</f>
        <v>0–0.2 hours</v>
      </c>
      <c r="P4163" t="s">
        <v>34</v>
      </c>
    </row>
    <row r="4164" spans="1:16" x14ac:dyDescent="0.4">
      <c r="A4164" t="s">
        <v>4205</v>
      </c>
      <c r="B4164">
        <v>58</v>
      </c>
      <c r="C4164" t="s">
        <v>27</v>
      </c>
      <c r="D4164" t="s">
        <v>16</v>
      </c>
      <c r="E4164">
        <v>31.06</v>
      </c>
      <c r="F4164">
        <v>38</v>
      </c>
      <c r="G4164" t="s">
        <v>70</v>
      </c>
      <c r="H4164" t="s">
        <v>24</v>
      </c>
      <c r="I4164" s="2">
        <v>8.99</v>
      </c>
      <c r="J4164">
        <v>0</v>
      </c>
      <c r="K4164" s="2">
        <f t="shared" si="130"/>
        <v>0</v>
      </c>
      <c r="L4164" t="s">
        <v>43</v>
      </c>
      <c r="M4164">
        <v>2</v>
      </c>
      <c r="N4164">
        <v>0.8</v>
      </c>
      <c r="O4164" t="str">
        <f t="shared" si="131"/>
        <v>0.6–0.8 hours</v>
      </c>
      <c r="P4164" t="s">
        <v>25</v>
      </c>
    </row>
    <row r="4165" spans="1:16" x14ac:dyDescent="0.4">
      <c r="A4165" t="s">
        <v>4206</v>
      </c>
      <c r="B4165">
        <v>31</v>
      </c>
      <c r="C4165" t="s">
        <v>15</v>
      </c>
      <c r="D4165" t="s">
        <v>22</v>
      </c>
      <c r="E4165">
        <v>0.68</v>
      </c>
      <c r="F4165">
        <v>58</v>
      </c>
      <c r="G4165" t="s">
        <v>49</v>
      </c>
      <c r="H4165" t="s">
        <v>18</v>
      </c>
      <c r="I4165" s="2">
        <v>13.99</v>
      </c>
      <c r="J4165">
        <v>1</v>
      </c>
      <c r="K4165" s="2">
        <f t="shared" si="130"/>
        <v>13.99</v>
      </c>
      <c r="L4165" t="s">
        <v>19</v>
      </c>
      <c r="M4165">
        <v>5</v>
      </c>
      <c r="N4165">
        <v>0.01</v>
      </c>
      <c r="O4165" t="str">
        <f t="shared" si="131"/>
        <v>0–0.2 hours</v>
      </c>
      <c r="P4165" t="s">
        <v>30</v>
      </c>
    </row>
    <row r="4166" spans="1:16" x14ac:dyDescent="0.4">
      <c r="A4166" t="s">
        <v>4207</v>
      </c>
      <c r="B4166">
        <v>38</v>
      </c>
      <c r="C4166" t="s">
        <v>15</v>
      </c>
      <c r="D4166" t="s">
        <v>32</v>
      </c>
      <c r="E4166">
        <v>8.93</v>
      </c>
      <c r="F4166">
        <v>57</v>
      </c>
      <c r="G4166" t="s">
        <v>49</v>
      </c>
      <c r="H4166" t="s">
        <v>24</v>
      </c>
      <c r="I4166" s="2">
        <v>17.989999999999998</v>
      </c>
      <c r="J4166">
        <v>0</v>
      </c>
      <c r="K4166" s="2">
        <f t="shared" si="130"/>
        <v>0</v>
      </c>
      <c r="L4166" t="s">
        <v>37</v>
      </c>
      <c r="M4166">
        <v>4</v>
      </c>
      <c r="N4166">
        <v>0.15</v>
      </c>
      <c r="O4166" t="str">
        <f t="shared" si="131"/>
        <v>0–0.2 hours</v>
      </c>
      <c r="P4166" t="s">
        <v>30</v>
      </c>
    </row>
    <row r="4167" spans="1:16" x14ac:dyDescent="0.4">
      <c r="A4167" t="s">
        <v>4208</v>
      </c>
      <c r="B4167">
        <v>58</v>
      </c>
      <c r="C4167" t="s">
        <v>27</v>
      </c>
      <c r="D4167" t="s">
        <v>16</v>
      </c>
      <c r="E4167">
        <v>3.41</v>
      </c>
      <c r="F4167">
        <v>34</v>
      </c>
      <c r="G4167" t="s">
        <v>33</v>
      </c>
      <c r="H4167" t="s">
        <v>57</v>
      </c>
      <c r="I4167" s="2">
        <v>8.99</v>
      </c>
      <c r="J4167">
        <v>1</v>
      </c>
      <c r="K4167" s="2">
        <f t="shared" si="130"/>
        <v>8.99</v>
      </c>
      <c r="L4167" t="s">
        <v>19</v>
      </c>
      <c r="M4167">
        <v>2</v>
      </c>
      <c r="N4167">
        <v>0.1</v>
      </c>
      <c r="O4167" t="str">
        <f t="shared" si="131"/>
        <v>0–0.2 hours</v>
      </c>
      <c r="P4167" t="s">
        <v>25</v>
      </c>
    </row>
    <row r="4168" spans="1:16" x14ac:dyDescent="0.4">
      <c r="A4168" t="s">
        <v>4209</v>
      </c>
      <c r="B4168">
        <v>20</v>
      </c>
      <c r="C4168" t="s">
        <v>41</v>
      </c>
      <c r="D4168" t="s">
        <v>16</v>
      </c>
      <c r="E4168">
        <v>24.77</v>
      </c>
      <c r="F4168">
        <v>55</v>
      </c>
      <c r="G4168" t="s">
        <v>70</v>
      </c>
      <c r="H4168" t="s">
        <v>24</v>
      </c>
      <c r="I4168" s="2">
        <v>8.99</v>
      </c>
      <c r="J4168">
        <v>0</v>
      </c>
      <c r="K4168" s="2">
        <f t="shared" si="130"/>
        <v>0</v>
      </c>
      <c r="L4168" t="s">
        <v>37</v>
      </c>
      <c r="M4168">
        <v>4</v>
      </c>
      <c r="N4168">
        <v>0.44</v>
      </c>
      <c r="O4168" t="str">
        <f t="shared" si="131"/>
        <v>0.4–0.6 hours</v>
      </c>
      <c r="P4168" t="s">
        <v>52</v>
      </c>
    </row>
    <row r="4169" spans="1:16" x14ac:dyDescent="0.4">
      <c r="A4169" t="s">
        <v>4210</v>
      </c>
      <c r="B4169">
        <v>69</v>
      </c>
      <c r="C4169" t="s">
        <v>27</v>
      </c>
      <c r="D4169" t="s">
        <v>16</v>
      </c>
      <c r="E4169">
        <v>16.43</v>
      </c>
      <c r="F4169">
        <v>10</v>
      </c>
      <c r="G4169" t="s">
        <v>33</v>
      </c>
      <c r="H4169" t="s">
        <v>57</v>
      </c>
      <c r="I4169" s="2">
        <v>8.99</v>
      </c>
      <c r="J4169">
        <v>0</v>
      </c>
      <c r="K4169" s="2">
        <f t="shared" si="130"/>
        <v>0</v>
      </c>
      <c r="L4169" t="s">
        <v>37</v>
      </c>
      <c r="M4169">
        <v>1</v>
      </c>
      <c r="N4169">
        <v>1.49</v>
      </c>
      <c r="O4169" t="str">
        <f t="shared" si="131"/>
        <v>1+ hours</v>
      </c>
      <c r="P4169" t="s">
        <v>20</v>
      </c>
    </row>
    <row r="4170" spans="1:16" x14ac:dyDescent="0.4">
      <c r="A4170" t="s">
        <v>4211</v>
      </c>
      <c r="B4170">
        <v>55</v>
      </c>
      <c r="C4170" t="s">
        <v>15</v>
      </c>
      <c r="D4170" t="s">
        <v>16</v>
      </c>
      <c r="E4170">
        <v>11.13</v>
      </c>
      <c r="F4170">
        <v>24</v>
      </c>
      <c r="G4170" t="s">
        <v>28</v>
      </c>
      <c r="H4170" t="s">
        <v>46</v>
      </c>
      <c r="I4170" s="2">
        <v>8.99</v>
      </c>
      <c r="J4170">
        <v>0</v>
      </c>
      <c r="K4170" s="2">
        <f t="shared" si="130"/>
        <v>0</v>
      </c>
      <c r="L4170" t="s">
        <v>29</v>
      </c>
      <c r="M4170">
        <v>4</v>
      </c>
      <c r="N4170">
        <v>0.45</v>
      </c>
      <c r="O4170" t="str">
        <f t="shared" si="131"/>
        <v>0.4–0.6 hours</v>
      </c>
      <c r="P4170" t="s">
        <v>39</v>
      </c>
    </row>
    <row r="4171" spans="1:16" x14ac:dyDescent="0.4">
      <c r="A4171" t="s">
        <v>4212</v>
      </c>
      <c r="B4171">
        <v>21</v>
      </c>
      <c r="C4171" t="s">
        <v>15</v>
      </c>
      <c r="D4171" t="s">
        <v>16</v>
      </c>
      <c r="E4171">
        <v>0.54</v>
      </c>
      <c r="F4171">
        <v>36</v>
      </c>
      <c r="G4171" t="s">
        <v>28</v>
      </c>
      <c r="H4171" t="s">
        <v>18</v>
      </c>
      <c r="I4171" s="2">
        <v>8.99</v>
      </c>
      <c r="J4171">
        <v>1</v>
      </c>
      <c r="K4171" s="2">
        <f t="shared" si="130"/>
        <v>8.99</v>
      </c>
      <c r="L4171" t="s">
        <v>61</v>
      </c>
      <c r="M4171">
        <v>2</v>
      </c>
      <c r="N4171">
        <v>0.01</v>
      </c>
      <c r="O4171" t="str">
        <f t="shared" si="131"/>
        <v>0–0.2 hours</v>
      </c>
      <c r="P4171" t="s">
        <v>25</v>
      </c>
    </row>
    <row r="4172" spans="1:16" x14ac:dyDescent="0.4">
      <c r="A4172" t="s">
        <v>4213</v>
      </c>
      <c r="B4172">
        <v>60</v>
      </c>
      <c r="C4172" t="s">
        <v>27</v>
      </c>
      <c r="D4172" t="s">
        <v>22</v>
      </c>
      <c r="E4172">
        <v>5.0199999999999996</v>
      </c>
      <c r="F4172">
        <v>26</v>
      </c>
      <c r="G4172" t="s">
        <v>33</v>
      </c>
      <c r="H4172" t="s">
        <v>57</v>
      </c>
      <c r="I4172" s="2">
        <v>13.99</v>
      </c>
      <c r="J4172">
        <v>0</v>
      </c>
      <c r="K4172" s="2">
        <f t="shared" si="130"/>
        <v>0</v>
      </c>
      <c r="L4172" t="s">
        <v>29</v>
      </c>
      <c r="M4172">
        <v>3</v>
      </c>
      <c r="N4172">
        <v>0.19</v>
      </c>
      <c r="O4172" t="str">
        <f t="shared" si="131"/>
        <v>0–0.2 hours</v>
      </c>
      <c r="P4172" t="s">
        <v>34</v>
      </c>
    </row>
    <row r="4173" spans="1:16" x14ac:dyDescent="0.4">
      <c r="A4173" t="s">
        <v>4214</v>
      </c>
      <c r="B4173">
        <v>34</v>
      </c>
      <c r="C4173" t="s">
        <v>15</v>
      </c>
      <c r="D4173" t="s">
        <v>22</v>
      </c>
      <c r="E4173">
        <v>1.34</v>
      </c>
      <c r="F4173">
        <v>28</v>
      </c>
      <c r="G4173" t="s">
        <v>17</v>
      </c>
      <c r="H4173" t="s">
        <v>55</v>
      </c>
      <c r="I4173" s="2">
        <v>13.99</v>
      </c>
      <c r="J4173">
        <v>1</v>
      </c>
      <c r="K4173" s="2">
        <f t="shared" si="130"/>
        <v>13.99</v>
      </c>
      <c r="L4173" t="s">
        <v>29</v>
      </c>
      <c r="M4173">
        <v>3</v>
      </c>
      <c r="N4173">
        <v>0.05</v>
      </c>
      <c r="O4173" t="str">
        <f t="shared" si="131"/>
        <v>0–0.2 hours</v>
      </c>
      <c r="P4173" t="s">
        <v>52</v>
      </c>
    </row>
    <row r="4174" spans="1:16" x14ac:dyDescent="0.4">
      <c r="A4174" t="s">
        <v>4215</v>
      </c>
      <c r="B4174">
        <v>27</v>
      </c>
      <c r="C4174" t="s">
        <v>15</v>
      </c>
      <c r="D4174" t="s">
        <v>32</v>
      </c>
      <c r="E4174">
        <v>5.07</v>
      </c>
      <c r="F4174">
        <v>33</v>
      </c>
      <c r="G4174" t="s">
        <v>28</v>
      </c>
      <c r="H4174" t="s">
        <v>55</v>
      </c>
      <c r="I4174" s="2">
        <v>17.989999999999998</v>
      </c>
      <c r="J4174">
        <v>1</v>
      </c>
      <c r="K4174" s="2">
        <f t="shared" si="130"/>
        <v>17.989999999999998</v>
      </c>
      <c r="L4174" t="s">
        <v>19</v>
      </c>
      <c r="M4174">
        <v>3</v>
      </c>
      <c r="N4174">
        <v>0.15</v>
      </c>
      <c r="O4174" t="str">
        <f t="shared" si="131"/>
        <v>0–0.2 hours</v>
      </c>
      <c r="P4174" t="s">
        <v>20</v>
      </c>
    </row>
    <row r="4175" spans="1:16" x14ac:dyDescent="0.4">
      <c r="A4175" t="s">
        <v>4216</v>
      </c>
      <c r="B4175">
        <v>44</v>
      </c>
      <c r="C4175" t="s">
        <v>27</v>
      </c>
      <c r="D4175" t="s">
        <v>16</v>
      </c>
      <c r="E4175">
        <v>5.7</v>
      </c>
      <c r="F4175">
        <v>18</v>
      </c>
      <c r="G4175" t="s">
        <v>70</v>
      </c>
      <c r="H4175" t="s">
        <v>57</v>
      </c>
      <c r="I4175" s="2">
        <v>8.99</v>
      </c>
      <c r="J4175">
        <v>0</v>
      </c>
      <c r="K4175" s="2">
        <f t="shared" si="130"/>
        <v>0</v>
      </c>
      <c r="L4175" t="s">
        <v>43</v>
      </c>
      <c r="M4175">
        <v>2</v>
      </c>
      <c r="N4175">
        <v>0.3</v>
      </c>
      <c r="O4175" t="str">
        <f t="shared" si="131"/>
        <v>0.2–0.4 hours</v>
      </c>
      <c r="P4175" t="s">
        <v>30</v>
      </c>
    </row>
    <row r="4176" spans="1:16" x14ac:dyDescent="0.4">
      <c r="A4176" t="s">
        <v>4217</v>
      </c>
      <c r="B4176">
        <v>36</v>
      </c>
      <c r="C4176" t="s">
        <v>27</v>
      </c>
      <c r="D4176" t="s">
        <v>32</v>
      </c>
      <c r="E4176">
        <v>12.97</v>
      </c>
      <c r="F4176">
        <v>18</v>
      </c>
      <c r="G4176" t="s">
        <v>23</v>
      </c>
      <c r="H4176" t="s">
        <v>57</v>
      </c>
      <c r="I4176" s="2">
        <v>17.989999999999998</v>
      </c>
      <c r="J4176">
        <v>0</v>
      </c>
      <c r="K4176" s="2">
        <f t="shared" si="130"/>
        <v>0</v>
      </c>
      <c r="L4176" t="s">
        <v>61</v>
      </c>
      <c r="M4176">
        <v>2</v>
      </c>
      <c r="N4176">
        <v>0.68</v>
      </c>
      <c r="O4176" t="str">
        <f t="shared" si="131"/>
        <v>0.6–0.8 hours</v>
      </c>
      <c r="P4176" t="s">
        <v>52</v>
      </c>
    </row>
    <row r="4177" spans="1:16" x14ac:dyDescent="0.4">
      <c r="A4177" t="s">
        <v>4218</v>
      </c>
      <c r="B4177">
        <v>63</v>
      </c>
      <c r="C4177" t="s">
        <v>41</v>
      </c>
      <c r="D4177" t="s">
        <v>22</v>
      </c>
      <c r="E4177">
        <v>15.51</v>
      </c>
      <c r="F4177">
        <v>9</v>
      </c>
      <c r="G4177" t="s">
        <v>49</v>
      </c>
      <c r="H4177" t="s">
        <v>46</v>
      </c>
      <c r="I4177" s="2">
        <v>13.99</v>
      </c>
      <c r="J4177">
        <v>0</v>
      </c>
      <c r="K4177" s="2">
        <f t="shared" si="130"/>
        <v>0</v>
      </c>
      <c r="L4177" t="s">
        <v>43</v>
      </c>
      <c r="M4177">
        <v>1</v>
      </c>
      <c r="N4177">
        <v>1.55</v>
      </c>
      <c r="O4177" t="str">
        <f t="shared" si="131"/>
        <v>1+ hours</v>
      </c>
      <c r="P4177" t="s">
        <v>20</v>
      </c>
    </row>
    <row r="4178" spans="1:16" x14ac:dyDescent="0.4">
      <c r="A4178" t="s">
        <v>4219</v>
      </c>
      <c r="B4178">
        <v>36</v>
      </c>
      <c r="C4178" t="s">
        <v>27</v>
      </c>
      <c r="D4178" t="s">
        <v>22</v>
      </c>
      <c r="E4178">
        <v>48.9</v>
      </c>
      <c r="F4178">
        <v>23</v>
      </c>
      <c r="G4178" t="s">
        <v>70</v>
      </c>
      <c r="H4178" t="s">
        <v>46</v>
      </c>
      <c r="I4178" s="2">
        <v>13.99</v>
      </c>
      <c r="J4178">
        <v>0</v>
      </c>
      <c r="K4178" s="2">
        <f t="shared" si="130"/>
        <v>0</v>
      </c>
      <c r="L4178" t="s">
        <v>43</v>
      </c>
      <c r="M4178">
        <v>1</v>
      </c>
      <c r="N4178">
        <v>2.04</v>
      </c>
      <c r="O4178" t="str">
        <f t="shared" si="131"/>
        <v>1+ hours</v>
      </c>
      <c r="P4178" t="s">
        <v>30</v>
      </c>
    </row>
    <row r="4179" spans="1:16" x14ac:dyDescent="0.4">
      <c r="A4179" t="s">
        <v>4220</v>
      </c>
      <c r="B4179">
        <v>34</v>
      </c>
      <c r="C4179" t="s">
        <v>41</v>
      </c>
      <c r="D4179" t="s">
        <v>22</v>
      </c>
      <c r="E4179">
        <v>6.79</v>
      </c>
      <c r="F4179">
        <v>2</v>
      </c>
      <c r="G4179" t="s">
        <v>33</v>
      </c>
      <c r="H4179" t="s">
        <v>24</v>
      </c>
      <c r="I4179" s="2">
        <v>13.99</v>
      </c>
      <c r="J4179">
        <v>0</v>
      </c>
      <c r="K4179" s="2">
        <f t="shared" si="130"/>
        <v>0</v>
      </c>
      <c r="L4179" t="s">
        <v>43</v>
      </c>
      <c r="M4179">
        <v>2</v>
      </c>
      <c r="N4179">
        <v>2.2599999999999998</v>
      </c>
      <c r="O4179" t="str">
        <f t="shared" si="131"/>
        <v>1+ hours</v>
      </c>
      <c r="P4179" t="s">
        <v>39</v>
      </c>
    </row>
    <row r="4180" spans="1:16" x14ac:dyDescent="0.4">
      <c r="A4180" t="s">
        <v>4221</v>
      </c>
      <c r="B4180">
        <v>43</v>
      </c>
      <c r="C4180" t="s">
        <v>15</v>
      </c>
      <c r="D4180" t="s">
        <v>22</v>
      </c>
      <c r="E4180">
        <v>2.08</v>
      </c>
      <c r="F4180">
        <v>45</v>
      </c>
      <c r="G4180" t="s">
        <v>28</v>
      </c>
      <c r="H4180" t="s">
        <v>18</v>
      </c>
      <c r="I4180" s="2">
        <v>13.99</v>
      </c>
      <c r="J4180">
        <v>1</v>
      </c>
      <c r="K4180" s="2">
        <f t="shared" si="130"/>
        <v>13.99</v>
      </c>
      <c r="L4180" t="s">
        <v>37</v>
      </c>
      <c r="M4180">
        <v>3</v>
      </c>
      <c r="N4180">
        <v>0.05</v>
      </c>
      <c r="O4180" t="str">
        <f t="shared" si="131"/>
        <v>0–0.2 hours</v>
      </c>
      <c r="P4180" t="s">
        <v>20</v>
      </c>
    </row>
    <row r="4181" spans="1:16" x14ac:dyDescent="0.4">
      <c r="A4181" t="s">
        <v>4222</v>
      </c>
      <c r="B4181">
        <v>42</v>
      </c>
      <c r="C4181" t="s">
        <v>27</v>
      </c>
      <c r="D4181" t="s">
        <v>16</v>
      </c>
      <c r="E4181">
        <v>5.67</v>
      </c>
      <c r="F4181">
        <v>2</v>
      </c>
      <c r="G4181" t="s">
        <v>28</v>
      </c>
      <c r="H4181" t="s">
        <v>24</v>
      </c>
      <c r="I4181" s="2">
        <v>8.99</v>
      </c>
      <c r="J4181">
        <v>0</v>
      </c>
      <c r="K4181" s="2">
        <f t="shared" si="130"/>
        <v>0</v>
      </c>
      <c r="L4181" t="s">
        <v>37</v>
      </c>
      <c r="M4181">
        <v>3</v>
      </c>
      <c r="N4181">
        <v>1.89</v>
      </c>
      <c r="O4181" t="str">
        <f t="shared" si="131"/>
        <v>1+ hours</v>
      </c>
      <c r="P4181" t="s">
        <v>34</v>
      </c>
    </row>
    <row r="4182" spans="1:16" x14ac:dyDescent="0.4">
      <c r="A4182" t="s">
        <v>4223</v>
      </c>
      <c r="B4182">
        <v>46</v>
      </c>
      <c r="C4182" t="s">
        <v>41</v>
      </c>
      <c r="D4182" t="s">
        <v>32</v>
      </c>
      <c r="E4182">
        <v>36.229999999999997</v>
      </c>
      <c r="F4182">
        <v>16</v>
      </c>
      <c r="G4182" t="s">
        <v>49</v>
      </c>
      <c r="H4182" t="s">
        <v>55</v>
      </c>
      <c r="I4182" s="2">
        <v>17.989999999999998</v>
      </c>
      <c r="J4182">
        <v>0</v>
      </c>
      <c r="K4182" s="2">
        <f t="shared" si="130"/>
        <v>0</v>
      </c>
      <c r="L4182" t="s">
        <v>61</v>
      </c>
      <c r="M4182">
        <v>4</v>
      </c>
      <c r="N4182">
        <v>2.13</v>
      </c>
      <c r="O4182" t="str">
        <f t="shared" si="131"/>
        <v>1+ hours</v>
      </c>
      <c r="P4182" t="s">
        <v>25</v>
      </c>
    </row>
    <row r="4183" spans="1:16" x14ac:dyDescent="0.4">
      <c r="A4183" t="s">
        <v>4224</v>
      </c>
      <c r="B4183">
        <v>37</v>
      </c>
      <c r="C4183" t="s">
        <v>27</v>
      </c>
      <c r="D4183" t="s">
        <v>16</v>
      </c>
      <c r="E4183">
        <v>5.35</v>
      </c>
      <c r="F4183">
        <v>2</v>
      </c>
      <c r="G4183" t="s">
        <v>70</v>
      </c>
      <c r="H4183" t="s">
        <v>57</v>
      </c>
      <c r="I4183" s="2">
        <v>8.99</v>
      </c>
      <c r="J4183">
        <v>0</v>
      </c>
      <c r="K4183" s="2">
        <f t="shared" si="130"/>
        <v>0</v>
      </c>
      <c r="L4183" t="s">
        <v>19</v>
      </c>
      <c r="M4183">
        <v>2</v>
      </c>
      <c r="N4183">
        <v>1.78</v>
      </c>
      <c r="O4183" t="str">
        <f t="shared" si="131"/>
        <v>1+ hours</v>
      </c>
      <c r="P4183" t="s">
        <v>30</v>
      </c>
    </row>
    <row r="4184" spans="1:16" x14ac:dyDescent="0.4">
      <c r="A4184" t="s">
        <v>4225</v>
      </c>
      <c r="B4184">
        <v>58</v>
      </c>
      <c r="C4184" t="s">
        <v>27</v>
      </c>
      <c r="D4184" t="s">
        <v>16</v>
      </c>
      <c r="E4184">
        <v>11.9</v>
      </c>
      <c r="F4184">
        <v>36</v>
      </c>
      <c r="G4184" t="s">
        <v>28</v>
      </c>
      <c r="H4184" t="s">
        <v>57</v>
      </c>
      <c r="I4184" s="2">
        <v>8.99</v>
      </c>
      <c r="J4184">
        <v>1</v>
      </c>
      <c r="K4184" s="2">
        <f t="shared" si="130"/>
        <v>8.99</v>
      </c>
      <c r="L4184" t="s">
        <v>43</v>
      </c>
      <c r="M4184">
        <v>3</v>
      </c>
      <c r="N4184">
        <v>0.32</v>
      </c>
      <c r="O4184" t="str">
        <f t="shared" si="131"/>
        <v>0.2–0.4 hours</v>
      </c>
      <c r="P4184" t="s">
        <v>52</v>
      </c>
    </row>
    <row r="4185" spans="1:16" x14ac:dyDescent="0.4">
      <c r="A4185" t="s">
        <v>4226</v>
      </c>
      <c r="B4185">
        <v>19</v>
      </c>
      <c r="C4185" t="s">
        <v>15</v>
      </c>
      <c r="D4185" t="s">
        <v>16</v>
      </c>
      <c r="E4185">
        <v>8.23</v>
      </c>
      <c r="F4185">
        <v>34</v>
      </c>
      <c r="G4185" t="s">
        <v>28</v>
      </c>
      <c r="H4185" t="s">
        <v>18</v>
      </c>
      <c r="I4185" s="2">
        <v>8.99</v>
      </c>
      <c r="J4185">
        <v>1</v>
      </c>
      <c r="K4185" s="2">
        <f t="shared" si="130"/>
        <v>8.99</v>
      </c>
      <c r="L4185" t="s">
        <v>29</v>
      </c>
      <c r="M4185">
        <v>3</v>
      </c>
      <c r="N4185">
        <v>0.24</v>
      </c>
      <c r="O4185" t="str">
        <f t="shared" si="131"/>
        <v>0.2–0.4 hours</v>
      </c>
      <c r="P4185" t="s">
        <v>47</v>
      </c>
    </row>
    <row r="4186" spans="1:16" x14ac:dyDescent="0.4">
      <c r="A4186" t="s">
        <v>4227</v>
      </c>
      <c r="B4186">
        <v>53</v>
      </c>
      <c r="C4186" t="s">
        <v>27</v>
      </c>
      <c r="D4186" t="s">
        <v>22</v>
      </c>
      <c r="E4186">
        <v>21.38</v>
      </c>
      <c r="F4186">
        <v>53</v>
      </c>
      <c r="G4186" t="s">
        <v>33</v>
      </c>
      <c r="H4186" t="s">
        <v>57</v>
      </c>
      <c r="I4186" s="2">
        <v>13.99</v>
      </c>
      <c r="J4186">
        <v>0</v>
      </c>
      <c r="K4186" s="2">
        <f t="shared" si="130"/>
        <v>0</v>
      </c>
      <c r="L4186" t="s">
        <v>61</v>
      </c>
      <c r="M4186">
        <v>5</v>
      </c>
      <c r="N4186">
        <v>0.4</v>
      </c>
      <c r="O4186" t="str">
        <f t="shared" si="131"/>
        <v>0.2–0.4 hours</v>
      </c>
      <c r="P4186" t="s">
        <v>52</v>
      </c>
    </row>
    <row r="4187" spans="1:16" x14ac:dyDescent="0.4">
      <c r="A4187" t="s">
        <v>4228</v>
      </c>
      <c r="B4187">
        <v>61</v>
      </c>
      <c r="C4187" t="s">
        <v>27</v>
      </c>
      <c r="D4187" t="s">
        <v>22</v>
      </c>
      <c r="E4187">
        <v>4.1900000000000004</v>
      </c>
      <c r="F4187">
        <v>30</v>
      </c>
      <c r="G4187" t="s">
        <v>49</v>
      </c>
      <c r="H4187" t="s">
        <v>18</v>
      </c>
      <c r="I4187" s="2">
        <v>13.99</v>
      </c>
      <c r="J4187">
        <v>1</v>
      </c>
      <c r="K4187" s="2">
        <f t="shared" si="130"/>
        <v>13.99</v>
      </c>
      <c r="L4187" t="s">
        <v>29</v>
      </c>
      <c r="M4187">
        <v>2</v>
      </c>
      <c r="N4187">
        <v>0.14000000000000001</v>
      </c>
      <c r="O4187" t="str">
        <f t="shared" si="131"/>
        <v>0–0.2 hours</v>
      </c>
      <c r="P4187" t="s">
        <v>47</v>
      </c>
    </row>
    <row r="4188" spans="1:16" x14ac:dyDescent="0.4">
      <c r="A4188" t="s">
        <v>4229</v>
      </c>
      <c r="B4188">
        <v>37</v>
      </c>
      <c r="C4188" t="s">
        <v>41</v>
      </c>
      <c r="D4188" t="s">
        <v>32</v>
      </c>
      <c r="E4188">
        <v>10.86</v>
      </c>
      <c r="F4188">
        <v>47</v>
      </c>
      <c r="G4188" t="s">
        <v>17</v>
      </c>
      <c r="H4188" t="s">
        <v>55</v>
      </c>
      <c r="I4188" s="2">
        <v>17.989999999999998</v>
      </c>
      <c r="J4188">
        <v>1</v>
      </c>
      <c r="K4188" s="2">
        <f t="shared" si="130"/>
        <v>17.989999999999998</v>
      </c>
      <c r="L4188" t="s">
        <v>29</v>
      </c>
      <c r="M4188">
        <v>3</v>
      </c>
      <c r="N4188">
        <v>0.23</v>
      </c>
      <c r="O4188" t="str">
        <f t="shared" si="131"/>
        <v>0.2–0.4 hours</v>
      </c>
      <c r="P4188" t="s">
        <v>39</v>
      </c>
    </row>
    <row r="4189" spans="1:16" x14ac:dyDescent="0.4">
      <c r="A4189" t="s">
        <v>4230</v>
      </c>
      <c r="B4189">
        <v>56</v>
      </c>
      <c r="C4189" t="s">
        <v>27</v>
      </c>
      <c r="D4189" t="s">
        <v>22</v>
      </c>
      <c r="E4189">
        <v>3.8</v>
      </c>
      <c r="F4189">
        <v>26</v>
      </c>
      <c r="G4189" t="s">
        <v>17</v>
      </c>
      <c r="H4189" t="s">
        <v>55</v>
      </c>
      <c r="I4189" s="2">
        <v>13.99</v>
      </c>
      <c r="J4189">
        <v>1</v>
      </c>
      <c r="K4189" s="2">
        <f t="shared" si="130"/>
        <v>13.99</v>
      </c>
      <c r="L4189" t="s">
        <v>61</v>
      </c>
      <c r="M4189">
        <v>2</v>
      </c>
      <c r="N4189">
        <v>0.14000000000000001</v>
      </c>
      <c r="O4189" t="str">
        <f t="shared" si="131"/>
        <v>0–0.2 hours</v>
      </c>
      <c r="P4189" t="s">
        <v>39</v>
      </c>
    </row>
    <row r="4190" spans="1:16" x14ac:dyDescent="0.4">
      <c r="A4190" t="s">
        <v>4231</v>
      </c>
      <c r="B4190">
        <v>65</v>
      </c>
      <c r="C4190" t="s">
        <v>27</v>
      </c>
      <c r="D4190" t="s">
        <v>22</v>
      </c>
      <c r="E4190">
        <v>50.15</v>
      </c>
      <c r="F4190">
        <v>13</v>
      </c>
      <c r="G4190" t="s">
        <v>49</v>
      </c>
      <c r="H4190" t="s">
        <v>46</v>
      </c>
      <c r="I4190" s="2">
        <v>13.99</v>
      </c>
      <c r="J4190">
        <v>0</v>
      </c>
      <c r="K4190" s="2">
        <f t="shared" si="130"/>
        <v>0</v>
      </c>
      <c r="L4190" t="s">
        <v>61</v>
      </c>
      <c r="M4190">
        <v>3</v>
      </c>
      <c r="N4190">
        <v>3.58</v>
      </c>
      <c r="O4190" t="str">
        <f t="shared" si="131"/>
        <v>1+ hours</v>
      </c>
      <c r="P4190" t="s">
        <v>25</v>
      </c>
    </row>
    <row r="4191" spans="1:16" x14ac:dyDescent="0.4">
      <c r="A4191" t="s">
        <v>4232</v>
      </c>
      <c r="B4191">
        <v>33</v>
      </c>
      <c r="C4191" t="s">
        <v>15</v>
      </c>
      <c r="D4191" t="s">
        <v>32</v>
      </c>
      <c r="E4191">
        <v>7.79</v>
      </c>
      <c r="F4191">
        <v>17</v>
      </c>
      <c r="G4191" t="s">
        <v>28</v>
      </c>
      <c r="H4191" t="s">
        <v>55</v>
      </c>
      <c r="I4191" s="2">
        <v>17.989999999999998</v>
      </c>
      <c r="J4191">
        <v>0</v>
      </c>
      <c r="K4191" s="2">
        <f t="shared" si="130"/>
        <v>0</v>
      </c>
      <c r="L4191" t="s">
        <v>19</v>
      </c>
      <c r="M4191">
        <v>3</v>
      </c>
      <c r="N4191">
        <v>0.43</v>
      </c>
      <c r="O4191" t="str">
        <f t="shared" si="131"/>
        <v>0.4–0.6 hours</v>
      </c>
      <c r="P4191" t="s">
        <v>20</v>
      </c>
    </row>
    <row r="4192" spans="1:16" x14ac:dyDescent="0.4">
      <c r="A4192" t="s">
        <v>4233</v>
      </c>
      <c r="B4192">
        <v>36</v>
      </c>
      <c r="C4192" t="s">
        <v>27</v>
      </c>
      <c r="D4192" t="s">
        <v>22</v>
      </c>
      <c r="E4192">
        <v>15.28</v>
      </c>
      <c r="F4192">
        <v>54</v>
      </c>
      <c r="G4192" t="s">
        <v>70</v>
      </c>
      <c r="H4192" t="s">
        <v>57</v>
      </c>
      <c r="I4192" s="2">
        <v>13.99</v>
      </c>
      <c r="J4192">
        <v>1</v>
      </c>
      <c r="K4192" s="2">
        <f t="shared" si="130"/>
        <v>13.99</v>
      </c>
      <c r="L4192" t="s">
        <v>29</v>
      </c>
      <c r="M4192">
        <v>4</v>
      </c>
      <c r="N4192">
        <v>0.28000000000000003</v>
      </c>
      <c r="O4192" t="str">
        <f t="shared" si="131"/>
        <v>0.2–0.4 hours</v>
      </c>
      <c r="P4192" t="s">
        <v>30</v>
      </c>
    </row>
    <row r="4193" spans="1:16" x14ac:dyDescent="0.4">
      <c r="A4193" t="s">
        <v>4234</v>
      </c>
      <c r="B4193">
        <v>65</v>
      </c>
      <c r="C4193" t="s">
        <v>15</v>
      </c>
      <c r="D4193" t="s">
        <v>22</v>
      </c>
      <c r="E4193">
        <v>9.15</v>
      </c>
      <c r="F4193">
        <v>30</v>
      </c>
      <c r="G4193" t="s">
        <v>23</v>
      </c>
      <c r="H4193" t="s">
        <v>46</v>
      </c>
      <c r="I4193" s="2">
        <v>13.99</v>
      </c>
      <c r="J4193">
        <v>0</v>
      </c>
      <c r="K4193" s="2">
        <f t="shared" si="130"/>
        <v>0</v>
      </c>
      <c r="L4193" t="s">
        <v>19</v>
      </c>
      <c r="M4193">
        <v>4</v>
      </c>
      <c r="N4193">
        <v>0.3</v>
      </c>
      <c r="O4193" t="str">
        <f t="shared" si="131"/>
        <v>0.2–0.4 hours</v>
      </c>
      <c r="P4193" t="s">
        <v>34</v>
      </c>
    </row>
    <row r="4194" spans="1:16" x14ac:dyDescent="0.4">
      <c r="A4194" t="s">
        <v>4235</v>
      </c>
      <c r="B4194">
        <v>44</v>
      </c>
      <c r="C4194" t="s">
        <v>15</v>
      </c>
      <c r="D4194" t="s">
        <v>22</v>
      </c>
      <c r="E4194">
        <v>14.25</v>
      </c>
      <c r="F4194">
        <v>25</v>
      </c>
      <c r="G4194" t="s">
        <v>49</v>
      </c>
      <c r="H4194" t="s">
        <v>46</v>
      </c>
      <c r="I4194" s="2">
        <v>13.99</v>
      </c>
      <c r="J4194">
        <v>0</v>
      </c>
      <c r="K4194" s="2">
        <f t="shared" si="130"/>
        <v>0</v>
      </c>
      <c r="L4194" t="s">
        <v>29</v>
      </c>
      <c r="M4194">
        <v>1</v>
      </c>
      <c r="N4194">
        <v>0.55000000000000004</v>
      </c>
      <c r="O4194" t="str">
        <f t="shared" si="131"/>
        <v>0.4–0.6 hours</v>
      </c>
      <c r="P4194" t="s">
        <v>47</v>
      </c>
    </row>
    <row r="4195" spans="1:16" x14ac:dyDescent="0.4">
      <c r="A4195" t="s">
        <v>4236</v>
      </c>
      <c r="B4195">
        <v>36</v>
      </c>
      <c r="C4195" t="s">
        <v>41</v>
      </c>
      <c r="D4195" t="s">
        <v>22</v>
      </c>
      <c r="E4195">
        <v>9.1</v>
      </c>
      <c r="F4195">
        <v>2</v>
      </c>
      <c r="G4195" t="s">
        <v>70</v>
      </c>
      <c r="H4195" t="s">
        <v>57</v>
      </c>
      <c r="I4195" s="2">
        <v>13.99</v>
      </c>
      <c r="J4195">
        <v>0</v>
      </c>
      <c r="K4195" s="2">
        <f t="shared" si="130"/>
        <v>0</v>
      </c>
      <c r="L4195" t="s">
        <v>37</v>
      </c>
      <c r="M4195">
        <v>2</v>
      </c>
      <c r="N4195">
        <v>3.03</v>
      </c>
      <c r="O4195" t="str">
        <f t="shared" si="131"/>
        <v>1+ hours</v>
      </c>
      <c r="P4195" t="s">
        <v>30</v>
      </c>
    </row>
    <row r="4196" spans="1:16" x14ac:dyDescent="0.4">
      <c r="A4196" t="s">
        <v>4237</v>
      </c>
      <c r="B4196">
        <v>38</v>
      </c>
      <c r="C4196" t="s">
        <v>27</v>
      </c>
      <c r="D4196" t="s">
        <v>16</v>
      </c>
      <c r="E4196">
        <v>0.32</v>
      </c>
      <c r="F4196">
        <v>16</v>
      </c>
      <c r="G4196" t="s">
        <v>49</v>
      </c>
      <c r="H4196" t="s">
        <v>57</v>
      </c>
      <c r="I4196" s="2">
        <v>8.99</v>
      </c>
      <c r="J4196">
        <v>1</v>
      </c>
      <c r="K4196" s="2">
        <f t="shared" si="130"/>
        <v>8.99</v>
      </c>
      <c r="L4196" t="s">
        <v>37</v>
      </c>
      <c r="M4196">
        <v>3</v>
      </c>
      <c r="N4196">
        <v>0.02</v>
      </c>
      <c r="O4196" t="str">
        <f t="shared" si="131"/>
        <v>0–0.2 hours</v>
      </c>
      <c r="P4196" t="s">
        <v>47</v>
      </c>
    </row>
    <row r="4197" spans="1:16" x14ac:dyDescent="0.4">
      <c r="A4197" t="s">
        <v>4238</v>
      </c>
      <c r="B4197">
        <v>44</v>
      </c>
      <c r="C4197" t="s">
        <v>27</v>
      </c>
      <c r="D4197" t="s">
        <v>16</v>
      </c>
      <c r="E4197">
        <v>1.03</v>
      </c>
      <c r="F4197">
        <v>15</v>
      </c>
      <c r="G4197" t="s">
        <v>28</v>
      </c>
      <c r="H4197" t="s">
        <v>57</v>
      </c>
      <c r="I4197" s="2">
        <v>8.99</v>
      </c>
      <c r="J4197">
        <v>1</v>
      </c>
      <c r="K4197" s="2">
        <f t="shared" si="130"/>
        <v>8.99</v>
      </c>
      <c r="L4197" t="s">
        <v>19</v>
      </c>
      <c r="M4197">
        <v>3</v>
      </c>
      <c r="N4197">
        <v>0.06</v>
      </c>
      <c r="O4197" t="str">
        <f t="shared" si="131"/>
        <v>0–0.2 hours</v>
      </c>
      <c r="P4197" t="s">
        <v>30</v>
      </c>
    </row>
    <row r="4198" spans="1:16" x14ac:dyDescent="0.4">
      <c r="A4198" t="s">
        <v>4239</v>
      </c>
      <c r="B4198">
        <v>20</v>
      </c>
      <c r="C4198" t="s">
        <v>27</v>
      </c>
      <c r="D4198" t="s">
        <v>32</v>
      </c>
      <c r="E4198">
        <v>60.37</v>
      </c>
      <c r="F4198">
        <v>8</v>
      </c>
      <c r="G4198" t="s">
        <v>28</v>
      </c>
      <c r="H4198" t="s">
        <v>46</v>
      </c>
      <c r="I4198" s="2">
        <v>17.989999999999998</v>
      </c>
      <c r="J4198">
        <v>0</v>
      </c>
      <c r="K4198" s="2">
        <f t="shared" si="130"/>
        <v>0</v>
      </c>
      <c r="L4198" t="s">
        <v>37</v>
      </c>
      <c r="M4198">
        <v>3</v>
      </c>
      <c r="N4198">
        <v>6.71</v>
      </c>
      <c r="O4198" t="str">
        <f t="shared" si="131"/>
        <v>1+ hours</v>
      </c>
      <c r="P4198" t="s">
        <v>25</v>
      </c>
    </row>
    <row r="4199" spans="1:16" x14ac:dyDescent="0.4">
      <c r="A4199" t="s">
        <v>4240</v>
      </c>
      <c r="B4199">
        <v>31</v>
      </c>
      <c r="C4199" t="s">
        <v>15</v>
      </c>
      <c r="D4199" t="s">
        <v>16</v>
      </c>
      <c r="E4199">
        <v>7.32</v>
      </c>
      <c r="F4199">
        <v>23</v>
      </c>
      <c r="G4199" t="s">
        <v>28</v>
      </c>
      <c r="H4199" t="s">
        <v>24</v>
      </c>
      <c r="I4199" s="2">
        <v>8.99</v>
      </c>
      <c r="J4199">
        <v>0</v>
      </c>
      <c r="K4199" s="2">
        <f t="shared" si="130"/>
        <v>0</v>
      </c>
      <c r="L4199" t="s">
        <v>19</v>
      </c>
      <c r="M4199">
        <v>5</v>
      </c>
      <c r="N4199">
        <v>0.3</v>
      </c>
      <c r="O4199" t="str">
        <f t="shared" si="131"/>
        <v>0.2–0.4 hours</v>
      </c>
      <c r="P4199" t="s">
        <v>52</v>
      </c>
    </row>
    <row r="4200" spans="1:16" x14ac:dyDescent="0.4">
      <c r="A4200" t="s">
        <v>4241</v>
      </c>
      <c r="B4200">
        <v>33</v>
      </c>
      <c r="C4200" t="s">
        <v>15</v>
      </c>
      <c r="D4200" t="s">
        <v>32</v>
      </c>
      <c r="E4200">
        <v>3.8</v>
      </c>
      <c r="F4200">
        <v>38</v>
      </c>
      <c r="G4200" t="s">
        <v>33</v>
      </c>
      <c r="H4200" t="s">
        <v>24</v>
      </c>
      <c r="I4200" s="2">
        <v>17.989999999999998</v>
      </c>
      <c r="J4200">
        <v>1</v>
      </c>
      <c r="K4200" s="2">
        <f t="shared" si="130"/>
        <v>17.989999999999998</v>
      </c>
      <c r="L4200" t="s">
        <v>29</v>
      </c>
      <c r="M4200">
        <v>2</v>
      </c>
      <c r="N4200">
        <v>0.1</v>
      </c>
      <c r="O4200" t="str">
        <f t="shared" si="131"/>
        <v>0–0.2 hours</v>
      </c>
      <c r="P4200" t="s">
        <v>25</v>
      </c>
    </row>
    <row r="4201" spans="1:16" x14ac:dyDescent="0.4">
      <c r="A4201" t="s">
        <v>4242</v>
      </c>
      <c r="B4201">
        <v>50</v>
      </c>
      <c r="C4201" t="s">
        <v>27</v>
      </c>
      <c r="D4201" t="s">
        <v>32</v>
      </c>
      <c r="E4201">
        <v>18.62</v>
      </c>
      <c r="F4201">
        <v>25</v>
      </c>
      <c r="G4201" t="s">
        <v>17</v>
      </c>
      <c r="H4201" t="s">
        <v>57</v>
      </c>
      <c r="I4201" s="2">
        <v>17.989999999999998</v>
      </c>
      <c r="J4201">
        <v>0</v>
      </c>
      <c r="K4201" s="2">
        <f t="shared" si="130"/>
        <v>0</v>
      </c>
      <c r="L4201" t="s">
        <v>19</v>
      </c>
      <c r="M4201">
        <v>5</v>
      </c>
      <c r="N4201">
        <v>0.72</v>
      </c>
      <c r="O4201" t="str">
        <f t="shared" si="131"/>
        <v>0.6–0.8 hours</v>
      </c>
      <c r="P4201" t="s">
        <v>52</v>
      </c>
    </row>
    <row r="4202" spans="1:16" x14ac:dyDescent="0.4">
      <c r="A4202" t="s">
        <v>4243</v>
      </c>
      <c r="B4202">
        <v>64</v>
      </c>
      <c r="C4202" t="s">
        <v>41</v>
      </c>
      <c r="D4202" t="s">
        <v>32</v>
      </c>
      <c r="E4202">
        <v>16.62</v>
      </c>
      <c r="F4202">
        <v>58</v>
      </c>
      <c r="G4202" t="s">
        <v>28</v>
      </c>
      <c r="H4202" t="s">
        <v>57</v>
      </c>
      <c r="I4202" s="2">
        <v>17.989999999999998</v>
      </c>
      <c r="J4202">
        <v>0</v>
      </c>
      <c r="K4202" s="2">
        <f t="shared" si="130"/>
        <v>0</v>
      </c>
      <c r="L4202" t="s">
        <v>61</v>
      </c>
      <c r="M4202">
        <v>5</v>
      </c>
      <c r="N4202">
        <v>0.28000000000000003</v>
      </c>
      <c r="O4202" t="str">
        <f t="shared" si="131"/>
        <v>0.2–0.4 hours</v>
      </c>
      <c r="P4202" t="s">
        <v>52</v>
      </c>
    </row>
    <row r="4203" spans="1:16" x14ac:dyDescent="0.4">
      <c r="A4203" t="s">
        <v>4244</v>
      </c>
      <c r="B4203">
        <v>40</v>
      </c>
      <c r="C4203" t="s">
        <v>27</v>
      </c>
      <c r="D4203" t="s">
        <v>32</v>
      </c>
      <c r="E4203">
        <v>25.5</v>
      </c>
      <c r="F4203">
        <v>24</v>
      </c>
      <c r="G4203" t="s">
        <v>28</v>
      </c>
      <c r="H4203" t="s">
        <v>18</v>
      </c>
      <c r="I4203" s="2">
        <v>17.989999999999998</v>
      </c>
      <c r="J4203">
        <v>0</v>
      </c>
      <c r="K4203" s="2">
        <f t="shared" si="130"/>
        <v>0</v>
      </c>
      <c r="L4203" t="s">
        <v>29</v>
      </c>
      <c r="M4203">
        <v>5</v>
      </c>
      <c r="N4203">
        <v>1.02</v>
      </c>
      <c r="O4203" t="str">
        <f t="shared" si="131"/>
        <v>1+ hours</v>
      </c>
      <c r="P4203" t="s">
        <v>20</v>
      </c>
    </row>
    <row r="4204" spans="1:16" x14ac:dyDescent="0.4">
      <c r="A4204" t="s">
        <v>4245</v>
      </c>
      <c r="B4204">
        <v>67</v>
      </c>
      <c r="C4204" t="s">
        <v>15</v>
      </c>
      <c r="D4204" t="s">
        <v>16</v>
      </c>
      <c r="E4204">
        <v>4.62</v>
      </c>
      <c r="F4204">
        <v>33</v>
      </c>
      <c r="G4204" t="s">
        <v>70</v>
      </c>
      <c r="H4204" t="s">
        <v>24</v>
      </c>
      <c r="I4204" s="2">
        <v>8.99</v>
      </c>
      <c r="J4204">
        <v>1</v>
      </c>
      <c r="K4204" s="2">
        <f t="shared" si="130"/>
        <v>8.99</v>
      </c>
      <c r="L4204" t="s">
        <v>29</v>
      </c>
      <c r="M4204">
        <v>5</v>
      </c>
      <c r="N4204">
        <v>0.14000000000000001</v>
      </c>
      <c r="O4204" t="str">
        <f t="shared" si="131"/>
        <v>0–0.2 hours</v>
      </c>
      <c r="P4204" t="s">
        <v>34</v>
      </c>
    </row>
    <row r="4205" spans="1:16" x14ac:dyDescent="0.4">
      <c r="A4205" t="s">
        <v>4246</v>
      </c>
      <c r="B4205">
        <v>61</v>
      </c>
      <c r="C4205" t="s">
        <v>15</v>
      </c>
      <c r="D4205" t="s">
        <v>22</v>
      </c>
      <c r="E4205">
        <v>4.12</v>
      </c>
      <c r="F4205">
        <v>0</v>
      </c>
      <c r="G4205" t="s">
        <v>17</v>
      </c>
      <c r="H4205" t="s">
        <v>55</v>
      </c>
      <c r="I4205" s="2">
        <v>13.99</v>
      </c>
      <c r="J4205">
        <v>0</v>
      </c>
      <c r="K4205" s="2">
        <f t="shared" si="130"/>
        <v>0</v>
      </c>
      <c r="L4205" t="s">
        <v>29</v>
      </c>
      <c r="M4205">
        <v>1</v>
      </c>
      <c r="N4205">
        <v>4.12</v>
      </c>
      <c r="O4205" t="str">
        <f t="shared" si="131"/>
        <v>1+ hours</v>
      </c>
      <c r="P4205" t="s">
        <v>39</v>
      </c>
    </row>
    <row r="4206" spans="1:16" x14ac:dyDescent="0.4">
      <c r="A4206" t="s">
        <v>4247</v>
      </c>
      <c r="B4206">
        <v>67</v>
      </c>
      <c r="C4206" t="s">
        <v>41</v>
      </c>
      <c r="D4206" t="s">
        <v>22</v>
      </c>
      <c r="E4206">
        <v>0.08</v>
      </c>
      <c r="F4206">
        <v>20</v>
      </c>
      <c r="G4206" t="s">
        <v>70</v>
      </c>
      <c r="H4206" t="s">
        <v>24</v>
      </c>
      <c r="I4206" s="2">
        <v>13.99</v>
      </c>
      <c r="J4206">
        <v>1</v>
      </c>
      <c r="K4206" s="2">
        <f t="shared" si="130"/>
        <v>13.99</v>
      </c>
      <c r="L4206" t="s">
        <v>19</v>
      </c>
      <c r="M4206">
        <v>2</v>
      </c>
      <c r="N4206">
        <v>0</v>
      </c>
      <c r="O4206" t="str">
        <f t="shared" si="131"/>
        <v>0–0.2 hours</v>
      </c>
      <c r="P4206" t="s">
        <v>30</v>
      </c>
    </row>
    <row r="4207" spans="1:16" x14ac:dyDescent="0.4">
      <c r="A4207" t="s">
        <v>4248</v>
      </c>
      <c r="B4207">
        <v>53</v>
      </c>
      <c r="C4207" t="s">
        <v>15</v>
      </c>
      <c r="D4207" t="s">
        <v>16</v>
      </c>
      <c r="E4207">
        <v>5.96</v>
      </c>
      <c r="F4207">
        <v>46</v>
      </c>
      <c r="G4207" t="s">
        <v>49</v>
      </c>
      <c r="H4207" t="s">
        <v>57</v>
      </c>
      <c r="I4207" s="2">
        <v>8.99</v>
      </c>
      <c r="J4207">
        <v>1</v>
      </c>
      <c r="K4207" s="2">
        <f t="shared" si="130"/>
        <v>8.99</v>
      </c>
      <c r="L4207" t="s">
        <v>61</v>
      </c>
      <c r="M4207">
        <v>1</v>
      </c>
      <c r="N4207">
        <v>0.13</v>
      </c>
      <c r="O4207" t="str">
        <f t="shared" si="131"/>
        <v>0–0.2 hours</v>
      </c>
      <c r="P4207" t="s">
        <v>30</v>
      </c>
    </row>
    <row r="4208" spans="1:16" x14ac:dyDescent="0.4">
      <c r="A4208" t="s">
        <v>4249</v>
      </c>
      <c r="B4208">
        <v>32</v>
      </c>
      <c r="C4208" t="s">
        <v>41</v>
      </c>
      <c r="D4208" t="s">
        <v>32</v>
      </c>
      <c r="E4208">
        <v>3.32</v>
      </c>
      <c r="F4208">
        <v>12</v>
      </c>
      <c r="G4208" t="s">
        <v>28</v>
      </c>
      <c r="H4208" t="s">
        <v>46</v>
      </c>
      <c r="I4208" s="2">
        <v>17.989999999999998</v>
      </c>
      <c r="J4208">
        <v>0</v>
      </c>
      <c r="K4208" s="2">
        <f t="shared" si="130"/>
        <v>0</v>
      </c>
      <c r="L4208" t="s">
        <v>43</v>
      </c>
      <c r="M4208">
        <v>4</v>
      </c>
      <c r="N4208">
        <v>0.26</v>
      </c>
      <c r="O4208" t="str">
        <f t="shared" si="131"/>
        <v>0.2–0.4 hours</v>
      </c>
      <c r="P4208" t="s">
        <v>34</v>
      </c>
    </row>
    <row r="4209" spans="1:16" x14ac:dyDescent="0.4">
      <c r="A4209" t="s">
        <v>4250</v>
      </c>
      <c r="B4209">
        <v>31</v>
      </c>
      <c r="C4209" t="s">
        <v>27</v>
      </c>
      <c r="D4209" t="s">
        <v>22</v>
      </c>
      <c r="E4209">
        <v>6.08</v>
      </c>
      <c r="F4209">
        <v>25</v>
      </c>
      <c r="G4209" t="s">
        <v>23</v>
      </c>
      <c r="H4209" t="s">
        <v>18</v>
      </c>
      <c r="I4209" s="2">
        <v>13.99</v>
      </c>
      <c r="J4209">
        <v>0</v>
      </c>
      <c r="K4209" s="2">
        <f t="shared" si="130"/>
        <v>0</v>
      </c>
      <c r="L4209" t="s">
        <v>19</v>
      </c>
      <c r="M4209">
        <v>2</v>
      </c>
      <c r="N4209">
        <v>0.23</v>
      </c>
      <c r="O4209" t="str">
        <f t="shared" si="131"/>
        <v>0.2–0.4 hours</v>
      </c>
      <c r="P4209" t="s">
        <v>39</v>
      </c>
    </row>
    <row r="4210" spans="1:16" x14ac:dyDescent="0.4">
      <c r="A4210" t="s">
        <v>4251</v>
      </c>
      <c r="B4210">
        <v>69</v>
      </c>
      <c r="C4210" t="s">
        <v>27</v>
      </c>
      <c r="D4210" t="s">
        <v>32</v>
      </c>
      <c r="E4210">
        <v>5.48</v>
      </c>
      <c r="F4210">
        <v>54</v>
      </c>
      <c r="G4210" t="s">
        <v>70</v>
      </c>
      <c r="H4210" t="s">
        <v>46</v>
      </c>
      <c r="I4210" s="2">
        <v>17.989999999999998</v>
      </c>
      <c r="J4210">
        <v>1</v>
      </c>
      <c r="K4210" s="2">
        <f t="shared" si="130"/>
        <v>17.989999999999998</v>
      </c>
      <c r="L4210" t="s">
        <v>19</v>
      </c>
      <c r="M4210">
        <v>5</v>
      </c>
      <c r="N4210">
        <v>0.1</v>
      </c>
      <c r="O4210" t="str">
        <f t="shared" si="131"/>
        <v>0–0.2 hours</v>
      </c>
      <c r="P4210" t="s">
        <v>20</v>
      </c>
    </row>
    <row r="4211" spans="1:16" x14ac:dyDescent="0.4">
      <c r="A4211" t="s">
        <v>4252</v>
      </c>
      <c r="B4211">
        <v>55</v>
      </c>
      <c r="C4211" t="s">
        <v>15</v>
      </c>
      <c r="D4211" t="s">
        <v>16</v>
      </c>
      <c r="E4211">
        <v>28.25</v>
      </c>
      <c r="F4211">
        <v>23</v>
      </c>
      <c r="G4211" t="s">
        <v>17</v>
      </c>
      <c r="H4211" t="s">
        <v>18</v>
      </c>
      <c r="I4211" s="2">
        <v>8.99</v>
      </c>
      <c r="J4211">
        <v>0</v>
      </c>
      <c r="K4211" s="2">
        <f t="shared" si="130"/>
        <v>0</v>
      </c>
      <c r="L4211" t="s">
        <v>61</v>
      </c>
      <c r="M4211">
        <v>1</v>
      </c>
      <c r="N4211">
        <v>1.18</v>
      </c>
      <c r="O4211" t="str">
        <f t="shared" si="131"/>
        <v>1+ hours</v>
      </c>
      <c r="P4211" t="s">
        <v>20</v>
      </c>
    </row>
    <row r="4212" spans="1:16" x14ac:dyDescent="0.4">
      <c r="A4212" t="s">
        <v>4253</v>
      </c>
      <c r="B4212">
        <v>70</v>
      </c>
      <c r="C4212" t="s">
        <v>41</v>
      </c>
      <c r="D4212" t="s">
        <v>32</v>
      </c>
      <c r="E4212">
        <v>5.62</v>
      </c>
      <c r="F4212">
        <v>25</v>
      </c>
      <c r="G4212" t="s">
        <v>23</v>
      </c>
      <c r="H4212" t="s">
        <v>55</v>
      </c>
      <c r="I4212" s="2">
        <v>17.989999999999998</v>
      </c>
      <c r="J4212">
        <v>0</v>
      </c>
      <c r="K4212" s="2">
        <f t="shared" si="130"/>
        <v>0</v>
      </c>
      <c r="L4212" t="s">
        <v>61</v>
      </c>
      <c r="M4212">
        <v>3</v>
      </c>
      <c r="N4212">
        <v>0.22</v>
      </c>
      <c r="O4212" t="str">
        <f t="shared" si="131"/>
        <v>0.2–0.4 hours</v>
      </c>
      <c r="P4212" t="s">
        <v>47</v>
      </c>
    </row>
    <row r="4213" spans="1:16" x14ac:dyDescent="0.4">
      <c r="A4213" t="s">
        <v>4254</v>
      </c>
      <c r="B4213">
        <v>70</v>
      </c>
      <c r="C4213" t="s">
        <v>41</v>
      </c>
      <c r="D4213" t="s">
        <v>22</v>
      </c>
      <c r="E4213">
        <v>15.52</v>
      </c>
      <c r="F4213">
        <v>12</v>
      </c>
      <c r="G4213" t="s">
        <v>17</v>
      </c>
      <c r="H4213" t="s">
        <v>24</v>
      </c>
      <c r="I4213" s="2">
        <v>13.99</v>
      </c>
      <c r="J4213">
        <v>0</v>
      </c>
      <c r="K4213" s="2">
        <f t="shared" si="130"/>
        <v>0</v>
      </c>
      <c r="L4213" t="s">
        <v>19</v>
      </c>
      <c r="M4213">
        <v>5</v>
      </c>
      <c r="N4213">
        <v>1.19</v>
      </c>
      <c r="O4213" t="str">
        <f t="shared" si="131"/>
        <v>1+ hours</v>
      </c>
      <c r="P4213" t="s">
        <v>30</v>
      </c>
    </row>
    <row r="4214" spans="1:16" x14ac:dyDescent="0.4">
      <c r="A4214" t="s">
        <v>4255</v>
      </c>
      <c r="B4214">
        <v>70</v>
      </c>
      <c r="C4214" t="s">
        <v>27</v>
      </c>
      <c r="D4214" t="s">
        <v>22</v>
      </c>
      <c r="E4214">
        <v>3.06</v>
      </c>
      <c r="F4214">
        <v>57</v>
      </c>
      <c r="G4214" t="s">
        <v>70</v>
      </c>
      <c r="H4214" t="s">
        <v>18</v>
      </c>
      <c r="I4214" s="2">
        <v>13.99</v>
      </c>
      <c r="J4214">
        <v>1</v>
      </c>
      <c r="K4214" s="2">
        <f t="shared" si="130"/>
        <v>13.99</v>
      </c>
      <c r="L4214" t="s">
        <v>61</v>
      </c>
      <c r="M4214">
        <v>4</v>
      </c>
      <c r="N4214">
        <v>0.05</v>
      </c>
      <c r="O4214" t="str">
        <f t="shared" si="131"/>
        <v>0–0.2 hours</v>
      </c>
      <c r="P4214" t="s">
        <v>47</v>
      </c>
    </row>
    <row r="4215" spans="1:16" x14ac:dyDescent="0.4">
      <c r="A4215" t="s">
        <v>4256</v>
      </c>
      <c r="B4215">
        <v>27</v>
      </c>
      <c r="C4215" t="s">
        <v>27</v>
      </c>
      <c r="D4215" t="s">
        <v>16</v>
      </c>
      <c r="E4215">
        <v>17.34</v>
      </c>
      <c r="F4215">
        <v>16</v>
      </c>
      <c r="G4215" t="s">
        <v>49</v>
      </c>
      <c r="H4215" t="s">
        <v>46</v>
      </c>
      <c r="I4215" s="2">
        <v>8.99</v>
      </c>
      <c r="J4215">
        <v>0</v>
      </c>
      <c r="K4215" s="2">
        <f t="shared" si="130"/>
        <v>0</v>
      </c>
      <c r="L4215" t="s">
        <v>61</v>
      </c>
      <c r="M4215">
        <v>4</v>
      </c>
      <c r="N4215">
        <v>1.02</v>
      </c>
      <c r="O4215" t="str">
        <f t="shared" si="131"/>
        <v>1+ hours</v>
      </c>
      <c r="P4215" t="s">
        <v>25</v>
      </c>
    </row>
    <row r="4216" spans="1:16" x14ac:dyDescent="0.4">
      <c r="A4216" t="s">
        <v>4257</v>
      </c>
      <c r="B4216">
        <v>19</v>
      </c>
      <c r="C4216" t="s">
        <v>41</v>
      </c>
      <c r="D4216" t="s">
        <v>16</v>
      </c>
      <c r="E4216">
        <v>9.09</v>
      </c>
      <c r="F4216">
        <v>56</v>
      </c>
      <c r="G4216" t="s">
        <v>49</v>
      </c>
      <c r="H4216" t="s">
        <v>46</v>
      </c>
      <c r="I4216" s="2">
        <v>8.99</v>
      </c>
      <c r="J4216">
        <v>1</v>
      </c>
      <c r="K4216" s="2">
        <f t="shared" si="130"/>
        <v>8.99</v>
      </c>
      <c r="L4216" t="s">
        <v>61</v>
      </c>
      <c r="M4216">
        <v>3</v>
      </c>
      <c r="N4216">
        <v>0.16</v>
      </c>
      <c r="O4216" t="str">
        <f t="shared" si="131"/>
        <v>0–0.2 hours</v>
      </c>
      <c r="P4216" t="s">
        <v>39</v>
      </c>
    </row>
    <row r="4217" spans="1:16" x14ac:dyDescent="0.4">
      <c r="A4217" t="s">
        <v>4258</v>
      </c>
      <c r="B4217">
        <v>63</v>
      </c>
      <c r="C4217" t="s">
        <v>15</v>
      </c>
      <c r="D4217" t="s">
        <v>16</v>
      </c>
      <c r="E4217">
        <v>36.14</v>
      </c>
      <c r="F4217">
        <v>53</v>
      </c>
      <c r="G4217" t="s">
        <v>23</v>
      </c>
      <c r="H4217" t="s">
        <v>24</v>
      </c>
      <c r="I4217" s="2">
        <v>8.99</v>
      </c>
      <c r="J4217">
        <v>0</v>
      </c>
      <c r="K4217" s="2">
        <f t="shared" si="130"/>
        <v>0</v>
      </c>
      <c r="L4217" t="s">
        <v>61</v>
      </c>
      <c r="M4217">
        <v>4</v>
      </c>
      <c r="N4217">
        <v>0.67</v>
      </c>
      <c r="O4217" t="str">
        <f t="shared" si="131"/>
        <v>0.6–0.8 hours</v>
      </c>
      <c r="P4217" t="s">
        <v>30</v>
      </c>
    </row>
    <row r="4218" spans="1:16" x14ac:dyDescent="0.4">
      <c r="A4218" t="s">
        <v>4259</v>
      </c>
      <c r="B4218">
        <v>47</v>
      </c>
      <c r="C4218" t="s">
        <v>41</v>
      </c>
      <c r="D4218" t="s">
        <v>16</v>
      </c>
      <c r="E4218">
        <v>3.92</v>
      </c>
      <c r="F4218">
        <v>40</v>
      </c>
      <c r="G4218" t="s">
        <v>33</v>
      </c>
      <c r="H4218" t="s">
        <v>57</v>
      </c>
      <c r="I4218" s="2">
        <v>8.99</v>
      </c>
      <c r="J4218">
        <v>1</v>
      </c>
      <c r="K4218" s="2">
        <f t="shared" si="130"/>
        <v>8.99</v>
      </c>
      <c r="L4218" t="s">
        <v>43</v>
      </c>
      <c r="M4218">
        <v>5</v>
      </c>
      <c r="N4218">
        <v>0.1</v>
      </c>
      <c r="O4218" t="str">
        <f t="shared" si="131"/>
        <v>0–0.2 hours</v>
      </c>
      <c r="P4218" t="s">
        <v>30</v>
      </c>
    </row>
    <row r="4219" spans="1:16" x14ac:dyDescent="0.4">
      <c r="A4219" t="s">
        <v>4260</v>
      </c>
      <c r="B4219">
        <v>27</v>
      </c>
      <c r="C4219" t="s">
        <v>41</v>
      </c>
      <c r="D4219" t="s">
        <v>32</v>
      </c>
      <c r="E4219">
        <v>17.29</v>
      </c>
      <c r="F4219">
        <v>11</v>
      </c>
      <c r="G4219" t="s">
        <v>23</v>
      </c>
      <c r="H4219" t="s">
        <v>46</v>
      </c>
      <c r="I4219" s="2">
        <v>17.989999999999998</v>
      </c>
      <c r="J4219">
        <v>0</v>
      </c>
      <c r="K4219" s="2">
        <f t="shared" si="130"/>
        <v>0</v>
      </c>
      <c r="L4219" t="s">
        <v>29</v>
      </c>
      <c r="M4219">
        <v>2</v>
      </c>
      <c r="N4219">
        <v>1.44</v>
      </c>
      <c r="O4219" t="str">
        <f t="shared" si="131"/>
        <v>1+ hours</v>
      </c>
      <c r="P4219" t="s">
        <v>47</v>
      </c>
    </row>
    <row r="4220" spans="1:16" x14ac:dyDescent="0.4">
      <c r="A4220" t="s">
        <v>4261</v>
      </c>
      <c r="B4220">
        <v>33</v>
      </c>
      <c r="C4220" t="s">
        <v>27</v>
      </c>
      <c r="D4220" t="s">
        <v>16</v>
      </c>
      <c r="E4220">
        <v>11.53</v>
      </c>
      <c r="F4220">
        <v>3</v>
      </c>
      <c r="G4220" t="s">
        <v>23</v>
      </c>
      <c r="H4220" t="s">
        <v>18</v>
      </c>
      <c r="I4220" s="2">
        <v>8.99</v>
      </c>
      <c r="J4220">
        <v>0</v>
      </c>
      <c r="K4220" s="2">
        <f t="shared" si="130"/>
        <v>0</v>
      </c>
      <c r="L4220" t="s">
        <v>37</v>
      </c>
      <c r="M4220">
        <v>5</v>
      </c>
      <c r="N4220">
        <v>2.88</v>
      </c>
      <c r="O4220" t="str">
        <f t="shared" si="131"/>
        <v>1+ hours</v>
      </c>
      <c r="P4220" t="s">
        <v>52</v>
      </c>
    </row>
    <row r="4221" spans="1:16" x14ac:dyDescent="0.4">
      <c r="A4221" t="s">
        <v>4262</v>
      </c>
      <c r="B4221">
        <v>58</v>
      </c>
      <c r="C4221" t="s">
        <v>27</v>
      </c>
      <c r="D4221" t="s">
        <v>32</v>
      </c>
      <c r="E4221">
        <v>8.5299999999999994</v>
      </c>
      <c r="F4221">
        <v>48</v>
      </c>
      <c r="G4221" t="s">
        <v>33</v>
      </c>
      <c r="H4221" t="s">
        <v>46</v>
      </c>
      <c r="I4221" s="2">
        <v>17.989999999999998</v>
      </c>
      <c r="J4221">
        <v>0</v>
      </c>
      <c r="K4221" s="2">
        <f t="shared" si="130"/>
        <v>0</v>
      </c>
      <c r="L4221" t="s">
        <v>43</v>
      </c>
      <c r="M4221">
        <v>4</v>
      </c>
      <c r="N4221">
        <v>0.17</v>
      </c>
      <c r="O4221" t="str">
        <f t="shared" si="131"/>
        <v>0–0.2 hours</v>
      </c>
      <c r="P4221" t="s">
        <v>34</v>
      </c>
    </row>
    <row r="4222" spans="1:16" x14ac:dyDescent="0.4">
      <c r="A4222" t="s">
        <v>4263</v>
      </c>
      <c r="B4222">
        <v>66</v>
      </c>
      <c r="C4222" t="s">
        <v>15</v>
      </c>
      <c r="D4222" t="s">
        <v>32</v>
      </c>
      <c r="E4222">
        <v>1.02</v>
      </c>
      <c r="F4222">
        <v>15</v>
      </c>
      <c r="G4222" t="s">
        <v>23</v>
      </c>
      <c r="H4222" t="s">
        <v>24</v>
      </c>
      <c r="I4222" s="2">
        <v>17.989999999999998</v>
      </c>
      <c r="J4222">
        <v>1</v>
      </c>
      <c r="K4222" s="2">
        <f t="shared" si="130"/>
        <v>17.989999999999998</v>
      </c>
      <c r="L4222" t="s">
        <v>19</v>
      </c>
      <c r="M4222">
        <v>5</v>
      </c>
      <c r="N4222">
        <v>0.06</v>
      </c>
      <c r="O4222" t="str">
        <f t="shared" si="131"/>
        <v>0–0.2 hours</v>
      </c>
      <c r="P4222" t="s">
        <v>47</v>
      </c>
    </row>
    <row r="4223" spans="1:16" x14ac:dyDescent="0.4">
      <c r="A4223" t="s">
        <v>4264</v>
      </c>
      <c r="B4223">
        <v>55</v>
      </c>
      <c r="C4223" t="s">
        <v>27</v>
      </c>
      <c r="D4223" t="s">
        <v>22</v>
      </c>
      <c r="E4223">
        <v>3.81</v>
      </c>
      <c r="F4223">
        <v>2</v>
      </c>
      <c r="G4223" t="s">
        <v>33</v>
      </c>
      <c r="H4223" t="s">
        <v>18</v>
      </c>
      <c r="I4223" s="2">
        <v>13.99</v>
      </c>
      <c r="J4223">
        <v>0</v>
      </c>
      <c r="K4223" s="2">
        <f t="shared" si="130"/>
        <v>0</v>
      </c>
      <c r="L4223" t="s">
        <v>19</v>
      </c>
      <c r="M4223">
        <v>1</v>
      </c>
      <c r="N4223">
        <v>1.27</v>
      </c>
      <c r="O4223" t="str">
        <f t="shared" si="131"/>
        <v>1+ hours</v>
      </c>
      <c r="P4223" t="s">
        <v>25</v>
      </c>
    </row>
    <row r="4224" spans="1:16" x14ac:dyDescent="0.4">
      <c r="A4224" t="s">
        <v>4265</v>
      </c>
      <c r="B4224">
        <v>30</v>
      </c>
      <c r="C4224" t="s">
        <v>41</v>
      </c>
      <c r="D4224" t="s">
        <v>22</v>
      </c>
      <c r="E4224">
        <v>9.58</v>
      </c>
      <c r="F4224">
        <v>35</v>
      </c>
      <c r="G4224" t="s">
        <v>49</v>
      </c>
      <c r="H4224" t="s">
        <v>57</v>
      </c>
      <c r="I4224" s="2">
        <v>13.99</v>
      </c>
      <c r="J4224">
        <v>1</v>
      </c>
      <c r="K4224" s="2">
        <f t="shared" si="130"/>
        <v>13.99</v>
      </c>
      <c r="L4224" t="s">
        <v>37</v>
      </c>
      <c r="M4224">
        <v>3</v>
      </c>
      <c r="N4224">
        <v>0.27</v>
      </c>
      <c r="O4224" t="str">
        <f t="shared" si="131"/>
        <v>0.2–0.4 hours</v>
      </c>
      <c r="P4224" t="s">
        <v>34</v>
      </c>
    </row>
    <row r="4225" spans="1:16" x14ac:dyDescent="0.4">
      <c r="A4225" t="s">
        <v>4266</v>
      </c>
      <c r="B4225">
        <v>70</v>
      </c>
      <c r="C4225" t="s">
        <v>15</v>
      </c>
      <c r="D4225" t="s">
        <v>22</v>
      </c>
      <c r="E4225">
        <v>4.66</v>
      </c>
      <c r="F4225">
        <v>43</v>
      </c>
      <c r="G4225" t="s">
        <v>70</v>
      </c>
      <c r="H4225" t="s">
        <v>18</v>
      </c>
      <c r="I4225" s="2">
        <v>13.99</v>
      </c>
      <c r="J4225">
        <v>1</v>
      </c>
      <c r="K4225" s="2">
        <f t="shared" si="130"/>
        <v>13.99</v>
      </c>
      <c r="L4225" t="s">
        <v>37</v>
      </c>
      <c r="M4225">
        <v>2</v>
      </c>
      <c r="N4225">
        <v>0.11</v>
      </c>
      <c r="O4225" t="str">
        <f t="shared" si="131"/>
        <v>0–0.2 hours</v>
      </c>
      <c r="P4225" t="s">
        <v>34</v>
      </c>
    </row>
    <row r="4226" spans="1:16" x14ac:dyDescent="0.4">
      <c r="A4226" t="s">
        <v>4267</v>
      </c>
      <c r="B4226">
        <v>70</v>
      </c>
      <c r="C4226" t="s">
        <v>41</v>
      </c>
      <c r="D4226" t="s">
        <v>32</v>
      </c>
      <c r="E4226">
        <v>18.46</v>
      </c>
      <c r="F4226">
        <v>8</v>
      </c>
      <c r="G4226" t="s">
        <v>70</v>
      </c>
      <c r="H4226" t="s">
        <v>18</v>
      </c>
      <c r="I4226" s="2">
        <v>17.989999999999998</v>
      </c>
      <c r="J4226">
        <v>0</v>
      </c>
      <c r="K4226" s="2">
        <f t="shared" si="130"/>
        <v>0</v>
      </c>
      <c r="L4226" t="s">
        <v>61</v>
      </c>
      <c r="M4226">
        <v>4</v>
      </c>
      <c r="N4226">
        <v>2.0499999999999998</v>
      </c>
      <c r="O4226" t="str">
        <f t="shared" si="131"/>
        <v>1+ hours</v>
      </c>
      <c r="P4226" t="s">
        <v>52</v>
      </c>
    </row>
    <row r="4227" spans="1:16" x14ac:dyDescent="0.4">
      <c r="A4227" t="s">
        <v>4268</v>
      </c>
      <c r="B4227">
        <v>33</v>
      </c>
      <c r="C4227" t="s">
        <v>27</v>
      </c>
      <c r="D4227" t="s">
        <v>32</v>
      </c>
      <c r="E4227">
        <v>11.79</v>
      </c>
      <c r="F4227">
        <v>15</v>
      </c>
      <c r="G4227" t="s">
        <v>33</v>
      </c>
      <c r="H4227" t="s">
        <v>57</v>
      </c>
      <c r="I4227" s="2">
        <v>17.989999999999998</v>
      </c>
      <c r="J4227">
        <v>0</v>
      </c>
      <c r="K4227" s="2">
        <f t="shared" ref="K4227:K4290" si="132">SUMIF(J4227,1,I4227)</f>
        <v>0</v>
      </c>
      <c r="L4227" t="s">
        <v>37</v>
      </c>
      <c r="M4227">
        <v>4</v>
      </c>
      <c r="N4227">
        <v>0.74</v>
      </c>
      <c r="O4227" t="str">
        <f t="shared" ref="O4227:O4290" si="133">IF(N4227&gt;1,"1+ hours",IF(N4227&lt;=0.2,"0–0.2 hours",IF(N4227&lt;=0.4,"0.2–0.4 hours",IF(N4227&lt;=0.6,"0.4–0.6 hours",IF(N4227&lt;=0.8,"0.6–0.8 hours","0.8–1 hour")))))</f>
        <v>0.6–0.8 hours</v>
      </c>
      <c r="P4227" t="s">
        <v>25</v>
      </c>
    </row>
    <row r="4228" spans="1:16" x14ac:dyDescent="0.4">
      <c r="A4228" s="1" t="s">
        <v>4269</v>
      </c>
      <c r="B4228">
        <v>57</v>
      </c>
      <c r="C4228" t="s">
        <v>15</v>
      </c>
      <c r="D4228" t="s">
        <v>22</v>
      </c>
      <c r="E4228">
        <v>9.9</v>
      </c>
      <c r="F4228">
        <v>45</v>
      </c>
      <c r="G4228" t="s">
        <v>70</v>
      </c>
      <c r="H4228" t="s">
        <v>24</v>
      </c>
      <c r="I4228" s="2">
        <v>13.99</v>
      </c>
      <c r="J4228">
        <v>0</v>
      </c>
      <c r="K4228" s="2">
        <f t="shared" si="132"/>
        <v>0</v>
      </c>
      <c r="L4228" t="s">
        <v>37</v>
      </c>
      <c r="M4228">
        <v>4</v>
      </c>
      <c r="N4228">
        <v>0.22</v>
      </c>
      <c r="O4228" t="str">
        <f t="shared" si="133"/>
        <v>0.2–0.4 hours</v>
      </c>
      <c r="P4228" t="s">
        <v>52</v>
      </c>
    </row>
    <row r="4229" spans="1:16" x14ac:dyDescent="0.4">
      <c r="A4229" t="s">
        <v>4270</v>
      </c>
      <c r="B4229">
        <v>54</v>
      </c>
      <c r="C4229" t="s">
        <v>15</v>
      </c>
      <c r="D4229" t="s">
        <v>32</v>
      </c>
      <c r="E4229">
        <v>9.8000000000000007</v>
      </c>
      <c r="F4229">
        <v>56</v>
      </c>
      <c r="G4229" t="s">
        <v>70</v>
      </c>
      <c r="H4229" t="s">
        <v>57</v>
      </c>
      <c r="I4229" s="2">
        <v>17.989999999999998</v>
      </c>
      <c r="J4229">
        <v>1</v>
      </c>
      <c r="K4229" s="2">
        <f t="shared" si="132"/>
        <v>17.989999999999998</v>
      </c>
      <c r="L4229" t="s">
        <v>29</v>
      </c>
      <c r="M4229">
        <v>4</v>
      </c>
      <c r="N4229">
        <v>0.17</v>
      </c>
      <c r="O4229" t="str">
        <f t="shared" si="133"/>
        <v>0–0.2 hours</v>
      </c>
      <c r="P4229" t="s">
        <v>39</v>
      </c>
    </row>
    <row r="4230" spans="1:16" x14ac:dyDescent="0.4">
      <c r="A4230" t="s">
        <v>4271</v>
      </c>
      <c r="B4230">
        <v>30</v>
      </c>
      <c r="C4230" t="s">
        <v>27</v>
      </c>
      <c r="D4230" t="s">
        <v>22</v>
      </c>
      <c r="E4230">
        <v>4.72</v>
      </c>
      <c r="F4230">
        <v>14</v>
      </c>
      <c r="G4230" t="s">
        <v>17</v>
      </c>
      <c r="H4230" t="s">
        <v>18</v>
      </c>
      <c r="I4230" s="2">
        <v>13.99</v>
      </c>
      <c r="J4230">
        <v>1</v>
      </c>
      <c r="K4230" s="2">
        <f t="shared" si="132"/>
        <v>13.99</v>
      </c>
      <c r="L4230" t="s">
        <v>61</v>
      </c>
      <c r="M4230">
        <v>3</v>
      </c>
      <c r="N4230">
        <v>0.31</v>
      </c>
      <c r="O4230" t="str">
        <f t="shared" si="133"/>
        <v>0.2–0.4 hours</v>
      </c>
      <c r="P4230" t="s">
        <v>34</v>
      </c>
    </row>
    <row r="4231" spans="1:16" x14ac:dyDescent="0.4">
      <c r="A4231" t="s">
        <v>4272</v>
      </c>
      <c r="B4231">
        <v>31</v>
      </c>
      <c r="C4231" t="s">
        <v>41</v>
      </c>
      <c r="D4231" t="s">
        <v>22</v>
      </c>
      <c r="E4231">
        <v>9.41</v>
      </c>
      <c r="F4231">
        <v>39</v>
      </c>
      <c r="G4231" t="s">
        <v>23</v>
      </c>
      <c r="H4231" t="s">
        <v>57</v>
      </c>
      <c r="I4231" s="2">
        <v>13.99</v>
      </c>
      <c r="J4231">
        <v>0</v>
      </c>
      <c r="K4231" s="2">
        <f t="shared" si="132"/>
        <v>0</v>
      </c>
      <c r="L4231" t="s">
        <v>43</v>
      </c>
      <c r="M4231">
        <v>4</v>
      </c>
      <c r="N4231">
        <v>0.24</v>
      </c>
      <c r="O4231" t="str">
        <f t="shared" si="133"/>
        <v>0.2–0.4 hours</v>
      </c>
      <c r="P4231" t="s">
        <v>52</v>
      </c>
    </row>
    <row r="4232" spans="1:16" x14ac:dyDescent="0.4">
      <c r="A4232" t="s">
        <v>4273</v>
      </c>
      <c r="B4232">
        <v>18</v>
      </c>
      <c r="C4232" t="s">
        <v>27</v>
      </c>
      <c r="D4232" t="s">
        <v>32</v>
      </c>
      <c r="E4232">
        <v>0.24</v>
      </c>
      <c r="F4232">
        <v>9</v>
      </c>
      <c r="G4232" t="s">
        <v>49</v>
      </c>
      <c r="H4232" t="s">
        <v>18</v>
      </c>
      <c r="I4232" s="2">
        <v>17.989999999999998</v>
      </c>
      <c r="J4232">
        <v>1</v>
      </c>
      <c r="K4232" s="2">
        <f t="shared" si="132"/>
        <v>17.989999999999998</v>
      </c>
      <c r="L4232" t="s">
        <v>61</v>
      </c>
      <c r="M4232">
        <v>1</v>
      </c>
      <c r="N4232">
        <v>0.02</v>
      </c>
      <c r="O4232" t="str">
        <f t="shared" si="133"/>
        <v>0–0.2 hours</v>
      </c>
      <c r="P4232" t="s">
        <v>30</v>
      </c>
    </row>
    <row r="4233" spans="1:16" x14ac:dyDescent="0.4">
      <c r="A4233" t="s">
        <v>4274</v>
      </c>
      <c r="B4233">
        <v>52</v>
      </c>
      <c r="C4233" t="s">
        <v>41</v>
      </c>
      <c r="D4233" t="s">
        <v>32</v>
      </c>
      <c r="E4233">
        <v>3.12</v>
      </c>
      <c r="F4233">
        <v>9</v>
      </c>
      <c r="G4233" t="s">
        <v>49</v>
      </c>
      <c r="H4233" t="s">
        <v>18</v>
      </c>
      <c r="I4233" s="2">
        <v>17.989999999999998</v>
      </c>
      <c r="J4233">
        <v>1</v>
      </c>
      <c r="K4233" s="2">
        <f t="shared" si="132"/>
        <v>17.989999999999998</v>
      </c>
      <c r="L4233" t="s">
        <v>43</v>
      </c>
      <c r="M4233">
        <v>1</v>
      </c>
      <c r="N4233">
        <v>0.31</v>
      </c>
      <c r="O4233" t="str">
        <f t="shared" si="133"/>
        <v>0.2–0.4 hours</v>
      </c>
      <c r="P4233" t="s">
        <v>47</v>
      </c>
    </row>
    <row r="4234" spans="1:16" x14ac:dyDescent="0.4">
      <c r="A4234" t="s">
        <v>4275</v>
      </c>
      <c r="B4234">
        <v>36</v>
      </c>
      <c r="C4234" t="s">
        <v>27</v>
      </c>
      <c r="D4234" t="s">
        <v>32</v>
      </c>
      <c r="E4234">
        <v>19.03</v>
      </c>
      <c r="F4234">
        <v>1</v>
      </c>
      <c r="G4234" t="s">
        <v>28</v>
      </c>
      <c r="H4234" t="s">
        <v>55</v>
      </c>
      <c r="I4234" s="2">
        <v>17.989999999999998</v>
      </c>
      <c r="J4234">
        <v>0</v>
      </c>
      <c r="K4234" s="2">
        <f t="shared" si="132"/>
        <v>0</v>
      </c>
      <c r="L4234" t="s">
        <v>29</v>
      </c>
      <c r="M4234">
        <v>2</v>
      </c>
      <c r="N4234">
        <v>9.52</v>
      </c>
      <c r="O4234" t="str">
        <f t="shared" si="133"/>
        <v>1+ hours</v>
      </c>
      <c r="P4234" t="s">
        <v>25</v>
      </c>
    </row>
    <row r="4235" spans="1:16" x14ac:dyDescent="0.4">
      <c r="A4235" t="s">
        <v>4276</v>
      </c>
      <c r="B4235">
        <v>49</v>
      </c>
      <c r="C4235" t="s">
        <v>27</v>
      </c>
      <c r="D4235" t="s">
        <v>22</v>
      </c>
      <c r="E4235">
        <v>8.43</v>
      </c>
      <c r="F4235">
        <v>2</v>
      </c>
      <c r="G4235" t="s">
        <v>33</v>
      </c>
      <c r="H4235" t="s">
        <v>18</v>
      </c>
      <c r="I4235" s="2">
        <v>13.99</v>
      </c>
      <c r="J4235">
        <v>0</v>
      </c>
      <c r="K4235" s="2">
        <f t="shared" si="132"/>
        <v>0</v>
      </c>
      <c r="L4235" t="s">
        <v>19</v>
      </c>
      <c r="M4235">
        <v>1</v>
      </c>
      <c r="N4235">
        <v>2.81</v>
      </c>
      <c r="O4235" t="str">
        <f t="shared" si="133"/>
        <v>1+ hours</v>
      </c>
      <c r="P4235" t="s">
        <v>47</v>
      </c>
    </row>
    <row r="4236" spans="1:16" x14ac:dyDescent="0.4">
      <c r="A4236" t="s">
        <v>4277</v>
      </c>
      <c r="B4236">
        <v>49</v>
      </c>
      <c r="C4236" t="s">
        <v>27</v>
      </c>
      <c r="D4236" t="s">
        <v>16</v>
      </c>
      <c r="E4236">
        <v>7.02</v>
      </c>
      <c r="F4236">
        <v>55</v>
      </c>
      <c r="G4236" t="s">
        <v>49</v>
      </c>
      <c r="H4236" t="s">
        <v>24</v>
      </c>
      <c r="I4236" s="2">
        <v>8.99</v>
      </c>
      <c r="J4236">
        <v>1</v>
      </c>
      <c r="K4236" s="2">
        <f t="shared" si="132"/>
        <v>8.99</v>
      </c>
      <c r="L4236" t="s">
        <v>19</v>
      </c>
      <c r="M4236">
        <v>3</v>
      </c>
      <c r="N4236">
        <v>0.13</v>
      </c>
      <c r="O4236" t="str">
        <f t="shared" si="133"/>
        <v>0–0.2 hours</v>
      </c>
      <c r="P4236" t="s">
        <v>30</v>
      </c>
    </row>
    <row r="4237" spans="1:16" x14ac:dyDescent="0.4">
      <c r="A4237" t="s">
        <v>4278</v>
      </c>
      <c r="B4237">
        <v>40</v>
      </c>
      <c r="C4237" t="s">
        <v>15</v>
      </c>
      <c r="D4237" t="s">
        <v>16</v>
      </c>
      <c r="E4237">
        <v>6.58</v>
      </c>
      <c r="F4237">
        <v>3</v>
      </c>
      <c r="G4237" t="s">
        <v>28</v>
      </c>
      <c r="H4237" t="s">
        <v>55</v>
      </c>
      <c r="I4237" s="2">
        <v>8.99</v>
      </c>
      <c r="J4237">
        <v>0</v>
      </c>
      <c r="K4237" s="2">
        <f t="shared" si="132"/>
        <v>0</v>
      </c>
      <c r="L4237" t="s">
        <v>43</v>
      </c>
      <c r="M4237">
        <v>1</v>
      </c>
      <c r="N4237">
        <v>1.65</v>
      </c>
      <c r="O4237" t="str">
        <f t="shared" si="133"/>
        <v>1+ hours</v>
      </c>
      <c r="P4237" t="s">
        <v>30</v>
      </c>
    </row>
    <row r="4238" spans="1:16" x14ac:dyDescent="0.4">
      <c r="A4238" t="s">
        <v>4279</v>
      </c>
      <c r="B4238">
        <v>58</v>
      </c>
      <c r="C4238" t="s">
        <v>27</v>
      </c>
      <c r="D4238" t="s">
        <v>32</v>
      </c>
      <c r="E4238">
        <v>14.52</v>
      </c>
      <c r="F4238">
        <v>42</v>
      </c>
      <c r="G4238" t="s">
        <v>28</v>
      </c>
      <c r="H4238" t="s">
        <v>55</v>
      </c>
      <c r="I4238" s="2">
        <v>17.989999999999998</v>
      </c>
      <c r="J4238">
        <v>1</v>
      </c>
      <c r="K4238" s="2">
        <f t="shared" si="132"/>
        <v>17.989999999999998</v>
      </c>
      <c r="L4238" t="s">
        <v>43</v>
      </c>
      <c r="M4238">
        <v>1</v>
      </c>
      <c r="N4238">
        <v>0.34</v>
      </c>
      <c r="O4238" t="str">
        <f t="shared" si="133"/>
        <v>0.2–0.4 hours</v>
      </c>
      <c r="P4238" t="s">
        <v>34</v>
      </c>
    </row>
    <row r="4239" spans="1:16" x14ac:dyDescent="0.4">
      <c r="A4239" t="s">
        <v>4280</v>
      </c>
      <c r="B4239">
        <v>56</v>
      </c>
      <c r="C4239" t="s">
        <v>27</v>
      </c>
      <c r="D4239" t="s">
        <v>22</v>
      </c>
      <c r="E4239">
        <v>35.01</v>
      </c>
      <c r="F4239">
        <v>2</v>
      </c>
      <c r="G4239" t="s">
        <v>28</v>
      </c>
      <c r="H4239" t="s">
        <v>55</v>
      </c>
      <c r="I4239" s="2">
        <v>13.99</v>
      </c>
      <c r="J4239">
        <v>0</v>
      </c>
      <c r="K4239" s="2">
        <f t="shared" si="132"/>
        <v>0</v>
      </c>
      <c r="L4239" t="s">
        <v>29</v>
      </c>
      <c r="M4239">
        <v>4</v>
      </c>
      <c r="N4239">
        <v>11.67</v>
      </c>
      <c r="O4239" t="str">
        <f t="shared" si="133"/>
        <v>1+ hours</v>
      </c>
      <c r="P4239" t="s">
        <v>25</v>
      </c>
    </row>
    <row r="4240" spans="1:16" x14ac:dyDescent="0.4">
      <c r="A4240" t="s">
        <v>4281</v>
      </c>
      <c r="B4240">
        <v>20</v>
      </c>
      <c r="C4240" t="s">
        <v>15</v>
      </c>
      <c r="D4240" t="s">
        <v>22</v>
      </c>
      <c r="E4240">
        <v>5.85</v>
      </c>
      <c r="F4240">
        <v>15</v>
      </c>
      <c r="G4240" t="s">
        <v>23</v>
      </c>
      <c r="H4240" t="s">
        <v>46</v>
      </c>
      <c r="I4240" s="2">
        <v>13.99</v>
      </c>
      <c r="J4240">
        <v>0</v>
      </c>
      <c r="K4240" s="2">
        <f t="shared" si="132"/>
        <v>0</v>
      </c>
      <c r="L4240" t="s">
        <v>29</v>
      </c>
      <c r="M4240">
        <v>2</v>
      </c>
      <c r="N4240">
        <v>0.37</v>
      </c>
      <c r="O4240" t="str">
        <f t="shared" si="133"/>
        <v>0.2–0.4 hours</v>
      </c>
      <c r="P4240" t="s">
        <v>52</v>
      </c>
    </row>
    <row r="4241" spans="1:16" x14ac:dyDescent="0.4">
      <c r="A4241" t="s">
        <v>4282</v>
      </c>
      <c r="B4241">
        <v>67</v>
      </c>
      <c r="C4241" t="s">
        <v>15</v>
      </c>
      <c r="D4241" t="s">
        <v>22</v>
      </c>
      <c r="E4241">
        <v>9.09</v>
      </c>
      <c r="F4241">
        <v>37</v>
      </c>
      <c r="G4241" t="s">
        <v>49</v>
      </c>
      <c r="H4241" t="s">
        <v>46</v>
      </c>
      <c r="I4241" s="2">
        <v>13.99</v>
      </c>
      <c r="J4241">
        <v>1</v>
      </c>
      <c r="K4241" s="2">
        <f t="shared" si="132"/>
        <v>13.99</v>
      </c>
      <c r="L4241" t="s">
        <v>29</v>
      </c>
      <c r="M4241">
        <v>4</v>
      </c>
      <c r="N4241">
        <v>0.24</v>
      </c>
      <c r="O4241" t="str">
        <f t="shared" si="133"/>
        <v>0.2–0.4 hours</v>
      </c>
      <c r="P4241" t="s">
        <v>34</v>
      </c>
    </row>
    <row r="4242" spans="1:16" x14ac:dyDescent="0.4">
      <c r="A4242" t="s">
        <v>4283</v>
      </c>
      <c r="B4242">
        <v>18</v>
      </c>
      <c r="C4242" t="s">
        <v>27</v>
      </c>
      <c r="D4242" t="s">
        <v>16</v>
      </c>
      <c r="E4242">
        <v>7.7</v>
      </c>
      <c r="F4242">
        <v>33</v>
      </c>
      <c r="G4242" t="s">
        <v>70</v>
      </c>
      <c r="H4242" t="s">
        <v>46</v>
      </c>
      <c r="I4242" s="2">
        <v>8.99</v>
      </c>
      <c r="J4242">
        <v>1</v>
      </c>
      <c r="K4242" s="2">
        <f t="shared" si="132"/>
        <v>8.99</v>
      </c>
      <c r="L4242" t="s">
        <v>29</v>
      </c>
      <c r="M4242">
        <v>2</v>
      </c>
      <c r="N4242">
        <v>0.23</v>
      </c>
      <c r="O4242" t="str">
        <f t="shared" si="133"/>
        <v>0.2–0.4 hours</v>
      </c>
      <c r="P4242" t="s">
        <v>20</v>
      </c>
    </row>
    <row r="4243" spans="1:16" x14ac:dyDescent="0.4">
      <c r="A4243" t="s">
        <v>4284</v>
      </c>
      <c r="B4243">
        <v>68</v>
      </c>
      <c r="C4243" t="s">
        <v>41</v>
      </c>
      <c r="D4243" t="s">
        <v>22</v>
      </c>
      <c r="E4243">
        <v>7.02</v>
      </c>
      <c r="F4243">
        <v>58</v>
      </c>
      <c r="G4243" t="s">
        <v>33</v>
      </c>
      <c r="H4243" t="s">
        <v>55</v>
      </c>
      <c r="I4243" s="2">
        <v>13.99</v>
      </c>
      <c r="J4243">
        <v>0</v>
      </c>
      <c r="K4243" s="2">
        <f t="shared" si="132"/>
        <v>0</v>
      </c>
      <c r="L4243" t="s">
        <v>37</v>
      </c>
      <c r="M4243">
        <v>4</v>
      </c>
      <c r="N4243">
        <v>0.12</v>
      </c>
      <c r="O4243" t="str">
        <f t="shared" si="133"/>
        <v>0–0.2 hours</v>
      </c>
      <c r="P4243" t="s">
        <v>39</v>
      </c>
    </row>
    <row r="4244" spans="1:16" x14ac:dyDescent="0.4">
      <c r="A4244" t="s">
        <v>4285</v>
      </c>
      <c r="B4244">
        <v>57</v>
      </c>
      <c r="C4244" t="s">
        <v>27</v>
      </c>
      <c r="D4244" t="s">
        <v>32</v>
      </c>
      <c r="E4244">
        <v>4.83</v>
      </c>
      <c r="F4244">
        <v>3</v>
      </c>
      <c r="G4244" t="s">
        <v>33</v>
      </c>
      <c r="H4244" t="s">
        <v>55</v>
      </c>
      <c r="I4244" s="2">
        <v>17.989999999999998</v>
      </c>
      <c r="J4244">
        <v>0</v>
      </c>
      <c r="K4244" s="2">
        <f t="shared" si="132"/>
        <v>0</v>
      </c>
      <c r="L4244" t="s">
        <v>61</v>
      </c>
      <c r="M4244">
        <v>4</v>
      </c>
      <c r="N4244">
        <v>1.21</v>
      </c>
      <c r="O4244" t="str">
        <f t="shared" si="133"/>
        <v>1+ hours</v>
      </c>
      <c r="P4244" t="s">
        <v>47</v>
      </c>
    </row>
    <row r="4245" spans="1:16" x14ac:dyDescent="0.4">
      <c r="A4245" t="s">
        <v>4286</v>
      </c>
      <c r="B4245">
        <v>23</v>
      </c>
      <c r="C4245" t="s">
        <v>27</v>
      </c>
      <c r="D4245" t="s">
        <v>16</v>
      </c>
      <c r="E4245">
        <v>17.3</v>
      </c>
      <c r="F4245">
        <v>22</v>
      </c>
      <c r="G4245" t="s">
        <v>17</v>
      </c>
      <c r="H4245" t="s">
        <v>57</v>
      </c>
      <c r="I4245" s="2">
        <v>8.99</v>
      </c>
      <c r="J4245">
        <v>0</v>
      </c>
      <c r="K4245" s="2">
        <f t="shared" si="132"/>
        <v>0</v>
      </c>
      <c r="L4245" t="s">
        <v>43</v>
      </c>
      <c r="M4245">
        <v>2</v>
      </c>
      <c r="N4245">
        <v>0.75</v>
      </c>
      <c r="O4245" t="str">
        <f t="shared" si="133"/>
        <v>0.6–0.8 hours</v>
      </c>
      <c r="P4245" t="s">
        <v>52</v>
      </c>
    </row>
    <row r="4246" spans="1:16" x14ac:dyDescent="0.4">
      <c r="A4246" t="s">
        <v>4287</v>
      </c>
      <c r="B4246">
        <v>29</v>
      </c>
      <c r="C4246" t="s">
        <v>41</v>
      </c>
      <c r="D4246" t="s">
        <v>32</v>
      </c>
      <c r="E4246">
        <v>6.93</v>
      </c>
      <c r="F4246">
        <v>13</v>
      </c>
      <c r="G4246" t="s">
        <v>17</v>
      </c>
      <c r="H4246" t="s">
        <v>46</v>
      </c>
      <c r="I4246" s="2">
        <v>17.989999999999998</v>
      </c>
      <c r="J4246">
        <v>0</v>
      </c>
      <c r="K4246" s="2">
        <f t="shared" si="132"/>
        <v>0</v>
      </c>
      <c r="L4246" t="s">
        <v>61</v>
      </c>
      <c r="M4246">
        <v>1</v>
      </c>
      <c r="N4246">
        <v>0.49</v>
      </c>
      <c r="O4246" t="str">
        <f t="shared" si="133"/>
        <v>0.4–0.6 hours</v>
      </c>
      <c r="P4246" t="s">
        <v>30</v>
      </c>
    </row>
    <row r="4247" spans="1:16" x14ac:dyDescent="0.4">
      <c r="A4247" t="s">
        <v>4288</v>
      </c>
      <c r="B4247">
        <v>41</v>
      </c>
      <c r="C4247" t="s">
        <v>27</v>
      </c>
      <c r="D4247" t="s">
        <v>22</v>
      </c>
      <c r="E4247">
        <v>3.35</v>
      </c>
      <c r="F4247">
        <v>57</v>
      </c>
      <c r="G4247" t="s">
        <v>33</v>
      </c>
      <c r="H4247" t="s">
        <v>57</v>
      </c>
      <c r="I4247" s="2">
        <v>13.99</v>
      </c>
      <c r="J4247">
        <v>1</v>
      </c>
      <c r="K4247" s="2">
        <f t="shared" si="132"/>
        <v>13.99</v>
      </c>
      <c r="L4247" t="s">
        <v>29</v>
      </c>
      <c r="M4247">
        <v>3</v>
      </c>
      <c r="N4247">
        <v>0.06</v>
      </c>
      <c r="O4247" t="str">
        <f t="shared" si="133"/>
        <v>0–0.2 hours</v>
      </c>
      <c r="P4247" t="s">
        <v>34</v>
      </c>
    </row>
    <row r="4248" spans="1:16" x14ac:dyDescent="0.4">
      <c r="A4248" t="s">
        <v>4289</v>
      </c>
      <c r="B4248">
        <v>37</v>
      </c>
      <c r="C4248" t="s">
        <v>27</v>
      </c>
      <c r="D4248" t="s">
        <v>22</v>
      </c>
      <c r="E4248">
        <v>3.94</v>
      </c>
      <c r="F4248">
        <v>2</v>
      </c>
      <c r="G4248" t="s">
        <v>33</v>
      </c>
      <c r="H4248" t="s">
        <v>24</v>
      </c>
      <c r="I4248" s="2">
        <v>13.99</v>
      </c>
      <c r="J4248">
        <v>0</v>
      </c>
      <c r="K4248" s="2">
        <f t="shared" si="132"/>
        <v>0</v>
      </c>
      <c r="L4248" t="s">
        <v>37</v>
      </c>
      <c r="M4248">
        <v>2</v>
      </c>
      <c r="N4248">
        <v>1.31</v>
      </c>
      <c r="O4248" t="str">
        <f t="shared" si="133"/>
        <v>1+ hours</v>
      </c>
      <c r="P4248" t="s">
        <v>47</v>
      </c>
    </row>
    <row r="4249" spans="1:16" x14ac:dyDescent="0.4">
      <c r="A4249" t="s">
        <v>4290</v>
      </c>
      <c r="B4249">
        <v>45</v>
      </c>
      <c r="C4249" t="s">
        <v>27</v>
      </c>
      <c r="D4249" t="s">
        <v>32</v>
      </c>
      <c r="E4249">
        <v>0.12</v>
      </c>
      <c r="F4249">
        <v>14</v>
      </c>
      <c r="G4249" t="s">
        <v>23</v>
      </c>
      <c r="H4249" t="s">
        <v>18</v>
      </c>
      <c r="I4249" s="2">
        <v>17.989999999999998</v>
      </c>
      <c r="J4249">
        <v>0</v>
      </c>
      <c r="K4249" s="2">
        <f t="shared" si="132"/>
        <v>0</v>
      </c>
      <c r="L4249" t="s">
        <v>37</v>
      </c>
      <c r="M4249">
        <v>5</v>
      </c>
      <c r="N4249">
        <v>0.01</v>
      </c>
      <c r="O4249" t="str">
        <f t="shared" si="133"/>
        <v>0–0.2 hours</v>
      </c>
      <c r="P4249" t="s">
        <v>52</v>
      </c>
    </row>
    <row r="4250" spans="1:16" x14ac:dyDescent="0.4">
      <c r="A4250" t="s">
        <v>4291</v>
      </c>
      <c r="B4250">
        <v>47</v>
      </c>
      <c r="C4250" t="s">
        <v>41</v>
      </c>
      <c r="D4250" t="s">
        <v>32</v>
      </c>
      <c r="E4250">
        <v>0.64</v>
      </c>
      <c r="F4250">
        <v>43</v>
      </c>
      <c r="G4250" t="s">
        <v>17</v>
      </c>
      <c r="H4250" t="s">
        <v>55</v>
      </c>
      <c r="I4250" s="2">
        <v>17.989999999999998</v>
      </c>
      <c r="J4250">
        <v>1</v>
      </c>
      <c r="K4250" s="2">
        <f t="shared" si="132"/>
        <v>17.989999999999998</v>
      </c>
      <c r="L4250" t="s">
        <v>29</v>
      </c>
      <c r="M4250">
        <v>2</v>
      </c>
      <c r="N4250">
        <v>0.01</v>
      </c>
      <c r="O4250" t="str">
        <f t="shared" si="133"/>
        <v>0–0.2 hours</v>
      </c>
      <c r="P4250" t="s">
        <v>39</v>
      </c>
    </row>
    <row r="4251" spans="1:16" x14ac:dyDescent="0.4">
      <c r="A4251" t="s">
        <v>4292</v>
      </c>
      <c r="B4251">
        <v>55</v>
      </c>
      <c r="C4251" t="s">
        <v>15</v>
      </c>
      <c r="D4251" t="s">
        <v>32</v>
      </c>
      <c r="E4251">
        <v>7.53</v>
      </c>
      <c r="F4251">
        <v>8</v>
      </c>
      <c r="G4251" t="s">
        <v>33</v>
      </c>
      <c r="H4251" t="s">
        <v>18</v>
      </c>
      <c r="I4251" s="2">
        <v>17.989999999999998</v>
      </c>
      <c r="J4251">
        <v>0</v>
      </c>
      <c r="K4251" s="2">
        <f t="shared" si="132"/>
        <v>0</v>
      </c>
      <c r="L4251" t="s">
        <v>29</v>
      </c>
      <c r="M4251">
        <v>2</v>
      </c>
      <c r="N4251">
        <v>0.84</v>
      </c>
      <c r="O4251" t="str">
        <f t="shared" si="133"/>
        <v>0.8–1 hour</v>
      </c>
      <c r="P4251" t="s">
        <v>34</v>
      </c>
    </row>
    <row r="4252" spans="1:16" x14ac:dyDescent="0.4">
      <c r="A4252" t="s">
        <v>4293</v>
      </c>
      <c r="B4252">
        <v>70</v>
      </c>
      <c r="C4252" t="s">
        <v>15</v>
      </c>
      <c r="D4252" t="s">
        <v>16</v>
      </c>
      <c r="E4252">
        <v>11.44</v>
      </c>
      <c r="F4252">
        <v>3</v>
      </c>
      <c r="G4252" t="s">
        <v>28</v>
      </c>
      <c r="H4252" t="s">
        <v>18</v>
      </c>
      <c r="I4252" s="2">
        <v>8.99</v>
      </c>
      <c r="J4252">
        <v>0</v>
      </c>
      <c r="K4252" s="2">
        <f t="shared" si="132"/>
        <v>0</v>
      </c>
      <c r="L4252" t="s">
        <v>43</v>
      </c>
      <c r="M4252">
        <v>4</v>
      </c>
      <c r="N4252">
        <v>2.86</v>
      </c>
      <c r="O4252" t="str">
        <f t="shared" si="133"/>
        <v>1+ hours</v>
      </c>
      <c r="P4252" t="s">
        <v>39</v>
      </c>
    </row>
    <row r="4253" spans="1:16" x14ac:dyDescent="0.4">
      <c r="A4253" t="s">
        <v>4294</v>
      </c>
      <c r="B4253">
        <v>42</v>
      </c>
      <c r="C4253" t="s">
        <v>15</v>
      </c>
      <c r="D4253" t="s">
        <v>16</v>
      </c>
      <c r="E4253">
        <v>3.47</v>
      </c>
      <c r="F4253">
        <v>36</v>
      </c>
      <c r="G4253" t="s">
        <v>49</v>
      </c>
      <c r="H4253" t="s">
        <v>57</v>
      </c>
      <c r="I4253" s="2">
        <v>8.99</v>
      </c>
      <c r="J4253">
        <v>1</v>
      </c>
      <c r="K4253" s="2">
        <f t="shared" si="132"/>
        <v>8.99</v>
      </c>
      <c r="L4253" t="s">
        <v>61</v>
      </c>
      <c r="M4253">
        <v>5</v>
      </c>
      <c r="N4253">
        <v>0.09</v>
      </c>
      <c r="O4253" t="str">
        <f t="shared" si="133"/>
        <v>0–0.2 hours</v>
      </c>
      <c r="P4253" t="s">
        <v>52</v>
      </c>
    </row>
    <row r="4254" spans="1:16" x14ac:dyDescent="0.4">
      <c r="A4254" t="s">
        <v>4295</v>
      </c>
      <c r="B4254">
        <v>33</v>
      </c>
      <c r="C4254" t="s">
        <v>41</v>
      </c>
      <c r="D4254" t="s">
        <v>22</v>
      </c>
      <c r="E4254">
        <v>17.89</v>
      </c>
      <c r="F4254">
        <v>32</v>
      </c>
      <c r="G4254" t="s">
        <v>28</v>
      </c>
      <c r="H4254" t="s">
        <v>24</v>
      </c>
      <c r="I4254" s="2">
        <v>13.99</v>
      </c>
      <c r="J4254">
        <v>0</v>
      </c>
      <c r="K4254" s="2">
        <f t="shared" si="132"/>
        <v>0</v>
      </c>
      <c r="L4254" t="s">
        <v>19</v>
      </c>
      <c r="M4254">
        <v>4</v>
      </c>
      <c r="N4254">
        <v>0.54</v>
      </c>
      <c r="O4254" t="str">
        <f t="shared" si="133"/>
        <v>0.4–0.6 hours</v>
      </c>
      <c r="P4254" t="s">
        <v>25</v>
      </c>
    </row>
    <row r="4255" spans="1:16" x14ac:dyDescent="0.4">
      <c r="A4255" t="s">
        <v>4296</v>
      </c>
      <c r="B4255">
        <v>57</v>
      </c>
      <c r="C4255" t="s">
        <v>41</v>
      </c>
      <c r="D4255" t="s">
        <v>16</v>
      </c>
      <c r="E4255">
        <v>28.44</v>
      </c>
      <c r="F4255">
        <v>41</v>
      </c>
      <c r="G4255" t="s">
        <v>70</v>
      </c>
      <c r="H4255" t="s">
        <v>24</v>
      </c>
      <c r="I4255" s="2">
        <v>8.99</v>
      </c>
      <c r="J4255">
        <v>0</v>
      </c>
      <c r="K4255" s="2">
        <f t="shared" si="132"/>
        <v>0</v>
      </c>
      <c r="L4255" t="s">
        <v>61</v>
      </c>
      <c r="M4255">
        <v>1</v>
      </c>
      <c r="N4255">
        <v>0.68</v>
      </c>
      <c r="O4255" t="str">
        <f t="shared" si="133"/>
        <v>0.6–0.8 hours</v>
      </c>
      <c r="P4255" t="s">
        <v>47</v>
      </c>
    </row>
    <row r="4256" spans="1:16" x14ac:dyDescent="0.4">
      <c r="A4256" t="s">
        <v>4297</v>
      </c>
      <c r="B4256">
        <v>64</v>
      </c>
      <c r="C4256" t="s">
        <v>27</v>
      </c>
      <c r="D4256" t="s">
        <v>22</v>
      </c>
      <c r="E4256">
        <v>12.66</v>
      </c>
      <c r="F4256">
        <v>36</v>
      </c>
      <c r="G4256" t="s">
        <v>70</v>
      </c>
      <c r="H4256" t="s">
        <v>24</v>
      </c>
      <c r="I4256" s="2">
        <v>13.99</v>
      </c>
      <c r="J4256">
        <v>1</v>
      </c>
      <c r="K4256" s="2">
        <f t="shared" si="132"/>
        <v>13.99</v>
      </c>
      <c r="L4256" t="s">
        <v>29</v>
      </c>
      <c r="M4256">
        <v>2</v>
      </c>
      <c r="N4256">
        <v>0.34</v>
      </c>
      <c r="O4256" t="str">
        <f t="shared" si="133"/>
        <v>0.2–0.4 hours</v>
      </c>
      <c r="P4256" t="s">
        <v>34</v>
      </c>
    </row>
    <row r="4257" spans="1:16" x14ac:dyDescent="0.4">
      <c r="A4257" t="s">
        <v>4298</v>
      </c>
      <c r="B4257">
        <v>69</v>
      </c>
      <c r="C4257" t="s">
        <v>15</v>
      </c>
      <c r="D4257" t="s">
        <v>32</v>
      </c>
      <c r="E4257">
        <v>3.05</v>
      </c>
      <c r="F4257">
        <v>57</v>
      </c>
      <c r="G4257" t="s">
        <v>23</v>
      </c>
      <c r="H4257" t="s">
        <v>18</v>
      </c>
      <c r="I4257" s="2">
        <v>17.989999999999998</v>
      </c>
      <c r="J4257">
        <v>1</v>
      </c>
      <c r="K4257" s="2">
        <f t="shared" si="132"/>
        <v>17.989999999999998</v>
      </c>
      <c r="L4257" t="s">
        <v>43</v>
      </c>
      <c r="M4257">
        <v>4</v>
      </c>
      <c r="N4257">
        <v>0.05</v>
      </c>
      <c r="O4257" t="str">
        <f t="shared" si="133"/>
        <v>0–0.2 hours</v>
      </c>
      <c r="P4257" t="s">
        <v>47</v>
      </c>
    </row>
    <row r="4258" spans="1:16" x14ac:dyDescent="0.4">
      <c r="A4258" t="s">
        <v>4299</v>
      </c>
      <c r="B4258">
        <v>27</v>
      </c>
      <c r="C4258" t="s">
        <v>27</v>
      </c>
      <c r="D4258" t="s">
        <v>16</v>
      </c>
      <c r="E4258">
        <v>0.03</v>
      </c>
      <c r="F4258">
        <v>2</v>
      </c>
      <c r="G4258" t="s">
        <v>17</v>
      </c>
      <c r="H4258" t="s">
        <v>24</v>
      </c>
      <c r="I4258" s="2">
        <v>8.99</v>
      </c>
      <c r="J4258">
        <v>1</v>
      </c>
      <c r="K4258" s="2">
        <f t="shared" si="132"/>
        <v>8.99</v>
      </c>
      <c r="L4258" t="s">
        <v>37</v>
      </c>
      <c r="M4258">
        <v>3</v>
      </c>
      <c r="N4258">
        <v>0.01</v>
      </c>
      <c r="O4258" t="str">
        <f t="shared" si="133"/>
        <v>0–0.2 hours</v>
      </c>
      <c r="P4258" t="s">
        <v>30</v>
      </c>
    </row>
    <row r="4259" spans="1:16" x14ac:dyDescent="0.4">
      <c r="A4259" t="s">
        <v>4300</v>
      </c>
      <c r="B4259">
        <v>39</v>
      </c>
      <c r="C4259" t="s">
        <v>41</v>
      </c>
      <c r="D4259" t="s">
        <v>32</v>
      </c>
      <c r="E4259">
        <v>7.64</v>
      </c>
      <c r="F4259">
        <v>40</v>
      </c>
      <c r="G4259" t="s">
        <v>33</v>
      </c>
      <c r="H4259" t="s">
        <v>55</v>
      </c>
      <c r="I4259" s="2">
        <v>17.989999999999998</v>
      </c>
      <c r="J4259">
        <v>1</v>
      </c>
      <c r="K4259" s="2">
        <f t="shared" si="132"/>
        <v>17.989999999999998</v>
      </c>
      <c r="L4259" t="s">
        <v>43</v>
      </c>
      <c r="M4259">
        <v>1</v>
      </c>
      <c r="N4259">
        <v>0.19</v>
      </c>
      <c r="O4259" t="str">
        <f t="shared" si="133"/>
        <v>0–0.2 hours</v>
      </c>
      <c r="P4259" t="s">
        <v>20</v>
      </c>
    </row>
    <row r="4260" spans="1:16" x14ac:dyDescent="0.4">
      <c r="A4260" t="s">
        <v>4301</v>
      </c>
      <c r="B4260">
        <v>65</v>
      </c>
      <c r="C4260" t="s">
        <v>41</v>
      </c>
      <c r="D4260" t="s">
        <v>32</v>
      </c>
      <c r="E4260">
        <v>5.0199999999999996</v>
      </c>
      <c r="F4260">
        <v>51</v>
      </c>
      <c r="G4260" t="s">
        <v>17</v>
      </c>
      <c r="H4260" t="s">
        <v>46</v>
      </c>
      <c r="I4260" s="2">
        <v>17.989999999999998</v>
      </c>
      <c r="J4260">
        <v>1</v>
      </c>
      <c r="K4260" s="2">
        <f t="shared" si="132"/>
        <v>17.989999999999998</v>
      </c>
      <c r="L4260" t="s">
        <v>29</v>
      </c>
      <c r="M4260">
        <v>3</v>
      </c>
      <c r="N4260">
        <v>0.1</v>
      </c>
      <c r="O4260" t="str">
        <f t="shared" si="133"/>
        <v>0–0.2 hours</v>
      </c>
      <c r="P4260" t="s">
        <v>47</v>
      </c>
    </row>
    <row r="4261" spans="1:16" x14ac:dyDescent="0.4">
      <c r="A4261" t="s">
        <v>4302</v>
      </c>
      <c r="B4261">
        <v>39</v>
      </c>
      <c r="C4261" t="s">
        <v>15</v>
      </c>
      <c r="D4261" t="s">
        <v>16</v>
      </c>
      <c r="E4261">
        <v>12.17</v>
      </c>
      <c r="F4261">
        <v>18</v>
      </c>
      <c r="G4261" t="s">
        <v>49</v>
      </c>
      <c r="H4261" t="s">
        <v>18</v>
      </c>
      <c r="I4261" s="2">
        <v>8.99</v>
      </c>
      <c r="J4261">
        <v>0</v>
      </c>
      <c r="K4261" s="2">
        <f t="shared" si="132"/>
        <v>0</v>
      </c>
      <c r="L4261" t="s">
        <v>61</v>
      </c>
      <c r="M4261">
        <v>5</v>
      </c>
      <c r="N4261">
        <v>0.64</v>
      </c>
      <c r="O4261" t="str">
        <f t="shared" si="133"/>
        <v>0.6–0.8 hours</v>
      </c>
      <c r="P4261" t="s">
        <v>25</v>
      </c>
    </row>
    <row r="4262" spans="1:16" x14ac:dyDescent="0.4">
      <c r="A4262" t="s">
        <v>4303</v>
      </c>
      <c r="B4262">
        <v>52</v>
      </c>
      <c r="C4262" t="s">
        <v>27</v>
      </c>
      <c r="D4262" t="s">
        <v>22</v>
      </c>
      <c r="E4262">
        <v>8.93</v>
      </c>
      <c r="F4262">
        <v>38</v>
      </c>
      <c r="G4262" t="s">
        <v>17</v>
      </c>
      <c r="H4262" t="s">
        <v>55</v>
      </c>
      <c r="I4262" s="2">
        <v>13.99</v>
      </c>
      <c r="J4262">
        <v>1</v>
      </c>
      <c r="K4262" s="2">
        <f t="shared" si="132"/>
        <v>13.99</v>
      </c>
      <c r="L4262" t="s">
        <v>29</v>
      </c>
      <c r="M4262">
        <v>1</v>
      </c>
      <c r="N4262">
        <v>0.23</v>
      </c>
      <c r="O4262" t="str">
        <f t="shared" si="133"/>
        <v>0.2–0.4 hours</v>
      </c>
      <c r="P4262" t="s">
        <v>34</v>
      </c>
    </row>
    <row r="4263" spans="1:16" x14ac:dyDescent="0.4">
      <c r="A4263" t="s">
        <v>4304</v>
      </c>
      <c r="B4263">
        <v>62</v>
      </c>
      <c r="C4263" t="s">
        <v>15</v>
      </c>
      <c r="D4263" t="s">
        <v>16</v>
      </c>
      <c r="E4263">
        <v>30.35</v>
      </c>
      <c r="F4263">
        <v>29</v>
      </c>
      <c r="G4263" t="s">
        <v>33</v>
      </c>
      <c r="H4263" t="s">
        <v>57</v>
      </c>
      <c r="I4263" s="2">
        <v>8.99</v>
      </c>
      <c r="J4263">
        <v>0</v>
      </c>
      <c r="K4263" s="2">
        <f t="shared" si="132"/>
        <v>0</v>
      </c>
      <c r="L4263" t="s">
        <v>37</v>
      </c>
      <c r="M4263">
        <v>2</v>
      </c>
      <c r="N4263">
        <v>1.01</v>
      </c>
      <c r="O4263" t="str">
        <f t="shared" si="133"/>
        <v>1+ hours</v>
      </c>
      <c r="P4263" t="s">
        <v>30</v>
      </c>
    </row>
    <row r="4264" spans="1:16" x14ac:dyDescent="0.4">
      <c r="A4264" t="s">
        <v>4305</v>
      </c>
      <c r="B4264">
        <v>52</v>
      </c>
      <c r="C4264" t="s">
        <v>15</v>
      </c>
      <c r="D4264" t="s">
        <v>16</v>
      </c>
      <c r="E4264">
        <v>0.4</v>
      </c>
      <c r="F4264">
        <v>54</v>
      </c>
      <c r="G4264" t="s">
        <v>23</v>
      </c>
      <c r="H4264" t="s">
        <v>55</v>
      </c>
      <c r="I4264" s="2">
        <v>8.99</v>
      </c>
      <c r="J4264">
        <v>1</v>
      </c>
      <c r="K4264" s="2">
        <f t="shared" si="132"/>
        <v>8.99</v>
      </c>
      <c r="L4264" t="s">
        <v>37</v>
      </c>
      <c r="M4264">
        <v>1</v>
      </c>
      <c r="N4264">
        <v>0.01</v>
      </c>
      <c r="O4264" t="str">
        <f t="shared" si="133"/>
        <v>0–0.2 hours</v>
      </c>
      <c r="P4264" t="s">
        <v>39</v>
      </c>
    </row>
    <row r="4265" spans="1:16" x14ac:dyDescent="0.4">
      <c r="A4265" t="s">
        <v>4306</v>
      </c>
      <c r="B4265">
        <v>43</v>
      </c>
      <c r="C4265" t="s">
        <v>41</v>
      </c>
      <c r="D4265" t="s">
        <v>22</v>
      </c>
      <c r="E4265">
        <v>0.24</v>
      </c>
      <c r="F4265">
        <v>3</v>
      </c>
      <c r="G4265" t="s">
        <v>23</v>
      </c>
      <c r="H4265" t="s">
        <v>24</v>
      </c>
      <c r="I4265" s="2">
        <v>13.99</v>
      </c>
      <c r="J4265">
        <v>1</v>
      </c>
      <c r="K4265" s="2">
        <f t="shared" si="132"/>
        <v>13.99</v>
      </c>
      <c r="L4265" t="s">
        <v>19</v>
      </c>
      <c r="M4265">
        <v>3</v>
      </c>
      <c r="N4265">
        <v>0.06</v>
      </c>
      <c r="O4265" t="str">
        <f t="shared" si="133"/>
        <v>0–0.2 hours</v>
      </c>
      <c r="P4265" t="s">
        <v>39</v>
      </c>
    </row>
    <row r="4266" spans="1:16" x14ac:dyDescent="0.4">
      <c r="A4266" t="s">
        <v>4307</v>
      </c>
      <c r="B4266">
        <v>32</v>
      </c>
      <c r="C4266" t="s">
        <v>15</v>
      </c>
      <c r="D4266" t="s">
        <v>22</v>
      </c>
      <c r="E4266">
        <v>0.38</v>
      </c>
      <c r="F4266">
        <v>10</v>
      </c>
      <c r="G4266" t="s">
        <v>28</v>
      </c>
      <c r="H4266" t="s">
        <v>55</v>
      </c>
      <c r="I4266" s="2">
        <v>13.99</v>
      </c>
      <c r="J4266">
        <v>0</v>
      </c>
      <c r="K4266" s="2">
        <f t="shared" si="132"/>
        <v>0</v>
      </c>
      <c r="L4266" t="s">
        <v>61</v>
      </c>
      <c r="M4266">
        <v>5</v>
      </c>
      <c r="N4266">
        <v>0.03</v>
      </c>
      <c r="O4266" t="str">
        <f t="shared" si="133"/>
        <v>0–0.2 hours</v>
      </c>
      <c r="P4266" t="s">
        <v>47</v>
      </c>
    </row>
    <row r="4267" spans="1:16" x14ac:dyDescent="0.4">
      <c r="A4267" t="s">
        <v>4308</v>
      </c>
      <c r="B4267">
        <v>18</v>
      </c>
      <c r="C4267" t="s">
        <v>27</v>
      </c>
      <c r="D4267" t="s">
        <v>32</v>
      </c>
      <c r="E4267">
        <v>9.8800000000000008</v>
      </c>
      <c r="F4267">
        <v>11</v>
      </c>
      <c r="G4267" t="s">
        <v>49</v>
      </c>
      <c r="H4267" t="s">
        <v>46</v>
      </c>
      <c r="I4267" s="2">
        <v>17.989999999999998</v>
      </c>
      <c r="J4267">
        <v>0</v>
      </c>
      <c r="K4267" s="2">
        <f t="shared" si="132"/>
        <v>0</v>
      </c>
      <c r="L4267" t="s">
        <v>37</v>
      </c>
      <c r="M4267">
        <v>4</v>
      </c>
      <c r="N4267">
        <v>0.82</v>
      </c>
      <c r="O4267" t="str">
        <f t="shared" si="133"/>
        <v>0.8–1 hour</v>
      </c>
      <c r="P4267" t="s">
        <v>25</v>
      </c>
    </row>
    <row r="4268" spans="1:16" x14ac:dyDescent="0.4">
      <c r="A4268" t="s">
        <v>4309</v>
      </c>
      <c r="B4268">
        <v>45</v>
      </c>
      <c r="C4268" t="s">
        <v>27</v>
      </c>
      <c r="D4268" t="s">
        <v>16</v>
      </c>
      <c r="E4268">
        <v>25.86</v>
      </c>
      <c r="F4268">
        <v>36</v>
      </c>
      <c r="G4268" t="s">
        <v>70</v>
      </c>
      <c r="H4268" t="s">
        <v>57</v>
      </c>
      <c r="I4268" s="2">
        <v>8.99</v>
      </c>
      <c r="J4268">
        <v>0</v>
      </c>
      <c r="K4268" s="2">
        <f t="shared" si="132"/>
        <v>0</v>
      </c>
      <c r="L4268" t="s">
        <v>43</v>
      </c>
      <c r="M4268">
        <v>3</v>
      </c>
      <c r="N4268">
        <v>0.7</v>
      </c>
      <c r="O4268" t="str">
        <f t="shared" si="133"/>
        <v>0.6–0.8 hours</v>
      </c>
      <c r="P4268" t="s">
        <v>47</v>
      </c>
    </row>
    <row r="4269" spans="1:16" x14ac:dyDescent="0.4">
      <c r="A4269" t="s">
        <v>4310</v>
      </c>
      <c r="B4269">
        <v>21</v>
      </c>
      <c r="C4269" t="s">
        <v>41</v>
      </c>
      <c r="D4269" t="s">
        <v>16</v>
      </c>
      <c r="E4269">
        <v>28.27</v>
      </c>
      <c r="F4269">
        <v>26</v>
      </c>
      <c r="G4269" t="s">
        <v>28</v>
      </c>
      <c r="H4269" t="s">
        <v>46</v>
      </c>
      <c r="I4269" s="2">
        <v>8.99</v>
      </c>
      <c r="J4269">
        <v>0</v>
      </c>
      <c r="K4269" s="2">
        <f t="shared" si="132"/>
        <v>0</v>
      </c>
      <c r="L4269" t="s">
        <v>19</v>
      </c>
      <c r="M4269">
        <v>5</v>
      </c>
      <c r="N4269">
        <v>1.05</v>
      </c>
      <c r="O4269" t="str">
        <f t="shared" si="133"/>
        <v>1+ hours</v>
      </c>
      <c r="P4269" t="s">
        <v>52</v>
      </c>
    </row>
    <row r="4270" spans="1:16" x14ac:dyDescent="0.4">
      <c r="A4270" t="s">
        <v>4311</v>
      </c>
      <c r="B4270">
        <v>63</v>
      </c>
      <c r="C4270" t="s">
        <v>41</v>
      </c>
      <c r="D4270" t="s">
        <v>16</v>
      </c>
      <c r="E4270">
        <v>6.79</v>
      </c>
      <c r="F4270">
        <v>46</v>
      </c>
      <c r="G4270" t="s">
        <v>28</v>
      </c>
      <c r="H4270" t="s">
        <v>57</v>
      </c>
      <c r="I4270" s="2">
        <v>8.99</v>
      </c>
      <c r="J4270">
        <v>1</v>
      </c>
      <c r="K4270" s="2">
        <f t="shared" si="132"/>
        <v>8.99</v>
      </c>
      <c r="L4270" t="s">
        <v>61</v>
      </c>
      <c r="M4270">
        <v>1</v>
      </c>
      <c r="N4270">
        <v>0.14000000000000001</v>
      </c>
      <c r="O4270" t="str">
        <f t="shared" si="133"/>
        <v>0–0.2 hours</v>
      </c>
      <c r="P4270" t="s">
        <v>47</v>
      </c>
    </row>
    <row r="4271" spans="1:16" x14ac:dyDescent="0.4">
      <c r="A4271" t="s">
        <v>4312</v>
      </c>
      <c r="B4271">
        <v>57</v>
      </c>
      <c r="C4271" t="s">
        <v>41</v>
      </c>
      <c r="D4271" t="s">
        <v>32</v>
      </c>
      <c r="E4271">
        <v>14.69</v>
      </c>
      <c r="F4271">
        <v>12</v>
      </c>
      <c r="G4271" t="s">
        <v>17</v>
      </c>
      <c r="H4271" t="s">
        <v>55</v>
      </c>
      <c r="I4271" s="2">
        <v>17.989999999999998</v>
      </c>
      <c r="J4271">
        <v>0</v>
      </c>
      <c r="K4271" s="2">
        <f t="shared" si="132"/>
        <v>0</v>
      </c>
      <c r="L4271" t="s">
        <v>29</v>
      </c>
      <c r="M4271">
        <v>5</v>
      </c>
      <c r="N4271">
        <v>1.1299999999999999</v>
      </c>
      <c r="O4271" t="str">
        <f t="shared" si="133"/>
        <v>1+ hours</v>
      </c>
      <c r="P4271" t="s">
        <v>25</v>
      </c>
    </row>
    <row r="4272" spans="1:16" x14ac:dyDescent="0.4">
      <c r="A4272" t="s">
        <v>4313</v>
      </c>
      <c r="B4272">
        <v>24</v>
      </c>
      <c r="C4272" t="s">
        <v>41</v>
      </c>
      <c r="D4272" t="s">
        <v>22</v>
      </c>
      <c r="E4272">
        <v>7.75</v>
      </c>
      <c r="F4272">
        <v>25</v>
      </c>
      <c r="G4272" t="s">
        <v>23</v>
      </c>
      <c r="H4272" t="s">
        <v>46</v>
      </c>
      <c r="I4272" s="2">
        <v>13.99</v>
      </c>
      <c r="J4272">
        <v>0</v>
      </c>
      <c r="K4272" s="2">
        <f t="shared" si="132"/>
        <v>0</v>
      </c>
      <c r="L4272" t="s">
        <v>29</v>
      </c>
      <c r="M4272">
        <v>5</v>
      </c>
      <c r="N4272">
        <v>0.3</v>
      </c>
      <c r="O4272" t="str">
        <f t="shared" si="133"/>
        <v>0.2–0.4 hours</v>
      </c>
      <c r="P4272" t="s">
        <v>20</v>
      </c>
    </row>
    <row r="4273" spans="1:16" x14ac:dyDescent="0.4">
      <c r="A4273" t="s">
        <v>4314</v>
      </c>
      <c r="B4273">
        <v>56</v>
      </c>
      <c r="C4273" t="s">
        <v>27</v>
      </c>
      <c r="D4273" t="s">
        <v>32</v>
      </c>
      <c r="E4273">
        <v>8.83</v>
      </c>
      <c r="F4273">
        <v>10</v>
      </c>
      <c r="G4273" t="s">
        <v>23</v>
      </c>
      <c r="H4273" t="s">
        <v>57</v>
      </c>
      <c r="I4273" s="2">
        <v>17.989999999999998</v>
      </c>
      <c r="J4273">
        <v>0</v>
      </c>
      <c r="K4273" s="2">
        <f t="shared" si="132"/>
        <v>0</v>
      </c>
      <c r="L4273" t="s">
        <v>37</v>
      </c>
      <c r="M4273">
        <v>1</v>
      </c>
      <c r="N4273">
        <v>0.8</v>
      </c>
      <c r="O4273" t="str">
        <f t="shared" si="133"/>
        <v>0.6–0.8 hours</v>
      </c>
      <c r="P4273" t="s">
        <v>52</v>
      </c>
    </row>
    <row r="4274" spans="1:16" x14ac:dyDescent="0.4">
      <c r="A4274" t="s">
        <v>4315</v>
      </c>
      <c r="B4274">
        <v>39</v>
      </c>
      <c r="C4274" t="s">
        <v>15</v>
      </c>
      <c r="D4274" t="s">
        <v>32</v>
      </c>
      <c r="E4274">
        <v>18.98</v>
      </c>
      <c r="F4274">
        <v>37</v>
      </c>
      <c r="G4274" t="s">
        <v>28</v>
      </c>
      <c r="H4274" t="s">
        <v>46</v>
      </c>
      <c r="I4274" s="2">
        <v>17.989999999999998</v>
      </c>
      <c r="J4274">
        <v>0</v>
      </c>
      <c r="K4274" s="2">
        <f t="shared" si="132"/>
        <v>0</v>
      </c>
      <c r="L4274" t="s">
        <v>19</v>
      </c>
      <c r="M4274">
        <v>3</v>
      </c>
      <c r="N4274">
        <v>0.5</v>
      </c>
      <c r="O4274" t="str">
        <f t="shared" si="133"/>
        <v>0.4–0.6 hours</v>
      </c>
      <c r="P4274" t="s">
        <v>47</v>
      </c>
    </row>
    <row r="4275" spans="1:16" x14ac:dyDescent="0.4">
      <c r="A4275" t="s">
        <v>4316</v>
      </c>
      <c r="B4275">
        <v>66</v>
      </c>
      <c r="C4275" t="s">
        <v>15</v>
      </c>
      <c r="D4275" t="s">
        <v>16</v>
      </c>
      <c r="E4275">
        <v>31.95</v>
      </c>
      <c r="F4275">
        <v>12</v>
      </c>
      <c r="G4275" t="s">
        <v>17</v>
      </c>
      <c r="H4275" t="s">
        <v>24</v>
      </c>
      <c r="I4275" s="2">
        <v>8.99</v>
      </c>
      <c r="J4275">
        <v>0</v>
      </c>
      <c r="K4275" s="2">
        <f t="shared" si="132"/>
        <v>0</v>
      </c>
      <c r="L4275" t="s">
        <v>37</v>
      </c>
      <c r="M4275">
        <v>4</v>
      </c>
      <c r="N4275">
        <v>2.46</v>
      </c>
      <c r="O4275" t="str">
        <f t="shared" si="133"/>
        <v>1+ hours</v>
      </c>
      <c r="P4275" t="s">
        <v>34</v>
      </c>
    </row>
    <row r="4276" spans="1:16" x14ac:dyDescent="0.4">
      <c r="A4276" t="s">
        <v>4317</v>
      </c>
      <c r="B4276">
        <v>38</v>
      </c>
      <c r="C4276" t="s">
        <v>27</v>
      </c>
      <c r="D4276" t="s">
        <v>32</v>
      </c>
      <c r="E4276">
        <v>15.01</v>
      </c>
      <c r="F4276">
        <v>31</v>
      </c>
      <c r="G4276" t="s">
        <v>17</v>
      </c>
      <c r="H4276" t="s">
        <v>55</v>
      </c>
      <c r="I4276" s="2">
        <v>17.989999999999998</v>
      </c>
      <c r="J4276">
        <v>0</v>
      </c>
      <c r="K4276" s="2">
        <f t="shared" si="132"/>
        <v>0</v>
      </c>
      <c r="L4276" t="s">
        <v>37</v>
      </c>
      <c r="M4276">
        <v>5</v>
      </c>
      <c r="N4276">
        <v>0.47</v>
      </c>
      <c r="O4276" t="str">
        <f t="shared" si="133"/>
        <v>0.4–0.6 hours</v>
      </c>
      <c r="P4276" t="s">
        <v>25</v>
      </c>
    </row>
    <row r="4277" spans="1:16" x14ac:dyDescent="0.4">
      <c r="A4277" t="s">
        <v>4318</v>
      </c>
      <c r="B4277">
        <v>49</v>
      </c>
      <c r="C4277" t="s">
        <v>15</v>
      </c>
      <c r="D4277" t="s">
        <v>16</v>
      </c>
      <c r="E4277">
        <v>15.49</v>
      </c>
      <c r="F4277">
        <v>18</v>
      </c>
      <c r="G4277" t="s">
        <v>70</v>
      </c>
      <c r="H4277" t="s">
        <v>57</v>
      </c>
      <c r="I4277" s="2">
        <v>8.99</v>
      </c>
      <c r="J4277">
        <v>0</v>
      </c>
      <c r="K4277" s="2">
        <f t="shared" si="132"/>
        <v>0</v>
      </c>
      <c r="L4277" t="s">
        <v>61</v>
      </c>
      <c r="M4277">
        <v>3</v>
      </c>
      <c r="N4277">
        <v>0.82</v>
      </c>
      <c r="O4277" t="str">
        <f t="shared" si="133"/>
        <v>0.8–1 hour</v>
      </c>
      <c r="P4277" t="s">
        <v>52</v>
      </c>
    </row>
    <row r="4278" spans="1:16" x14ac:dyDescent="0.4">
      <c r="A4278" t="s">
        <v>4319</v>
      </c>
      <c r="B4278">
        <v>25</v>
      </c>
      <c r="C4278" t="s">
        <v>27</v>
      </c>
      <c r="D4278" t="s">
        <v>16</v>
      </c>
      <c r="E4278">
        <v>2.78</v>
      </c>
      <c r="F4278">
        <v>0</v>
      </c>
      <c r="G4278" t="s">
        <v>33</v>
      </c>
      <c r="H4278" t="s">
        <v>18</v>
      </c>
      <c r="I4278" s="2">
        <v>8.99</v>
      </c>
      <c r="J4278">
        <v>1</v>
      </c>
      <c r="K4278" s="2">
        <f t="shared" si="132"/>
        <v>8.99</v>
      </c>
      <c r="L4278" t="s">
        <v>37</v>
      </c>
      <c r="M4278">
        <v>1</v>
      </c>
      <c r="N4278">
        <v>2.78</v>
      </c>
      <c r="O4278" t="str">
        <f t="shared" si="133"/>
        <v>1+ hours</v>
      </c>
      <c r="P4278" t="s">
        <v>30</v>
      </c>
    </row>
    <row r="4279" spans="1:16" x14ac:dyDescent="0.4">
      <c r="A4279" t="s">
        <v>4320</v>
      </c>
      <c r="B4279">
        <v>64</v>
      </c>
      <c r="C4279" t="s">
        <v>41</v>
      </c>
      <c r="D4279" t="s">
        <v>22</v>
      </c>
      <c r="E4279">
        <v>28.71</v>
      </c>
      <c r="F4279">
        <v>15</v>
      </c>
      <c r="G4279" t="s">
        <v>49</v>
      </c>
      <c r="H4279" t="s">
        <v>24</v>
      </c>
      <c r="I4279" s="2">
        <v>13.99</v>
      </c>
      <c r="J4279">
        <v>0</v>
      </c>
      <c r="K4279" s="2">
        <f t="shared" si="132"/>
        <v>0</v>
      </c>
      <c r="L4279" t="s">
        <v>43</v>
      </c>
      <c r="M4279">
        <v>4</v>
      </c>
      <c r="N4279">
        <v>1.79</v>
      </c>
      <c r="O4279" t="str">
        <f t="shared" si="133"/>
        <v>1+ hours</v>
      </c>
      <c r="P4279" t="s">
        <v>52</v>
      </c>
    </row>
    <row r="4280" spans="1:16" x14ac:dyDescent="0.4">
      <c r="A4280" t="s">
        <v>4321</v>
      </c>
      <c r="B4280">
        <v>70</v>
      </c>
      <c r="C4280" t="s">
        <v>15</v>
      </c>
      <c r="D4280" t="s">
        <v>32</v>
      </c>
      <c r="E4280">
        <v>12.08</v>
      </c>
      <c r="F4280">
        <v>16</v>
      </c>
      <c r="G4280" t="s">
        <v>33</v>
      </c>
      <c r="H4280" t="s">
        <v>46</v>
      </c>
      <c r="I4280" s="2">
        <v>17.989999999999998</v>
      </c>
      <c r="J4280">
        <v>0</v>
      </c>
      <c r="K4280" s="2">
        <f t="shared" si="132"/>
        <v>0</v>
      </c>
      <c r="L4280" t="s">
        <v>19</v>
      </c>
      <c r="M4280">
        <v>5</v>
      </c>
      <c r="N4280">
        <v>0.71</v>
      </c>
      <c r="O4280" t="str">
        <f t="shared" si="133"/>
        <v>0.6–0.8 hours</v>
      </c>
      <c r="P4280" t="s">
        <v>47</v>
      </c>
    </row>
    <row r="4281" spans="1:16" x14ac:dyDescent="0.4">
      <c r="A4281" t="s">
        <v>4322</v>
      </c>
      <c r="B4281">
        <v>46</v>
      </c>
      <c r="C4281" t="s">
        <v>41</v>
      </c>
      <c r="D4281" t="s">
        <v>22</v>
      </c>
      <c r="E4281">
        <v>12.26</v>
      </c>
      <c r="F4281">
        <v>45</v>
      </c>
      <c r="G4281" t="s">
        <v>17</v>
      </c>
      <c r="H4281" t="s">
        <v>57</v>
      </c>
      <c r="I4281" s="2">
        <v>13.99</v>
      </c>
      <c r="J4281">
        <v>1</v>
      </c>
      <c r="K4281" s="2">
        <f t="shared" si="132"/>
        <v>13.99</v>
      </c>
      <c r="L4281" t="s">
        <v>43</v>
      </c>
      <c r="M4281">
        <v>3</v>
      </c>
      <c r="N4281">
        <v>0.27</v>
      </c>
      <c r="O4281" t="str">
        <f t="shared" si="133"/>
        <v>0.2–0.4 hours</v>
      </c>
      <c r="P4281" t="s">
        <v>52</v>
      </c>
    </row>
    <row r="4282" spans="1:16" x14ac:dyDescent="0.4">
      <c r="A4282" t="s">
        <v>4323</v>
      </c>
      <c r="B4282">
        <v>62</v>
      </c>
      <c r="C4282" t="s">
        <v>15</v>
      </c>
      <c r="D4282" t="s">
        <v>16</v>
      </c>
      <c r="E4282">
        <v>0.98</v>
      </c>
      <c r="F4282">
        <v>36</v>
      </c>
      <c r="G4282" t="s">
        <v>23</v>
      </c>
      <c r="H4282" t="s">
        <v>55</v>
      </c>
      <c r="I4282" s="2">
        <v>8.99</v>
      </c>
      <c r="J4282">
        <v>1</v>
      </c>
      <c r="K4282" s="2">
        <f t="shared" si="132"/>
        <v>8.99</v>
      </c>
      <c r="L4282" t="s">
        <v>19</v>
      </c>
      <c r="M4282">
        <v>4</v>
      </c>
      <c r="N4282">
        <v>0.03</v>
      </c>
      <c r="O4282" t="str">
        <f t="shared" si="133"/>
        <v>0–0.2 hours</v>
      </c>
      <c r="P4282" t="s">
        <v>47</v>
      </c>
    </row>
    <row r="4283" spans="1:16" x14ac:dyDescent="0.4">
      <c r="A4283" t="s">
        <v>4324</v>
      </c>
      <c r="B4283">
        <v>56</v>
      </c>
      <c r="C4283" t="s">
        <v>27</v>
      </c>
      <c r="D4283" t="s">
        <v>16</v>
      </c>
      <c r="E4283">
        <v>2.98</v>
      </c>
      <c r="F4283">
        <v>37</v>
      </c>
      <c r="G4283" t="s">
        <v>49</v>
      </c>
      <c r="H4283" t="s">
        <v>55</v>
      </c>
      <c r="I4283" s="2">
        <v>8.99</v>
      </c>
      <c r="J4283">
        <v>1</v>
      </c>
      <c r="K4283" s="2">
        <f t="shared" si="132"/>
        <v>8.99</v>
      </c>
      <c r="L4283" t="s">
        <v>19</v>
      </c>
      <c r="M4283">
        <v>4</v>
      </c>
      <c r="N4283">
        <v>0.08</v>
      </c>
      <c r="O4283" t="str">
        <f t="shared" si="133"/>
        <v>0–0.2 hours</v>
      </c>
      <c r="P4283" t="s">
        <v>25</v>
      </c>
    </row>
    <row r="4284" spans="1:16" x14ac:dyDescent="0.4">
      <c r="A4284" t="s">
        <v>4325</v>
      </c>
      <c r="B4284">
        <v>66</v>
      </c>
      <c r="C4284" t="s">
        <v>41</v>
      </c>
      <c r="D4284" t="s">
        <v>16</v>
      </c>
      <c r="E4284">
        <v>16.190000000000001</v>
      </c>
      <c r="F4284">
        <v>25</v>
      </c>
      <c r="G4284" t="s">
        <v>17</v>
      </c>
      <c r="H4284" t="s">
        <v>18</v>
      </c>
      <c r="I4284" s="2">
        <v>8.99</v>
      </c>
      <c r="J4284">
        <v>0</v>
      </c>
      <c r="K4284" s="2">
        <f t="shared" si="132"/>
        <v>0</v>
      </c>
      <c r="L4284" t="s">
        <v>19</v>
      </c>
      <c r="M4284">
        <v>4</v>
      </c>
      <c r="N4284">
        <v>0.62</v>
      </c>
      <c r="O4284" t="str">
        <f t="shared" si="133"/>
        <v>0.6–0.8 hours</v>
      </c>
      <c r="P4284" t="s">
        <v>30</v>
      </c>
    </row>
    <row r="4285" spans="1:16" x14ac:dyDescent="0.4">
      <c r="A4285" t="s">
        <v>4326</v>
      </c>
      <c r="B4285">
        <v>25</v>
      </c>
      <c r="C4285" t="s">
        <v>41</v>
      </c>
      <c r="D4285" t="s">
        <v>16</v>
      </c>
      <c r="E4285">
        <v>4.0199999999999996</v>
      </c>
      <c r="F4285">
        <v>19</v>
      </c>
      <c r="G4285" t="s">
        <v>23</v>
      </c>
      <c r="H4285" t="s">
        <v>46</v>
      </c>
      <c r="I4285" s="2">
        <v>8.99</v>
      </c>
      <c r="J4285">
        <v>1</v>
      </c>
      <c r="K4285" s="2">
        <f t="shared" si="132"/>
        <v>8.99</v>
      </c>
      <c r="L4285" t="s">
        <v>19</v>
      </c>
      <c r="M4285">
        <v>3</v>
      </c>
      <c r="N4285">
        <v>0.2</v>
      </c>
      <c r="O4285" t="str">
        <f t="shared" si="133"/>
        <v>0–0.2 hours</v>
      </c>
      <c r="P4285" t="s">
        <v>34</v>
      </c>
    </row>
    <row r="4286" spans="1:16" x14ac:dyDescent="0.4">
      <c r="A4286" t="s">
        <v>4327</v>
      </c>
      <c r="B4286">
        <v>45</v>
      </c>
      <c r="C4286" t="s">
        <v>15</v>
      </c>
      <c r="D4286" t="s">
        <v>16</v>
      </c>
      <c r="E4286">
        <v>39.96</v>
      </c>
      <c r="F4286">
        <v>41</v>
      </c>
      <c r="G4286" t="s">
        <v>33</v>
      </c>
      <c r="H4286" t="s">
        <v>46</v>
      </c>
      <c r="I4286" s="2">
        <v>8.99</v>
      </c>
      <c r="J4286">
        <v>0</v>
      </c>
      <c r="K4286" s="2">
        <f t="shared" si="132"/>
        <v>0</v>
      </c>
      <c r="L4286" t="s">
        <v>43</v>
      </c>
      <c r="M4286">
        <v>5</v>
      </c>
      <c r="N4286">
        <v>0.95</v>
      </c>
      <c r="O4286" t="str">
        <f t="shared" si="133"/>
        <v>0.8–1 hour</v>
      </c>
      <c r="P4286" t="s">
        <v>39</v>
      </c>
    </row>
    <row r="4287" spans="1:16" x14ac:dyDescent="0.4">
      <c r="A4287" t="s">
        <v>4328</v>
      </c>
      <c r="B4287">
        <v>29</v>
      </c>
      <c r="C4287" t="s">
        <v>27</v>
      </c>
      <c r="D4287" t="s">
        <v>22</v>
      </c>
      <c r="E4287">
        <v>54.53</v>
      </c>
      <c r="F4287">
        <v>1</v>
      </c>
      <c r="G4287" t="s">
        <v>49</v>
      </c>
      <c r="H4287" t="s">
        <v>24</v>
      </c>
      <c r="I4287" s="2">
        <v>13.99</v>
      </c>
      <c r="J4287">
        <v>0</v>
      </c>
      <c r="K4287" s="2">
        <f t="shared" si="132"/>
        <v>0</v>
      </c>
      <c r="L4287" t="s">
        <v>37</v>
      </c>
      <c r="M4287">
        <v>2</v>
      </c>
      <c r="N4287">
        <v>27.27</v>
      </c>
      <c r="O4287" t="str">
        <f t="shared" si="133"/>
        <v>1+ hours</v>
      </c>
      <c r="P4287" t="s">
        <v>25</v>
      </c>
    </row>
    <row r="4288" spans="1:16" x14ac:dyDescent="0.4">
      <c r="A4288" t="s">
        <v>4329</v>
      </c>
      <c r="B4288">
        <v>68</v>
      </c>
      <c r="C4288" t="s">
        <v>15</v>
      </c>
      <c r="D4288" t="s">
        <v>32</v>
      </c>
      <c r="E4288">
        <v>3.15</v>
      </c>
      <c r="F4288">
        <v>1</v>
      </c>
      <c r="G4288" t="s">
        <v>17</v>
      </c>
      <c r="H4288" t="s">
        <v>57</v>
      </c>
      <c r="I4288" s="2">
        <v>17.989999999999998</v>
      </c>
      <c r="J4288">
        <v>0</v>
      </c>
      <c r="K4288" s="2">
        <f t="shared" si="132"/>
        <v>0</v>
      </c>
      <c r="L4288" t="s">
        <v>61</v>
      </c>
      <c r="M4288">
        <v>3</v>
      </c>
      <c r="N4288">
        <v>1.57</v>
      </c>
      <c r="O4288" t="str">
        <f t="shared" si="133"/>
        <v>1+ hours</v>
      </c>
      <c r="P4288" t="s">
        <v>34</v>
      </c>
    </row>
    <row r="4289" spans="1:16" x14ac:dyDescent="0.4">
      <c r="A4289" t="s">
        <v>4330</v>
      </c>
      <c r="B4289">
        <v>56</v>
      </c>
      <c r="C4289" t="s">
        <v>41</v>
      </c>
      <c r="D4289" t="s">
        <v>32</v>
      </c>
      <c r="E4289">
        <v>24.37</v>
      </c>
      <c r="F4289">
        <v>26</v>
      </c>
      <c r="G4289" t="s">
        <v>23</v>
      </c>
      <c r="H4289" t="s">
        <v>46</v>
      </c>
      <c r="I4289" s="2">
        <v>17.989999999999998</v>
      </c>
      <c r="J4289">
        <v>0</v>
      </c>
      <c r="K4289" s="2">
        <f t="shared" si="132"/>
        <v>0</v>
      </c>
      <c r="L4289" t="s">
        <v>43</v>
      </c>
      <c r="M4289">
        <v>3</v>
      </c>
      <c r="N4289">
        <v>0.9</v>
      </c>
      <c r="O4289" t="str">
        <f t="shared" si="133"/>
        <v>0.8–1 hour</v>
      </c>
      <c r="P4289" t="s">
        <v>39</v>
      </c>
    </row>
    <row r="4290" spans="1:16" x14ac:dyDescent="0.4">
      <c r="A4290" t="s">
        <v>4331</v>
      </c>
      <c r="B4290">
        <v>35</v>
      </c>
      <c r="C4290" t="s">
        <v>27</v>
      </c>
      <c r="D4290" t="s">
        <v>32</v>
      </c>
      <c r="E4290">
        <v>9.9700000000000006</v>
      </c>
      <c r="F4290">
        <v>13</v>
      </c>
      <c r="G4290" t="s">
        <v>17</v>
      </c>
      <c r="H4290" t="s">
        <v>18</v>
      </c>
      <c r="I4290" s="2">
        <v>17.989999999999998</v>
      </c>
      <c r="J4290">
        <v>0</v>
      </c>
      <c r="K4290" s="2">
        <f t="shared" si="132"/>
        <v>0</v>
      </c>
      <c r="L4290" t="s">
        <v>37</v>
      </c>
      <c r="M4290">
        <v>5</v>
      </c>
      <c r="N4290">
        <v>0.71</v>
      </c>
      <c r="O4290" t="str">
        <f t="shared" si="133"/>
        <v>0.6–0.8 hours</v>
      </c>
      <c r="P4290" t="s">
        <v>30</v>
      </c>
    </row>
    <row r="4291" spans="1:16" x14ac:dyDescent="0.4">
      <c r="A4291" t="s">
        <v>4332</v>
      </c>
      <c r="B4291">
        <v>51</v>
      </c>
      <c r="C4291" t="s">
        <v>27</v>
      </c>
      <c r="D4291" t="s">
        <v>32</v>
      </c>
      <c r="E4291">
        <v>8.68</v>
      </c>
      <c r="F4291">
        <v>8</v>
      </c>
      <c r="G4291" t="s">
        <v>17</v>
      </c>
      <c r="H4291" t="s">
        <v>18</v>
      </c>
      <c r="I4291" s="2">
        <v>17.989999999999998</v>
      </c>
      <c r="J4291">
        <v>0</v>
      </c>
      <c r="K4291" s="2">
        <f t="shared" ref="K4291:K4354" si="134">SUMIF(J4291,1,I4291)</f>
        <v>0</v>
      </c>
      <c r="L4291" t="s">
        <v>43</v>
      </c>
      <c r="M4291">
        <v>4</v>
      </c>
      <c r="N4291">
        <v>0.96</v>
      </c>
      <c r="O4291" t="str">
        <f t="shared" ref="O4291:O4354" si="135">IF(N4291&gt;1,"1+ hours",IF(N4291&lt;=0.2,"0–0.2 hours",IF(N4291&lt;=0.4,"0.2–0.4 hours",IF(N4291&lt;=0.6,"0.4–0.6 hours",IF(N4291&lt;=0.8,"0.6–0.8 hours","0.8–1 hour")))))</f>
        <v>0.8–1 hour</v>
      </c>
      <c r="P4291" t="s">
        <v>52</v>
      </c>
    </row>
    <row r="4292" spans="1:16" x14ac:dyDescent="0.4">
      <c r="A4292" t="s">
        <v>4333</v>
      </c>
      <c r="B4292">
        <v>24</v>
      </c>
      <c r="C4292" t="s">
        <v>41</v>
      </c>
      <c r="D4292" t="s">
        <v>32</v>
      </c>
      <c r="E4292">
        <v>77.900000000000006</v>
      </c>
      <c r="F4292">
        <v>12</v>
      </c>
      <c r="G4292" t="s">
        <v>70</v>
      </c>
      <c r="H4292" t="s">
        <v>18</v>
      </c>
      <c r="I4292" s="2">
        <v>17.989999999999998</v>
      </c>
      <c r="J4292">
        <v>0</v>
      </c>
      <c r="K4292" s="2">
        <f t="shared" si="134"/>
        <v>0</v>
      </c>
      <c r="L4292" t="s">
        <v>43</v>
      </c>
      <c r="M4292">
        <v>1</v>
      </c>
      <c r="N4292">
        <v>5.99</v>
      </c>
      <c r="O4292" t="str">
        <f t="shared" si="135"/>
        <v>1+ hours</v>
      </c>
      <c r="P4292" t="s">
        <v>47</v>
      </c>
    </row>
    <row r="4293" spans="1:16" x14ac:dyDescent="0.4">
      <c r="A4293" t="s">
        <v>4334</v>
      </c>
      <c r="B4293">
        <v>32</v>
      </c>
      <c r="C4293" t="s">
        <v>41</v>
      </c>
      <c r="D4293" t="s">
        <v>32</v>
      </c>
      <c r="E4293">
        <v>28.61</v>
      </c>
      <c r="F4293">
        <v>22</v>
      </c>
      <c r="G4293" t="s">
        <v>70</v>
      </c>
      <c r="H4293" t="s">
        <v>57</v>
      </c>
      <c r="I4293" s="2">
        <v>17.989999999999998</v>
      </c>
      <c r="J4293">
        <v>0</v>
      </c>
      <c r="K4293" s="2">
        <f t="shared" si="134"/>
        <v>0</v>
      </c>
      <c r="L4293" t="s">
        <v>61</v>
      </c>
      <c r="M4293">
        <v>4</v>
      </c>
      <c r="N4293">
        <v>1.24</v>
      </c>
      <c r="O4293" t="str">
        <f t="shared" si="135"/>
        <v>1+ hours</v>
      </c>
      <c r="P4293" t="s">
        <v>39</v>
      </c>
    </row>
    <row r="4294" spans="1:16" x14ac:dyDescent="0.4">
      <c r="A4294" t="s">
        <v>4335</v>
      </c>
      <c r="B4294">
        <v>38</v>
      </c>
      <c r="C4294" t="s">
        <v>41</v>
      </c>
      <c r="D4294" t="s">
        <v>16</v>
      </c>
      <c r="E4294">
        <v>6.95</v>
      </c>
      <c r="F4294">
        <v>17</v>
      </c>
      <c r="G4294" t="s">
        <v>49</v>
      </c>
      <c r="H4294" t="s">
        <v>57</v>
      </c>
      <c r="I4294" s="2">
        <v>8.99</v>
      </c>
      <c r="J4294">
        <v>0</v>
      </c>
      <c r="K4294" s="2">
        <f t="shared" si="134"/>
        <v>0</v>
      </c>
      <c r="L4294" t="s">
        <v>61</v>
      </c>
      <c r="M4294">
        <v>5</v>
      </c>
      <c r="N4294">
        <v>0.39</v>
      </c>
      <c r="O4294" t="str">
        <f t="shared" si="135"/>
        <v>0.2–0.4 hours</v>
      </c>
      <c r="P4294" t="s">
        <v>52</v>
      </c>
    </row>
    <row r="4295" spans="1:16" x14ac:dyDescent="0.4">
      <c r="A4295" t="s">
        <v>4336</v>
      </c>
      <c r="B4295">
        <v>27</v>
      </c>
      <c r="C4295" t="s">
        <v>27</v>
      </c>
      <c r="D4295" t="s">
        <v>22</v>
      </c>
      <c r="E4295">
        <v>1.04</v>
      </c>
      <c r="F4295">
        <v>54</v>
      </c>
      <c r="G4295" t="s">
        <v>49</v>
      </c>
      <c r="H4295" t="s">
        <v>57</v>
      </c>
      <c r="I4295" s="2">
        <v>13.99</v>
      </c>
      <c r="J4295">
        <v>1</v>
      </c>
      <c r="K4295" s="2">
        <f t="shared" si="134"/>
        <v>13.99</v>
      </c>
      <c r="L4295" t="s">
        <v>29</v>
      </c>
      <c r="M4295">
        <v>3</v>
      </c>
      <c r="N4295">
        <v>0.02</v>
      </c>
      <c r="O4295" t="str">
        <f t="shared" si="135"/>
        <v>0–0.2 hours</v>
      </c>
      <c r="P4295" t="s">
        <v>39</v>
      </c>
    </row>
    <row r="4296" spans="1:16" x14ac:dyDescent="0.4">
      <c r="A4296" t="s">
        <v>4337</v>
      </c>
      <c r="B4296">
        <v>49</v>
      </c>
      <c r="C4296" t="s">
        <v>41</v>
      </c>
      <c r="D4296" t="s">
        <v>22</v>
      </c>
      <c r="E4296">
        <v>10.66</v>
      </c>
      <c r="F4296">
        <v>38</v>
      </c>
      <c r="G4296" t="s">
        <v>28</v>
      </c>
      <c r="H4296" t="s">
        <v>18</v>
      </c>
      <c r="I4296" s="2">
        <v>13.99</v>
      </c>
      <c r="J4296">
        <v>1</v>
      </c>
      <c r="K4296" s="2">
        <f t="shared" si="134"/>
        <v>13.99</v>
      </c>
      <c r="L4296" t="s">
        <v>43</v>
      </c>
      <c r="M4296">
        <v>3</v>
      </c>
      <c r="N4296">
        <v>0.27</v>
      </c>
      <c r="O4296" t="str">
        <f t="shared" si="135"/>
        <v>0.2–0.4 hours</v>
      </c>
      <c r="P4296" t="s">
        <v>30</v>
      </c>
    </row>
    <row r="4297" spans="1:16" x14ac:dyDescent="0.4">
      <c r="A4297" t="s">
        <v>4338</v>
      </c>
      <c r="B4297">
        <v>47</v>
      </c>
      <c r="C4297" t="s">
        <v>41</v>
      </c>
      <c r="D4297" t="s">
        <v>32</v>
      </c>
      <c r="E4297">
        <v>20.61</v>
      </c>
      <c r="F4297">
        <v>56</v>
      </c>
      <c r="G4297" t="s">
        <v>33</v>
      </c>
      <c r="H4297" t="s">
        <v>55</v>
      </c>
      <c r="I4297" s="2">
        <v>17.989999999999998</v>
      </c>
      <c r="J4297">
        <v>0</v>
      </c>
      <c r="K4297" s="2">
        <f t="shared" si="134"/>
        <v>0</v>
      </c>
      <c r="L4297" t="s">
        <v>61</v>
      </c>
      <c r="M4297">
        <v>1</v>
      </c>
      <c r="N4297">
        <v>0.36</v>
      </c>
      <c r="O4297" t="str">
        <f t="shared" si="135"/>
        <v>0.2–0.4 hours</v>
      </c>
      <c r="P4297" t="s">
        <v>39</v>
      </c>
    </row>
    <row r="4298" spans="1:16" x14ac:dyDescent="0.4">
      <c r="A4298" t="s">
        <v>4339</v>
      </c>
      <c r="B4298">
        <v>59</v>
      </c>
      <c r="C4298" t="s">
        <v>41</v>
      </c>
      <c r="D4298" t="s">
        <v>32</v>
      </c>
      <c r="E4298">
        <v>12.39</v>
      </c>
      <c r="F4298">
        <v>29</v>
      </c>
      <c r="G4298" t="s">
        <v>33</v>
      </c>
      <c r="H4298" t="s">
        <v>57</v>
      </c>
      <c r="I4298" s="2">
        <v>17.989999999999998</v>
      </c>
      <c r="J4298">
        <v>0</v>
      </c>
      <c r="K4298" s="2">
        <f t="shared" si="134"/>
        <v>0</v>
      </c>
      <c r="L4298" t="s">
        <v>61</v>
      </c>
      <c r="M4298">
        <v>2</v>
      </c>
      <c r="N4298">
        <v>0.41</v>
      </c>
      <c r="O4298" t="str">
        <f t="shared" si="135"/>
        <v>0.4–0.6 hours</v>
      </c>
      <c r="P4298" t="s">
        <v>20</v>
      </c>
    </row>
    <row r="4299" spans="1:16" x14ac:dyDescent="0.4">
      <c r="A4299" t="s">
        <v>4340</v>
      </c>
      <c r="B4299">
        <v>64</v>
      </c>
      <c r="C4299" t="s">
        <v>27</v>
      </c>
      <c r="D4299" t="s">
        <v>16</v>
      </c>
      <c r="E4299">
        <v>2.11</v>
      </c>
      <c r="F4299">
        <v>31</v>
      </c>
      <c r="G4299" t="s">
        <v>17</v>
      </c>
      <c r="H4299" t="s">
        <v>57</v>
      </c>
      <c r="I4299" s="2">
        <v>8.99</v>
      </c>
      <c r="J4299">
        <v>1</v>
      </c>
      <c r="K4299" s="2">
        <f t="shared" si="134"/>
        <v>8.99</v>
      </c>
      <c r="L4299" t="s">
        <v>37</v>
      </c>
      <c r="M4299">
        <v>4</v>
      </c>
      <c r="N4299">
        <v>7.0000000000000007E-2</v>
      </c>
      <c r="O4299" t="str">
        <f t="shared" si="135"/>
        <v>0–0.2 hours</v>
      </c>
      <c r="P4299" t="s">
        <v>52</v>
      </c>
    </row>
    <row r="4300" spans="1:16" x14ac:dyDescent="0.4">
      <c r="A4300" t="s">
        <v>4341</v>
      </c>
      <c r="B4300">
        <v>56</v>
      </c>
      <c r="C4300" t="s">
        <v>41</v>
      </c>
      <c r="D4300" t="s">
        <v>32</v>
      </c>
      <c r="E4300">
        <v>3.93</v>
      </c>
      <c r="F4300">
        <v>27</v>
      </c>
      <c r="G4300" t="s">
        <v>28</v>
      </c>
      <c r="H4300" t="s">
        <v>18</v>
      </c>
      <c r="I4300" s="2">
        <v>17.989999999999998</v>
      </c>
      <c r="J4300">
        <v>0</v>
      </c>
      <c r="K4300" s="2">
        <f t="shared" si="134"/>
        <v>0</v>
      </c>
      <c r="L4300" t="s">
        <v>43</v>
      </c>
      <c r="M4300">
        <v>4</v>
      </c>
      <c r="N4300">
        <v>0.14000000000000001</v>
      </c>
      <c r="O4300" t="str">
        <f t="shared" si="135"/>
        <v>0–0.2 hours</v>
      </c>
      <c r="P4300" t="s">
        <v>30</v>
      </c>
    </row>
    <row r="4301" spans="1:16" x14ac:dyDescent="0.4">
      <c r="A4301" t="s">
        <v>4342</v>
      </c>
      <c r="B4301">
        <v>41</v>
      </c>
      <c r="C4301" t="s">
        <v>41</v>
      </c>
      <c r="D4301" t="s">
        <v>32</v>
      </c>
      <c r="E4301">
        <v>1.34</v>
      </c>
      <c r="F4301">
        <v>4</v>
      </c>
      <c r="G4301" t="s">
        <v>23</v>
      </c>
      <c r="H4301" t="s">
        <v>46</v>
      </c>
      <c r="I4301" s="2">
        <v>17.989999999999998</v>
      </c>
      <c r="J4301">
        <v>0</v>
      </c>
      <c r="K4301" s="2">
        <f t="shared" si="134"/>
        <v>0</v>
      </c>
      <c r="L4301" t="s">
        <v>43</v>
      </c>
      <c r="M4301">
        <v>2</v>
      </c>
      <c r="N4301">
        <v>0.27</v>
      </c>
      <c r="O4301" t="str">
        <f t="shared" si="135"/>
        <v>0.2–0.4 hours</v>
      </c>
      <c r="P4301" t="s">
        <v>20</v>
      </c>
    </row>
    <row r="4302" spans="1:16" x14ac:dyDescent="0.4">
      <c r="A4302" t="s">
        <v>4343</v>
      </c>
      <c r="B4302">
        <v>65</v>
      </c>
      <c r="C4302" t="s">
        <v>41</v>
      </c>
      <c r="D4302" t="s">
        <v>16</v>
      </c>
      <c r="E4302">
        <v>4.8499999999999996</v>
      </c>
      <c r="F4302">
        <v>45</v>
      </c>
      <c r="G4302" t="s">
        <v>17</v>
      </c>
      <c r="H4302" t="s">
        <v>46</v>
      </c>
      <c r="I4302" s="2">
        <v>8.99</v>
      </c>
      <c r="J4302">
        <v>1</v>
      </c>
      <c r="K4302" s="2">
        <f t="shared" si="134"/>
        <v>8.99</v>
      </c>
      <c r="L4302" t="s">
        <v>29</v>
      </c>
      <c r="M4302">
        <v>4</v>
      </c>
      <c r="N4302">
        <v>0.11</v>
      </c>
      <c r="O4302" t="str">
        <f t="shared" si="135"/>
        <v>0–0.2 hours</v>
      </c>
      <c r="P4302" t="s">
        <v>39</v>
      </c>
    </row>
    <row r="4303" spans="1:16" x14ac:dyDescent="0.4">
      <c r="A4303" t="s">
        <v>4344</v>
      </c>
      <c r="B4303">
        <v>59</v>
      </c>
      <c r="C4303" t="s">
        <v>15</v>
      </c>
      <c r="D4303" t="s">
        <v>32</v>
      </c>
      <c r="E4303">
        <v>7.26</v>
      </c>
      <c r="F4303">
        <v>30</v>
      </c>
      <c r="G4303" t="s">
        <v>28</v>
      </c>
      <c r="H4303" t="s">
        <v>24</v>
      </c>
      <c r="I4303" s="2">
        <v>17.989999999999998</v>
      </c>
      <c r="J4303">
        <v>0</v>
      </c>
      <c r="K4303" s="2">
        <f t="shared" si="134"/>
        <v>0</v>
      </c>
      <c r="L4303" t="s">
        <v>19</v>
      </c>
      <c r="M4303">
        <v>4</v>
      </c>
      <c r="N4303">
        <v>0.23</v>
      </c>
      <c r="O4303" t="str">
        <f t="shared" si="135"/>
        <v>0.2–0.4 hours</v>
      </c>
      <c r="P4303" t="s">
        <v>30</v>
      </c>
    </row>
    <row r="4304" spans="1:16" x14ac:dyDescent="0.4">
      <c r="A4304" t="s">
        <v>4345</v>
      </c>
      <c r="B4304">
        <v>64</v>
      </c>
      <c r="C4304" t="s">
        <v>41</v>
      </c>
      <c r="D4304" t="s">
        <v>32</v>
      </c>
      <c r="E4304">
        <v>31.16</v>
      </c>
      <c r="F4304">
        <v>47</v>
      </c>
      <c r="G4304" t="s">
        <v>33</v>
      </c>
      <c r="H4304" t="s">
        <v>24</v>
      </c>
      <c r="I4304" s="2">
        <v>17.989999999999998</v>
      </c>
      <c r="J4304">
        <v>0</v>
      </c>
      <c r="K4304" s="2">
        <f t="shared" si="134"/>
        <v>0</v>
      </c>
      <c r="L4304" t="s">
        <v>61</v>
      </c>
      <c r="M4304">
        <v>5</v>
      </c>
      <c r="N4304">
        <v>0.65</v>
      </c>
      <c r="O4304" t="str">
        <f t="shared" si="135"/>
        <v>0.6–0.8 hours</v>
      </c>
      <c r="P4304" t="s">
        <v>39</v>
      </c>
    </row>
    <row r="4305" spans="1:16" x14ac:dyDescent="0.4">
      <c r="A4305" t="s">
        <v>4346</v>
      </c>
      <c r="B4305">
        <v>55</v>
      </c>
      <c r="C4305" t="s">
        <v>27</v>
      </c>
      <c r="D4305" t="s">
        <v>32</v>
      </c>
      <c r="E4305">
        <v>9.76</v>
      </c>
      <c r="F4305">
        <v>37</v>
      </c>
      <c r="G4305" t="s">
        <v>23</v>
      </c>
      <c r="H4305" t="s">
        <v>55</v>
      </c>
      <c r="I4305" s="2">
        <v>17.989999999999998</v>
      </c>
      <c r="J4305">
        <v>1</v>
      </c>
      <c r="K4305" s="2">
        <f t="shared" si="134"/>
        <v>17.989999999999998</v>
      </c>
      <c r="L4305" t="s">
        <v>19</v>
      </c>
      <c r="M4305">
        <v>2</v>
      </c>
      <c r="N4305">
        <v>0.26</v>
      </c>
      <c r="O4305" t="str">
        <f t="shared" si="135"/>
        <v>0.2–0.4 hours</v>
      </c>
      <c r="P4305" t="s">
        <v>30</v>
      </c>
    </row>
    <row r="4306" spans="1:16" x14ac:dyDescent="0.4">
      <c r="A4306" t="s">
        <v>4347</v>
      </c>
      <c r="B4306">
        <v>51</v>
      </c>
      <c r="C4306" t="s">
        <v>41</v>
      </c>
      <c r="D4306" t="s">
        <v>22</v>
      </c>
      <c r="E4306">
        <v>24.3</v>
      </c>
      <c r="F4306">
        <v>38</v>
      </c>
      <c r="G4306" t="s">
        <v>49</v>
      </c>
      <c r="H4306" t="s">
        <v>55</v>
      </c>
      <c r="I4306" s="2">
        <v>13.99</v>
      </c>
      <c r="J4306">
        <v>0</v>
      </c>
      <c r="K4306" s="2">
        <f t="shared" si="134"/>
        <v>0</v>
      </c>
      <c r="L4306" t="s">
        <v>37</v>
      </c>
      <c r="M4306">
        <v>2</v>
      </c>
      <c r="N4306">
        <v>0.62</v>
      </c>
      <c r="O4306" t="str">
        <f t="shared" si="135"/>
        <v>0.6–0.8 hours</v>
      </c>
      <c r="P4306" t="s">
        <v>34</v>
      </c>
    </row>
    <row r="4307" spans="1:16" x14ac:dyDescent="0.4">
      <c r="A4307" t="s">
        <v>4348</v>
      </c>
      <c r="B4307">
        <v>54</v>
      </c>
      <c r="C4307" t="s">
        <v>41</v>
      </c>
      <c r="D4307" t="s">
        <v>32</v>
      </c>
      <c r="E4307">
        <v>2.1</v>
      </c>
      <c r="F4307">
        <v>50</v>
      </c>
      <c r="G4307" t="s">
        <v>33</v>
      </c>
      <c r="H4307" t="s">
        <v>57</v>
      </c>
      <c r="I4307" s="2">
        <v>17.989999999999998</v>
      </c>
      <c r="J4307">
        <v>1</v>
      </c>
      <c r="K4307" s="2">
        <f t="shared" si="134"/>
        <v>17.989999999999998</v>
      </c>
      <c r="L4307" t="s">
        <v>19</v>
      </c>
      <c r="M4307">
        <v>1</v>
      </c>
      <c r="N4307">
        <v>0.04</v>
      </c>
      <c r="O4307" t="str">
        <f t="shared" si="135"/>
        <v>0–0.2 hours</v>
      </c>
      <c r="P4307" t="s">
        <v>34</v>
      </c>
    </row>
    <row r="4308" spans="1:16" x14ac:dyDescent="0.4">
      <c r="A4308" t="s">
        <v>4349</v>
      </c>
      <c r="B4308">
        <v>21</v>
      </c>
      <c r="C4308" t="s">
        <v>27</v>
      </c>
      <c r="D4308" t="s">
        <v>22</v>
      </c>
      <c r="E4308">
        <v>6.2</v>
      </c>
      <c r="F4308">
        <v>4</v>
      </c>
      <c r="G4308" t="s">
        <v>33</v>
      </c>
      <c r="H4308" t="s">
        <v>24</v>
      </c>
      <c r="I4308" s="2">
        <v>13.99</v>
      </c>
      <c r="J4308">
        <v>0</v>
      </c>
      <c r="K4308" s="2">
        <f t="shared" si="134"/>
        <v>0</v>
      </c>
      <c r="L4308" t="s">
        <v>37</v>
      </c>
      <c r="M4308">
        <v>5</v>
      </c>
      <c r="N4308">
        <v>1.24</v>
      </c>
      <c r="O4308" t="str">
        <f t="shared" si="135"/>
        <v>1+ hours</v>
      </c>
      <c r="P4308" t="s">
        <v>20</v>
      </c>
    </row>
    <row r="4309" spans="1:16" x14ac:dyDescent="0.4">
      <c r="A4309" t="s">
        <v>4350</v>
      </c>
      <c r="B4309">
        <v>22</v>
      </c>
      <c r="C4309" t="s">
        <v>27</v>
      </c>
      <c r="D4309" t="s">
        <v>16</v>
      </c>
      <c r="E4309">
        <v>5.12</v>
      </c>
      <c r="F4309">
        <v>27</v>
      </c>
      <c r="G4309" t="s">
        <v>70</v>
      </c>
      <c r="H4309" t="s">
        <v>46</v>
      </c>
      <c r="I4309" s="2">
        <v>8.99</v>
      </c>
      <c r="J4309">
        <v>0</v>
      </c>
      <c r="K4309" s="2">
        <f t="shared" si="134"/>
        <v>0</v>
      </c>
      <c r="L4309" t="s">
        <v>43</v>
      </c>
      <c r="M4309">
        <v>4</v>
      </c>
      <c r="N4309">
        <v>0.18</v>
      </c>
      <c r="O4309" t="str">
        <f t="shared" si="135"/>
        <v>0–0.2 hours</v>
      </c>
      <c r="P4309" t="s">
        <v>39</v>
      </c>
    </row>
    <row r="4310" spans="1:16" x14ac:dyDescent="0.4">
      <c r="A4310" t="s">
        <v>4351</v>
      </c>
      <c r="B4310">
        <v>21</v>
      </c>
      <c r="C4310" t="s">
        <v>27</v>
      </c>
      <c r="D4310" t="s">
        <v>32</v>
      </c>
      <c r="E4310">
        <v>27.5</v>
      </c>
      <c r="F4310">
        <v>26</v>
      </c>
      <c r="G4310" t="s">
        <v>49</v>
      </c>
      <c r="H4310" t="s">
        <v>57</v>
      </c>
      <c r="I4310" s="2">
        <v>17.989999999999998</v>
      </c>
      <c r="J4310">
        <v>0</v>
      </c>
      <c r="K4310" s="2">
        <f t="shared" si="134"/>
        <v>0</v>
      </c>
      <c r="L4310" t="s">
        <v>29</v>
      </c>
      <c r="M4310">
        <v>2</v>
      </c>
      <c r="N4310">
        <v>1.02</v>
      </c>
      <c r="O4310" t="str">
        <f t="shared" si="135"/>
        <v>1+ hours</v>
      </c>
      <c r="P4310" t="s">
        <v>34</v>
      </c>
    </row>
    <row r="4311" spans="1:16" x14ac:dyDescent="0.4">
      <c r="A4311" t="s">
        <v>4352</v>
      </c>
      <c r="B4311">
        <v>49</v>
      </c>
      <c r="C4311" t="s">
        <v>27</v>
      </c>
      <c r="D4311" t="s">
        <v>22</v>
      </c>
      <c r="E4311">
        <v>10.34</v>
      </c>
      <c r="F4311">
        <v>20</v>
      </c>
      <c r="G4311" t="s">
        <v>23</v>
      </c>
      <c r="H4311" t="s">
        <v>24</v>
      </c>
      <c r="I4311" s="2">
        <v>13.99</v>
      </c>
      <c r="J4311">
        <v>0</v>
      </c>
      <c r="K4311" s="2">
        <f t="shared" si="134"/>
        <v>0</v>
      </c>
      <c r="L4311" t="s">
        <v>19</v>
      </c>
      <c r="M4311">
        <v>3</v>
      </c>
      <c r="N4311">
        <v>0.49</v>
      </c>
      <c r="O4311" t="str">
        <f t="shared" si="135"/>
        <v>0.4–0.6 hours</v>
      </c>
      <c r="P4311" t="s">
        <v>25</v>
      </c>
    </row>
    <row r="4312" spans="1:16" x14ac:dyDescent="0.4">
      <c r="A4312" t="s">
        <v>4353</v>
      </c>
      <c r="B4312">
        <v>53</v>
      </c>
      <c r="C4312" t="s">
        <v>27</v>
      </c>
      <c r="D4312" t="s">
        <v>32</v>
      </c>
      <c r="E4312">
        <v>4.37</v>
      </c>
      <c r="F4312">
        <v>48</v>
      </c>
      <c r="G4312" t="s">
        <v>23</v>
      </c>
      <c r="H4312" t="s">
        <v>57</v>
      </c>
      <c r="I4312" s="2">
        <v>17.989999999999998</v>
      </c>
      <c r="J4312">
        <v>1</v>
      </c>
      <c r="K4312" s="2">
        <f t="shared" si="134"/>
        <v>17.989999999999998</v>
      </c>
      <c r="L4312" t="s">
        <v>43</v>
      </c>
      <c r="M4312">
        <v>3</v>
      </c>
      <c r="N4312">
        <v>0.09</v>
      </c>
      <c r="O4312" t="str">
        <f t="shared" si="135"/>
        <v>0–0.2 hours</v>
      </c>
      <c r="P4312" t="s">
        <v>47</v>
      </c>
    </row>
    <row r="4313" spans="1:16" x14ac:dyDescent="0.4">
      <c r="A4313" t="s">
        <v>4354</v>
      </c>
      <c r="B4313">
        <v>33</v>
      </c>
      <c r="C4313" t="s">
        <v>15</v>
      </c>
      <c r="D4313" t="s">
        <v>22</v>
      </c>
      <c r="E4313">
        <v>10.71</v>
      </c>
      <c r="F4313">
        <v>25</v>
      </c>
      <c r="G4313" t="s">
        <v>70</v>
      </c>
      <c r="H4313" t="s">
        <v>46</v>
      </c>
      <c r="I4313" s="2">
        <v>13.99</v>
      </c>
      <c r="J4313">
        <v>0</v>
      </c>
      <c r="K4313" s="2">
        <f t="shared" si="134"/>
        <v>0</v>
      </c>
      <c r="L4313" t="s">
        <v>61</v>
      </c>
      <c r="M4313">
        <v>1</v>
      </c>
      <c r="N4313">
        <v>0.41</v>
      </c>
      <c r="O4313" t="str">
        <f t="shared" si="135"/>
        <v>0.4–0.6 hours</v>
      </c>
      <c r="P4313" t="s">
        <v>34</v>
      </c>
    </row>
    <row r="4314" spans="1:16" x14ac:dyDescent="0.4">
      <c r="A4314" t="s">
        <v>4355</v>
      </c>
      <c r="B4314">
        <v>58</v>
      </c>
      <c r="C4314" t="s">
        <v>15</v>
      </c>
      <c r="D4314" t="s">
        <v>16</v>
      </c>
      <c r="E4314">
        <v>1.03</v>
      </c>
      <c r="F4314">
        <v>50</v>
      </c>
      <c r="G4314" t="s">
        <v>17</v>
      </c>
      <c r="H4314" t="s">
        <v>24</v>
      </c>
      <c r="I4314" s="2">
        <v>8.99</v>
      </c>
      <c r="J4314">
        <v>1</v>
      </c>
      <c r="K4314" s="2">
        <f t="shared" si="134"/>
        <v>8.99</v>
      </c>
      <c r="L4314" t="s">
        <v>61</v>
      </c>
      <c r="M4314">
        <v>4</v>
      </c>
      <c r="N4314">
        <v>0.02</v>
      </c>
      <c r="O4314" t="str">
        <f t="shared" si="135"/>
        <v>0–0.2 hours</v>
      </c>
      <c r="P4314" t="s">
        <v>30</v>
      </c>
    </row>
    <row r="4315" spans="1:16" x14ac:dyDescent="0.4">
      <c r="A4315" t="s">
        <v>4356</v>
      </c>
      <c r="B4315">
        <v>43</v>
      </c>
      <c r="C4315" t="s">
        <v>15</v>
      </c>
      <c r="D4315" t="s">
        <v>32</v>
      </c>
      <c r="E4315">
        <v>5.78</v>
      </c>
      <c r="F4315">
        <v>11</v>
      </c>
      <c r="G4315" t="s">
        <v>17</v>
      </c>
      <c r="H4315" t="s">
        <v>55</v>
      </c>
      <c r="I4315" s="2">
        <v>17.989999999999998</v>
      </c>
      <c r="J4315">
        <v>0</v>
      </c>
      <c r="K4315" s="2">
        <f t="shared" si="134"/>
        <v>0</v>
      </c>
      <c r="L4315" t="s">
        <v>43</v>
      </c>
      <c r="M4315">
        <v>5</v>
      </c>
      <c r="N4315">
        <v>0.48</v>
      </c>
      <c r="O4315" t="str">
        <f t="shared" si="135"/>
        <v>0.4–0.6 hours</v>
      </c>
      <c r="P4315" t="s">
        <v>25</v>
      </c>
    </row>
    <row r="4316" spans="1:16" x14ac:dyDescent="0.4">
      <c r="A4316" t="s">
        <v>4357</v>
      </c>
      <c r="B4316">
        <v>52</v>
      </c>
      <c r="C4316" t="s">
        <v>27</v>
      </c>
      <c r="D4316" t="s">
        <v>16</v>
      </c>
      <c r="E4316">
        <v>5.2</v>
      </c>
      <c r="F4316">
        <v>20</v>
      </c>
      <c r="G4316" t="s">
        <v>49</v>
      </c>
      <c r="H4316" t="s">
        <v>18</v>
      </c>
      <c r="I4316" s="2">
        <v>8.99</v>
      </c>
      <c r="J4316">
        <v>0</v>
      </c>
      <c r="K4316" s="2">
        <f t="shared" si="134"/>
        <v>0</v>
      </c>
      <c r="L4316" t="s">
        <v>43</v>
      </c>
      <c r="M4316">
        <v>3</v>
      </c>
      <c r="N4316">
        <v>0.25</v>
      </c>
      <c r="O4316" t="str">
        <f t="shared" si="135"/>
        <v>0.2–0.4 hours</v>
      </c>
      <c r="P4316" t="s">
        <v>34</v>
      </c>
    </row>
    <row r="4317" spans="1:16" x14ac:dyDescent="0.4">
      <c r="A4317" t="s">
        <v>4358</v>
      </c>
      <c r="B4317">
        <v>33</v>
      </c>
      <c r="C4317" t="s">
        <v>15</v>
      </c>
      <c r="D4317" t="s">
        <v>22</v>
      </c>
      <c r="E4317">
        <v>3.76</v>
      </c>
      <c r="F4317">
        <v>16</v>
      </c>
      <c r="G4317" t="s">
        <v>70</v>
      </c>
      <c r="H4317" t="s">
        <v>18</v>
      </c>
      <c r="I4317" s="2">
        <v>13.99</v>
      </c>
      <c r="J4317">
        <v>0</v>
      </c>
      <c r="K4317" s="2">
        <f t="shared" si="134"/>
        <v>0</v>
      </c>
      <c r="L4317" t="s">
        <v>37</v>
      </c>
      <c r="M4317">
        <v>5</v>
      </c>
      <c r="N4317">
        <v>0.22</v>
      </c>
      <c r="O4317" t="str">
        <f t="shared" si="135"/>
        <v>0.2–0.4 hours</v>
      </c>
      <c r="P4317" t="s">
        <v>47</v>
      </c>
    </row>
    <row r="4318" spans="1:16" x14ac:dyDescent="0.4">
      <c r="A4318" t="s">
        <v>4359</v>
      </c>
      <c r="B4318">
        <v>70</v>
      </c>
      <c r="C4318" t="s">
        <v>15</v>
      </c>
      <c r="D4318" t="s">
        <v>32</v>
      </c>
      <c r="E4318">
        <v>7.61</v>
      </c>
      <c r="F4318">
        <v>1</v>
      </c>
      <c r="G4318" t="s">
        <v>49</v>
      </c>
      <c r="H4318" t="s">
        <v>46</v>
      </c>
      <c r="I4318" s="2">
        <v>17.989999999999998</v>
      </c>
      <c r="J4318">
        <v>0</v>
      </c>
      <c r="K4318" s="2">
        <f t="shared" si="134"/>
        <v>0</v>
      </c>
      <c r="L4318" t="s">
        <v>61</v>
      </c>
      <c r="M4318">
        <v>5</v>
      </c>
      <c r="N4318">
        <v>3.81</v>
      </c>
      <c r="O4318" t="str">
        <f t="shared" si="135"/>
        <v>1+ hours</v>
      </c>
      <c r="P4318" t="s">
        <v>30</v>
      </c>
    </row>
    <row r="4319" spans="1:16" x14ac:dyDescent="0.4">
      <c r="A4319" t="s">
        <v>4360</v>
      </c>
      <c r="B4319">
        <v>33</v>
      </c>
      <c r="C4319" t="s">
        <v>41</v>
      </c>
      <c r="D4319" t="s">
        <v>22</v>
      </c>
      <c r="E4319">
        <v>2.5299999999999998</v>
      </c>
      <c r="F4319">
        <v>30</v>
      </c>
      <c r="G4319" t="s">
        <v>28</v>
      </c>
      <c r="H4319" t="s">
        <v>18</v>
      </c>
      <c r="I4319" s="2">
        <v>13.99</v>
      </c>
      <c r="J4319">
        <v>1</v>
      </c>
      <c r="K4319" s="2">
        <f t="shared" si="134"/>
        <v>13.99</v>
      </c>
      <c r="L4319" t="s">
        <v>37</v>
      </c>
      <c r="M4319">
        <v>3</v>
      </c>
      <c r="N4319">
        <v>0.08</v>
      </c>
      <c r="O4319" t="str">
        <f t="shared" si="135"/>
        <v>0–0.2 hours</v>
      </c>
      <c r="P4319" t="s">
        <v>47</v>
      </c>
    </row>
    <row r="4320" spans="1:16" x14ac:dyDescent="0.4">
      <c r="A4320" t="s">
        <v>4361</v>
      </c>
      <c r="B4320">
        <v>52</v>
      </c>
      <c r="C4320" t="s">
        <v>27</v>
      </c>
      <c r="D4320" t="s">
        <v>16</v>
      </c>
      <c r="E4320">
        <v>4.47</v>
      </c>
      <c r="F4320">
        <v>7</v>
      </c>
      <c r="G4320" t="s">
        <v>70</v>
      </c>
      <c r="H4320" t="s">
        <v>57</v>
      </c>
      <c r="I4320" s="2">
        <v>8.99</v>
      </c>
      <c r="J4320">
        <v>1</v>
      </c>
      <c r="K4320" s="2">
        <f t="shared" si="134"/>
        <v>8.99</v>
      </c>
      <c r="L4320" t="s">
        <v>37</v>
      </c>
      <c r="M4320">
        <v>3</v>
      </c>
      <c r="N4320">
        <v>0.56000000000000005</v>
      </c>
      <c r="O4320" t="str">
        <f t="shared" si="135"/>
        <v>0.4–0.6 hours</v>
      </c>
      <c r="P4320" t="s">
        <v>20</v>
      </c>
    </row>
    <row r="4321" spans="1:16" x14ac:dyDescent="0.4">
      <c r="A4321" t="s">
        <v>4362</v>
      </c>
      <c r="B4321">
        <v>49</v>
      </c>
      <c r="C4321" t="s">
        <v>15</v>
      </c>
      <c r="D4321" t="s">
        <v>22</v>
      </c>
      <c r="E4321">
        <v>9.01</v>
      </c>
      <c r="F4321">
        <v>31</v>
      </c>
      <c r="G4321" t="s">
        <v>23</v>
      </c>
      <c r="H4321" t="s">
        <v>46</v>
      </c>
      <c r="I4321" s="2">
        <v>13.99</v>
      </c>
      <c r="J4321">
        <v>1</v>
      </c>
      <c r="K4321" s="2">
        <f t="shared" si="134"/>
        <v>13.99</v>
      </c>
      <c r="L4321" t="s">
        <v>43</v>
      </c>
      <c r="M4321">
        <v>3</v>
      </c>
      <c r="N4321">
        <v>0.28000000000000003</v>
      </c>
      <c r="O4321" t="str">
        <f t="shared" si="135"/>
        <v>0.2–0.4 hours</v>
      </c>
      <c r="P4321" t="s">
        <v>20</v>
      </c>
    </row>
    <row r="4322" spans="1:16" x14ac:dyDescent="0.4">
      <c r="A4322" t="s">
        <v>4363</v>
      </c>
      <c r="B4322">
        <v>55</v>
      </c>
      <c r="C4322" t="s">
        <v>41</v>
      </c>
      <c r="D4322" t="s">
        <v>16</v>
      </c>
      <c r="E4322">
        <v>12.56</v>
      </c>
      <c r="F4322">
        <v>46</v>
      </c>
      <c r="G4322" t="s">
        <v>28</v>
      </c>
      <c r="H4322" t="s">
        <v>46</v>
      </c>
      <c r="I4322" s="2">
        <v>8.99</v>
      </c>
      <c r="J4322">
        <v>1</v>
      </c>
      <c r="K4322" s="2">
        <f t="shared" si="134"/>
        <v>8.99</v>
      </c>
      <c r="L4322" t="s">
        <v>43</v>
      </c>
      <c r="M4322">
        <v>1</v>
      </c>
      <c r="N4322">
        <v>0.27</v>
      </c>
      <c r="O4322" t="str">
        <f t="shared" si="135"/>
        <v>0.2–0.4 hours</v>
      </c>
      <c r="P4322" t="s">
        <v>34</v>
      </c>
    </row>
    <row r="4323" spans="1:16" x14ac:dyDescent="0.4">
      <c r="A4323" t="s">
        <v>4364</v>
      </c>
      <c r="B4323">
        <v>54</v>
      </c>
      <c r="C4323" t="s">
        <v>41</v>
      </c>
      <c r="D4323" t="s">
        <v>16</v>
      </c>
      <c r="E4323">
        <v>8.4600000000000009</v>
      </c>
      <c r="F4323">
        <v>41</v>
      </c>
      <c r="G4323" t="s">
        <v>33</v>
      </c>
      <c r="H4323" t="s">
        <v>46</v>
      </c>
      <c r="I4323" s="2">
        <v>8.99</v>
      </c>
      <c r="J4323">
        <v>1</v>
      </c>
      <c r="K4323" s="2">
        <f t="shared" si="134"/>
        <v>8.99</v>
      </c>
      <c r="L4323" t="s">
        <v>43</v>
      </c>
      <c r="M4323">
        <v>2</v>
      </c>
      <c r="N4323">
        <v>0.2</v>
      </c>
      <c r="O4323" t="str">
        <f t="shared" si="135"/>
        <v>0–0.2 hours</v>
      </c>
      <c r="P4323" t="s">
        <v>39</v>
      </c>
    </row>
    <row r="4324" spans="1:16" x14ac:dyDescent="0.4">
      <c r="A4324" t="s">
        <v>4365</v>
      </c>
      <c r="B4324">
        <v>60</v>
      </c>
      <c r="C4324" t="s">
        <v>27</v>
      </c>
      <c r="D4324" t="s">
        <v>16</v>
      </c>
      <c r="E4324">
        <v>49.16</v>
      </c>
      <c r="F4324">
        <v>11</v>
      </c>
      <c r="G4324" t="s">
        <v>23</v>
      </c>
      <c r="H4324" t="s">
        <v>18</v>
      </c>
      <c r="I4324" s="2">
        <v>8.99</v>
      </c>
      <c r="J4324">
        <v>0</v>
      </c>
      <c r="K4324" s="2">
        <f t="shared" si="134"/>
        <v>0</v>
      </c>
      <c r="L4324" t="s">
        <v>37</v>
      </c>
      <c r="M4324">
        <v>3</v>
      </c>
      <c r="N4324">
        <v>4.0999999999999996</v>
      </c>
      <c r="O4324" t="str">
        <f t="shared" si="135"/>
        <v>1+ hours</v>
      </c>
      <c r="P4324" t="s">
        <v>52</v>
      </c>
    </row>
    <row r="4325" spans="1:16" x14ac:dyDescent="0.4">
      <c r="A4325" t="s">
        <v>4366</v>
      </c>
      <c r="B4325">
        <v>47</v>
      </c>
      <c r="C4325" t="s">
        <v>15</v>
      </c>
      <c r="D4325" t="s">
        <v>16</v>
      </c>
      <c r="E4325">
        <v>0.28999999999999998</v>
      </c>
      <c r="F4325">
        <v>10</v>
      </c>
      <c r="G4325" t="s">
        <v>17</v>
      </c>
      <c r="H4325" t="s">
        <v>24</v>
      </c>
      <c r="I4325" s="2">
        <v>8.99</v>
      </c>
      <c r="J4325">
        <v>1</v>
      </c>
      <c r="K4325" s="2">
        <f t="shared" si="134"/>
        <v>8.99</v>
      </c>
      <c r="L4325" t="s">
        <v>37</v>
      </c>
      <c r="M4325">
        <v>4</v>
      </c>
      <c r="N4325">
        <v>0.03</v>
      </c>
      <c r="O4325" t="str">
        <f t="shared" si="135"/>
        <v>0–0.2 hours</v>
      </c>
      <c r="P4325" t="s">
        <v>34</v>
      </c>
    </row>
    <row r="4326" spans="1:16" x14ac:dyDescent="0.4">
      <c r="A4326" t="s">
        <v>4367</v>
      </c>
      <c r="B4326">
        <v>26</v>
      </c>
      <c r="C4326" t="s">
        <v>41</v>
      </c>
      <c r="D4326" t="s">
        <v>22</v>
      </c>
      <c r="E4326">
        <v>2.87</v>
      </c>
      <c r="F4326">
        <v>50</v>
      </c>
      <c r="G4326" t="s">
        <v>17</v>
      </c>
      <c r="H4326" t="s">
        <v>55</v>
      </c>
      <c r="I4326" s="2">
        <v>13.99</v>
      </c>
      <c r="J4326">
        <v>1</v>
      </c>
      <c r="K4326" s="2">
        <f t="shared" si="134"/>
        <v>13.99</v>
      </c>
      <c r="L4326" t="s">
        <v>43</v>
      </c>
      <c r="M4326">
        <v>3</v>
      </c>
      <c r="N4326">
        <v>0.06</v>
      </c>
      <c r="O4326" t="str">
        <f t="shared" si="135"/>
        <v>0–0.2 hours</v>
      </c>
      <c r="P4326" t="s">
        <v>30</v>
      </c>
    </row>
    <row r="4327" spans="1:16" x14ac:dyDescent="0.4">
      <c r="A4327" t="s">
        <v>4368</v>
      </c>
      <c r="B4327">
        <v>50</v>
      </c>
      <c r="C4327" t="s">
        <v>27</v>
      </c>
      <c r="D4327" t="s">
        <v>16</v>
      </c>
      <c r="E4327">
        <v>18.3</v>
      </c>
      <c r="F4327">
        <v>25</v>
      </c>
      <c r="G4327" t="s">
        <v>70</v>
      </c>
      <c r="H4327" t="s">
        <v>24</v>
      </c>
      <c r="I4327" s="2">
        <v>8.99</v>
      </c>
      <c r="J4327">
        <v>0</v>
      </c>
      <c r="K4327" s="2">
        <f t="shared" si="134"/>
        <v>0</v>
      </c>
      <c r="L4327" t="s">
        <v>19</v>
      </c>
      <c r="M4327">
        <v>1</v>
      </c>
      <c r="N4327">
        <v>0.7</v>
      </c>
      <c r="O4327" t="str">
        <f t="shared" si="135"/>
        <v>0.6–0.8 hours</v>
      </c>
      <c r="P4327" t="s">
        <v>25</v>
      </c>
    </row>
    <row r="4328" spans="1:16" x14ac:dyDescent="0.4">
      <c r="A4328" t="s">
        <v>4369</v>
      </c>
      <c r="B4328">
        <v>44</v>
      </c>
      <c r="C4328" t="s">
        <v>15</v>
      </c>
      <c r="D4328" t="s">
        <v>16</v>
      </c>
      <c r="E4328">
        <v>5.85</v>
      </c>
      <c r="F4328">
        <v>5</v>
      </c>
      <c r="G4328" t="s">
        <v>28</v>
      </c>
      <c r="H4328" t="s">
        <v>57</v>
      </c>
      <c r="I4328" s="2">
        <v>8.99</v>
      </c>
      <c r="J4328">
        <v>0</v>
      </c>
      <c r="K4328" s="2">
        <f t="shared" si="134"/>
        <v>0</v>
      </c>
      <c r="L4328" t="s">
        <v>43</v>
      </c>
      <c r="M4328">
        <v>1</v>
      </c>
      <c r="N4328">
        <v>0.97</v>
      </c>
      <c r="O4328" t="str">
        <f t="shared" si="135"/>
        <v>0.8–1 hour</v>
      </c>
      <c r="P4328" t="s">
        <v>20</v>
      </c>
    </row>
    <row r="4329" spans="1:16" x14ac:dyDescent="0.4">
      <c r="A4329" t="s">
        <v>4370</v>
      </c>
      <c r="B4329">
        <v>60</v>
      </c>
      <c r="C4329" t="s">
        <v>41</v>
      </c>
      <c r="D4329" t="s">
        <v>22</v>
      </c>
      <c r="E4329">
        <v>15.15</v>
      </c>
      <c r="F4329">
        <v>37</v>
      </c>
      <c r="G4329" t="s">
        <v>23</v>
      </c>
      <c r="H4329" t="s">
        <v>18</v>
      </c>
      <c r="I4329" s="2">
        <v>13.99</v>
      </c>
      <c r="J4329">
        <v>1</v>
      </c>
      <c r="K4329" s="2">
        <f t="shared" si="134"/>
        <v>13.99</v>
      </c>
      <c r="L4329" t="s">
        <v>29</v>
      </c>
      <c r="M4329">
        <v>2</v>
      </c>
      <c r="N4329">
        <v>0.4</v>
      </c>
      <c r="O4329" t="str">
        <f t="shared" si="135"/>
        <v>0.2–0.4 hours</v>
      </c>
      <c r="P4329" t="s">
        <v>39</v>
      </c>
    </row>
    <row r="4330" spans="1:16" x14ac:dyDescent="0.4">
      <c r="A4330" t="s">
        <v>4371</v>
      </c>
      <c r="B4330">
        <v>41</v>
      </c>
      <c r="C4330" t="s">
        <v>15</v>
      </c>
      <c r="D4330" t="s">
        <v>32</v>
      </c>
      <c r="E4330">
        <v>2.4900000000000002</v>
      </c>
      <c r="F4330">
        <v>26</v>
      </c>
      <c r="G4330" t="s">
        <v>23</v>
      </c>
      <c r="H4330" t="s">
        <v>18</v>
      </c>
      <c r="I4330" s="2">
        <v>17.989999999999998</v>
      </c>
      <c r="J4330">
        <v>1</v>
      </c>
      <c r="K4330" s="2">
        <f t="shared" si="134"/>
        <v>17.989999999999998</v>
      </c>
      <c r="L4330" t="s">
        <v>29</v>
      </c>
      <c r="M4330">
        <v>2</v>
      </c>
      <c r="N4330">
        <v>0.09</v>
      </c>
      <c r="O4330" t="str">
        <f t="shared" si="135"/>
        <v>0–0.2 hours</v>
      </c>
      <c r="P4330" t="s">
        <v>20</v>
      </c>
    </row>
    <row r="4331" spans="1:16" x14ac:dyDescent="0.4">
      <c r="A4331" t="s">
        <v>4372</v>
      </c>
      <c r="B4331">
        <v>40</v>
      </c>
      <c r="C4331" t="s">
        <v>41</v>
      </c>
      <c r="D4331" t="s">
        <v>16</v>
      </c>
      <c r="E4331">
        <v>14.79</v>
      </c>
      <c r="F4331">
        <v>15</v>
      </c>
      <c r="G4331" t="s">
        <v>23</v>
      </c>
      <c r="H4331" t="s">
        <v>18</v>
      </c>
      <c r="I4331" s="2">
        <v>8.99</v>
      </c>
      <c r="J4331">
        <v>0</v>
      </c>
      <c r="K4331" s="2">
        <f t="shared" si="134"/>
        <v>0</v>
      </c>
      <c r="L4331" t="s">
        <v>61</v>
      </c>
      <c r="M4331">
        <v>1</v>
      </c>
      <c r="N4331">
        <v>0.92</v>
      </c>
      <c r="O4331" t="str">
        <f t="shared" si="135"/>
        <v>0.8–1 hour</v>
      </c>
      <c r="P4331" t="s">
        <v>25</v>
      </c>
    </row>
    <row r="4332" spans="1:16" x14ac:dyDescent="0.4">
      <c r="A4332" t="s">
        <v>4373</v>
      </c>
      <c r="B4332">
        <v>42</v>
      </c>
      <c r="C4332" t="s">
        <v>15</v>
      </c>
      <c r="D4332" t="s">
        <v>16</v>
      </c>
      <c r="E4332">
        <v>0.33</v>
      </c>
      <c r="F4332">
        <v>43</v>
      </c>
      <c r="G4332" t="s">
        <v>33</v>
      </c>
      <c r="H4332" t="s">
        <v>18</v>
      </c>
      <c r="I4332" s="2">
        <v>8.99</v>
      </c>
      <c r="J4332">
        <v>1</v>
      </c>
      <c r="K4332" s="2">
        <f t="shared" si="134"/>
        <v>8.99</v>
      </c>
      <c r="L4332" t="s">
        <v>19</v>
      </c>
      <c r="M4332">
        <v>2</v>
      </c>
      <c r="N4332">
        <v>0.01</v>
      </c>
      <c r="O4332" t="str">
        <f t="shared" si="135"/>
        <v>0–0.2 hours</v>
      </c>
      <c r="P4332" t="s">
        <v>52</v>
      </c>
    </row>
    <row r="4333" spans="1:16" x14ac:dyDescent="0.4">
      <c r="A4333" t="s">
        <v>4374</v>
      </c>
      <c r="B4333">
        <v>34</v>
      </c>
      <c r="C4333" t="s">
        <v>27</v>
      </c>
      <c r="D4333" t="s">
        <v>32</v>
      </c>
      <c r="E4333">
        <v>1.56</v>
      </c>
      <c r="F4333">
        <v>8</v>
      </c>
      <c r="G4333" t="s">
        <v>70</v>
      </c>
      <c r="H4333" t="s">
        <v>57</v>
      </c>
      <c r="I4333" s="2">
        <v>17.989999999999998</v>
      </c>
      <c r="J4333">
        <v>1</v>
      </c>
      <c r="K4333" s="2">
        <f t="shared" si="134"/>
        <v>17.989999999999998</v>
      </c>
      <c r="L4333" t="s">
        <v>43</v>
      </c>
      <c r="M4333">
        <v>3</v>
      </c>
      <c r="N4333">
        <v>0.17</v>
      </c>
      <c r="O4333" t="str">
        <f t="shared" si="135"/>
        <v>0–0.2 hours</v>
      </c>
      <c r="P4333" t="s">
        <v>34</v>
      </c>
    </row>
    <row r="4334" spans="1:16" x14ac:dyDescent="0.4">
      <c r="A4334" t="s">
        <v>4375</v>
      </c>
      <c r="B4334">
        <v>24</v>
      </c>
      <c r="C4334" t="s">
        <v>15</v>
      </c>
      <c r="D4334" t="s">
        <v>16</v>
      </c>
      <c r="E4334">
        <v>2.42</v>
      </c>
      <c r="F4334">
        <v>24</v>
      </c>
      <c r="G4334" t="s">
        <v>17</v>
      </c>
      <c r="H4334" t="s">
        <v>57</v>
      </c>
      <c r="I4334" s="2">
        <v>8.99</v>
      </c>
      <c r="J4334">
        <v>1</v>
      </c>
      <c r="K4334" s="2">
        <f t="shared" si="134"/>
        <v>8.99</v>
      </c>
      <c r="L4334" t="s">
        <v>43</v>
      </c>
      <c r="M4334">
        <v>3</v>
      </c>
      <c r="N4334">
        <v>0.1</v>
      </c>
      <c r="O4334" t="str">
        <f t="shared" si="135"/>
        <v>0–0.2 hours</v>
      </c>
      <c r="P4334" t="s">
        <v>34</v>
      </c>
    </row>
    <row r="4335" spans="1:16" x14ac:dyDescent="0.4">
      <c r="A4335" t="s">
        <v>4376</v>
      </c>
      <c r="B4335">
        <v>24</v>
      </c>
      <c r="C4335" t="s">
        <v>41</v>
      </c>
      <c r="D4335" t="s">
        <v>32</v>
      </c>
      <c r="E4335">
        <v>6.65</v>
      </c>
      <c r="F4335">
        <v>7</v>
      </c>
      <c r="G4335" t="s">
        <v>23</v>
      </c>
      <c r="H4335" t="s">
        <v>24</v>
      </c>
      <c r="I4335" s="2">
        <v>17.989999999999998</v>
      </c>
      <c r="J4335">
        <v>0</v>
      </c>
      <c r="K4335" s="2">
        <f t="shared" si="134"/>
        <v>0</v>
      </c>
      <c r="L4335" t="s">
        <v>29</v>
      </c>
      <c r="M4335">
        <v>4</v>
      </c>
      <c r="N4335">
        <v>0.83</v>
      </c>
      <c r="O4335" t="str">
        <f t="shared" si="135"/>
        <v>0.8–1 hour</v>
      </c>
      <c r="P4335" t="s">
        <v>34</v>
      </c>
    </row>
    <row r="4336" spans="1:16" x14ac:dyDescent="0.4">
      <c r="A4336" t="s">
        <v>4377</v>
      </c>
      <c r="B4336">
        <v>70</v>
      </c>
      <c r="C4336" t="s">
        <v>15</v>
      </c>
      <c r="D4336" t="s">
        <v>22</v>
      </c>
      <c r="E4336">
        <v>18.5</v>
      </c>
      <c r="F4336">
        <v>54</v>
      </c>
      <c r="G4336" t="s">
        <v>33</v>
      </c>
      <c r="H4336" t="s">
        <v>24</v>
      </c>
      <c r="I4336" s="2">
        <v>13.99</v>
      </c>
      <c r="J4336">
        <v>0</v>
      </c>
      <c r="K4336" s="2">
        <f t="shared" si="134"/>
        <v>0</v>
      </c>
      <c r="L4336" t="s">
        <v>37</v>
      </c>
      <c r="M4336">
        <v>4</v>
      </c>
      <c r="N4336">
        <v>0.34</v>
      </c>
      <c r="O4336" t="str">
        <f t="shared" si="135"/>
        <v>0.2–0.4 hours</v>
      </c>
      <c r="P4336" t="s">
        <v>20</v>
      </c>
    </row>
    <row r="4337" spans="1:16" x14ac:dyDescent="0.4">
      <c r="A4337" t="s">
        <v>4378</v>
      </c>
      <c r="B4337">
        <v>52</v>
      </c>
      <c r="C4337" t="s">
        <v>41</v>
      </c>
      <c r="D4337" t="s">
        <v>16</v>
      </c>
      <c r="E4337">
        <v>2.61</v>
      </c>
      <c r="F4337">
        <v>51</v>
      </c>
      <c r="G4337" t="s">
        <v>70</v>
      </c>
      <c r="H4337" t="s">
        <v>55</v>
      </c>
      <c r="I4337" s="2">
        <v>8.99</v>
      </c>
      <c r="J4337">
        <v>1</v>
      </c>
      <c r="K4337" s="2">
        <f t="shared" si="134"/>
        <v>8.99</v>
      </c>
      <c r="L4337" t="s">
        <v>29</v>
      </c>
      <c r="M4337">
        <v>5</v>
      </c>
      <c r="N4337">
        <v>0.05</v>
      </c>
      <c r="O4337" t="str">
        <f t="shared" si="135"/>
        <v>0–0.2 hours</v>
      </c>
      <c r="P4337" t="s">
        <v>34</v>
      </c>
    </row>
    <row r="4338" spans="1:16" x14ac:dyDescent="0.4">
      <c r="A4338" t="s">
        <v>4379</v>
      </c>
      <c r="B4338">
        <v>36</v>
      </c>
      <c r="C4338" t="s">
        <v>27</v>
      </c>
      <c r="D4338" t="s">
        <v>32</v>
      </c>
      <c r="E4338">
        <v>17.329999999999998</v>
      </c>
      <c r="F4338">
        <v>21</v>
      </c>
      <c r="G4338" t="s">
        <v>49</v>
      </c>
      <c r="H4338" t="s">
        <v>24</v>
      </c>
      <c r="I4338" s="2">
        <v>17.989999999999998</v>
      </c>
      <c r="J4338">
        <v>0</v>
      </c>
      <c r="K4338" s="2">
        <f t="shared" si="134"/>
        <v>0</v>
      </c>
      <c r="L4338" t="s">
        <v>29</v>
      </c>
      <c r="M4338">
        <v>4</v>
      </c>
      <c r="N4338">
        <v>0.79</v>
      </c>
      <c r="O4338" t="str">
        <f t="shared" si="135"/>
        <v>0.6–0.8 hours</v>
      </c>
      <c r="P4338" t="s">
        <v>30</v>
      </c>
    </row>
    <row r="4339" spans="1:16" x14ac:dyDescent="0.4">
      <c r="A4339" t="s">
        <v>4380</v>
      </c>
      <c r="B4339">
        <v>25</v>
      </c>
      <c r="C4339" t="s">
        <v>27</v>
      </c>
      <c r="D4339" t="s">
        <v>16</v>
      </c>
      <c r="E4339">
        <v>0.05</v>
      </c>
      <c r="F4339">
        <v>52</v>
      </c>
      <c r="G4339" t="s">
        <v>17</v>
      </c>
      <c r="H4339" t="s">
        <v>57</v>
      </c>
      <c r="I4339" s="2">
        <v>8.99</v>
      </c>
      <c r="J4339">
        <v>1</v>
      </c>
      <c r="K4339" s="2">
        <f t="shared" si="134"/>
        <v>8.99</v>
      </c>
      <c r="L4339" t="s">
        <v>37</v>
      </c>
      <c r="M4339">
        <v>1</v>
      </c>
      <c r="N4339">
        <v>0</v>
      </c>
      <c r="O4339" t="str">
        <f t="shared" si="135"/>
        <v>0–0.2 hours</v>
      </c>
      <c r="P4339" t="s">
        <v>20</v>
      </c>
    </row>
    <row r="4340" spans="1:16" x14ac:dyDescent="0.4">
      <c r="A4340" t="s">
        <v>4381</v>
      </c>
      <c r="B4340">
        <v>38</v>
      </c>
      <c r="C4340" t="s">
        <v>27</v>
      </c>
      <c r="D4340" t="s">
        <v>16</v>
      </c>
      <c r="E4340">
        <v>76.2</v>
      </c>
      <c r="F4340">
        <v>12</v>
      </c>
      <c r="G4340" t="s">
        <v>17</v>
      </c>
      <c r="H4340" t="s">
        <v>46</v>
      </c>
      <c r="I4340" s="2">
        <v>8.99</v>
      </c>
      <c r="J4340">
        <v>0</v>
      </c>
      <c r="K4340" s="2">
        <f t="shared" si="134"/>
        <v>0</v>
      </c>
      <c r="L4340" t="s">
        <v>29</v>
      </c>
      <c r="M4340">
        <v>5</v>
      </c>
      <c r="N4340">
        <v>5.86</v>
      </c>
      <c r="O4340" t="str">
        <f t="shared" si="135"/>
        <v>1+ hours</v>
      </c>
      <c r="P4340" t="s">
        <v>39</v>
      </c>
    </row>
    <row r="4341" spans="1:16" x14ac:dyDescent="0.4">
      <c r="A4341" t="s">
        <v>4382</v>
      </c>
      <c r="B4341">
        <v>58</v>
      </c>
      <c r="C4341" t="s">
        <v>27</v>
      </c>
      <c r="D4341" t="s">
        <v>32</v>
      </c>
      <c r="E4341">
        <v>17.93</v>
      </c>
      <c r="F4341">
        <v>7</v>
      </c>
      <c r="G4341" t="s">
        <v>23</v>
      </c>
      <c r="H4341" t="s">
        <v>46</v>
      </c>
      <c r="I4341" s="2">
        <v>17.989999999999998</v>
      </c>
      <c r="J4341">
        <v>0</v>
      </c>
      <c r="K4341" s="2">
        <f t="shared" si="134"/>
        <v>0</v>
      </c>
      <c r="L4341" t="s">
        <v>61</v>
      </c>
      <c r="M4341">
        <v>1</v>
      </c>
      <c r="N4341">
        <v>2.2400000000000002</v>
      </c>
      <c r="O4341" t="str">
        <f t="shared" si="135"/>
        <v>1+ hours</v>
      </c>
      <c r="P4341" t="s">
        <v>52</v>
      </c>
    </row>
    <row r="4342" spans="1:16" x14ac:dyDescent="0.4">
      <c r="A4342" t="s">
        <v>4383</v>
      </c>
      <c r="B4342">
        <v>19</v>
      </c>
      <c r="C4342" t="s">
        <v>27</v>
      </c>
      <c r="D4342" t="s">
        <v>32</v>
      </c>
      <c r="E4342">
        <v>17.12</v>
      </c>
      <c r="F4342">
        <v>11</v>
      </c>
      <c r="G4342" t="s">
        <v>23</v>
      </c>
      <c r="H4342" t="s">
        <v>18</v>
      </c>
      <c r="I4342" s="2">
        <v>17.989999999999998</v>
      </c>
      <c r="J4342">
        <v>0</v>
      </c>
      <c r="K4342" s="2">
        <f t="shared" si="134"/>
        <v>0</v>
      </c>
      <c r="L4342" t="s">
        <v>61</v>
      </c>
      <c r="M4342">
        <v>1</v>
      </c>
      <c r="N4342">
        <v>1.43</v>
      </c>
      <c r="O4342" t="str">
        <f t="shared" si="135"/>
        <v>1+ hours</v>
      </c>
      <c r="P4342" t="s">
        <v>25</v>
      </c>
    </row>
    <row r="4343" spans="1:16" x14ac:dyDescent="0.4">
      <c r="A4343" t="s">
        <v>4384</v>
      </c>
      <c r="B4343">
        <v>54</v>
      </c>
      <c r="C4343" t="s">
        <v>15</v>
      </c>
      <c r="D4343" t="s">
        <v>16</v>
      </c>
      <c r="E4343">
        <v>11.19</v>
      </c>
      <c r="F4343">
        <v>27</v>
      </c>
      <c r="G4343" t="s">
        <v>49</v>
      </c>
      <c r="H4343" t="s">
        <v>18</v>
      </c>
      <c r="I4343" s="2">
        <v>8.99</v>
      </c>
      <c r="J4343">
        <v>1</v>
      </c>
      <c r="K4343" s="2">
        <f t="shared" si="134"/>
        <v>8.99</v>
      </c>
      <c r="L4343" t="s">
        <v>19</v>
      </c>
      <c r="M4343">
        <v>1</v>
      </c>
      <c r="N4343">
        <v>0.4</v>
      </c>
      <c r="O4343" t="str">
        <f t="shared" si="135"/>
        <v>0.2–0.4 hours</v>
      </c>
      <c r="P4343" t="s">
        <v>47</v>
      </c>
    </row>
    <row r="4344" spans="1:16" x14ac:dyDescent="0.4">
      <c r="A4344" t="s">
        <v>4385</v>
      </c>
      <c r="B4344">
        <v>26</v>
      </c>
      <c r="C4344" t="s">
        <v>15</v>
      </c>
      <c r="D4344" t="s">
        <v>22</v>
      </c>
      <c r="E4344">
        <v>9.6</v>
      </c>
      <c r="F4344">
        <v>18</v>
      </c>
      <c r="G4344" t="s">
        <v>33</v>
      </c>
      <c r="H4344" t="s">
        <v>55</v>
      </c>
      <c r="I4344" s="2">
        <v>13.99</v>
      </c>
      <c r="J4344">
        <v>0</v>
      </c>
      <c r="K4344" s="2">
        <f t="shared" si="134"/>
        <v>0</v>
      </c>
      <c r="L4344" t="s">
        <v>29</v>
      </c>
      <c r="M4344">
        <v>4</v>
      </c>
      <c r="N4344">
        <v>0.51</v>
      </c>
      <c r="O4344" t="str">
        <f t="shared" si="135"/>
        <v>0.4–0.6 hours</v>
      </c>
      <c r="P4344" t="s">
        <v>34</v>
      </c>
    </row>
    <row r="4345" spans="1:16" x14ac:dyDescent="0.4">
      <c r="A4345" t="s">
        <v>4386</v>
      </c>
      <c r="B4345">
        <v>23</v>
      </c>
      <c r="C4345" t="s">
        <v>15</v>
      </c>
      <c r="D4345" t="s">
        <v>32</v>
      </c>
      <c r="E4345">
        <v>30.22</v>
      </c>
      <c r="F4345">
        <v>27</v>
      </c>
      <c r="G4345" t="s">
        <v>49</v>
      </c>
      <c r="H4345" t="s">
        <v>55</v>
      </c>
      <c r="I4345" s="2">
        <v>17.989999999999998</v>
      </c>
      <c r="J4345">
        <v>0</v>
      </c>
      <c r="K4345" s="2">
        <f t="shared" si="134"/>
        <v>0</v>
      </c>
      <c r="L4345" t="s">
        <v>19</v>
      </c>
      <c r="M4345">
        <v>1</v>
      </c>
      <c r="N4345">
        <v>1.08</v>
      </c>
      <c r="O4345" t="str">
        <f t="shared" si="135"/>
        <v>1+ hours</v>
      </c>
      <c r="P4345" t="s">
        <v>25</v>
      </c>
    </row>
    <row r="4346" spans="1:16" x14ac:dyDescent="0.4">
      <c r="A4346" t="s">
        <v>4387</v>
      </c>
      <c r="B4346">
        <v>25</v>
      </c>
      <c r="C4346" t="s">
        <v>41</v>
      </c>
      <c r="D4346" t="s">
        <v>16</v>
      </c>
      <c r="E4346">
        <v>12.69</v>
      </c>
      <c r="F4346">
        <v>39</v>
      </c>
      <c r="G4346" t="s">
        <v>23</v>
      </c>
      <c r="H4346" t="s">
        <v>24</v>
      </c>
      <c r="I4346" s="2">
        <v>8.99</v>
      </c>
      <c r="J4346">
        <v>1</v>
      </c>
      <c r="K4346" s="2">
        <f t="shared" si="134"/>
        <v>8.99</v>
      </c>
      <c r="L4346" t="s">
        <v>61</v>
      </c>
      <c r="M4346">
        <v>3</v>
      </c>
      <c r="N4346">
        <v>0.32</v>
      </c>
      <c r="O4346" t="str">
        <f t="shared" si="135"/>
        <v>0.2–0.4 hours</v>
      </c>
      <c r="P4346" t="s">
        <v>25</v>
      </c>
    </row>
    <row r="4347" spans="1:16" x14ac:dyDescent="0.4">
      <c r="A4347" t="s">
        <v>4388</v>
      </c>
      <c r="B4347">
        <v>18</v>
      </c>
      <c r="C4347" t="s">
        <v>41</v>
      </c>
      <c r="D4347" t="s">
        <v>16</v>
      </c>
      <c r="E4347">
        <v>29.27</v>
      </c>
      <c r="F4347">
        <v>45</v>
      </c>
      <c r="G4347" t="s">
        <v>28</v>
      </c>
      <c r="H4347" t="s">
        <v>46</v>
      </c>
      <c r="I4347" s="2">
        <v>8.99</v>
      </c>
      <c r="J4347">
        <v>1</v>
      </c>
      <c r="K4347" s="2">
        <f t="shared" si="134"/>
        <v>8.99</v>
      </c>
      <c r="L4347" t="s">
        <v>29</v>
      </c>
      <c r="M4347">
        <v>1</v>
      </c>
      <c r="N4347">
        <v>0.64</v>
      </c>
      <c r="O4347" t="str">
        <f t="shared" si="135"/>
        <v>0.6–0.8 hours</v>
      </c>
      <c r="P4347" t="s">
        <v>25</v>
      </c>
    </row>
    <row r="4348" spans="1:16" x14ac:dyDescent="0.4">
      <c r="A4348" t="s">
        <v>4389</v>
      </c>
      <c r="B4348">
        <v>44</v>
      </c>
      <c r="C4348" t="s">
        <v>27</v>
      </c>
      <c r="D4348" t="s">
        <v>16</v>
      </c>
      <c r="E4348">
        <v>40.75</v>
      </c>
      <c r="F4348">
        <v>9</v>
      </c>
      <c r="G4348" t="s">
        <v>49</v>
      </c>
      <c r="H4348" t="s">
        <v>55</v>
      </c>
      <c r="I4348" s="2">
        <v>8.99</v>
      </c>
      <c r="J4348">
        <v>0</v>
      </c>
      <c r="K4348" s="2">
        <f t="shared" si="134"/>
        <v>0</v>
      </c>
      <c r="L4348" t="s">
        <v>19</v>
      </c>
      <c r="M4348">
        <v>1</v>
      </c>
      <c r="N4348">
        <v>4.08</v>
      </c>
      <c r="O4348" t="str">
        <f t="shared" si="135"/>
        <v>1+ hours</v>
      </c>
      <c r="P4348" t="s">
        <v>52</v>
      </c>
    </row>
    <row r="4349" spans="1:16" x14ac:dyDescent="0.4">
      <c r="A4349" t="s">
        <v>4390</v>
      </c>
      <c r="B4349">
        <v>56</v>
      </c>
      <c r="C4349" t="s">
        <v>41</v>
      </c>
      <c r="D4349" t="s">
        <v>16</v>
      </c>
      <c r="E4349">
        <v>15.94</v>
      </c>
      <c r="F4349">
        <v>12</v>
      </c>
      <c r="G4349" t="s">
        <v>70</v>
      </c>
      <c r="H4349" t="s">
        <v>18</v>
      </c>
      <c r="I4349" s="2">
        <v>8.99</v>
      </c>
      <c r="J4349">
        <v>0</v>
      </c>
      <c r="K4349" s="2">
        <f t="shared" si="134"/>
        <v>0</v>
      </c>
      <c r="L4349" t="s">
        <v>19</v>
      </c>
      <c r="M4349">
        <v>2</v>
      </c>
      <c r="N4349">
        <v>1.23</v>
      </c>
      <c r="O4349" t="str">
        <f t="shared" si="135"/>
        <v>1+ hours</v>
      </c>
      <c r="P4349" t="s">
        <v>52</v>
      </c>
    </row>
    <row r="4350" spans="1:16" x14ac:dyDescent="0.4">
      <c r="A4350" t="s">
        <v>4391</v>
      </c>
      <c r="B4350">
        <v>63</v>
      </c>
      <c r="C4350" t="s">
        <v>41</v>
      </c>
      <c r="D4350" t="s">
        <v>16</v>
      </c>
      <c r="E4350">
        <v>27.89</v>
      </c>
      <c r="F4350">
        <v>30</v>
      </c>
      <c r="G4350" t="s">
        <v>28</v>
      </c>
      <c r="H4350" t="s">
        <v>55</v>
      </c>
      <c r="I4350" s="2">
        <v>8.99</v>
      </c>
      <c r="J4350">
        <v>0</v>
      </c>
      <c r="K4350" s="2">
        <f t="shared" si="134"/>
        <v>0</v>
      </c>
      <c r="L4350" t="s">
        <v>37</v>
      </c>
      <c r="M4350">
        <v>4</v>
      </c>
      <c r="N4350">
        <v>0.9</v>
      </c>
      <c r="O4350" t="str">
        <f t="shared" si="135"/>
        <v>0.8–1 hour</v>
      </c>
      <c r="P4350" t="s">
        <v>39</v>
      </c>
    </row>
    <row r="4351" spans="1:16" x14ac:dyDescent="0.4">
      <c r="A4351" t="s">
        <v>4392</v>
      </c>
      <c r="B4351">
        <v>70</v>
      </c>
      <c r="C4351" t="s">
        <v>41</v>
      </c>
      <c r="D4351" t="s">
        <v>22</v>
      </c>
      <c r="E4351">
        <v>24.78</v>
      </c>
      <c r="F4351">
        <v>19</v>
      </c>
      <c r="G4351" t="s">
        <v>70</v>
      </c>
      <c r="H4351" t="s">
        <v>46</v>
      </c>
      <c r="I4351" s="2">
        <v>13.99</v>
      </c>
      <c r="J4351">
        <v>0</v>
      </c>
      <c r="K4351" s="2">
        <f t="shared" si="134"/>
        <v>0</v>
      </c>
      <c r="L4351" t="s">
        <v>19</v>
      </c>
      <c r="M4351">
        <v>1</v>
      </c>
      <c r="N4351">
        <v>1.24</v>
      </c>
      <c r="O4351" t="str">
        <f t="shared" si="135"/>
        <v>1+ hours</v>
      </c>
      <c r="P4351" t="s">
        <v>25</v>
      </c>
    </row>
    <row r="4352" spans="1:16" x14ac:dyDescent="0.4">
      <c r="A4352" t="s">
        <v>4393</v>
      </c>
      <c r="B4352">
        <v>53</v>
      </c>
      <c r="C4352" t="s">
        <v>41</v>
      </c>
      <c r="D4352" t="s">
        <v>32</v>
      </c>
      <c r="E4352">
        <v>27.97</v>
      </c>
      <c r="F4352">
        <v>35</v>
      </c>
      <c r="G4352" t="s">
        <v>17</v>
      </c>
      <c r="H4352" t="s">
        <v>55</v>
      </c>
      <c r="I4352" s="2">
        <v>17.989999999999998</v>
      </c>
      <c r="J4352">
        <v>0</v>
      </c>
      <c r="K4352" s="2">
        <f t="shared" si="134"/>
        <v>0</v>
      </c>
      <c r="L4352" t="s">
        <v>29</v>
      </c>
      <c r="M4352">
        <v>1</v>
      </c>
      <c r="N4352">
        <v>0.78</v>
      </c>
      <c r="O4352" t="str">
        <f t="shared" si="135"/>
        <v>0.6–0.8 hours</v>
      </c>
      <c r="P4352" t="s">
        <v>52</v>
      </c>
    </row>
    <row r="4353" spans="1:16" x14ac:dyDescent="0.4">
      <c r="A4353" t="s">
        <v>4394</v>
      </c>
      <c r="B4353">
        <v>61</v>
      </c>
      <c r="C4353" t="s">
        <v>27</v>
      </c>
      <c r="D4353" t="s">
        <v>32</v>
      </c>
      <c r="E4353">
        <v>16.07</v>
      </c>
      <c r="F4353">
        <v>32</v>
      </c>
      <c r="G4353" t="s">
        <v>28</v>
      </c>
      <c r="H4353" t="s">
        <v>55</v>
      </c>
      <c r="I4353" s="2">
        <v>17.989999999999998</v>
      </c>
      <c r="J4353">
        <v>1</v>
      </c>
      <c r="K4353" s="2">
        <f t="shared" si="134"/>
        <v>17.989999999999998</v>
      </c>
      <c r="L4353" t="s">
        <v>19</v>
      </c>
      <c r="M4353">
        <v>5</v>
      </c>
      <c r="N4353">
        <v>0.49</v>
      </c>
      <c r="O4353" t="str">
        <f t="shared" si="135"/>
        <v>0.4–0.6 hours</v>
      </c>
      <c r="P4353" t="s">
        <v>20</v>
      </c>
    </row>
    <row r="4354" spans="1:16" x14ac:dyDescent="0.4">
      <c r="A4354" t="s">
        <v>4395</v>
      </c>
      <c r="B4354">
        <v>59</v>
      </c>
      <c r="C4354" t="s">
        <v>27</v>
      </c>
      <c r="D4354" t="s">
        <v>22</v>
      </c>
      <c r="E4354">
        <v>0.32</v>
      </c>
      <c r="F4354">
        <v>29</v>
      </c>
      <c r="G4354" t="s">
        <v>17</v>
      </c>
      <c r="H4354" t="s">
        <v>24</v>
      </c>
      <c r="I4354" s="2">
        <v>13.99</v>
      </c>
      <c r="J4354">
        <v>0</v>
      </c>
      <c r="K4354" s="2">
        <f t="shared" si="134"/>
        <v>0</v>
      </c>
      <c r="L4354" t="s">
        <v>37</v>
      </c>
      <c r="M4354">
        <v>4</v>
      </c>
      <c r="N4354">
        <v>0.01</v>
      </c>
      <c r="O4354" t="str">
        <f t="shared" si="135"/>
        <v>0–0.2 hours</v>
      </c>
      <c r="P4354" t="s">
        <v>34</v>
      </c>
    </row>
    <row r="4355" spans="1:16" x14ac:dyDescent="0.4">
      <c r="A4355" t="s">
        <v>4396</v>
      </c>
      <c r="B4355">
        <v>31</v>
      </c>
      <c r="C4355" t="s">
        <v>41</v>
      </c>
      <c r="D4355" t="s">
        <v>16</v>
      </c>
      <c r="E4355">
        <v>2.85</v>
      </c>
      <c r="F4355">
        <v>5</v>
      </c>
      <c r="G4355" t="s">
        <v>33</v>
      </c>
      <c r="H4355" t="s">
        <v>24</v>
      </c>
      <c r="I4355" s="2">
        <v>8.99</v>
      </c>
      <c r="J4355">
        <v>1</v>
      </c>
      <c r="K4355" s="2">
        <f t="shared" ref="K4355:K4418" si="136">SUMIF(J4355,1,I4355)</f>
        <v>8.99</v>
      </c>
      <c r="L4355" t="s">
        <v>37</v>
      </c>
      <c r="M4355">
        <v>5</v>
      </c>
      <c r="N4355">
        <v>0.48</v>
      </c>
      <c r="O4355" t="str">
        <f t="shared" ref="O4355:O4418" si="137">IF(N4355&gt;1,"1+ hours",IF(N4355&lt;=0.2,"0–0.2 hours",IF(N4355&lt;=0.4,"0.2–0.4 hours",IF(N4355&lt;=0.6,"0.4–0.6 hours",IF(N4355&lt;=0.8,"0.6–0.8 hours","0.8–1 hour")))))</f>
        <v>0.4–0.6 hours</v>
      </c>
      <c r="P4355" t="s">
        <v>34</v>
      </c>
    </row>
    <row r="4356" spans="1:16" x14ac:dyDescent="0.4">
      <c r="A4356" t="s">
        <v>4397</v>
      </c>
      <c r="B4356">
        <v>44</v>
      </c>
      <c r="C4356" t="s">
        <v>15</v>
      </c>
      <c r="D4356" t="s">
        <v>32</v>
      </c>
      <c r="E4356">
        <v>6.78</v>
      </c>
      <c r="F4356">
        <v>6</v>
      </c>
      <c r="G4356" t="s">
        <v>17</v>
      </c>
      <c r="H4356" t="s">
        <v>46</v>
      </c>
      <c r="I4356" s="2">
        <v>17.989999999999998</v>
      </c>
      <c r="J4356">
        <v>0</v>
      </c>
      <c r="K4356" s="2">
        <f t="shared" si="136"/>
        <v>0</v>
      </c>
      <c r="L4356" t="s">
        <v>43</v>
      </c>
      <c r="M4356">
        <v>5</v>
      </c>
      <c r="N4356">
        <v>0.97</v>
      </c>
      <c r="O4356" t="str">
        <f t="shared" si="137"/>
        <v>0.8–1 hour</v>
      </c>
      <c r="P4356" t="s">
        <v>20</v>
      </c>
    </row>
    <row r="4357" spans="1:16" x14ac:dyDescent="0.4">
      <c r="A4357" t="s">
        <v>4398</v>
      </c>
      <c r="B4357">
        <v>18</v>
      </c>
      <c r="C4357" t="s">
        <v>27</v>
      </c>
      <c r="D4357" t="s">
        <v>32</v>
      </c>
      <c r="E4357">
        <v>12.95</v>
      </c>
      <c r="F4357">
        <v>39</v>
      </c>
      <c r="G4357" t="s">
        <v>70</v>
      </c>
      <c r="H4357" t="s">
        <v>18</v>
      </c>
      <c r="I4357" s="2">
        <v>17.989999999999998</v>
      </c>
      <c r="J4357">
        <v>1</v>
      </c>
      <c r="K4357" s="2">
        <f t="shared" si="136"/>
        <v>17.989999999999998</v>
      </c>
      <c r="L4357" t="s">
        <v>19</v>
      </c>
      <c r="M4357">
        <v>4</v>
      </c>
      <c r="N4357">
        <v>0.32</v>
      </c>
      <c r="O4357" t="str">
        <f t="shared" si="137"/>
        <v>0.2–0.4 hours</v>
      </c>
      <c r="P4357" t="s">
        <v>39</v>
      </c>
    </row>
    <row r="4358" spans="1:16" x14ac:dyDescent="0.4">
      <c r="A4358" t="s">
        <v>4399</v>
      </c>
      <c r="B4358">
        <v>64</v>
      </c>
      <c r="C4358" t="s">
        <v>27</v>
      </c>
      <c r="D4358" t="s">
        <v>16</v>
      </c>
      <c r="E4358">
        <v>1.74</v>
      </c>
      <c r="F4358">
        <v>20</v>
      </c>
      <c r="G4358" t="s">
        <v>23</v>
      </c>
      <c r="H4358" t="s">
        <v>46</v>
      </c>
      <c r="I4358" s="2">
        <v>8.99</v>
      </c>
      <c r="J4358">
        <v>1</v>
      </c>
      <c r="K4358" s="2">
        <f t="shared" si="136"/>
        <v>8.99</v>
      </c>
      <c r="L4358" t="s">
        <v>37</v>
      </c>
      <c r="M4358">
        <v>5</v>
      </c>
      <c r="N4358">
        <v>0.08</v>
      </c>
      <c r="O4358" t="str">
        <f t="shared" si="137"/>
        <v>0–0.2 hours</v>
      </c>
      <c r="P4358" t="s">
        <v>20</v>
      </c>
    </row>
    <row r="4359" spans="1:16" x14ac:dyDescent="0.4">
      <c r="A4359" t="s">
        <v>4400</v>
      </c>
      <c r="B4359">
        <v>59</v>
      </c>
      <c r="C4359" t="s">
        <v>15</v>
      </c>
      <c r="D4359" t="s">
        <v>16</v>
      </c>
      <c r="E4359">
        <v>1.36</v>
      </c>
      <c r="F4359">
        <v>57</v>
      </c>
      <c r="G4359" t="s">
        <v>70</v>
      </c>
      <c r="H4359" t="s">
        <v>57</v>
      </c>
      <c r="I4359" s="2">
        <v>8.99</v>
      </c>
      <c r="J4359">
        <v>1</v>
      </c>
      <c r="K4359" s="2">
        <f t="shared" si="136"/>
        <v>8.99</v>
      </c>
      <c r="L4359" t="s">
        <v>19</v>
      </c>
      <c r="M4359">
        <v>1</v>
      </c>
      <c r="N4359">
        <v>0.02</v>
      </c>
      <c r="O4359" t="str">
        <f t="shared" si="137"/>
        <v>0–0.2 hours</v>
      </c>
      <c r="P4359" t="s">
        <v>25</v>
      </c>
    </row>
    <row r="4360" spans="1:16" x14ac:dyDescent="0.4">
      <c r="A4360" t="s">
        <v>4401</v>
      </c>
      <c r="B4360">
        <v>27</v>
      </c>
      <c r="C4360" t="s">
        <v>27</v>
      </c>
      <c r="D4360" t="s">
        <v>22</v>
      </c>
      <c r="E4360">
        <v>3.46</v>
      </c>
      <c r="F4360">
        <v>42</v>
      </c>
      <c r="G4360" t="s">
        <v>23</v>
      </c>
      <c r="H4360" t="s">
        <v>46</v>
      </c>
      <c r="I4360" s="2">
        <v>13.99</v>
      </c>
      <c r="J4360">
        <v>1</v>
      </c>
      <c r="K4360" s="2">
        <f t="shared" si="136"/>
        <v>13.99</v>
      </c>
      <c r="L4360" t="s">
        <v>19</v>
      </c>
      <c r="M4360">
        <v>5</v>
      </c>
      <c r="N4360">
        <v>0.08</v>
      </c>
      <c r="O4360" t="str">
        <f t="shared" si="137"/>
        <v>0–0.2 hours</v>
      </c>
      <c r="P4360" t="s">
        <v>47</v>
      </c>
    </row>
    <row r="4361" spans="1:16" x14ac:dyDescent="0.4">
      <c r="A4361" t="s">
        <v>4402</v>
      </c>
      <c r="B4361">
        <v>36</v>
      </c>
      <c r="C4361" t="s">
        <v>27</v>
      </c>
      <c r="D4361" t="s">
        <v>22</v>
      </c>
      <c r="E4361">
        <v>16.29</v>
      </c>
      <c r="F4361">
        <v>48</v>
      </c>
      <c r="G4361" t="s">
        <v>70</v>
      </c>
      <c r="H4361" t="s">
        <v>24</v>
      </c>
      <c r="I4361" s="2">
        <v>13.99</v>
      </c>
      <c r="J4361">
        <v>1</v>
      </c>
      <c r="K4361" s="2">
        <f t="shared" si="136"/>
        <v>13.99</v>
      </c>
      <c r="L4361" t="s">
        <v>29</v>
      </c>
      <c r="M4361">
        <v>4</v>
      </c>
      <c r="N4361">
        <v>0.33</v>
      </c>
      <c r="O4361" t="str">
        <f t="shared" si="137"/>
        <v>0.2–0.4 hours</v>
      </c>
      <c r="P4361" t="s">
        <v>52</v>
      </c>
    </row>
    <row r="4362" spans="1:16" x14ac:dyDescent="0.4">
      <c r="A4362" t="s">
        <v>4403</v>
      </c>
      <c r="B4362">
        <v>28</v>
      </c>
      <c r="C4362" t="s">
        <v>15</v>
      </c>
      <c r="D4362" t="s">
        <v>16</v>
      </c>
      <c r="E4362">
        <v>12.94</v>
      </c>
      <c r="F4362">
        <v>40</v>
      </c>
      <c r="G4362" t="s">
        <v>23</v>
      </c>
      <c r="H4362" t="s">
        <v>24</v>
      </c>
      <c r="I4362" s="2">
        <v>8.99</v>
      </c>
      <c r="J4362">
        <v>1</v>
      </c>
      <c r="K4362" s="2">
        <f t="shared" si="136"/>
        <v>8.99</v>
      </c>
      <c r="L4362" t="s">
        <v>43</v>
      </c>
      <c r="M4362">
        <v>3</v>
      </c>
      <c r="N4362">
        <v>0.32</v>
      </c>
      <c r="O4362" t="str">
        <f t="shared" si="137"/>
        <v>0.2–0.4 hours</v>
      </c>
      <c r="P4362" t="s">
        <v>47</v>
      </c>
    </row>
    <row r="4363" spans="1:16" x14ac:dyDescent="0.4">
      <c r="A4363" t="s">
        <v>4404</v>
      </c>
      <c r="B4363">
        <v>66</v>
      </c>
      <c r="C4363" t="s">
        <v>27</v>
      </c>
      <c r="D4363" t="s">
        <v>16</v>
      </c>
      <c r="E4363">
        <v>5.27</v>
      </c>
      <c r="F4363">
        <v>6</v>
      </c>
      <c r="G4363" t="s">
        <v>49</v>
      </c>
      <c r="H4363" t="s">
        <v>24</v>
      </c>
      <c r="I4363" s="2">
        <v>8.99</v>
      </c>
      <c r="J4363">
        <v>0</v>
      </c>
      <c r="K4363" s="2">
        <f t="shared" si="136"/>
        <v>0</v>
      </c>
      <c r="L4363" t="s">
        <v>61</v>
      </c>
      <c r="M4363">
        <v>5</v>
      </c>
      <c r="N4363">
        <v>0.75</v>
      </c>
      <c r="O4363" t="str">
        <f t="shared" si="137"/>
        <v>0.6–0.8 hours</v>
      </c>
      <c r="P4363" t="s">
        <v>52</v>
      </c>
    </row>
    <row r="4364" spans="1:16" x14ac:dyDescent="0.4">
      <c r="A4364" t="s">
        <v>4405</v>
      </c>
      <c r="B4364">
        <v>24</v>
      </c>
      <c r="C4364" t="s">
        <v>27</v>
      </c>
      <c r="D4364" t="s">
        <v>32</v>
      </c>
      <c r="E4364">
        <v>16.170000000000002</v>
      </c>
      <c r="F4364">
        <v>33</v>
      </c>
      <c r="G4364" t="s">
        <v>49</v>
      </c>
      <c r="H4364" t="s">
        <v>57</v>
      </c>
      <c r="I4364" s="2">
        <v>17.989999999999998</v>
      </c>
      <c r="J4364">
        <v>1</v>
      </c>
      <c r="K4364" s="2">
        <f t="shared" si="136"/>
        <v>17.989999999999998</v>
      </c>
      <c r="L4364" t="s">
        <v>19</v>
      </c>
      <c r="M4364">
        <v>2</v>
      </c>
      <c r="N4364">
        <v>0.48</v>
      </c>
      <c r="O4364" t="str">
        <f t="shared" si="137"/>
        <v>0.4–0.6 hours</v>
      </c>
      <c r="P4364" t="s">
        <v>39</v>
      </c>
    </row>
    <row r="4365" spans="1:16" x14ac:dyDescent="0.4">
      <c r="A4365" t="s">
        <v>4406</v>
      </c>
      <c r="B4365">
        <v>66</v>
      </c>
      <c r="C4365" t="s">
        <v>41</v>
      </c>
      <c r="D4365" t="s">
        <v>32</v>
      </c>
      <c r="E4365">
        <v>10.41</v>
      </c>
      <c r="F4365">
        <v>1</v>
      </c>
      <c r="G4365" t="s">
        <v>70</v>
      </c>
      <c r="H4365" t="s">
        <v>46</v>
      </c>
      <c r="I4365" s="2">
        <v>17.989999999999998</v>
      </c>
      <c r="J4365">
        <v>0</v>
      </c>
      <c r="K4365" s="2">
        <f t="shared" si="136"/>
        <v>0</v>
      </c>
      <c r="L4365" t="s">
        <v>61</v>
      </c>
      <c r="M4365">
        <v>5</v>
      </c>
      <c r="N4365">
        <v>5.21</v>
      </c>
      <c r="O4365" t="str">
        <f t="shared" si="137"/>
        <v>1+ hours</v>
      </c>
      <c r="P4365" t="s">
        <v>47</v>
      </c>
    </row>
    <row r="4366" spans="1:16" x14ac:dyDescent="0.4">
      <c r="A4366" t="s">
        <v>4407</v>
      </c>
      <c r="B4366">
        <v>60</v>
      </c>
      <c r="C4366" t="s">
        <v>27</v>
      </c>
      <c r="D4366" t="s">
        <v>16</v>
      </c>
      <c r="E4366">
        <v>20.76</v>
      </c>
      <c r="F4366">
        <v>8</v>
      </c>
      <c r="G4366" t="s">
        <v>28</v>
      </c>
      <c r="H4366" t="s">
        <v>46</v>
      </c>
      <c r="I4366" s="2">
        <v>8.99</v>
      </c>
      <c r="J4366">
        <v>0</v>
      </c>
      <c r="K4366" s="2">
        <f t="shared" si="136"/>
        <v>0</v>
      </c>
      <c r="L4366" t="s">
        <v>61</v>
      </c>
      <c r="M4366">
        <v>4</v>
      </c>
      <c r="N4366">
        <v>2.31</v>
      </c>
      <c r="O4366" t="str">
        <f t="shared" si="137"/>
        <v>1+ hours</v>
      </c>
      <c r="P4366" t="s">
        <v>20</v>
      </c>
    </row>
    <row r="4367" spans="1:16" x14ac:dyDescent="0.4">
      <c r="A4367" t="s">
        <v>4408</v>
      </c>
      <c r="B4367">
        <v>45</v>
      </c>
      <c r="C4367" t="s">
        <v>41</v>
      </c>
      <c r="D4367" t="s">
        <v>32</v>
      </c>
      <c r="E4367">
        <v>0.45</v>
      </c>
      <c r="F4367">
        <v>44</v>
      </c>
      <c r="G4367" t="s">
        <v>28</v>
      </c>
      <c r="H4367" t="s">
        <v>24</v>
      </c>
      <c r="I4367" s="2">
        <v>17.989999999999998</v>
      </c>
      <c r="J4367">
        <v>1</v>
      </c>
      <c r="K4367" s="2">
        <f t="shared" si="136"/>
        <v>17.989999999999998</v>
      </c>
      <c r="L4367" t="s">
        <v>37</v>
      </c>
      <c r="M4367">
        <v>3</v>
      </c>
      <c r="N4367">
        <v>0.01</v>
      </c>
      <c r="O4367" t="str">
        <f t="shared" si="137"/>
        <v>0–0.2 hours</v>
      </c>
      <c r="P4367" t="s">
        <v>47</v>
      </c>
    </row>
    <row r="4368" spans="1:16" x14ac:dyDescent="0.4">
      <c r="A4368" t="s">
        <v>4409</v>
      </c>
      <c r="B4368">
        <v>54</v>
      </c>
      <c r="C4368" t="s">
        <v>27</v>
      </c>
      <c r="D4368" t="s">
        <v>16</v>
      </c>
      <c r="E4368">
        <v>11.9</v>
      </c>
      <c r="F4368">
        <v>49</v>
      </c>
      <c r="G4368" t="s">
        <v>49</v>
      </c>
      <c r="H4368" t="s">
        <v>55</v>
      </c>
      <c r="I4368" s="2">
        <v>8.99</v>
      </c>
      <c r="J4368">
        <v>1</v>
      </c>
      <c r="K4368" s="2">
        <f t="shared" si="136"/>
        <v>8.99</v>
      </c>
      <c r="L4368" t="s">
        <v>43</v>
      </c>
      <c r="M4368">
        <v>5</v>
      </c>
      <c r="N4368">
        <v>0.24</v>
      </c>
      <c r="O4368" t="str">
        <f t="shared" si="137"/>
        <v>0.2–0.4 hours</v>
      </c>
      <c r="P4368" t="s">
        <v>34</v>
      </c>
    </row>
    <row r="4369" spans="1:16" x14ac:dyDescent="0.4">
      <c r="A4369" t="s">
        <v>4410</v>
      </c>
      <c r="B4369">
        <v>33</v>
      </c>
      <c r="C4369" t="s">
        <v>41</v>
      </c>
      <c r="D4369" t="s">
        <v>16</v>
      </c>
      <c r="E4369">
        <v>43.55</v>
      </c>
      <c r="F4369">
        <v>4</v>
      </c>
      <c r="G4369" t="s">
        <v>49</v>
      </c>
      <c r="H4369" t="s">
        <v>18</v>
      </c>
      <c r="I4369" s="2">
        <v>8.99</v>
      </c>
      <c r="J4369">
        <v>0</v>
      </c>
      <c r="K4369" s="2">
        <f t="shared" si="136"/>
        <v>0</v>
      </c>
      <c r="L4369" t="s">
        <v>19</v>
      </c>
      <c r="M4369">
        <v>1</v>
      </c>
      <c r="N4369">
        <v>8.7100000000000009</v>
      </c>
      <c r="O4369" t="str">
        <f t="shared" si="137"/>
        <v>1+ hours</v>
      </c>
      <c r="P4369" t="s">
        <v>52</v>
      </c>
    </row>
    <row r="4370" spans="1:16" x14ac:dyDescent="0.4">
      <c r="A4370" t="s">
        <v>4411</v>
      </c>
      <c r="B4370">
        <v>69</v>
      </c>
      <c r="C4370" t="s">
        <v>41</v>
      </c>
      <c r="D4370" t="s">
        <v>32</v>
      </c>
      <c r="E4370">
        <v>5.4</v>
      </c>
      <c r="F4370">
        <v>14</v>
      </c>
      <c r="G4370" t="s">
        <v>17</v>
      </c>
      <c r="H4370" t="s">
        <v>18</v>
      </c>
      <c r="I4370" s="2">
        <v>17.989999999999998</v>
      </c>
      <c r="J4370">
        <v>0</v>
      </c>
      <c r="K4370" s="2">
        <f t="shared" si="136"/>
        <v>0</v>
      </c>
      <c r="L4370" t="s">
        <v>29</v>
      </c>
      <c r="M4370">
        <v>3</v>
      </c>
      <c r="N4370">
        <v>0.36</v>
      </c>
      <c r="O4370" t="str">
        <f t="shared" si="137"/>
        <v>0.2–0.4 hours</v>
      </c>
      <c r="P4370" t="s">
        <v>25</v>
      </c>
    </row>
    <row r="4371" spans="1:16" x14ac:dyDescent="0.4">
      <c r="A4371" t="s">
        <v>4412</v>
      </c>
      <c r="B4371">
        <v>44</v>
      </c>
      <c r="C4371" t="s">
        <v>15</v>
      </c>
      <c r="D4371" t="s">
        <v>22</v>
      </c>
      <c r="E4371">
        <v>12.56</v>
      </c>
      <c r="F4371">
        <v>53</v>
      </c>
      <c r="G4371" t="s">
        <v>70</v>
      </c>
      <c r="H4371" t="s">
        <v>46</v>
      </c>
      <c r="I4371" s="2">
        <v>13.99</v>
      </c>
      <c r="J4371">
        <v>1</v>
      </c>
      <c r="K4371" s="2">
        <f t="shared" si="136"/>
        <v>13.99</v>
      </c>
      <c r="L4371" t="s">
        <v>29</v>
      </c>
      <c r="M4371">
        <v>3</v>
      </c>
      <c r="N4371">
        <v>0.23</v>
      </c>
      <c r="O4371" t="str">
        <f t="shared" si="137"/>
        <v>0.2–0.4 hours</v>
      </c>
      <c r="P4371" t="s">
        <v>20</v>
      </c>
    </row>
    <row r="4372" spans="1:16" x14ac:dyDescent="0.4">
      <c r="A4372" t="s">
        <v>4413</v>
      </c>
      <c r="B4372">
        <v>39</v>
      </c>
      <c r="C4372" t="s">
        <v>41</v>
      </c>
      <c r="D4372" t="s">
        <v>16</v>
      </c>
      <c r="E4372">
        <v>34.56</v>
      </c>
      <c r="F4372">
        <v>39</v>
      </c>
      <c r="G4372" t="s">
        <v>23</v>
      </c>
      <c r="H4372" t="s">
        <v>24</v>
      </c>
      <c r="I4372" s="2">
        <v>8.99</v>
      </c>
      <c r="J4372">
        <v>0</v>
      </c>
      <c r="K4372" s="2">
        <f t="shared" si="136"/>
        <v>0</v>
      </c>
      <c r="L4372" t="s">
        <v>37</v>
      </c>
      <c r="M4372">
        <v>1</v>
      </c>
      <c r="N4372">
        <v>0.86</v>
      </c>
      <c r="O4372" t="str">
        <f t="shared" si="137"/>
        <v>0.8–1 hour</v>
      </c>
      <c r="P4372" t="s">
        <v>47</v>
      </c>
    </row>
    <row r="4373" spans="1:16" x14ac:dyDescent="0.4">
      <c r="A4373" t="s">
        <v>4414</v>
      </c>
      <c r="B4373">
        <v>53</v>
      </c>
      <c r="C4373" t="s">
        <v>27</v>
      </c>
      <c r="D4373" t="s">
        <v>32</v>
      </c>
      <c r="E4373">
        <v>3.41</v>
      </c>
      <c r="F4373">
        <v>50</v>
      </c>
      <c r="G4373" t="s">
        <v>33</v>
      </c>
      <c r="H4373" t="s">
        <v>46</v>
      </c>
      <c r="I4373" s="2">
        <v>17.989999999999998</v>
      </c>
      <c r="J4373">
        <v>1</v>
      </c>
      <c r="K4373" s="2">
        <f t="shared" si="136"/>
        <v>17.989999999999998</v>
      </c>
      <c r="L4373" t="s">
        <v>37</v>
      </c>
      <c r="M4373">
        <v>1</v>
      </c>
      <c r="N4373">
        <v>7.0000000000000007E-2</v>
      </c>
      <c r="O4373" t="str">
        <f t="shared" si="137"/>
        <v>0–0.2 hours</v>
      </c>
      <c r="P4373" t="s">
        <v>39</v>
      </c>
    </row>
    <row r="4374" spans="1:16" x14ac:dyDescent="0.4">
      <c r="A4374" t="s">
        <v>4415</v>
      </c>
      <c r="B4374">
        <v>33</v>
      </c>
      <c r="C4374" t="s">
        <v>41</v>
      </c>
      <c r="D4374" t="s">
        <v>22</v>
      </c>
      <c r="E4374">
        <v>5.76</v>
      </c>
      <c r="F4374">
        <v>40</v>
      </c>
      <c r="G4374" t="s">
        <v>23</v>
      </c>
      <c r="H4374" t="s">
        <v>55</v>
      </c>
      <c r="I4374" s="2">
        <v>13.99</v>
      </c>
      <c r="J4374">
        <v>1</v>
      </c>
      <c r="K4374" s="2">
        <f t="shared" si="136"/>
        <v>13.99</v>
      </c>
      <c r="L4374" t="s">
        <v>19</v>
      </c>
      <c r="M4374">
        <v>5</v>
      </c>
      <c r="N4374">
        <v>0.14000000000000001</v>
      </c>
      <c r="O4374" t="str">
        <f t="shared" si="137"/>
        <v>0–0.2 hours</v>
      </c>
      <c r="P4374" t="s">
        <v>47</v>
      </c>
    </row>
    <row r="4375" spans="1:16" x14ac:dyDescent="0.4">
      <c r="A4375" t="s">
        <v>4416</v>
      </c>
      <c r="B4375">
        <v>36</v>
      </c>
      <c r="C4375" t="s">
        <v>15</v>
      </c>
      <c r="D4375" t="s">
        <v>16</v>
      </c>
      <c r="E4375">
        <v>1.1100000000000001</v>
      </c>
      <c r="F4375">
        <v>39</v>
      </c>
      <c r="G4375" t="s">
        <v>33</v>
      </c>
      <c r="H4375" t="s">
        <v>18</v>
      </c>
      <c r="I4375" s="2">
        <v>8.99</v>
      </c>
      <c r="J4375">
        <v>1</v>
      </c>
      <c r="K4375" s="2">
        <f t="shared" si="136"/>
        <v>8.99</v>
      </c>
      <c r="L4375" t="s">
        <v>61</v>
      </c>
      <c r="M4375">
        <v>1</v>
      </c>
      <c r="N4375">
        <v>0.03</v>
      </c>
      <c r="O4375" t="str">
        <f t="shared" si="137"/>
        <v>0–0.2 hours</v>
      </c>
      <c r="P4375" t="s">
        <v>52</v>
      </c>
    </row>
    <row r="4376" spans="1:16" x14ac:dyDescent="0.4">
      <c r="A4376" t="s">
        <v>4417</v>
      </c>
      <c r="B4376">
        <v>65</v>
      </c>
      <c r="C4376" t="s">
        <v>15</v>
      </c>
      <c r="D4376" t="s">
        <v>16</v>
      </c>
      <c r="E4376">
        <v>3.84</v>
      </c>
      <c r="F4376">
        <v>3</v>
      </c>
      <c r="G4376" t="s">
        <v>33</v>
      </c>
      <c r="H4376" t="s">
        <v>55</v>
      </c>
      <c r="I4376" s="2">
        <v>8.99</v>
      </c>
      <c r="J4376">
        <v>0</v>
      </c>
      <c r="K4376" s="2">
        <f t="shared" si="136"/>
        <v>0</v>
      </c>
      <c r="L4376" t="s">
        <v>61</v>
      </c>
      <c r="M4376">
        <v>3</v>
      </c>
      <c r="N4376">
        <v>0.96</v>
      </c>
      <c r="O4376" t="str">
        <f t="shared" si="137"/>
        <v>0.8–1 hour</v>
      </c>
      <c r="P4376" t="s">
        <v>47</v>
      </c>
    </row>
    <row r="4377" spans="1:16" x14ac:dyDescent="0.4">
      <c r="A4377" t="s">
        <v>4418</v>
      </c>
      <c r="B4377">
        <v>23</v>
      </c>
      <c r="C4377" t="s">
        <v>15</v>
      </c>
      <c r="D4377" t="s">
        <v>32</v>
      </c>
      <c r="E4377">
        <v>15.27</v>
      </c>
      <c r="F4377">
        <v>27</v>
      </c>
      <c r="G4377" t="s">
        <v>28</v>
      </c>
      <c r="H4377" t="s">
        <v>57</v>
      </c>
      <c r="I4377" s="2">
        <v>17.989999999999998</v>
      </c>
      <c r="J4377">
        <v>0</v>
      </c>
      <c r="K4377" s="2">
        <f t="shared" si="136"/>
        <v>0</v>
      </c>
      <c r="L4377" t="s">
        <v>43</v>
      </c>
      <c r="M4377">
        <v>1</v>
      </c>
      <c r="N4377">
        <v>0.55000000000000004</v>
      </c>
      <c r="O4377" t="str">
        <f t="shared" si="137"/>
        <v>0.4–0.6 hours</v>
      </c>
      <c r="P4377" t="s">
        <v>30</v>
      </c>
    </row>
    <row r="4378" spans="1:16" x14ac:dyDescent="0.4">
      <c r="A4378" t="s">
        <v>4419</v>
      </c>
      <c r="B4378">
        <v>22</v>
      </c>
      <c r="C4378" t="s">
        <v>27</v>
      </c>
      <c r="D4378" t="s">
        <v>32</v>
      </c>
      <c r="E4378">
        <v>7.28</v>
      </c>
      <c r="F4378">
        <v>43</v>
      </c>
      <c r="G4378" t="s">
        <v>70</v>
      </c>
      <c r="H4378" t="s">
        <v>55</v>
      </c>
      <c r="I4378" s="2">
        <v>17.989999999999998</v>
      </c>
      <c r="J4378">
        <v>0</v>
      </c>
      <c r="K4378" s="2">
        <f t="shared" si="136"/>
        <v>0</v>
      </c>
      <c r="L4378" t="s">
        <v>37</v>
      </c>
      <c r="M4378">
        <v>5</v>
      </c>
      <c r="N4378">
        <v>0.17</v>
      </c>
      <c r="O4378" t="str">
        <f t="shared" si="137"/>
        <v>0–0.2 hours</v>
      </c>
      <c r="P4378" t="s">
        <v>25</v>
      </c>
    </row>
    <row r="4379" spans="1:16" x14ac:dyDescent="0.4">
      <c r="A4379" t="s">
        <v>4420</v>
      </c>
      <c r="B4379">
        <v>51</v>
      </c>
      <c r="C4379" t="s">
        <v>15</v>
      </c>
      <c r="D4379" t="s">
        <v>22</v>
      </c>
      <c r="E4379">
        <v>0.73</v>
      </c>
      <c r="F4379">
        <v>46</v>
      </c>
      <c r="G4379" t="s">
        <v>70</v>
      </c>
      <c r="H4379" t="s">
        <v>46</v>
      </c>
      <c r="I4379" s="2">
        <v>13.99</v>
      </c>
      <c r="J4379">
        <v>1</v>
      </c>
      <c r="K4379" s="2">
        <f t="shared" si="136"/>
        <v>13.99</v>
      </c>
      <c r="L4379" t="s">
        <v>29</v>
      </c>
      <c r="M4379">
        <v>5</v>
      </c>
      <c r="N4379">
        <v>0.02</v>
      </c>
      <c r="O4379" t="str">
        <f t="shared" si="137"/>
        <v>0–0.2 hours</v>
      </c>
      <c r="P4379" t="s">
        <v>52</v>
      </c>
    </row>
    <row r="4380" spans="1:16" x14ac:dyDescent="0.4">
      <c r="A4380" t="s">
        <v>4421</v>
      </c>
      <c r="B4380">
        <v>69</v>
      </c>
      <c r="C4380" t="s">
        <v>41</v>
      </c>
      <c r="D4380" t="s">
        <v>32</v>
      </c>
      <c r="E4380">
        <v>21.64</v>
      </c>
      <c r="F4380">
        <v>27</v>
      </c>
      <c r="G4380" t="s">
        <v>23</v>
      </c>
      <c r="H4380" t="s">
        <v>24</v>
      </c>
      <c r="I4380" s="2">
        <v>17.989999999999998</v>
      </c>
      <c r="J4380">
        <v>0</v>
      </c>
      <c r="K4380" s="2">
        <f t="shared" si="136"/>
        <v>0</v>
      </c>
      <c r="L4380" t="s">
        <v>19</v>
      </c>
      <c r="M4380">
        <v>5</v>
      </c>
      <c r="N4380">
        <v>0.77</v>
      </c>
      <c r="O4380" t="str">
        <f t="shared" si="137"/>
        <v>0.6–0.8 hours</v>
      </c>
      <c r="P4380" t="s">
        <v>47</v>
      </c>
    </row>
    <row r="4381" spans="1:16" x14ac:dyDescent="0.4">
      <c r="A4381" t="s">
        <v>4422</v>
      </c>
      <c r="B4381">
        <v>57</v>
      </c>
      <c r="C4381" t="s">
        <v>27</v>
      </c>
      <c r="D4381" t="s">
        <v>16</v>
      </c>
      <c r="E4381">
        <v>4.12</v>
      </c>
      <c r="F4381">
        <v>10</v>
      </c>
      <c r="G4381" t="s">
        <v>49</v>
      </c>
      <c r="H4381" t="s">
        <v>18</v>
      </c>
      <c r="I4381" s="2">
        <v>8.99</v>
      </c>
      <c r="J4381">
        <v>1</v>
      </c>
      <c r="K4381" s="2">
        <f t="shared" si="136"/>
        <v>8.99</v>
      </c>
      <c r="L4381" t="s">
        <v>37</v>
      </c>
      <c r="M4381">
        <v>1</v>
      </c>
      <c r="N4381">
        <v>0.37</v>
      </c>
      <c r="O4381" t="str">
        <f t="shared" si="137"/>
        <v>0.2–0.4 hours</v>
      </c>
      <c r="P4381" t="s">
        <v>25</v>
      </c>
    </row>
    <row r="4382" spans="1:16" x14ac:dyDescent="0.4">
      <c r="A4382" t="s">
        <v>4423</v>
      </c>
      <c r="B4382">
        <v>28</v>
      </c>
      <c r="C4382" t="s">
        <v>15</v>
      </c>
      <c r="D4382" t="s">
        <v>32</v>
      </c>
      <c r="E4382">
        <v>0.77</v>
      </c>
      <c r="F4382">
        <v>21</v>
      </c>
      <c r="G4382" t="s">
        <v>70</v>
      </c>
      <c r="H4382" t="s">
        <v>24</v>
      </c>
      <c r="I4382" s="2">
        <v>17.989999999999998</v>
      </c>
      <c r="J4382">
        <v>1</v>
      </c>
      <c r="K4382" s="2">
        <f t="shared" si="136"/>
        <v>17.989999999999998</v>
      </c>
      <c r="L4382" t="s">
        <v>29</v>
      </c>
      <c r="M4382">
        <v>2</v>
      </c>
      <c r="N4382">
        <v>0.04</v>
      </c>
      <c r="O4382" t="str">
        <f t="shared" si="137"/>
        <v>0–0.2 hours</v>
      </c>
      <c r="P4382" t="s">
        <v>20</v>
      </c>
    </row>
    <row r="4383" spans="1:16" x14ac:dyDescent="0.4">
      <c r="A4383" t="s">
        <v>4424</v>
      </c>
      <c r="B4383">
        <v>65</v>
      </c>
      <c r="C4383" t="s">
        <v>27</v>
      </c>
      <c r="D4383" t="s">
        <v>16</v>
      </c>
      <c r="E4383">
        <v>13.42</v>
      </c>
      <c r="F4383">
        <v>52</v>
      </c>
      <c r="G4383" t="s">
        <v>28</v>
      </c>
      <c r="H4383" t="s">
        <v>57</v>
      </c>
      <c r="I4383" s="2">
        <v>8.99</v>
      </c>
      <c r="J4383">
        <v>1</v>
      </c>
      <c r="K4383" s="2">
        <f t="shared" si="136"/>
        <v>8.99</v>
      </c>
      <c r="L4383" t="s">
        <v>43</v>
      </c>
      <c r="M4383">
        <v>3</v>
      </c>
      <c r="N4383">
        <v>0.25</v>
      </c>
      <c r="O4383" t="str">
        <f t="shared" si="137"/>
        <v>0.2–0.4 hours</v>
      </c>
      <c r="P4383" t="s">
        <v>34</v>
      </c>
    </row>
    <row r="4384" spans="1:16" x14ac:dyDescent="0.4">
      <c r="A4384" t="s">
        <v>4425</v>
      </c>
      <c r="B4384">
        <v>31</v>
      </c>
      <c r="C4384" t="s">
        <v>27</v>
      </c>
      <c r="D4384" t="s">
        <v>32</v>
      </c>
      <c r="E4384">
        <v>4.03</v>
      </c>
      <c r="F4384">
        <v>24</v>
      </c>
      <c r="G4384" t="s">
        <v>33</v>
      </c>
      <c r="H4384" t="s">
        <v>24</v>
      </c>
      <c r="I4384" s="2">
        <v>17.989999999999998</v>
      </c>
      <c r="J4384">
        <v>1</v>
      </c>
      <c r="K4384" s="2">
        <f t="shared" si="136"/>
        <v>17.989999999999998</v>
      </c>
      <c r="L4384" t="s">
        <v>19</v>
      </c>
      <c r="M4384">
        <v>5</v>
      </c>
      <c r="N4384">
        <v>0.16</v>
      </c>
      <c r="O4384" t="str">
        <f t="shared" si="137"/>
        <v>0–0.2 hours</v>
      </c>
      <c r="P4384" t="s">
        <v>30</v>
      </c>
    </row>
    <row r="4385" spans="1:16" x14ac:dyDescent="0.4">
      <c r="A4385" t="s">
        <v>4426</v>
      </c>
      <c r="B4385">
        <v>54</v>
      </c>
      <c r="C4385" t="s">
        <v>27</v>
      </c>
      <c r="D4385" t="s">
        <v>22</v>
      </c>
      <c r="E4385">
        <v>4.41</v>
      </c>
      <c r="F4385">
        <v>9</v>
      </c>
      <c r="G4385" t="s">
        <v>70</v>
      </c>
      <c r="H4385" t="s">
        <v>46</v>
      </c>
      <c r="I4385" s="2">
        <v>13.99</v>
      </c>
      <c r="J4385">
        <v>1</v>
      </c>
      <c r="K4385" s="2">
        <f t="shared" si="136"/>
        <v>13.99</v>
      </c>
      <c r="L4385" t="s">
        <v>19</v>
      </c>
      <c r="M4385">
        <v>2</v>
      </c>
      <c r="N4385">
        <v>0.44</v>
      </c>
      <c r="O4385" t="str">
        <f t="shared" si="137"/>
        <v>0.4–0.6 hours</v>
      </c>
      <c r="P4385" t="s">
        <v>25</v>
      </c>
    </row>
    <row r="4386" spans="1:16" x14ac:dyDescent="0.4">
      <c r="A4386" t="s">
        <v>4427</v>
      </c>
      <c r="B4386">
        <v>46</v>
      </c>
      <c r="C4386" t="s">
        <v>41</v>
      </c>
      <c r="D4386" t="s">
        <v>16</v>
      </c>
      <c r="E4386">
        <v>14.86</v>
      </c>
      <c r="F4386">
        <v>47</v>
      </c>
      <c r="G4386" t="s">
        <v>49</v>
      </c>
      <c r="H4386" t="s">
        <v>18</v>
      </c>
      <c r="I4386" s="2">
        <v>8.99</v>
      </c>
      <c r="J4386">
        <v>1</v>
      </c>
      <c r="K4386" s="2">
        <f t="shared" si="136"/>
        <v>8.99</v>
      </c>
      <c r="L4386" t="s">
        <v>43</v>
      </c>
      <c r="M4386">
        <v>4</v>
      </c>
      <c r="N4386">
        <v>0.31</v>
      </c>
      <c r="O4386" t="str">
        <f t="shared" si="137"/>
        <v>0.2–0.4 hours</v>
      </c>
      <c r="P4386" t="s">
        <v>39</v>
      </c>
    </row>
    <row r="4387" spans="1:16" x14ac:dyDescent="0.4">
      <c r="A4387" s="1" t="s">
        <v>4428</v>
      </c>
      <c r="B4387">
        <v>39</v>
      </c>
      <c r="C4387" t="s">
        <v>15</v>
      </c>
      <c r="D4387" t="s">
        <v>32</v>
      </c>
      <c r="E4387">
        <v>11.04</v>
      </c>
      <c r="F4387">
        <v>60</v>
      </c>
      <c r="G4387" t="s">
        <v>23</v>
      </c>
      <c r="H4387" t="s">
        <v>57</v>
      </c>
      <c r="I4387" s="2">
        <v>17.989999999999998</v>
      </c>
      <c r="J4387">
        <v>1</v>
      </c>
      <c r="K4387" s="2">
        <f t="shared" si="136"/>
        <v>17.989999999999998</v>
      </c>
      <c r="L4387" t="s">
        <v>29</v>
      </c>
      <c r="M4387">
        <v>4</v>
      </c>
      <c r="N4387">
        <v>0.18</v>
      </c>
      <c r="O4387" t="str">
        <f t="shared" si="137"/>
        <v>0–0.2 hours</v>
      </c>
      <c r="P4387" t="s">
        <v>34</v>
      </c>
    </row>
    <row r="4388" spans="1:16" x14ac:dyDescent="0.4">
      <c r="A4388" t="s">
        <v>4429</v>
      </c>
      <c r="B4388">
        <v>29</v>
      </c>
      <c r="C4388" t="s">
        <v>41</v>
      </c>
      <c r="D4388" t="s">
        <v>32</v>
      </c>
      <c r="E4388">
        <v>15.36</v>
      </c>
      <c r="F4388">
        <v>31</v>
      </c>
      <c r="G4388" t="s">
        <v>49</v>
      </c>
      <c r="H4388" t="s">
        <v>24</v>
      </c>
      <c r="I4388" s="2">
        <v>17.989999999999998</v>
      </c>
      <c r="J4388">
        <v>1</v>
      </c>
      <c r="K4388" s="2">
        <f t="shared" si="136"/>
        <v>17.989999999999998</v>
      </c>
      <c r="L4388" t="s">
        <v>29</v>
      </c>
      <c r="M4388">
        <v>1</v>
      </c>
      <c r="N4388">
        <v>0.48</v>
      </c>
      <c r="O4388" t="str">
        <f t="shared" si="137"/>
        <v>0.4–0.6 hours</v>
      </c>
      <c r="P4388" t="s">
        <v>25</v>
      </c>
    </row>
    <row r="4389" spans="1:16" x14ac:dyDescent="0.4">
      <c r="A4389" t="s">
        <v>4430</v>
      </c>
      <c r="B4389">
        <v>50</v>
      </c>
      <c r="C4389" t="s">
        <v>15</v>
      </c>
      <c r="D4389" t="s">
        <v>16</v>
      </c>
      <c r="E4389">
        <v>9.5399999999999991</v>
      </c>
      <c r="F4389">
        <v>38</v>
      </c>
      <c r="G4389" t="s">
        <v>23</v>
      </c>
      <c r="H4389" t="s">
        <v>46</v>
      </c>
      <c r="I4389" s="2">
        <v>8.99</v>
      </c>
      <c r="J4389">
        <v>1</v>
      </c>
      <c r="K4389" s="2">
        <f t="shared" si="136"/>
        <v>8.99</v>
      </c>
      <c r="L4389" t="s">
        <v>43</v>
      </c>
      <c r="M4389">
        <v>3</v>
      </c>
      <c r="N4389">
        <v>0.24</v>
      </c>
      <c r="O4389" t="str">
        <f t="shared" si="137"/>
        <v>0.2–0.4 hours</v>
      </c>
      <c r="P4389" t="s">
        <v>20</v>
      </c>
    </row>
    <row r="4390" spans="1:16" x14ac:dyDescent="0.4">
      <c r="A4390" t="s">
        <v>4431</v>
      </c>
      <c r="B4390">
        <v>54</v>
      </c>
      <c r="C4390" t="s">
        <v>41</v>
      </c>
      <c r="D4390" t="s">
        <v>16</v>
      </c>
      <c r="E4390">
        <v>14.18</v>
      </c>
      <c r="F4390">
        <v>45</v>
      </c>
      <c r="G4390" t="s">
        <v>17</v>
      </c>
      <c r="H4390" t="s">
        <v>24</v>
      </c>
      <c r="I4390" s="2">
        <v>8.99</v>
      </c>
      <c r="J4390">
        <v>1</v>
      </c>
      <c r="K4390" s="2">
        <f t="shared" si="136"/>
        <v>8.99</v>
      </c>
      <c r="L4390" t="s">
        <v>43</v>
      </c>
      <c r="M4390">
        <v>5</v>
      </c>
      <c r="N4390">
        <v>0.31</v>
      </c>
      <c r="O4390" t="str">
        <f t="shared" si="137"/>
        <v>0.2–0.4 hours</v>
      </c>
      <c r="P4390" t="s">
        <v>52</v>
      </c>
    </row>
    <row r="4391" spans="1:16" x14ac:dyDescent="0.4">
      <c r="A4391" t="s">
        <v>4432</v>
      </c>
      <c r="B4391">
        <v>32</v>
      </c>
      <c r="C4391" t="s">
        <v>41</v>
      </c>
      <c r="D4391" t="s">
        <v>22</v>
      </c>
      <c r="E4391">
        <v>1.52</v>
      </c>
      <c r="F4391">
        <v>10</v>
      </c>
      <c r="G4391" t="s">
        <v>28</v>
      </c>
      <c r="H4391" t="s">
        <v>55</v>
      </c>
      <c r="I4391" s="2">
        <v>13.99</v>
      </c>
      <c r="J4391">
        <v>1</v>
      </c>
      <c r="K4391" s="2">
        <f t="shared" si="136"/>
        <v>13.99</v>
      </c>
      <c r="L4391" t="s">
        <v>43</v>
      </c>
      <c r="M4391">
        <v>3</v>
      </c>
      <c r="N4391">
        <v>0.14000000000000001</v>
      </c>
      <c r="O4391" t="str">
        <f t="shared" si="137"/>
        <v>0–0.2 hours</v>
      </c>
      <c r="P4391" t="s">
        <v>20</v>
      </c>
    </row>
    <row r="4392" spans="1:16" x14ac:dyDescent="0.4">
      <c r="A4392" t="s">
        <v>4433</v>
      </c>
      <c r="B4392">
        <v>25</v>
      </c>
      <c r="C4392" t="s">
        <v>27</v>
      </c>
      <c r="D4392" t="s">
        <v>32</v>
      </c>
      <c r="E4392">
        <v>0.82</v>
      </c>
      <c r="F4392">
        <v>22</v>
      </c>
      <c r="G4392" t="s">
        <v>33</v>
      </c>
      <c r="H4392" t="s">
        <v>57</v>
      </c>
      <c r="I4392" s="2">
        <v>17.989999999999998</v>
      </c>
      <c r="J4392">
        <v>1</v>
      </c>
      <c r="K4392" s="2">
        <f t="shared" si="136"/>
        <v>17.989999999999998</v>
      </c>
      <c r="L4392" t="s">
        <v>29</v>
      </c>
      <c r="M4392">
        <v>1</v>
      </c>
      <c r="N4392">
        <v>0.04</v>
      </c>
      <c r="O4392" t="str">
        <f t="shared" si="137"/>
        <v>0–0.2 hours</v>
      </c>
      <c r="P4392" t="s">
        <v>39</v>
      </c>
    </row>
    <row r="4393" spans="1:16" x14ac:dyDescent="0.4">
      <c r="A4393" t="s">
        <v>4434</v>
      </c>
      <c r="B4393">
        <v>64</v>
      </c>
      <c r="C4393" t="s">
        <v>15</v>
      </c>
      <c r="D4393" t="s">
        <v>32</v>
      </c>
      <c r="E4393">
        <v>0.34</v>
      </c>
      <c r="F4393">
        <v>1</v>
      </c>
      <c r="G4393" t="s">
        <v>23</v>
      </c>
      <c r="H4393" t="s">
        <v>55</v>
      </c>
      <c r="I4393" s="2">
        <v>17.989999999999998</v>
      </c>
      <c r="J4393">
        <v>1</v>
      </c>
      <c r="K4393" s="2">
        <f t="shared" si="136"/>
        <v>17.989999999999998</v>
      </c>
      <c r="L4393" t="s">
        <v>19</v>
      </c>
      <c r="M4393">
        <v>3</v>
      </c>
      <c r="N4393">
        <v>0.17</v>
      </c>
      <c r="O4393" t="str">
        <f t="shared" si="137"/>
        <v>0–0.2 hours</v>
      </c>
      <c r="P4393" t="s">
        <v>47</v>
      </c>
    </row>
    <row r="4394" spans="1:16" x14ac:dyDescent="0.4">
      <c r="A4394" t="s">
        <v>4435</v>
      </c>
      <c r="B4394">
        <v>44</v>
      </c>
      <c r="C4394" t="s">
        <v>41</v>
      </c>
      <c r="D4394" t="s">
        <v>22</v>
      </c>
      <c r="E4394">
        <v>1.01</v>
      </c>
      <c r="F4394">
        <v>13</v>
      </c>
      <c r="G4394" t="s">
        <v>23</v>
      </c>
      <c r="H4394" t="s">
        <v>46</v>
      </c>
      <c r="I4394" s="2">
        <v>13.99</v>
      </c>
      <c r="J4394">
        <v>0</v>
      </c>
      <c r="K4394" s="2">
        <f t="shared" si="136"/>
        <v>0</v>
      </c>
      <c r="L4394" t="s">
        <v>43</v>
      </c>
      <c r="M4394">
        <v>4</v>
      </c>
      <c r="N4394">
        <v>7.0000000000000007E-2</v>
      </c>
      <c r="O4394" t="str">
        <f t="shared" si="137"/>
        <v>0–0.2 hours</v>
      </c>
      <c r="P4394" t="s">
        <v>20</v>
      </c>
    </row>
    <row r="4395" spans="1:16" x14ac:dyDescent="0.4">
      <c r="A4395" t="s">
        <v>4436</v>
      </c>
      <c r="B4395">
        <v>44</v>
      </c>
      <c r="C4395" t="s">
        <v>27</v>
      </c>
      <c r="D4395" t="s">
        <v>32</v>
      </c>
      <c r="E4395">
        <v>7.47</v>
      </c>
      <c r="F4395">
        <v>19</v>
      </c>
      <c r="G4395" t="s">
        <v>23</v>
      </c>
      <c r="H4395" t="s">
        <v>55</v>
      </c>
      <c r="I4395" s="2">
        <v>17.989999999999998</v>
      </c>
      <c r="J4395">
        <v>0</v>
      </c>
      <c r="K4395" s="2">
        <f t="shared" si="136"/>
        <v>0</v>
      </c>
      <c r="L4395" t="s">
        <v>37</v>
      </c>
      <c r="M4395">
        <v>1</v>
      </c>
      <c r="N4395">
        <v>0.37</v>
      </c>
      <c r="O4395" t="str">
        <f t="shared" si="137"/>
        <v>0.2–0.4 hours</v>
      </c>
      <c r="P4395" t="s">
        <v>20</v>
      </c>
    </row>
    <row r="4396" spans="1:16" x14ac:dyDescent="0.4">
      <c r="A4396" t="s">
        <v>4437</v>
      </c>
      <c r="B4396">
        <v>18</v>
      </c>
      <c r="C4396" t="s">
        <v>41</v>
      </c>
      <c r="D4396" t="s">
        <v>16</v>
      </c>
      <c r="E4396">
        <v>6.57</v>
      </c>
      <c r="F4396">
        <v>50</v>
      </c>
      <c r="G4396" t="s">
        <v>17</v>
      </c>
      <c r="H4396" t="s">
        <v>46</v>
      </c>
      <c r="I4396" s="2">
        <v>8.99</v>
      </c>
      <c r="J4396">
        <v>1</v>
      </c>
      <c r="K4396" s="2">
        <f t="shared" si="136"/>
        <v>8.99</v>
      </c>
      <c r="L4396" t="s">
        <v>43</v>
      </c>
      <c r="M4396">
        <v>3</v>
      </c>
      <c r="N4396">
        <v>0.13</v>
      </c>
      <c r="O4396" t="str">
        <f t="shared" si="137"/>
        <v>0–0.2 hours</v>
      </c>
      <c r="P4396" t="s">
        <v>52</v>
      </c>
    </row>
    <row r="4397" spans="1:16" x14ac:dyDescent="0.4">
      <c r="A4397" t="s">
        <v>4438</v>
      </c>
      <c r="B4397">
        <v>38</v>
      </c>
      <c r="C4397" t="s">
        <v>27</v>
      </c>
      <c r="D4397" t="s">
        <v>16</v>
      </c>
      <c r="E4397">
        <v>39.29</v>
      </c>
      <c r="F4397">
        <v>54</v>
      </c>
      <c r="G4397" t="s">
        <v>70</v>
      </c>
      <c r="H4397" t="s">
        <v>18</v>
      </c>
      <c r="I4397" s="2">
        <v>8.99</v>
      </c>
      <c r="J4397">
        <v>0</v>
      </c>
      <c r="K4397" s="2">
        <f t="shared" si="136"/>
        <v>0</v>
      </c>
      <c r="L4397" t="s">
        <v>61</v>
      </c>
      <c r="M4397">
        <v>5</v>
      </c>
      <c r="N4397">
        <v>0.71</v>
      </c>
      <c r="O4397" t="str">
        <f t="shared" si="137"/>
        <v>0.6–0.8 hours</v>
      </c>
      <c r="P4397" t="s">
        <v>39</v>
      </c>
    </row>
    <row r="4398" spans="1:16" x14ac:dyDescent="0.4">
      <c r="A4398" t="s">
        <v>4439</v>
      </c>
      <c r="B4398">
        <v>36</v>
      </c>
      <c r="C4398" t="s">
        <v>27</v>
      </c>
      <c r="D4398" t="s">
        <v>22</v>
      </c>
      <c r="E4398">
        <v>3.16</v>
      </c>
      <c r="F4398">
        <v>23</v>
      </c>
      <c r="G4398" t="s">
        <v>33</v>
      </c>
      <c r="H4398" t="s">
        <v>57</v>
      </c>
      <c r="I4398" s="2">
        <v>13.99</v>
      </c>
      <c r="J4398">
        <v>1</v>
      </c>
      <c r="K4398" s="2">
        <f t="shared" si="136"/>
        <v>13.99</v>
      </c>
      <c r="L4398" t="s">
        <v>29</v>
      </c>
      <c r="M4398">
        <v>5</v>
      </c>
      <c r="N4398">
        <v>0.13</v>
      </c>
      <c r="O4398" t="str">
        <f t="shared" si="137"/>
        <v>0–0.2 hours</v>
      </c>
      <c r="P4398" t="s">
        <v>47</v>
      </c>
    </row>
    <row r="4399" spans="1:16" x14ac:dyDescent="0.4">
      <c r="A4399" t="s">
        <v>4440</v>
      </c>
      <c r="B4399">
        <v>18</v>
      </c>
      <c r="C4399" t="s">
        <v>27</v>
      </c>
      <c r="D4399" t="s">
        <v>16</v>
      </c>
      <c r="E4399">
        <v>0.75</v>
      </c>
      <c r="F4399">
        <v>11</v>
      </c>
      <c r="G4399" t="s">
        <v>17</v>
      </c>
      <c r="H4399" t="s">
        <v>46</v>
      </c>
      <c r="I4399" s="2">
        <v>8.99</v>
      </c>
      <c r="J4399">
        <v>1</v>
      </c>
      <c r="K4399" s="2">
        <f t="shared" si="136"/>
        <v>8.99</v>
      </c>
      <c r="L4399" t="s">
        <v>29</v>
      </c>
      <c r="M4399">
        <v>5</v>
      </c>
      <c r="N4399">
        <v>0.06</v>
      </c>
      <c r="O4399" t="str">
        <f t="shared" si="137"/>
        <v>0–0.2 hours</v>
      </c>
      <c r="P4399" t="s">
        <v>39</v>
      </c>
    </row>
    <row r="4400" spans="1:16" x14ac:dyDescent="0.4">
      <c r="A4400" t="s">
        <v>4441</v>
      </c>
      <c r="B4400">
        <v>21</v>
      </c>
      <c r="C4400" t="s">
        <v>15</v>
      </c>
      <c r="D4400" t="s">
        <v>16</v>
      </c>
      <c r="E4400">
        <v>5.57</v>
      </c>
      <c r="F4400">
        <v>21</v>
      </c>
      <c r="G4400" t="s">
        <v>33</v>
      </c>
      <c r="H4400" t="s">
        <v>18</v>
      </c>
      <c r="I4400" s="2">
        <v>8.99</v>
      </c>
      <c r="J4400">
        <v>0</v>
      </c>
      <c r="K4400" s="2">
        <f t="shared" si="136"/>
        <v>0</v>
      </c>
      <c r="L4400" t="s">
        <v>43</v>
      </c>
      <c r="M4400">
        <v>3</v>
      </c>
      <c r="N4400">
        <v>0.25</v>
      </c>
      <c r="O4400" t="str">
        <f t="shared" si="137"/>
        <v>0.2–0.4 hours</v>
      </c>
      <c r="P4400" t="s">
        <v>39</v>
      </c>
    </row>
    <row r="4401" spans="1:16" x14ac:dyDescent="0.4">
      <c r="A4401" t="s">
        <v>4442</v>
      </c>
      <c r="B4401">
        <v>37</v>
      </c>
      <c r="C4401" t="s">
        <v>41</v>
      </c>
      <c r="D4401" t="s">
        <v>22</v>
      </c>
      <c r="E4401">
        <v>3.72</v>
      </c>
      <c r="F4401">
        <v>31</v>
      </c>
      <c r="G4401" t="s">
        <v>17</v>
      </c>
      <c r="H4401" t="s">
        <v>24</v>
      </c>
      <c r="I4401" s="2">
        <v>13.99</v>
      </c>
      <c r="J4401">
        <v>1</v>
      </c>
      <c r="K4401" s="2">
        <f t="shared" si="136"/>
        <v>13.99</v>
      </c>
      <c r="L4401" t="s">
        <v>37</v>
      </c>
      <c r="M4401">
        <v>2</v>
      </c>
      <c r="N4401">
        <v>0.12</v>
      </c>
      <c r="O4401" t="str">
        <f t="shared" si="137"/>
        <v>0–0.2 hours</v>
      </c>
      <c r="P4401" t="s">
        <v>39</v>
      </c>
    </row>
    <row r="4402" spans="1:16" x14ac:dyDescent="0.4">
      <c r="A4402" t="s">
        <v>4443</v>
      </c>
      <c r="B4402">
        <v>34</v>
      </c>
      <c r="C4402" t="s">
        <v>15</v>
      </c>
      <c r="D4402" t="s">
        <v>32</v>
      </c>
      <c r="E4402">
        <v>1.94</v>
      </c>
      <c r="F4402">
        <v>39</v>
      </c>
      <c r="G4402" t="s">
        <v>49</v>
      </c>
      <c r="H4402" t="s">
        <v>18</v>
      </c>
      <c r="I4402" s="2">
        <v>17.989999999999998</v>
      </c>
      <c r="J4402">
        <v>1</v>
      </c>
      <c r="K4402" s="2">
        <f t="shared" si="136"/>
        <v>17.989999999999998</v>
      </c>
      <c r="L4402" t="s">
        <v>19</v>
      </c>
      <c r="M4402">
        <v>5</v>
      </c>
      <c r="N4402">
        <v>0.05</v>
      </c>
      <c r="O4402" t="str">
        <f t="shared" si="137"/>
        <v>0–0.2 hours</v>
      </c>
      <c r="P4402" t="s">
        <v>30</v>
      </c>
    </row>
    <row r="4403" spans="1:16" x14ac:dyDescent="0.4">
      <c r="A4403" t="s">
        <v>4444</v>
      </c>
      <c r="B4403">
        <v>36</v>
      </c>
      <c r="C4403" t="s">
        <v>27</v>
      </c>
      <c r="D4403" t="s">
        <v>32</v>
      </c>
      <c r="E4403">
        <v>1.46</v>
      </c>
      <c r="F4403">
        <v>60</v>
      </c>
      <c r="G4403" t="s">
        <v>23</v>
      </c>
      <c r="H4403" t="s">
        <v>55</v>
      </c>
      <c r="I4403" s="2">
        <v>17.989999999999998</v>
      </c>
      <c r="J4403">
        <v>1</v>
      </c>
      <c r="K4403" s="2">
        <f t="shared" si="136"/>
        <v>17.989999999999998</v>
      </c>
      <c r="L4403" t="s">
        <v>19</v>
      </c>
      <c r="M4403">
        <v>5</v>
      </c>
      <c r="N4403">
        <v>0.02</v>
      </c>
      <c r="O4403" t="str">
        <f t="shared" si="137"/>
        <v>0–0.2 hours</v>
      </c>
      <c r="P4403" t="s">
        <v>25</v>
      </c>
    </row>
    <row r="4404" spans="1:16" x14ac:dyDescent="0.4">
      <c r="A4404" t="s">
        <v>4445</v>
      </c>
      <c r="B4404">
        <v>51</v>
      </c>
      <c r="C4404" t="s">
        <v>15</v>
      </c>
      <c r="D4404" t="s">
        <v>16</v>
      </c>
      <c r="E4404">
        <v>2.29</v>
      </c>
      <c r="F4404">
        <v>51</v>
      </c>
      <c r="G4404" t="s">
        <v>70</v>
      </c>
      <c r="H4404" t="s">
        <v>46</v>
      </c>
      <c r="I4404" s="2">
        <v>8.99</v>
      </c>
      <c r="J4404">
        <v>1</v>
      </c>
      <c r="K4404" s="2">
        <f t="shared" si="136"/>
        <v>8.99</v>
      </c>
      <c r="L4404" t="s">
        <v>61</v>
      </c>
      <c r="M4404">
        <v>3</v>
      </c>
      <c r="N4404">
        <v>0.04</v>
      </c>
      <c r="O4404" t="str">
        <f t="shared" si="137"/>
        <v>0–0.2 hours</v>
      </c>
      <c r="P4404" t="s">
        <v>25</v>
      </c>
    </row>
    <row r="4405" spans="1:16" x14ac:dyDescent="0.4">
      <c r="A4405" t="s">
        <v>4446</v>
      </c>
      <c r="B4405">
        <v>54</v>
      </c>
      <c r="C4405" t="s">
        <v>27</v>
      </c>
      <c r="D4405" t="s">
        <v>16</v>
      </c>
      <c r="E4405">
        <v>6.72</v>
      </c>
      <c r="F4405">
        <v>47</v>
      </c>
      <c r="G4405" t="s">
        <v>23</v>
      </c>
      <c r="H4405" t="s">
        <v>46</v>
      </c>
      <c r="I4405" s="2">
        <v>8.99</v>
      </c>
      <c r="J4405">
        <v>1</v>
      </c>
      <c r="K4405" s="2">
        <f t="shared" si="136"/>
        <v>8.99</v>
      </c>
      <c r="L4405" t="s">
        <v>37</v>
      </c>
      <c r="M4405">
        <v>4</v>
      </c>
      <c r="N4405">
        <v>0.14000000000000001</v>
      </c>
      <c r="O4405" t="str">
        <f t="shared" si="137"/>
        <v>0–0.2 hours</v>
      </c>
      <c r="P4405" t="s">
        <v>30</v>
      </c>
    </row>
    <row r="4406" spans="1:16" x14ac:dyDescent="0.4">
      <c r="A4406" t="s">
        <v>4447</v>
      </c>
      <c r="B4406">
        <v>37</v>
      </c>
      <c r="C4406" t="s">
        <v>41</v>
      </c>
      <c r="D4406" t="s">
        <v>32</v>
      </c>
      <c r="E4406">
        <v>2.44</v>
      </c>
      <c r="F4406">
        <v>8</v>
      </c>
      <c r="G4406" t="s">
        <v>23</v>
      </c>
      <c r="H4406" t="s">
        <v>24</v>
      </c>
      <c r="I4406" s="2">
        <v>17.989999999999998</v>
      </c>
      <c r="J4406">
        <v>1</v>
      </c>
      <c r="K4406" s="2">
        <f t="shared" si="136"/>
        <v>17.989999999999998</v>
      </c>
      <c r="L4406" t="s">
        <v>29</v>
      </c>
      <c r="M4406">
        <v>2</v>
      </c>
      <c r="N4406">
        <v>0.27</v>
      </c>
      <c r="O4406" t="str">
        <f t="shared" si="137"/>
        <v>0.2–0.4 hours</v>
      </c>
      <c r="P4406" t="s">
        <v>47</v>
      </c>
    </row>
    <row r="4407" spans="1:16" x14ac:dyDescent="0.4">
      <c r="A4407" t="s">
        <v>4448</v>
      </c>
      <c r="B4407">
        <v>20</v>
      </c>
      <c r="C4407" t="s">
        <v>15</v>
      </c>
      <c r="D4407" t="s">
        <v>22</v>
      </c>
      <c r="E4407">
        <v>5.46</v>
      </c>
      <c r="F4407">
        <v>59</v>
      </c>
      <c r="G4407" t="s">
        <v>49</v>
      </c>
      <c r="H4407" t="s">
        <v>24</v>
      </c>
      <c r="I4407" s="2">
        <v>13.99</v>
      </c>
      <c r="J4407">
        <v>1</v>
      </c>
      <c r="K4407" s="2">
        <f t="shared" si="136"/>
        <v>13.99</v>
      </c>
      <c r="L4407" t="s">
        <v>19</v>
      </c>
      <c r="M4407">
        <v>2</v>
      </c>
      <c r="N4407">
        <v>0.09</v>
      </c>
      <c r="O4407" t="str">
        <f t="shared" si="137"/>
        <v>0–0.2 hours</v>
      </c>
      <c r="P4407" t="s">
        <v>39</v>
      </c>
    </row>
    <row r="4408" spans="1:16" x14ac:dyDescent="0.4">
      <c r="A4408" t="s">
        <v>4449</v>
      </c>
      <c r="B4408">
        <v>20</v>
      </c>
      <c r="C4408" t="s">
        <v>15</v>
      </c>
      <c r="D4408" t="s">
        <v>16</v>
      </c>
      <c r="E4408">
        <v>5.64</v>
      </c>
      <c r="F4408">
        <v>24</v>
      </c>
      <c r="G4408" t="s">
        <v>17</v>
      </c>
      <c r="H4408" t="s">
        <v>57</v>
      </c>
      <c r="I4408" s="2">
        <v>8.99</v>
      </c>
      <c r="J4408">
        <v>0</v>
      </c>
      <c r="K4408" s="2">
        <f t="shared" si="136"/>
        <v>0</v>
      </c>
      <c r="L4408" t="s">
        <v>37</v>
      </c>
      <c r="M4408">
        <v>2</v>
      </c>
      <c r="N4408">
        <v>0.23</v>
      </c>
      <c r="O4408" t="str">
        <f t="shared" si="137"/>
        <v>0.2–0.4 hours</v>
      </c>
      <c r="P4408" t="s">
        <v>20</v>
      </c>
    </row>
    <row r="4409" spans="1:16" x14ac:dyDescent="0.4">
      <c r="A4409" t="s">
        <v>4450</v>
      </c>
      <c r="B4409">
        <v>51</v>
      </c>
      <c r="C4409" t="s">
        <v>15</v>
      </c>
      <c r="D4409" t="s">
        <v>22</v>
      </c>
      <c r="E4409">
        <v>3.38</v>
      </c>
      <c r="F4409">
        <v>40</v>
      </c>
      <c r="G4409" t="s">
        <v>28</v>
      </c>
      <c r="H4409" t="s">
        <v>55</v>
      </c>
      <c r="I4409" s="2">
        <v>13.99</v>
      </c>
      <c r="J4409">
        <v>1</v>
      </c>
      <c r="K4409" s="2">
        <f t="shared" si="136"/>
        <v>13.99</v>
      </c>
      <c r="L4409" t="s">
        <v>19</v>
      </c>
      <c r="M4409">
        <v>3</v>
      </c>
      <c r="N4409">
        <v>0.08</v>
      </c>
      <c r="O4409" t="str">
        <f t="shared" si="137"/>
        <v>0–0.2 hours</v>
      </c>
      <c r="P4409" t="s">
        <v>25</v>
      </c>
    </row>
    <row r="4410" spans="1:16" x14ac:dyDescent="0.4">
      <c r="A4410" t="s">
        <v>4451</v>
      </c>
      <c r="B4410">
        <v>39</v>
      </c>
      <c r="C4410" t="s">
        <v>27</v>
      </c>
      <c r="D4410" t="s">
        <v>32</v>
      </c>
      <c r="E4410">
        <v>1.86</v>
      </c>
      <c r="F4410">
        <v>55</v>
      </c>
      <c r="G4410" t="s">
        <v>33</v>
      </c>
      <c r="H4410" t="s">
        <v>46</v>
      </c>
      <c r="I4410" s="2">
        <v>17.989999999999998</v>
      </c>
      <c r="J4410">
        <v>1</v>
      </c>
      <c r="K4410" s="2">
        <f t="shared" si="136"/>
        <v>17.989999999999998</v>
      </c>
      <c r="L4410" t="s">
        <v>37</v>
      </c>
      <c r="M4410">
        <v>3</v>
      </c>
      <c r="N4410">
        <v>0.03</v>
      </c>
      <c r="O4410" t="str">
        <f t="shared" si="137"/>
        <v>0–0.2 hours</v>
      </c>
      <c r="P4410" t="s">
        <v>52</v>
      </c>
    </row>
    <row r="4411" spans="1:16" x14ac:dyDescent="0.4">
      <c r="A4411" t="s">
        <v>4452</v>
      </c>
      <c r="B4411">
        <v>52</v>
      </c>
      <c r="C4411" t="s">
        <v>27</v>
      </c>
      <c r="D4411" t="s">
        <v>32</v>
      </c>
      <c r="E4411">
        <v>4.12</v>
      </c>
      <c r="F4411">
        <v>1</v>
      </c>
      <c r="G4411" t="s">
        <v>49</v>
      </c>
      <c r="H4411" t="s">
        <v>46</v>
      </c>
      <c r="I4411" s="2">
        <v>17.989999999999998</v>
      </c>
      <c r="J4411">
        <v>0</v>
      </c>
      <c r="K4411" s="2">
        <f t="shared" si="136"/>
        <v>0</v>
      </c>
      <c r="L4411" t="s">
        <v>29</v>
      </c>
      <c r="M4411">
        <v>4</v>
      </c>
      <c r="N4411">
        <v>2.06</v>
      </c>
      <c r="O4411" t="str">
        <f t="shared" si="137"/>
        <v>1+ hours</v>
      </c>
      <c r="P4411" t="s">
        <v>25</v>
      </c>
    </row>
    <row r="4412" spans="1:16" x14ac:dyDescent="0.4">
      <c r="A4412" t="s">
        <v>4453</v>
      </c>
      <c r="B4412">
        <v>34</v>
      </c>
      <c r="C4412" t="s">
        <v>15</v>
      </c>
      <c r="D4412" t="s">
        <v>22</v>
      </c>
      <c r="E4412">
        <v>7.32</v>
      </c>
      <c r="F4412">
        <v>57</v>
      </c>
      <c r="G4412" t="s">
        <v>23</v>
      </c>
      <c r="H4412" t="s">
        <v>57</v>
      </c>
      <c r="I4412" s="2">
        <v>13.99</v>
      </c>
      <c r="J4412">
        <v>1</v>
      </c>
      <c r="K4412" s="2">
        <f t="shared" si="136"/>
        <v>13.99</v>
      </c>
      <c r="L4412" t="s">
        <v>29</v>
      </c>
      <c r="M4412">
        <v>1</v>
      </c>
      <c r="N4412">
        <v>0.13</v>
      </c>
      <c r="O4412" t="str">
        <f t="shared" si="137"/>
        <v>0–0.2 hours</v>
      </c>
      <c r="P4412" t="s">
        <v>25</v>
      </c>
    </row>
    <row r="4413" spans="1:16" x14ac:dyDescent="0.4">
      <c r="A4413" t="s">
        <v>4454</v>
      </c>
      <c r="B4413">
        <v>35</v>
      </c>
      <c r="C4413" t="s">
        <v>27</v>
      </c>
      <c r="D4413" t="s">
        <v>22</v>
      </c>
      <c r="E4413">
        <v>34.299999999999997</v>
      </c>
      <c r="F4413">
        <v>18</v>
      </c>
      <c r="G4413" t="s">
        <v>33</v>
      </c>
      <c r="H4413" t="s">
        <v>24</v>
      </c>
      <c r="I4413" s="2">
        <v>13.99</v>
      </c>
      <c r="J4413">
        <v>0</v>
      </c>
      <c r="K4413" s="2">
        <f t="shared" si="136"/>
        <v>0</v>
      </c>
      <c r="L4413" t="s">
        <v>61</v>
      </c>
      <c r="M4413">
        <v>1</v>
      </c>
      <c r="N4413">
        <v>1.81</v>
      </c>
      <c r="O4413" t="str">
        <f t="shared" si="137"/>
        <v>1+ hours</v>
      </c>
      <c r="P4413" t="s">
        <v>30</v>
      </c>
    </row>
    <row r="4414" spans="1:16" x14ac:dyDescent="0.4">
      <c r="A4414" t="s">
        <v>4455</v>
      </c>
      <c r="B4414">
        <v>47</v>
      </c>
      <c r="C4414" t="s">
        <v>41</v>
      </c>
      <c r="D4414" t="s">
        <v>32</v>
      </c>
      <c r="E4414">
        <v>3.78</v>
      </c>
      <c r="F4414">
        <v>56</v>
      </c>
      <c r="G4414" t="s">
        <v>33</v>
      </c>
      <c r="H4414" t="s">
        <v>46</v>
      </c>
      <c r="I4414" s="2">
        <v>17.989999999999998</v>
      </c>
      <c r="J4414">
        <v>1</v>
      </c>
      <c r="K4414" s="2">
        <f t="shared" si="136"/>
        <v>17.989999999999998</v>
      </c>
      <c r="L4414" t="s">
        <v>37</v>
      </c>
      <c r="M4414">
        <v>3</v>
      </c>
      <c r="N4414">
        <v>7.0000000000000007E-2</v>
      </c>
      <c r="O4414" t="str">
        <f t="shared" si="137"/>
        <v>0–0.2 hours</v>
      </c>
      <c r="P4414" t="s">
        <v>52</v>
      </c>
    </row>
    <row r="4415" spans="1:16" x14ac:dyDescent="0.4">
      <c r="A4415" t="s">
        <v>4456</v>
      </c>
      <c r="B4415">
        <v>42</v>
      </c>
      <c r="C4415" t="s">
        <v>41</v>
      </c>
      <c r="D4415" t="s">
        <v>22</v>
      </c>
      <c r="E4415">
        <v>10.89</v>
      </c>
      <c r="F4415">
        <v>15</v>
      </c>
      <c r="G4415" t="s">
        <v>17</v>
      </c>
      <c r="H4415" t="s">
        <v>57</v>
      </c>
      <c r="I4415" s="2">
        <v>13.99</v>
      </c>
      <c r="J4415">
        <v>0</v>
      </c>
      <c r="K4415" s="2">
        <f t="shared" si="136"/>
        <v>0</v>
      </c>
      <c r="L4415" t="s">
        <v>19</v>
      </c>
      <c r="M4415">
        <v>5</v>
      </c>
      <c r="N4415">
        <v>0.68</v>
      </c>
      <c r="O4415" t="str">
        <f t="shared" si="137"/>
        <v>0.6–0.8 hours</v>
      </c>
      <c r="P4415" t="s">
        <v>39</v>
      </c>
    </row>
    <row r="4416" spans="1:16" x14ac:dyDescent="0.4">
      <c r="A4416" t="s">
        <v>4457</v>
      </c>
      <c r="B4416">
        <v>34</v>
      </c>
      <c r="C4416" t="s">
        <v>27</v>
      </c>
      <c r="D4416" t="s">
        <v>32</v>
      </c>
      <c r="E4416">
        <v>5.24</v>
      </c>
      <c r="F4416">
        <v>20</v>
      </c>
      <c r="G4416" t="s">
        <v>23</v>
      </c>
      <c r="H4416" t="s">
        <v>55</v>
      </c>
      <c r="I4416" s="2">
        <v>17.989999999999998</v>
      </c>
      <c r="J4416">
        <v>0</v>
      </c>
      <c r="K4416" s="2">
        <f t="shared" si="136"/>
        <v>0</v>
      </c>
      <c r="L4416" t="s">
        <v>37</v>
      </c>
      <c r="M4416">
        <v>3</v>
      </c>
      <c r="N4416">
        <v>0.25</v>
      </c>
      <c r="O4416" t="str">
        <f t="shared" si="137"/>
        <v>0.2–0.4 hours</v>
      </c>
      <c r="P4416" t="s">
        <v>39</v>
      </c>
    </row>
    <row r="4417" spans="1:16" x14ac:dyDescent="0.4">
      <c r="A4417" t="s">
        <v>4458</v>
      </c>
      <c r="B4417">
        <v>44</v>
      </c>
      <c r="C4417" t="s">
        <v>15</v>
      </c>
      <c r="D4417" t="s">
        <v>32</v>
      </c>
      <c r="E4417">
        <v>46.8</v>
      </c>
      <c r="F4417">
        <v>46</v>
      </c>
      <c r="G4417" t="s">
        <v>33</v>
      </c>
      <c r="H4417" t="s">
        <v>24</v>
      </c>
      <c r="I4417" s="2">
        <v>17.989999999999998</v>
      </c>
      <c r="J4417">
        <v>0</v>
      </c>
      <c r="K4417" s="2">
        <f t="shared" si="136"/>
        <v>0</v>
      </c>
      <c r="L4417" t="s">
        <v>29</v>
      </c>
      <c r="M4417">
        <v>4</v>
      </c>
      <c r="N4417">
        <v>1</v>
      </c>
      <c r="O4417" t="str">
        <f t="shared" si="137"/>
        <v>0.8–1 hour</v>
      </c>
      <c r="P4417" t="s">
        <v>39</v>
      </c>
    </row>
    <row r="4418" spans="1:16" x14ac:dyDescent="0.4">
      <c r="A4418" t="s">
        <v>4459</v>
      </c>
      <c r="B4418">
        <v>34</v>
      </c>
      <c r="C4418" t="s">
        <v>15</v>
      </c>
      <c r="D4418" t="s">
        <v>32</v>
      </c>
      <c r="E4418">
        <v>22.76</v>
      </c>
      <c r="F4418">
        <v>59</v>
      </c>
      <c r="G4418" t="s">
        <v>70</v>
      </c>
      <c r="H4418" t="s">
        <v>46</v>
      </c>
      <c r="I4418" s="2">
        <v>17.989999999999998</v>
      </c>
      <c r="J4418">
        <v>0</v>
      </c>
      <c r="K4418" s="2">
        <f t="shared" si="136"/>
        <v>0</v>
      </c>
      <c r="L4418" t="s">
        <v>61</v>
      </c>
      <c r="M4418">
        <v>3</v>
      </c>
      <c r="N4418">
        <v>0.38</v>
      </c>
      <c r="O4418" t="str">
        <f t="shared" si="137"/>
        <v>0.2–0.4 hours</v>
      </c>
      <c r="P4418" t="s">
        <v>20</v>
      </c>
    </row>
    <row r="4419" spans="1:16" x14ac:dyDescent="0.4">
      <c r="A4419" t="s">
        <v>4460</v>
      </c>
      <c r="B4419">
        <v>68</v>
      </c>
      <c r="C4419" t="s">
        <v>15</v>
      </c>
      <c r="D4419" t="s">
        <v>32</v>
      </c>
      <c r="E4419">
        <v>5.61</v>
      </c>
      <c r="F4419">
        <v>41</v>
      </c>
      <c r="G4419" t="s">
        <v>17</v>
      </c>
      <c r="H4419" t="s">
        <v>18</v>
      </c>
      <c r="I4419" s="2">
        <v>17.989999999999998</v>
      </c>
      <c r="J4419">
        <v>1</v>
      </c>
      <c r="K4419" s="2">
        <f t="shared" ref="K4419:K4482" si="138">SUMIF(J4419,1,I4419)</f>
        <v>17.989999999999998</v>
      </c>
      <c r="L4419" t="s">
        <v>43</v>
      </c>
      <c r="M4419">
        <v>1</v>
      </c>
      <c r="N4419">
        <v>0.13</v>
      </c>
      <c r="O4419" t="str">
        <f t="shared" ref="O4419:O4482" si="139">IF(N4419&gt;1,"1+ hours",IF(N4419&lt;=0.2,"0–0.2 hours",IF(N4419&lt;=0.4,"0.2–0.4 hours",IF(N4419&lt;=0.6,"0.4–0.6 hours",IF(N4419&lt;=0.8,"0.6–0.8 hours","0.8–1 hour")))))</f>
        <v>0–0.2 hours</v>
      </c>
      <c r="P4419" t="s">
        <v>20</v>
      </c>
    </row>
    <row r="4420" spans="1:16" x14ac:dyDescent="0.4">
      <c r="A4420" t="s">
        <v>4461</v>
      </c>
      <c r="B4420">
        <v>20</v>
      </c>
      <c r="C4420" t="s">
        <v>41</v>
      </c>
      <c r="D4420" t="s">
        <v>16</v>
      </c>
      <c r="E4420">
        <v>2.16</v>
      </c>
      <c r="F4420">
        <v>28</v>
      </c>
      <c r="G4420" t="s">
        <v>23</v>
      </c>
      <c r="H4420" t="s">
        <v>55</v>
      </c>
      <c r="I4420" s="2">
        <v>8.99</v>
      </c>
      <c r="J4420">
        <v>1</v>
      </c>
      <c r="K4420" s="2">
        <f t="shared" si="138"/>
        <v>8.99</v>
      </c>
      <c r="L4420" t="s">
        <v>61</v>
      </c>
      <c r="M4420">
        <v>1</v>
      </c>
      <c r="N4420">
        <v>7.0000000000000007E-2</v>
      </c>
      <c r="O4420" t="str">
        <f t="shared" si="139"/>
        <v>0–0.2 hours</v>
      </c>
      <c r="P4420" t="s">
        <v>52</v>
      </c>
    </row>
    <row r="4421" spans="1:16" x14ac:dyDescent="0.4">
      <c r="A4421" t="s">
        <v>4462</v>
      </c>
      <c r="B4421">
        <v>55</v>
      </c>
      <c r="C4421" t="s">
        <v>41</v>
      </c>
      <c r="D4421" t="s">
        <v>22</v>
      </c>
      <c r="E4421">
        <v>13.16</v>
      </c>
      <c r="F4421">
        <v>57</v>
      </c>
      <c r="G4421" t="s">
        <v>17</v>
      </c>
      <c r="H4421" t="s">
        <v>24</v>
      </c>
      <c r="I4421" s="2">
        <v>13.99</v>
      </c>
      <c r="J4421">
        <v>1</v>
      </c>
      <c r="K4421" s="2">
        <f t="shared" si="138"/>
        <v>13.99</v>
      </c>
      <c r="L4421" t="s">
        <v>29</v>
      </c>
      <c r="M4421">
        <v>5</v>
      </c>
      <c r="N4421">
        <v>0.23</v>
      </c>
      <c r="O4421" t="str">
        <f t="shared" si="139"/>
        <v>0.2–0.4 hours</v>
      </c>
      <c r="P4421" t="s">
        <v>25</v>
      </c>
    </row>
    <row r="4422" spans="1:16" x14ac:dyDescent="0.4">
      <c r="A4422" t="s">
        <v>4463</v>
      </c>
      <c r="B4422">
        <v>68</v>
      </c>
      <c r="C4422" t="s">
        <v>27</v>
      </c>
      <c r="D4422" t="s">
        <v>32</v>
      </c>
      <c r="E4422">
        <v>10.16</v>
      </c>
      <c r="F4422">
        <v>25</v>
      </c>
      <c r="G4422" t="s">
        <v>17</v>
      </c>
      <c r="H4422" t="s">
        <v>57</v>
      </c>
      <c r="I4422" s="2">
        <v>17.989999999999998</v>
      </c>
      <c r="J4422">
        <v>0</v>
      </c>
      <c r="K4422" s="2">
        <f t="shared" si="138"/>
        <v>0</v>
      </c>
      <c r="L4422" t="s">
        <v>37</v>
      </c>
      <c r="M4422">
        <v>3</v>
      </c>
      <c r="N4422">
        <v>0.39</v>
      </c>
      <c r="O4422" t="str">
        <f t="shared" si="139"/>
        <v>0.2–0.4 hours</v>
      </c>
      <c r="P4422" t="s">
        <v>34</v>
      </c>
    </row>
    <row r="4423" spans="1:16" x14ac:dyDescent="0.4">
      <c r="A4423" t="s">
        <v>4464</v>
      </c>
      <c r="B4423">
        <v>24</v>
      </c>
      <c r="C4423" t="s">
        <v>27</v>
      </c>
      <c r="D4423" t="s">
        <v>22</v>
      </c>
      <c r="E4423">
        <v>35.74</v>
      </c>
      <c r="F4423">
        <v>48</v>
      </c>
      <c r="G4423" t="s">
        <v>49</v>
      </c>
      <c r="H4423" t="s">
        <v>55</v>
      </c>
      <c r="I4423" s="2">
        <v>13.99</v>
      </c>
      <c r="J4423">
        <v>0</v>
      </c>
      <c r="K4423" s="2">
        <f t="shared" si="138"/>
        <v>0</v>
      </c>
      <c r="L4423" t="s">
        <v>61</v>
      </c>
      <c r="M4423">
        <v>1</v>
      </c>
      <c r="N4423">
        <v>0.73</v>
      </c>
      <c r="O4423" t="str">
        <f t="shared" si="139"/>
        <v>0.6–0.8 hours</v>
      </c>
      <c r="P4423" t="s">
        <v>47</v>
      </c>
    </row>
    <row r="4424" spans="1:16" x14ac:dyDescent="0.4">
      <c r="A4424" t="s">
        <v>4465</v>
      </c>
      <c r="B4424">
        <v>48</v>
      </c>
      <c r="C4424" t="s">
        <v>41</v>
      </c>
      <c r="D4424" t="s">
        <v>16</v>
      </c>
      <c r="E4424">
        <v>0.91</v>
      </c>
      <c r="F4424">
        <v>38</v>
      </c>
      <c r="G4424" t="s">
        <v>49</v>
      </c>
      <c r="H4424" t="s">
        <v>57</v>
      </c>
      <c r="I4424" s="2">
        <v>8.99</v>
      </c>
      <c r="J4424">
        <v>1</v>
      </c>
      <c r="K4424" s="2">
        <f t="shared" si="138"/>
        <v>8.99</v>
      </c>
      <c r="L4424" t="s">
        <v>37</v>
      </c>
      <c r="M4424">
        <v>4</v>
      </c>
      <c r="N4424">
        <v>0.02</v>
      </c>
      <c r="O4424" t="str">
        <f t="shared" si="139"/>
        <v>0–0.2 hours</v>
      </c>
      <c r="P4424" t="s">
        <v>39</v>
      </c>
    </row>
    <row r="4425" spans="1:16" x14ac:dyDescent="0.4">
      <c r="A4425" t="s">
        <v>4466</v>
      </c>
      <c r="B4425">
        <v>46</v>
      </c>
      <c r="C4425" t="s">
        <v>27</v>
      </c>
      <c r="D4425" t="s">
        <v>22</v>
      </c>
      <c r="E4425">
        <v>7.78</v>
      </c>
      <c r="F4425">
        <v>37</v>
      </c>
      <c r="G4425" t="s">
        <v>17</v>
      </c>
      <c r="H4425" t="s">
        <v>18</v>
      </c>
      <c r="I4425" s="2">
        <v>13.99</v>
      </c>
      <c r="J4425">
        <v>1</v>
      </c>
      <c r="K4425" s="2">
        <f t="shared" si="138"/>
        <v>13.99</v>
      </c>
      <c r="L4425" t="s">
        <v>19</v>
      </c>
      <c r="M4425">
        <v>4</v>
      </c>
      <c r="N4425">
        <v>0.2</v>
      </c>
      <c r="O4425" t="str">
        <f t="shared" si="139"/>
        <v>0–0.2 hours</v>
      </c>
      <c r="P4425" t="s">
        <v>52</v>
      </c>
    </row>
    <row r="4426" spans="1:16" x14ac:dyDescent="0.4">
      <c r="A4426" t="s">
        <v>4467</v>
      </c>
      <c r="B4426">
        <v>70</v>
      </c>
      <c r="C4426" t="s">
        <v>15</v>
      </c>
      <c r="D4426" t="s">
        <v>32</v>
      </c>
      <c r="E4426">
        <v>4.55</v>
      </c>
      <c r="F4426">
        <v>22</v>
      </c>
      <c r="G4426" t="s">
        <v>33</v>
      </c>
      <c r="H4426" t="s">
        <v>24</v>
      </c>
      <c r="I4426" s="2">
        <v>17.989999999999998</v>
      </c>
      <c r="J4426">
        <v>1</v>
      </c>
      <c r="K4426" s="2">
        <f t="shared" si="138"/>
        <v>17.989999999999998</v>
      </c>
      <c r="L4426" t="s">
        <v>37</v>
      </c>
      <c r="M4426">
        <v>1</v>
      </c>
      <c r="N4426">
        <v>0.2</v>
      </c>
      <c r="O4426" t="str">
        <f t="shared" si="139"/>
        <v>0–0.2 hours</v>
      </c>
      <c r="P4426" t="s">
        <v>25</v>
      </c>
    </row>
    <row r="4427" spans="1:16" x14ac:dyDescent="0.4">
      <c r="A4427" t="s">
        <v>4468</v>
      </c>
      <c r="B4427">
        <v>25</v>
      </c>
      <c r="C4427" t="s">
        <v>41</v>
      </c>
      <c r="D4427" t="s">
        <v>16</v>
      </c>
      <c r="E4427">
        <v>22.21</v>
      </c>
      <c r="F4427">
        <v>57</v>
      </c>
      <c r="G4427" t="s">
        <v>49</v>
      </c>
      <c r="H4427" t="s">
        <v>18</v>
      </c>
      <c r="I4427" s="2">
        <v>8.99</v>
      </c>
      <c r="J4427">
        <v>1</v>
      </c>
      <c r="K4427" s="2">
        <f t="shared" si="138"/>
        <v>8.99</v>
      </c>
      <c r="L4427" t="s">
        <v>37</v>
      </c>
      <c r="M4427">
        <v>3</v>
      </c>
      <c r="N4427">
        <v>0.38</v>
      </c>
      <c r="O4427" t="str">
        <f t="shared" si="139"/>
        <v>0.2–0.4 hours</v>
      </c>
      <c r="P4427" t="s">
        <v>34</v>
      </c>
    </row>
    <row r="4428" spans="1:16" x14ac:dyDescent="0.4">
      <c r="A4428" t="s">
        <v>4469</v>
      </c>
      <c r="B4428">
        <v>41</v>
      </c>
      <c r="C4428" t="s">
        <v>15</v>
      </c>
      <c r="D4428" t="s">
        <v>22</v>
      </c>
      <c r="E4428">
        <v>1.2</v>
      </c>
      <c r="F4428">
        <v>49</v>
      </c>
      <c r="G4428" t="s">
        <v>17</v>
      </c>
      <c r="H4428" t="s">
        <v>46</v>
      </c>
      <c r="I4428" s="2">
        <v>13.99</v>
      </c>
      <c r="J4428">
        <v>1</v>
      </c>
      <c r="K4428" s="2">
        <f t="shared" si="138"/>
        <v>13.99</v>
      </c>
      <c r="L4428" t="s">
        <v>61</v>
      </c>
      <c r="M4428">
        <v>4</v>
      </c>
      <c r="N4428">
        <v>0.02</v>
      </c>
      <c r="O4428" t="str">
        <f t="shared" si="139"/>
        <v>0–0.2 hours</v>
      </c>
      <c r="P4428" t="s">
        <v>39</v>
      </c>
    </row>
    <row r="4429" spans="1:16" x14ac:dyDescent="0.4">
      <c r="A4429" t="s">
        <v>4470</v>
      </c>
      <c r="B4429">
        <v>22</v>
      </c>
      <c r="C4429" t="s">
        <v>41</v>
      </c>
      <c r="D4429" t="s">
        <v>16</v>
      </c>
      <c r="E4429">
        <v>3.76</v>
      </c>
      <c r="F4429">
        <v>59</v>
      </c>
      <c r="G4429" t="s">
        <v>23</v>
      </c>
      <c r="H4429" t="s">
        <v>18</v>
      </c>
      <c r="I4429" s="2">
        <v>8.99</v>
      </c>
      <c r="J4429">
        <v>1</v>
      </c>
      <c r="K4429" s="2">
        <f t="shared" si="138"/>
        <v>8.99</v>
      </c>
      <c r="L4429" t="s">
        <v>43</v>
      </c>
      <c r="M4429">
        <v>3</v>
      </c>
      <c r="N4429">
        <v>0.06</v>
      </c>
      <c r="O4429" t="str">
        <f t="shared" si="139"/>
        <v>0–0.2 hours</v>
      </c>
      <c r="P4429" t="s">
        <v>52</v>
      </c>
    </row>
    <row r="4430" spans="1:16" x14ac:dyDescent="0.4">
      <c r="A4430" t="s">
        <v>4471</v>
      </c>
      <c r="B4430">
        <v>24</v>
      </c>
      <c r="C4430" t="s">
        <v>15</v>
      </c>
      <c r="D4430" t="s">
        <v>16</v>
      </c>
      <c r="E4430">
        <v>10.15</v>
      </c>
      <c r="F4430">
        <v>9</v>
      </c>
      <c r="G4430" t="s">
        <v>28</v>
      </c>
      <c r="H4430" t="s">
        <v>18</v>
      </c>
      <c r="I4430" s="2">
        <v>8.99</v>
      </c>
      <c r="J4430">
        <v>0</v>
      </c>
      <c r="K4430" s="2">
        <f t="shared" si="138"/>
        <v>0</v>
      </c>
      <c r="L4430" t="s">
        <v>37</v>
      </c>
      <c r="M4430">
        <v>2</v>
      </c>
      <c r="N4430">
        <v>1.02</v>
      </c>
      <c r="O4430" t="str">
        <f t="shared" si="139"/>
        <v>1+ hours</v>
      </c>
      <c r="P4430" t="s">
        <v>20</v>
      </c>
    </row>
    <row r="4431" spans="1:16" x14ac:dyDescent="0.4">
      <c r="A4431" t="s">
        <v>4472</v>
      </c>
      <c r="B4431">
        <v>24</v>
      </c>
      <c r="C4431" t="s">
        <v>15</v>
      </c>
      <c r="D4431" t="s">
        <v>16</v>
      </c>
      <c r="E4431">
        <v>2.2799999999999998</v>
      </c>
      <c r="F4431">
        <v>43</v>
      </c>
      <c r="G4431" t="s">
        <v>70</v>
      </c>
      <c r="H4431" t="s">
        <v>24</v>
      </c>
      <c r="I4431" s="2">
        <v>8.99</v>
      </c>
      <c r="J4431">
        <v>1</v>
      </c>
      <c r="K4431" s="2">
        <f t="shared" si="138"/>
        <v>8.99</v>
      </c>
      <c r="L4431" t="s">
        <v>19</v>
      </c>
      <c r="M4431">
        <v>5</v>
      </c>
      <c r="N4431">
        <v>0.05</v>
      </c>
      <c r="O4431" t="str">
        <f t="shared" si="139"/>
        <v>0–0.2 hours</v>
      </c>
      <c r="P4431" t="s">
        <v>30</v>
      </c>
    </row>
    <row r="4432" spans="1:16" x14ac:dyDescent="0.4">
      <c r="A4432" t="s">
        <v>4473</v>
      </c>
      <c r="B4432">
        <v>25</v>
      </c>
      <c r="C4432" t="s">
        <v>15</v>
      </c>
      <c r="D4432" t="s">
        <v>32</v>
      </c>
      <c r="E4432">
        <v>6.08</v>
      </c>
      <c r="F4432">
        <v>19</v>
      </c>
      <c r="G4432" t="s">
        <v>17</v>
      </c>
      <c r="H4432" t="s">
        <v>57</v>
      </c>
      <c r="I4432" s="2">
        <v>17.989999999999998</v>
      </c>
      <c r="J4432">
        <v>0</v>
      </c>
      <c r="K4432" s="2">
        <f t="shared" si="138"/>
        <v>0</v>
      </c>
      <c r="L4432" t="s">
        <v>61</v>
      </c>
      <c r="M4432">
        <v>3</v>
      </c>
      <c r="N4432">
        <v>0.3</v>
      </c>
      <c r="O4432" t="str">
        <f t="shared" si="139"/>
        <v>0.2–0.4 hours</v>
      </c>
      <c r="P4432" t="s">
        <v>52</v>
      </c>
    </row>
    <row r="4433" spans="1:16" x14ac:dyDescent="0.4">
      <c r="A4433" t="s">
        <v>4474</v>
      </c>
      <c r="B4433">
        <v>29</v>
      </c>
      <c r="C4433" t="s">
        <v>27</v>
      </c>
      <c r="D4433" t="s">
        <v>16</v>
      </c>
      <c r="E4433">
        <v>25.31</v>
      </c>
      <c r="F4433">
        <v>15</v>
      </c>
      <c r="G4433" t="s">
        <v>49</v>
      </c>
      <c r="H4433" t="s">
        <v>24</v>
      </c>
      <c r="I4433" s="2">
        <v>8.99</v>
      </c>
      <c r="J4433">
        <v>0</v>
      </c>
      <c r="K4433" s="2">
        <f t="shared" si="138"/>
        <v>0</v>
      </c>
      <c r="L4433" t="s">
        <v>19</v>
      </c>
      <c r="M4433">
        <v>4</v>
      </c>
      <c r="N4433">
        <v>1.58</v>
      </c>
      <c r="O4433" t="str">
        <f t="shared" si="139"/>
        <v>1+ hours</v>
      </c>
      <c r="P4433" t="s">
        <v>52</v>
      </c>
    </row>
    <row r="4434" spans="1:16" x14ac:dyDescent="0.4">
      <c r="A4434" t="s">
        <v>4475</v>
      </c>
      <c r="B4434">
        <v>62</v>
      </c>
      <c r="C4434" t="s">
        <v>27</v>
      </c>
      <c r="D4434" t="s">
        <v>16</v>
      </c>
      <c r="E4434">
        <v>19.11</v>
      </c>
      <c r="F4434">
        <v>21</v>
      </c>
      <c r="G4434" t="s">
        <v>23</v>
      </c>
      <c r="H4434" t="s">
        <v>46</v>
      </c>
      <c r="I4434" s="2">
        <v>8.99</v>
      </c>
      <c r="J4434">
        <v>0</v>
      </c>
      <c r="K4434" s="2">
        <f t="shared" si="138"/>
        <v>0</v>
      </c>
      <c r="L4434" t="s">
        <v>19</v>
      </c>
      <c r="M4434">
        <v>5</v>
      </c>
      <c r="N4434">
        <v>0.87</v>
      </c>
      <c r="O4434" t="str">
        <f t="shared" si="139"/>
        <v>0.8–1 hour</v>
      </c>
      <c r="P4434" t="s">
        <v>20</v>
      </c>
    </row>
    <row r="4435" spans="1:16" x14ac:dyDescent="0.4">
      <c r="A4435" t="s">
        <v>4476</v>
      </c>
      <c r="B4435">
        <v>35</v>
      </c>
      <c r="C4435" t="s">
        <v>27</v>
      </c>
      <c r="D4435" t="s">
        <v>16</v>
      </c>
      <c r="E4435">
        <v>21.25</v>
      </c>
      <c r="F4435">
        <v>46</v>
      </c>
      <c r="G4435" t="s">
        <v>33</v>
      </c>
      <c r="H4435" t="s">
        <v>55</v>
      </c>
      <c r="I4435" s="2">
        <v>8.99</v>
      </c>
      <c r="J4435">
        <v>1</v>
      </c>
      <c r="K4435" s="2">
        <f t="shared" si="138"/>
        <v>8.99</v>
      </c>
      <c r="L4435" t="s">
        <v>61</v>
      </c>
      <c r="M4435">
        <v>3</v>
      </c>
      <c r="N4435">
        <v>0.45</v>
      </c>
      <c r="O4435" t="str">
        <f t="shared" si="139"/>
        <v>0.4–0.6 hours</v>
      </c>
      <c r="P4435" t="s">
        <v>30</v>
      </c>
    </row>
    <row r="4436" spans="1:16" x14ac:dyDescent="0.4">
      <c r="A4436" t="s">
        <v>4477</v>
      </c>
      <c r="B4436">
        <v>41</v>
      </c>
      <c r="C4436" t="s">
        <v>41</v>
      </c>
      <c r="D4436" t="s">
        <v>16</v>
      </c>
      <c r="E4436">
        <v>6</v>
      </c>
      <c r="F4436">
        <v>26</v>
      </c>
      <c r="G4436" t="s">
        <v>17</v>
      </c>
      <c r="H4436" t="s">
        <v>46</v>
      </c>
      <c r="I4436" s="2">
        <v>8.99</v>
      </c>
      <c r="J4436">
        <v>0</v>
      </c>
      <c r="K4436" s="2">
        <f t="shared" si="138"/>
        <v>0</v>
      </c>
      <c r="L4436" t="s">
        <v>37</v>
      </c>
      <c r="M4436">
        <v>4</v>
      </c>
      <c r="N4436">
        <v>0.22</v>
      </c>
      <c r="O4436" t="str">
        <f t="shared" si="139"/>
        <v>0.2–0.4 hours</v>
      </c>
      <c r="P4436" t="s">
        <v>20</v>
      </c>
    </row>
    <row r="4437" spans="1:16" x14ac:dyDescent="0.4">
      <c r="A4437" t="s">
        <v>4478</v>
      </c>
      <c r="B4437">
        <v>66</v>
      </c>
      <c r="C4437" t="s">
        <v>41</v>
      </c>
      <c r="D4437" t="s">
        <v>32</v>
      </c>
      <c r="E4437">
        <v>7.68</v>
      </c>
      <c r="F4437">
        <v>52</v>
      </c>
      <c r="G4437" t="s">
        <v>23</v>
      </c>
      <c r="H4437" t="s">
        <v>24</v>
      </c>
      <c r="I4437" s="2">
        <v>17.989999999999998</v>
      </c>
      <c r="J4437">
        <v>1</v>
      </c>
      <c r="K4437" s="2">
        <f t="shared" si="138"/>
        <v>17.989999999999998</v>
      </c>
      <c r="L4437" t="s">
        <v>37</v>
      </c>
      <c r="M4437">
        <v>2</v>
      </c>
      <c r="N4437">
        <v>0.14000000000000001</v>
      </c>
      <c r="O4437" t="str">
        <f t="shared" si="139"/>
        <v>0–0.2 hours</v>
      </c>
      <c r="P4437" t="s">
        <v>25</v>
      </c>
    </row>
    <row r="4438" spans="1:16" x14ac:dyDescent="0.4">
      <c r="A4438" t="s">
        <v>4479</v>
      </c>
      <c r="B4438">
        <v>38</v>
      </c>
      <c r="C4438" t="s">
        <v>15</v>
      </c>
      <c r="D4438" t="s">
        <v>16</v>
      </c>
      <c r="E4438">
        <v>10.9</v>
      </c>
      <c r="F4438">
        <v>45</v>
      </c>
      <c r="G4438" t="s">
        <v>49</v>
      </c>
      <c r="H4438" t="s">
        <v>57</v>
      </c>
      <c r="I4438" s="2">
        <v>8.99</v>
      </c>
      <c r="J4438">
        <v>1</v>
      </c>
      <c r="K4438" s="2">
        <f t="shared" si="138"/>
        <v>8.99</v>
      </c>
      <c r="L4438" t="s">
        <v>61</v>
      </c>
      <c r="M4438">
        <v>4</v>
      </c>
      <c r="N4438">
        <v>0.24</v>
      </c>
      <c r="O4438" t="str">
        <f t="shared" si="139"/>
        <v>0.2–0.4 hours</v>
      </c>
      <c r="P4438" t="s">
        <v>25</v>
      </c>
    </row>
    <row r="4439" spans="1:16" x14ac:dyDescent="0.4">
      <c r="A4439" t="s">
        <v>4480</v>
      </c>
      <c r="B4439">
        <v>48</v>
      </c>
      <c r="C4439" t="s">
        <v>41</v>
      </c>
      <c r="D4439" t="s">
        <v>32</v>
      </c>
      <c r="E4439">
        <v>23.03</v>
      </c>
      <c r="F4439">
        <v>54</v>
      </c>
      <c r="G4439" t="s">
        <v>70</v>
      </c>
      <c r="H4439" t="s">
        <v>55</v>
      </c>
      <c r="I4439" s="2">
        <v>17.989999999999998</v>
      </c>
      <c r="J4439">
        <v>0</v>
      </c>
      <c r="K4439" s="2">
        <f t="shared" si="138"/>
        <v>0</v>
      </c>
      <c r="L4439" t="s">
        <v>61</v>
      </c>
      <c r="M4439">
        <v>4</v>
      </c>
      <c r="N4439">
        <v>0.42</v>
      </c>
      <c r="O4439" t="str">
        <f t="shared" si="139"/>
        <v>0.4–0.6 hours</v>
      </c>
      <c r="P4439" t="s">
        <v>52</v>
      </c>
    </row>
    <row r="4440" spans="1:16" x14ac:dyDescent="0.4">
      <c r="A4440" t="s">
        <v>4481</v>
      </c>
      <c r="B4440">
        <v>50</v>
      </c>
      <c r="C4440" t="s">
        <v>15</v>
      </c>
      <c r="D4440" t="s">
        <v>16</v>
      </c>
      <c r="E4440">
        <v>6.59</v>
      </c>
      <c r="F4440">
        <v>6</v>
      </c>
      <c r="G4440" t="s">
        <v>28</v>
      </c>
      <c r="H4440" t="s">
        <v>57</v>
      </c>
      <c r="I4440" s="2">
        <v>8.99</v>
      </c>
      <c r="J4440">
        <v>0</v>
      </c>
      <c r="K4440" s="2">
        <f t="shared" si="138"/>
        <v>0</v>
      </c>
      <c r="L4440" t="s">
        <v>61</v>
      </c>
      <c r="M4440">
        <v>2</v>
      </c>
      <c r="N4440">
        <v>0.94</v>
      </c>
      <c r="O4440" t="str">
        <f t="shared" si="139"/>
        <v>0.8–1 hour</v>
      </c>
      <c r="P4440" t="s">
        <v>34</v>
      </c>
    </row>
    <row r="4441" spans="1:16" x14ac:dyDescent="0.4">
      <c r="A4441" t="s">
        <v>4482</v>
      </c>
      <c r="B4441">
        <v>51</v>
      </c>
      <c r="C4441" t="s">
        <v>41</v>
      </c>
      <c r="D4441" t="s">
        <v>16</v>
      </c>
      <c r="E4441">
        <v>1.56</v>
      </c>
      <c r="F4441">
        <v>55</v>
      </c>
      <c r="G4441" t="s">
        <v>70</v>
      </c>
      <c r="H4441" t="s">
        <v>24</v>
      </c>
      <c r="I4441" s="2">
        <v>8.99</v>
      </c>
      <c r="J4441">
        <v>1</v>
      </c>
      <c r="K4441" s="2">
        <f t="shared" si="138"/>
        <v>8.99</v>
      </c>
      <c r="L4441" t="s">
        <v>29</v>
      </c>
      <c r="M4441">
        <v>3</v>
      </c>
      <c r="N4441">
        <v>0.03</v>
      </c>
      <c r="O4441" t="str">
        <f t="shared" si="139"/>
        <v>0–0.2 hours</v>
      </c>
      <c r="P4441" t="s">
        <v>20</v>
      </c>
    </row>
    <row r="4442" spans="1:16" x14ac:dyDescent="0.4">
      <c r="A4442" t="s">
        <v>4483</v>
      </c>
      <c r="B4442">
        <v>24</v>
      </c>
      <c r="C4442" t="s">
        <v>41</v>
      </c>
      <c r="D4442" t="s">
        <v>16</v>
      </c>
      <c r="E4442">
        <v>1.59</v>
      </c>
      <c r="F4442">
        <v>42</v>
      </c>
      <c r="G4442" t="s">
        <v>28</v>
      </c>
      <c r="H4442" t="s">
        <v>24</v>
      </c>
      <c r="I4442" s="2">
        <v>8.99</v>
      </c>
      <c r="J4442">
        <v>1</v>
      </c>
      <c r="K4442" s="2">
        <f t="shared" si="138"/>
        <v>8.99</v>
      </c>
      <c r="L4442" t="s">
        <v>19</v>
      </c>
      <c r="M4442">
        <v>5</v>
      </c>
      <c r="N4442">
        <v>0.04</v>
      </c>
      <c r="O4442" t="str">
        <f t="shared" si="139"/>
        <v>0–0.2 hours</v>
      </c>
      <c r="P4442" t="s">
        <v>20</v>
      </c>
    </row>
    <row r="4443" spans="1:16" x14ac:dyDescent="0.4">
      <c r="A4443" t="s">
        <v>4484</v>
      </c>
      <c r="B4443">
        <v>44</v>
      </c>
      <c r="C4443" t="s">
        <v>41</v>
      </c>
      <c r="D4443" t="s">
        <v>16</v>
      </c>
      <c r="E4443">
        <v>3.91</v>
      </c>
      <c r="F4443">
        <v>2</v>
      </c>
      <c r="G4443" t="s">
        <v>49</v>
      </c>
      <c r="H4443" t="s">
        <v>46</v>
      </c>
      <c r="I4443" s="2">
        <v>8.99</v>
      </c>
      <c r="J4443">
        <v>0</v>
      </c>
      <c r="K4443" s="2">
        <f t="shared" si="138"/>
        <v>0</v>
      </c>
      <c r="L4443" t="s">
        <v>61</v>
      </c>
      <c r="M4443">
        <v>4</v>
      </c>
      <c r="N4443">
        <v>1.3</v>
      </c>
      <c r="O4443" t="str">
        <f t="shared" si="139"/>
        <v>1+ hours</v>
      </c>
      <c r="P4443" t="s">
        <v>30</v>
      </c>
    </row>
    <row r="4444" spans="1:16" x14ac:dyDescent="0.4">
      <c r="A4444" t="s">
        <v>4485</v>
      </c>
      <c r="B4444">
        <v>65</v>
      </c>
      <c r="C4444" t="s">
        <v>41</v>
      </c>
      <c r="D4444" t="s">
        <v>16</v>
      </c>
      <c r="E4444">
        <v>2.96</v>
      </c>
      <c r="F4444">
        <v>33</v>
      </c>
      <c r="G4444" t="s">
        <v>17</v>
      </c>
      <c r="H4444" t="s">
        <v>24</v>
      </c>
      <c r="I4444" s="2">
        <v>8.99</v>
      </c>
      <c r="J4444">
        <v>1</v>
      </c>
      <c r="K4444" s="2">
        <f t="shared" si="138"/>
        <v>8.99</v>
      </c>
      <c r="L4444" t="s">
        <v>43</v>
      </c>
      <c r="M4444">
        <v>1</v>
      </c>
      <c r="N4444">
        <v>0.09</v>
      </c>
      <c r="O4444" t="str">
        <f t="shared" si="139"/>
        <v>0–0.2 hours</v>
      </c>
      <c r="P4444" t="s">
        <v>25</v>
      </c>
    </row>
    <row r="4445" spans="1:16" x14ac:dyDescent="0.4">
      <c r="A4445" t="s">
        <v>4486</v>
      </c>
      <c r="B4445">
        <v>35</v>
      </c>
      <c r="C4445" t="s">
        <v>41</v>
      </c>
      <c r="D4445" t="s">
        <v>32</v>
      </c>
      <c r="E4445">
        <v>9.8800000000000008</v>
      </c>
      <c r="F4445">
        <v>10</v>
      </c>
      <c r="G4445" t="s">
        <v>49</v>
      </c>
      <c r="H4445" t="s">
        <v>24</v>
      </c>
      <c r="I4445" s="2">
        <v>17.989999999999998</v>
      </c>
      <c r="J4445">
        <v>0</v>
      </c>
      <c r="K4445" s="2">
        <f t="shared" si="138"/>
        <v>0</v>
      </c>
      <c r="L4445" t="s">
        <v>37</v>
      </c>
      <c r="M4445">
        <v>3</v>
      </c>
      <c r="N4445">
        <v>0.9</v>
      </c>
      <c r="O4445" t="str">
        <f t="shared" si="139"/>
        <v>0.8–1 hour</v>
      </c>
      <c r="P4445" t="s">
        <v>25</v>
      </c>
    </row>
    <row r="4446" spans="1:16" x14ac:dyDescent="0.4">
      <c r="A4446" t="s">
        <v>4487</v>
      </c>
      <c r="B4446">
        <v>62</v>
      </c>
      <c r="C4446" t="s">
        <v>15</v>
      </c>
      <c r="D4446" t="s">
        <v>16</v>
      </c>
      <c r="E4446">
        <v>7.43</v>
      </c>
      <c r="F4446">
        <v>49</v>
      </c>
      <c r="G4446" t="s">
        <v>17</v>
      </c>
      <c r="H4446" t="s">
        <v>24</v>
      </c>
      <c r="I4446" s="2">
        <v>8.99</v>
      </c>
      <c r="J4446">
        <v>1</v>
      </c>
      <c r="K4446" s="2">
        <f t="shared" si="138"/>
        <v>8.99</v>
      </c>
      <c r="L4446" t="s">
        <v>19</v>
      </c>
      <c r="M4446">
        <v>4</v>
      </c>
      <c r="N4446">
        <v>0.15</v>
      </c>
      <c r="O4446" t="str">
        <f t="shared" si="139"/>
        <v>0–0.2 hours</v>
      </c>
      <c r="P4446" t="s">
        <v>34</v>
      </c>
    </row>
    <row r="4447" spans="1:16" x14ac:dyDescent="0.4">
      <c r="A4447" t="s">
        <v>4488</v>
      </c>
      <c r="B4447">
        <v>26</v>
      </c>
      <c r="C4447" t="s">
        <v>15</v>
      </c>
      <c r="D4447" t="s">
        <v>32</v>
      </c>
      <c r="E4447">
        <v>25</v>
      </c>
      <c r="F4447">
        <v>12</v>
      </c>
      <c r="G4447" t="s">
        <v>33</v>
      </c>
      <c r="H4447" t="s">
        <v>24</v>
      </c>
      <c r="I4447" s="2">
        <v>17.989999999999998</v>
      </c>
      <c r="J4447">
        <v>0</v>
      </c>
      <c r="K4447" s="2">
        <f t="shared" si="138"/>
        <v>0</v>
      </c>
      <c r="L4447" t="s">
        <v>19</v>
      </c>
      <c r="M4447">
        <v>2</v>
      </c>
      <c r="N4447">
        <v>1.92</v>
      </c>
      <c r="O4447" t="str">
        <f t="shared" si="139"/>
        <v>1+ hours</v>
      </c>
      <c r="P4447" t="s">
        <v>34</v>
      </c>
    </row>
    <row r="4448" spans="1:16" x14ac:dyDescent="0.4">
      <c r="A4448" t="s">
        <v>4489</v>
      </c>
      <c r="B4448">
        <v>22</v>
      </c>
      <c r="C4448" t="s">
        <v>15</v>
      </c>
      <c r="D4448" t="s">
        <v>32</v>
      </c>
      <c r="E4448">
        <v>42.86</v>
      </c>
      <c r="F4448">
        <v>54</v>
      </c>
      <c r="G4448" t="s">
        <v>49</v>
      </c>
      <c r="H4448" t="s">
        <v>24</v>
      </c>
      <c r="I4448" s="2">
        <v>17.989999999999998</v>
      </c>
      <c r="J4448">
        <v>0</v>
      </c>
      <c r="K4448" s="2">
        <f t="shared" si="138"/>
        <v>0</v>
      </c>
      <c r="L4448" t="s">
        <v>19</v>
      </c>
      <c r="M4448">
        <v>4</v>
      </c>
      <c r="N4448">
        <v>0.78</v>
      </c>
      <c r="O4448" t="str">
        <f t="shared" si="139"/>
        <v>0.6–0.8 hours</v>
      </c>
      <c r="P4448" t="s">
        <v>20</v>
      </c>
    </row>
    <row r="4449" spans="1:16" x14ac:dyDescent="0.4">
      <c r="A4449" t="s">
        <v>4490</v>
      </c>
      <c r="B4449">
        <v>33</v>
      </c>
      <c r="C4449" t="s">
        <v>27</v>
      </c>
      <c r="D4449" t="s">
        <v>16</v>
      </c>
      <c r="E4449">
        <v>3.05</v>
      </c>
      <c r="F4449">
        <v>28</v>
      </c>
      <c r="G4449" t="s">
        <v>17</v>
      </c>
      <c r="H4449" t="s">
        <v>46</v>
      </c>
      <c r="I4449" s="2">
        <v>8.99</v>
      </c>
      <c r="J4449">
        <v>1</v>
      </c>
      <c r="K4449" s="2">
        <f t="shared" si="138"/>
        <v>8.99</v>
      </c>
      <c r="L4449" t="s">
        <v>43</v>
      </c>
      <c r="M4449">
        <v>5</v>
      </c>
      <c r="N4449">
        <v>0.11</v>
      </c>
      <c r="O4449" t="str">
        <f t="shared" si="139"/>
        <v>0–0.2 hours</v>
      </c>
      <c r="P4449" t="s">
        <v>39</v>
      </c>
    </row>
    <row r="4450" spans="1:16" x14ac:dyDescent="0.4">
      <c r="A4450" t="s">
        <v>4491</v>
      </c>
      <c r="B4450">
        <v>25</v>
      </c>
      <c r="C4450" t="s">
        <v>41</v>
      </c>
      <c r="D4450" t="s">
        <v>16</v>
      </c>
      <c r="E4450">
        <v>9.6999999999999993</v>
      </c>
      <c r="F4450">
        <v>4</v>
      </c>
      <c r="G4450" t="s">
        <v>70</v>
      </c>
      <c r="H4450" t="s">
        <v>55</v>
      </c>
      <c r="I4450" s="2">
        <v>8.99</v>
      </c>
      <c r="J4450">
        <v>0</v>
      </c>
      <c r="K4450" s="2">
        <f t="shared" si="138"/>
        <v>0</v>
      </c>
      <c r="L4450" t="s">
        <v>43</v>
      </c>
      <c r="M4450">
        <v>2</v>
      </c>
      <c r="N4450">
        <v>1.94</v>
      </c>
      <c r="O4450" t="str">
        <f t="shared" si="139"/>
        <v>1+ hours</v>
      </c>
      <c r="P4450" t="s">
        <v>34</v>
      </c>
    </row>
    <row r="4451" spans="1:16" x14ac:dyDescent="0.4">
      <c r="A4451" t="s">
        <v>4492</v>
      </c>
      <c r="B4451">
        <v>61</v>
      </c>
      <c r="C4451" t="s">
        <v>27</v>
      </c>
      <c r="D4451" t="s">
        <v>22</v>
      </c>
      <c r="E4451">
        <v>2.36</v>
      </c>
      <c r="F4451">
        <v>6</v>
      </c>
      <c r="G4451" t="s">
        <v>28</v>
      </c>
      <c r="H4451" t="s">
        <v>18</v>
      </c>
      <c r="I4451" s="2">
        <v>13.99</v>
      </c>
      <c r="J4451">
        <v>1</v>
      </c>
      <c r="K4451" s="2">
        <f t="shared" si="138"/>
        <v>13.99</v>
      </c>
      <c r="L4451" t="s">
        <v>29</v>
      </c>
      <c r="M4451">
        <v>1</v>
      </c>
      <c r="N4451">
        <v>0.34</v>
      </c>
      <c r="O4451" t="str">
        <f t="shared" si="139"/>
        <v>0.2–0.4 hours</v>
      </c>
      <c r="P4451" t="s">
        <v>30</v>
      </c>
    </row>
    <row r="4452" spans="1:16" x14ac:dyDescent="0.4">
      <c r="A4452" t="s">
        <v>4493</v>
      </c>
      <c r="B4452">
        <v>61</v>
      </c>
      <c r="C4452" t="s">
        <v>27</v>
      </c>
      <c r="D4452" t="s">
        <v>16</v>
      </c>
      <c r="E4452">
        <v>5.83</v>
      </c>
      <c r="F4452">
        <v>20</v>
      </c>
      <c r="G4452" t="s">
        <v>70</v>
      </c>
      <c r="H4452" t="s">
        <v>57</v>
      </c>
      <c r="I4452" s="2">
        <v>8.99</v>
      </c>
      <c r="J4452">
        <v>0</v>
      </c>
      <c r="K4452" s="2">
        <f t="shared" si="138"/>
        <v>0</v>
      </c>
      <c r="L4452" t="s">
        <v>61</v>
      </c>
      <c r="M4452">
        <v>5</v>
      </c>
      <c r="N4452">
        <v>0.28000000000000003</v>
      </c>
      <c r="O4452" t="str">
        <f t="shared" si="139"/>
        <v>0.2–0.4 hours</v>
      </c>
      <c r="P4452" t="s">
        <v>20</v>
      </c>
    </row>
    <row r="4453" spans="1:16" x14ac:dyDescent="0.4">
      <c r="A4453" t="s">
        <v>4494</v>
      </c>
      <c r="B4453">
        <v>50</v>
      </c>
      <c r="C4453" t="s">
        <v>41</v>
      </c>
      <c r="D4453" t="s">
        <v>22</v>
      </c>
      <c r="E4453">
        <v>20.95</v>
      </c>
      <c r="F4453">
        <v>18</v>
      </c>
      <c r="G4453" t="s">
        <v>28</v>
      </c>
      <c r="H4453" t="s">
        <v>57</v>
      </c>
      <c r="I4453" s="2">
        <v>13.99</v>
      </c>
      <c r="J4453">
        <v>0</v>
      </c>
      <c r="K4453" s="2">
        <f t="shared" si="138"/>
        <v>0</v>
      </c>
      <c r="L4453" t="s">
        <v>19</v>
      </c>
      <c r="M4453">
        <v>4</v>
      </c>
      <c r="N4453">
        <v>1.1000000000000001</v>
      </c>
      <c r="O4453" t="str">
        <f t="shared" si="139"/>
        <v>1+ hours</v>
      </c>
      <c r="P4453" t="s">
        <v>30</v>
      </c>
    </row>
    <row r="4454" spans="1:16" x14ac:dyDescent="0.4">
      <c r="A4454" t="s">
        <v>4495</v>
      </c>
      <c r="B4454">
        <v>26</v>
      </c>
      <c r="C4454" t="s">
        <v>41</v>
      </c>
      <c r="D4454" t="s">
        <v>16</v>
      </c>
      <c r="E4454">
        <v>1.54</v>
      </c>
      <c r="F4454">
        <v>20</v>
      </c>
      <c r="G4454" t="s">
        <v>70</v>
      </c>
      <c r="H4454" t="s">
        <v>57</v>
      </c>
      <c r="I4454" s="2">
        <v>8.99</v>
      </c>
      <c r="J4454">
        <v>1</v>
      </c>
      <c r="K4454" s="2">
        <f t="shared" si="138"/>
        <v>8.99</v>
      </c>
      <c r="L4454" t="s">
        <v>43</v>
      </c>
      <c r="M4454">
        <v>4</v>
      </c>
      <c r="N4454">
        <v>7.0000000000000007E-2</v>
      </c>
      <c r="O4454" t="str">
        <f t="shared" si="139"/>
        <v>0–0.2 hours</v>
      </c>
      <c r="P4454" t="s">
        <v>34</v>
      </c>
    </row>
    <row r="4455" spans="1:16" x14ac:dyDescent="0.4">
      <c r="A4455" t="s">
        <v>4496</v>
      </c>
      <c r="B4455">
        <v>46</v>
      </c>
      <c r="C4455" t="s">
        <v>27</v>
      </c>
      <c r="D4455" t="s">
        <v>22</v>
      </c>
      <c r="E4455">
        <v>4.5599999999999996</v>
      </c>
      <c r="F4455">
        <v>14</v>
      </c>
      <c r="G4455" t="s">
        <v>49</v>
      </c>
      <c r="H4455" t="s">
        <v>46</v>
      </c>
      <c r="I4455" s="2">
        <v>13.99</v>
      </c>
      <c r="J4455">
        <v>1</v>
      </c>
      <c r="K4455" s="2">
        <f t="shared" si="138"/>
        <v>13.99</v>
      </c>
      <c r="L4455" t="s">
        <v>19</v>
      </c>
      <c r="M4455">
        <v>2</v>
      </c>
      <c r="N4455">
        <v>0.3</v>
      </c>
      <c r="O4455" t="str">
        <f t="shared" si="139"/>
        <v>0.2–0.4 hours</v>
      </c>
      <c r="P4455" t="s">
        <v>34</v>
      </c>
    </row>
    <row r="4456" spans="1:16" x14ac:dyDescent="0.4">
      <c r="A4456" t="s">
        <v>4497</v>
      </c>
      <c r="B4456">
        <v>63</v>
      </c>
      <c r="C4456" t="s">
        <v>41</v>
      </c>
      <c r="D4456" t="s">
        <v>22</v>
      </c>
      <c r="E4456">
        <v>3.98</v>
      </c>
      <c r="F4456">
        <v>20</v>
      </c>
      <c r="G4456" t="s">
        <v>23</v>
      </c>
      <c r="H4456" t="s">
        <v>46</v>
      </c>
      <c r="I4456" s="2">
        <v>13.99</v>
      </c>
      <c r="J4456">
        <v>1</v>
      </c>
      <c r="K4456" s="2">
        <f t="shared" si="138"/>
        <v>13.99</v>
      </c>
      <c r="L4456" t="s">
        <v>29</v>
      </c>
      <c r="M4456">
        <v>3</v>
      </c>
      <c r="N4456">
        <v>0.19</v>
      </c>
      <c r="O4456" t="str">
        <f t="shared" si="139"/>
        <v>0–0.2 hours</v>
      </c>
      <c r="P4456" t="s">
        <v>34</v>
      </c>
    </row>
    <row r="4457" spans="1:16" x14ac:dyDescent="0.4">
      <c r="A4457" t="s">
        <v>4498</v>
      </c>
      <c r="B4457">
        <v>54</v>
      </c>
      <c r="C4457" t="s">
        <v>15</v>
      </c>
      <c r="D4457" t="s">
        <v>32</v>
      </c>
      <c r="E4457">
        <v>0.48</v>
      </c>
      <c r="F4457">
        <v>59</v>
      </c>
      <c r="G4457" t="s">
        <v>28</v>
      </c>
      <c r="H4457" t="s">
        <v>55</v>
      </c>
      <c r="I4457" s="2">
        <v>17.989999999999998</v>
      </c>
      <c r="J4457">
        <v>1</v>
      </c>
      <c r="K4457" s="2">
        <f t="shared" si="138"/>
        <v>17.989999999999998</v>
      </c>
      <c r="L4457" t="s">
        <v>29</v>
      </c>
      <c r="M4457">
        <v>4</v>
      </c>
      <c r="N4457">
        <v>0.01</v>
      </c>
      <c r="O4457" t="str">
        <f t="shared" si="139"/>
        <v>0–0.2 hours</v>
      </c>
      <c r="P4457" t="s">
        <v>39</v>
      </c>
    </row>
    <row r="4458" spans="1:16" x14ac:dyDescent="0.4">
      <c r="A4458" t="s">
        <v>4499</v>
      </c>
      <c r="B4458">
        <v>40</v>
      </c>
      <c r="C4458" t="s">
        <v>41</v>
      </c>
      <c r="D4458" t="s">
        <v>16</v>
      </c>
      <c r="E4458">
        <v>0.28000000000000003</v>
      </c>
      <c r="F4458">
        <v>37</v>
      </c>
      <c r="G4458" t="s">
        <v>49</v>
      </c>
      <c r="H4458" t="s">
        <v>55</v>
      </c>
      <c r="I4458" s="2">
        <v>8.99</v>
      </c>
      <c r="J4458">
        <v>1</v>
      </c>
      <c r="K4458" s="2">
        <f t="shared" si="138"/>
        <v>8.99</v>
      </c>
      <c r="L4458" t="s">
        <v>19</v>
      </c>
      <c r="M4458">
        <v>2</v>
      </c>
      <c r="N4458">
        <v>0.01</v>
      </c>
      <c r="O4458" t="str">
        <f t="shared" si="139"/>
        <v>0–0.2 hours</v>
      </c>
      <c r="P4458" t="s">
        <v>39</v>
      </c>
    </row>
    <row r="4459" spans="1:16" x14ac:dyDescent="0.4">
      <c r="A4459" t="s">
        <v>4500</v>
      </c>
      <c r="B4459">
        <v>18</v>
      </c>
      <c r="C4459" t="s">
        <v>41</v>
      </c>
      <c r="D4459" t="s">
        <v>22</v>
      </c>
      <c r="E4459">
        <v>20.23</v>
      </c>
      <c r="F4459">
        <v>36</v>
      </c>
      <c r="G4459" t="s">
        <v>23</v>
      </c>
      <c r="H4459" t="s">
        <v>24</v>
      </c>
      <c r="I4459" s="2">
        <v>13.99</v>
      </c>
      <c r="J4459">
        <v>0</v>
      </c>
      <c r="K4459" s="2">
        <f t="shared" si="138"/>
        <v>0</v>
      </c>
      <c r="L4459" t="s">
        <v>61</v>
      </c>
      <c r="M4459">
        <v>4</v>
      </c>
      <c r="N4459">
        <v>0.55000000000000004</v>
      </c>
      <c r="O4459" t="str">
        <f t="shared" si="139"/>
        <v>0.4–0.6 hours</v>
      </c>
      <c r="P4459" t="s">
        <v>39</v>
      </c>
    </row>
    <row r="4460" spans="1:16" x14ac:dyDescent="0.4">
      <c r="A4460" t="s">
        <v>4501</v>
      </c>
      <c r="B4460">
        <v>63</v>
      </c>
      <c r="C4460" t="s">
        <v>41</v>
      </c>
      <c r="D4460" t="s">
        <v>32</v>
      </c>
      <c r="E4460">
        <v>0.67</v>
      </c>
      <c r="F4460">
        <v>9</v>
      </c>
      <c r="G4460" t="s">
        <v>17</v>
      </c>
      <c r="H4460" t="s">
        <v>57</v>
      </c>
      <c r="I4460" s="2">
        <v>17.989999999999998</v>
      </c>
      <c r="J4460">
        <v>0</v>
      </c>
      <c r="K4460" s="2">
        <f t="shared" si="138"/>
        <v>0</v>
      </c>
      <c r="L4460" t="s">
        <v>61</v>
      </c>
      <c r="M4460">
        <v>5</v>
      </c>
      <c r="N4460">
        <v>7.0000000000000007E-2</v>
      </c>
      <c r="O4460" t="str">
        <f t="shared" si="139"/>
        <v>0–0.2 hours</v>
      </c>
      <c r="P4460" t="s">
        <v>34</v>
      </c>
    </row>
    <row r="4461" spans="1:16" x14ac:dyDescent="0.4">
      <c r="A4461" t="s">
        <v>4502</v>
      </c>
      <c r="B4461">
        <v>62</v>
      </c>
      <c r="C4461" t="s">
        <v>15</v>
      </c>
      <c r="D4461" t="s">
        <v>22</v>
      </c>
      <c r="E4461">
        <v>18.27</v>
      </c>
      <c r="F4461">
        <v>41</v>
      </c>
      <c r="G4461" t="s">
        <v>23</v>
      </c>
      <c r="H4461" t="s">
        <v>18</v>
      </c>
      <c r="I4461" s="2">
        <v>13.99</v>
      </c>
      <c r="J4461">
        <v>1</v>
      </c>
      <c r="K4461" s="2">
        <f t="shared" si="138"/>
        <v>13.99</v>
      </c>
      <c r="L4461" t="s">
        <v>19</v>
      </c>
      <c r="M4461">
        <v>3</v>
      </c>
      <c r="N4461">
        <v>0.43</v>
      </c>
      <c r="O4461" t="str">
        <f t="shared" si="139"/>
        <v>0.4–0.6 hours</v>
      </c>
      <c r="P4461" t="s">
        <v>39</v>
      </c>
    </row>
    <row r="4462" spans="1:16" x14ac:dyDescent="0.4">
      <c r="A4462" t="s">
        <v>4503</v>
      </c>
      <c r="B4462">
        <v>42</v>
      </c>
      <c r="C4462" t="s">
        <v>41</v>
      </c>
      <c r="D4462" t="s">
        <v>32</v>
      </c>
      <c r="E4462">
        <v>1.87</v>
      </c>
      <c r="F4462">
        <v>20</v>
      </c>
      <c r="G4462" t="s">
        <v>17</v>
      </c>
      <c r="H4462" t="s">
        <v>24</v>
      </c>
      <c r="I4462" s="2">
        <v>17.989999999999998</v>
      </c>
      <c r="J4462">
        <v>1</v>
      </c>
      <c r="K4462" s="2">
        <f t="shared" si="138"/>
        <v>17.989999999999998</v>
      </c>
      <c r="L4462" t="s">
        <v>37</v>
      </c>
      <c r="M4462">
        <v>3</v>
      </c>
      <c r="N4462">
        <v>0.09</v>
      </c>
      <c r="O4462" t="str">
        <f t="shared" si="139"/>
        <v>0–0.2 hours</v>
      </c>
      <c r="P4462" t="s">
        <v>30</v>
      </c>
    </row>
    <row r="4463" spans="1:16" x14ac:dyDescent="0.4">
      <c r="A4463" t="s">
        <v>4504</v>
      </c>
      <c r="B4463">
        <v>29</v>
      </c>
      <c r="C4463" t="s">
        <v>41</v>
      </c>
      <c r="D4463" t="s">
        <v>22</v>
      </c>
      <c r="E4463">
        <v>23.05</v>
      </c>
      <c r="F4463">
        <v>36</v>
      </c>
      <c r="G4463" t="s">
        <v>17</v>
      </c>
      <c r="H4463" t="s">
        <v>24</v>
      </c>
      <c r="I4463" s="2">
        <v>13.99</v>
      </c>
      <c r="J4463">
        <v>0</v>
      </c>
      <c r="K4463" s="2">
        <f t="shared" si="138"/>
        <v>0</v>
      </c>
      <c r="L4463" t="s">
        <v>19</v>
      </c>
      <c r="M4463">
        <v>4</v>
      </c>
      <c r="N4463">
        <v>0.62</v>
      </c>
      <c r="O4463" t="str">
        <f t="shared" si="139"/>
        <v>0.6–0.8 hours</v>
      </c>
      <c r="P4463" t="s">
        <v>52</v>
      </c>
    </row>
    <row r="4464" spans="1:16" x14ac:dyDescent="0.4">
      <c r="A4464" t="s">
        <v>4505</v>
      </c>
      <c r="B4464">
        <v>66</v>
      </c>
      <c r="C4464" t="s">
        <v>27</v>
      </c>
      <c r="D4464" t="s">
        <v>16</v>
      </c>
      <c r="E4464">
        <v>2.61</v>
      </c>
      <c r="F4464">
        <v>44</v>
      </c>
      <c r="G4464" t="s">
        <v>33</v>
      </c>
      <c r="H4464" t="s">
        <v>18</v>
      </c>
      <c r="I4464" s="2">
        <v>8.99</v>
      </c>
      <c r="J4464">
        <v>1</v>
      </c>
      <c r="K4464" s="2">
        <f t="shared" si="138"/>
        <v>8.99</v>
      </c>
      <c r="L4464" t="s">
        <v>61</v>
      </c>
      <c r="M4464">
        <v>1</v>
      </c>
      <c r="N4464">
        <v>0.06</v>
      </c>
      <c r="O4464" t="str">
        <f t="shared" si="139"/>
        <v>0–0.2 hours</v>
      </c>
      <c r="P4464" t="s">
        <v>20</v>
      </c>
    </row>
    <row r="4465" spans="1:16" x14ac:dyDescent="0.4">
      <c r="A4465" t="s">
        <v>4506</v>
      </c>
      <c r="B4465">
        <v>57</v>
      </c>
      <c r="C4465" t="s">
        <v>41</v>
      </c>
      <c r="D4465" t="s">
        <v>32</v>
      </c>
      <c r="E4465">
        <v>15.52</v>
      </c>
      <c r="F4465">
        <v>13</v>
      </c>
      <c r="G4465" t="s">
        <v>33</v>
      </c>
      <c r="H4465" t="s">
        <v>57</v>
      </c>
      <c r="I4465" s="2">
        <v>17.989999999999998</v>
      </c>
      <c r="J4465">
        <v>0</v>
      </c>
      <c r="K4465" s="2">
        <f t="shared" si="138"/>
        <v>0</v>
      </c>
      <c r="L4465" t="s">
        <v>29</v>
      </c>
      <c r="M4465">
        <v>5</v>
      </c>
      <c r="N4465">
        <v>1.1100000000000001</v>
      </c>
      <c r="O4465" t="str">
        <f t="shared" si="139"/>
        <v>1+ hours</v>
      </c>
      <c r="P4465" t="s">
        <v>20</v>
      </c>
    </row>
    <row r="4466" spans="1:16" x14ac:dyDescent="0.4">
      <c r="A4466" t="s">
        <v>4507</v>
      </c>
      <c r="B4466">
        <v>56</v>
      </c>
      <c r="C4466" t="s">
        <v>27</v>
      </c>
      <c r="D4466" t="s">
        <v>16</v>
      </c>
      <c r="E4466">
        <v>38.590000000000003</v>
      </c>
      <c r="F4466">
        <v>10</v>
      </c>
      <c r="G4466" t="s">
        <v>33</v>
      </c>
      <c r="H4466" t="s">
        <v>24</v>
      </c>
      <c r="I4466" s="2">
        <v>8.99</v>
      </c>
      <c r="J4466">
        <v>0</v>
      </c>
      <c r="K4466" s="2">
        <f t="shared" si="138"/>
        <v>0</v>
      </c>
      <c r="L4466" t="s">
        <v>19</v>
      </c>
      <c r="M4466">
        <v>2</v>
      </c>
      <c r="N4466">
        <v>3.51</v>
      </c>
      <c r="O4466" t="str">
        <f t="shared" si="139"/>
        <v>1+ hours</v>
      </c>
      <c r="P4466" t="s">
        <v>25</v>
      </c>
    </row>
    <row r="4467" spans="1:16" x14ac:dyDescent="0.4">
      <c r="A4467" t="s">
        <v>4508</v>
      </c>
      <c r="B4467">
        <v>32</v>
      </c>
      <c r="C4467" t="s">
        <v>41</v>
      </c>
      <c r="D4467" t="s">
        <v>16</v>
      </c>
      <c r="E4467">
        <v>14.22</v>
      </c>
      <c r="F4467">
        <v>48</v>
      </c>
      <c r="G4467" t="s">
        <v>70</v>
      </c>
      <c r="H4467" t="s">
        <v>18</v>
      </c>
      <c r="I4467" s="2">
        <v>8.99</v>
      </c>
      <c r="J4467">
        <v>1</v>
      </c>
      <c r="K4467" s="2">
        <f t="shared" si="138"/>
        <v>8.99</v>
      </c>
      <c r="L4467" t="s">
        <v>29</v>
      </c>
      <c r="M4467">
        <v>3</v>
      </c>
      <c r="N4467">
        <v>0.28999999999999998</v>
      </c>
      <c r="O4467" t="str">
        <f t="shared" si="139"/>
        <v>0.2–0.4 hours</v>
      </c>
      <c r="P4467" t="s">
        <v>47</v>
      </c>
    </row>
    <row r="4468" spans="1:16" x14ac:dyDescent="0.4">
      <c r="A4468" t="s">
        <v>4509</v>
      </c>
      <c r="B4468">
        <v>69</v>
      </c>
      <c r="C4468" t="s">
        <v>41</v>
      </c>
      <c r="D4468" t="s">
        <v>22</v>
      </c>
      <c r="E4468">
        <v>3.46</v>
      </c>
      <c r="F4468">
        <v>60</v>
      </c>
      <c r="G4468" t="s">
        <v>70</v>
      </c>
      <c r="H4468" t="s">
        <v>55</v>
      </c>
      <c r="I4468" s="2">
        <v>13.99</v>
      </c>
      <c r="J4468">
        <v>1</v>
      </c>
      <c r="K4468" s="2">
        <f t="shared" si="138"/>
        <v>13.99</v>
      </c>
      <c r="L4468" t="s">
        <v>29</v>
      </c>
      <c r="M4468">
        <v>5</v>
      </c>
      <c r="N4468">
        <v>0.06</v>
      </c>
      <c r="O4468" t="str">
        <f t="shared" si="139"/>
        <v>0–0.2 hours</v>
      </c>
      <c r="P4468" t="s">
        <v>20</v>
      </c>
    </row>
    <row r="4469" spans="1:16" x14ac:dyDescent="0.4">
      <c r="A4469" t="s">
        <v>4510</v>
      </c>
      <c r="B4469">
        <v>30</v>
      </c>
      <c r="C4469" t="s">
        <v>27</v>
      </c>
      <c r="D4469" t="s">
        <v>32</v>
      </c>
      <c r="E4469">
        <v>5.97</v>
      </c>
      <c r="F4469">
        <v>2</v>
      </c>
      <c r="G4469" t="s">
        <v>49</v>
      </c>
      <c r="H4469" t="s">
        <v>57</v>
      </c>
      <c r="I4469" s="2">
        <v>17.989999999999998</v>
      </c>
      <c r="J4469">
        <v>0</v>
      </c>
      <c r="K4469" s="2">
        <f t="shared" si="138"/>
        <v>0</v>
      </c>
      <c r="L4469" t="s">
        <v>61</v>
      </c>
      <c r="M4469">
        <v>3</v>
      </c>
      <c r="N4469">
        <v>1.99</v>
      </c>
      <c r="O4469" t="str">
        <f t="shared" si="139"/>
        <v>1+ hours</v>
      </c>
      <c r="P4469" t="s">
        <v>34</v>
      </c>
    </row>
    <row r="4470" spans="1:16" x14ac:dyDescent="0.4">
      <c r="A4470" t="s">
        <v>4511</v>
      </c>
      <c r="B4470">
        <v>56</v>
      </c>
      <c r="C4470" t="s">
        <v>41</v>
      </c>
      <c r="D4470" t="s">
        <v>16</v>
      </c>
      <c r="E4470">
        <v>6.94</v>
      </c>
      <c r="F4470">
        <v>27</v>
      </c>
      <c r="G4470" t="s">
        <v>49</v>
      </c>
      <c r="H4470" t="s">
        <v>24</v>
      </c>
      <c r="I4470" s="2">
        <v>8.99</v>
      </c>
      <c r="J4470">
        <v>1</v>
      </c>
      <c r="K4470" s="2">
        <f t="shared" si="138"/>
        <v>8.99</v>
      </c>
      <c r="L4470" t="s">
        <v>19</v>
      </c>
      <c r="M4470">
        <v>3</v>
      </c>
      <c r="N4470">
        <v>0.25</v>
      </c>
      <c r="O4470" t="str">
        <f t="shared" si="139"/>
        <v>0.2–0.4 hours</v>
      </c>
      <c r="P4470" t="s">
        <v>47</v>
      </c>
    </row>
    <row r="4471" spans="1:16" x14ac:dyDescent="0.4">
      <c r="A4471" t="s">
        <v>4512</v>
      </c>
      <c r="B4471">
        <v>35</v>
      </c>
      <c r="C4471" t="s">
        <v>41</v>
      </c>
      <c r="D4471" t="s">
        <v>16</v>
      </c>
      <c r="E4471">
        <v>22.39</v>
      </c>
      <c r="F4471">
        <v>45</v>
      </c>
      <c r="G4471" t="s">
        <v>23</v>
      </c>
      <c r="H4471" t="s">
        <v>24</v>
      </c>
      <c r="I4471" s="2">
        <v>8.99</v>
      </c>
      <c r="J4471">
        <v>1</v>
      </c>
      <c r="K4471" s="2">
        <f t="shared" si="138"/>
        <v>8.99</v>
      </c>
      <c r="L4471" t="s">
        <v>19</v>
      </c>
      <c r="M4471">
        <v>1</v>
      </c>
      <c r="N4471">
        <v>0.49</v>
      </c>
      <c r="O4471" t="str">
        <f t="shared" si="139"/>
        <v>0.4–0.6 hours</v>
      </c>
      <c r="P4471" t="s">
        <v>25</v>
      </c>
    </row>
    <row r="4472" spans="1:16" x14ac:dyDescent="0.4">
      <c r="A4472" t="s">
        <v>4513</v>
      </c>
      <c r="B4472">
        <v>41</v>
      </c>
      <c r="C4472" t="s">
        <v>15</v>
      </c>
      <c r="D4472" t="s">
        <v>22</v>
      </c>
      <c r="E4472">
        <v>3.61</v>
      </c>
      <c r="F4472">
        <v>29</v>
      </c>
      <c r="G4472" t="s">
        <v>28</v>
      </c>
      <c r="H4472" t="s">
        <v>57</v>
      </c>
      <c r="I4472" s="2">
        <v>13.99</v>
      </c>
      <c r="J4472">
        <v>0</v>
      </c>
      <c r="K4472" s="2">
        <f t="shared" si="138"/>
        <v>0</v>
      </c>
      <c r="L4472" t="s">
        <v>37</v>
      </c>
      <c r="M4472">
        <v>5</v>
      </c>
      <c r="N4472">
        <v>0.12</v>
      </c>
      <c r="O4472" t="str">
        <f t="shared" si="139"/>
        <v>0–0.2 hours</v>
      </c>
      <c r="P4472" t="s">
        <v>20</v>
      </c>
    </row>
    <row r="4473" spans="1:16" x14ac:dyDescent="0.4">
      <c r="A4473" t="s">
        <v>4514</v>
      </c>
      <c r="B4473">
        <v>43</v>
      </c>
      <c r="C4473" t="s">
        <v>15</v>
      </c>
      <c r="D4473" t="s">
        <v>16</v>
      </c>
      <c r="E4473">
        <v>0.37</v>
      </c>
      <c r="F4473">
        <v>16</v>
      </c>
      <c r="G4473" t="s">
        <v>17</v>
      </c>
      <c r="H4473" t="s">
        <v>18</v>
      </c>
      <c r="I4473" s="2">
        <v>8.99</v>
      </c>
      <c r="J4473">
        <v>1</v>
      </c>
      <c r="K4473" s="2">
        <f t="shared" si="138"/>
        <v>8.99</v>
      </c>
      <c r="L4473" t="s">
        <v>37</v>
      </c>
      <c r="M4473">
        <v>5</v>
      </c>
      <c r="N4473">
        <v>0.02</v>
      </c>
      <c r="O4473" t="str">
        <f t="shared" si="139"/>
        <v>0–0.2 hours</v>
      </c>
      <c r="P4473" t="s">
        <v>52</v>
      </c>
    </row>
    <row r="4474" spans="1:16" x14ac:dyDescent="0.4">
      <c r="A4474" t="s">
        <v>4515</v>
      </c>
      <c r="B4474">
        <v>60</v>
      </c>
      <c r="C4474" t="s">
        <v>27</v>
      </c>
      <c r="D4474" t="s">
        <v>16</v>
      </c>
      <c r="E4474">
        <v>6.3</v>
      </c>
      <c r="F4474">
        <v>3</v>
      </c>
      <c r="G4474" t="s">
        <v>70</v>
      </c>
      <c r="H4474" t="s">
        <v>24</v>
      </c>
      <c r="I4474" s="2">
        <v>8.99</v>
      </c>
      <c r="J4474">
        <v>0</v>
      </c>
      <c r="K4474" s="2">
        <f t="shared" si="138"/>
        <v>0</v>
      </c>
      <c r="L4474" t="s">
        <v>37</v>
      </c>
      <c r="M4474">
        <v>2</v>
      </c>
      <c r="N4474">
        <v>1.57</v>
      </c>
      <c r="O4474" t="str">
        <f t="shared" si="139"/>
        <v>1+ hours</v>
      </c>
      <c r="P4474" t="s">
        <v>47</v>
      </c>
    </row>
    <row r="4475" spans="1:16" x14ac:dyDescent="0.4">
      <c r="A4475" t="s">
        <v>4516</v>
      </c>
      <c r="B4475">
        <v>22</v>
      </c>
      <c r="C4475" t="s">
        <v>27</v>
      </c>
      <c r="D4475" t="s">
        <v>32</v>
      </c>
      <c r="E4475">
        <v>15.39</v>
      </c>
      <c r="F4475">
        <v>58</v>
      </c>
      <c r="G4475" t="s">
        <v>17</v>
      </c>
      <c r="H4475" t="s">
        <v>55</v>
      </c>
      <c r="I4475" s="2">
        <v>17.989999999999998</v>
      </c>
      <c r="J4475">
        <v>1</v>
      </c>
      <c r="K4475" s="2">
        <f t="shared" si="138"/>
        <v>17.989999999999998</v>
      </c>
      <c r="L4475" t="s">
        <v>61</v>
      </c>
      <c r="M4475">
        <v>2</v>
      </c>
      <c r="N4475">
        <v>0.26</v>
      </c>
      <c r="O4475" t="str">
        <f t="shared" si="139"/>
        <v>0.2–0.4 hours</v>
      </c>
      <c r="P4475" t="s">
        <v>25</v>
      </c>
    </row>
    <row r="4476" spans="1:16" x14ac:dyDescent="0.4">
      <c r="A4476" t="s">
        <v>4517</v>
      </c>
      <c r="B4476">
        <v>18</v>
      </c>
      <c r="C4476" t="s">
        <v>27</v>
      </c>
      <c r="D4476" t="s">
        <v>16</v>
      </c>
      <c r="E4476">
        <v>3.19</v>
      </c>
      <c r="F4476">
        <v>16</v>
      </c>
      <c r="G4476" t="s">
        <v>70</v>
      </c>
      <c r="H4476" t="s">
        <v>46</v>
      </c>
      <c r="I4476" s="2">
        <v>8.99</v>
      </c>
      <c r="J4476">
        <v>1</v>
      </c>
      <c r="K4476" s="2">
        <f t="shared" si="138"/>
        <v>8.99</v>
      </c>
      <c r="L4476" t="s">
        <v>19</v>
      </c>
      <c r="M4476">
        <v>4</v>
      </c>
      <c r="N4476">
        <v>0.19</v>
      </c>
      <c r="O4476" t="str">
        <f t="shared" si="139"/>
        <v>0–0.2 hours</v>
      </c>
      <c r="P4476" t="s">
        <v>20</v>
      </c>
    </row>
    <row r="4477" spans="1:16" x14ac:dyDescent="0.4">
      <c r="A4477" t="s">
        <v>4518</v>
      </c>
      <c r="B4477">
        <v>41</v>
      </c>
      <c r="C4477" t="s">
        <v>41</v>
      </c>
      <c r="D4477" t="s">
        <v>16</v>
      </c>
      <c r="E4477">
        <v>19.329999999999998</v>
      </c>
      <c r="F4477">
        <v>6</v>
      </c>
      <c r="G4477" t="s">
        <v>23</v>
      </c>
      <c r="H4477" t="s">
        <v>46</v>
      </c>
      <c r="I4477" s="2">
        <v>8.99</v>
      </c>
      <c r="J4477">
        <v>0</v>
      </c>
      <c r="K4477" s="2">
        <f t="shared" si="138"/>
        <v>0</v>
      </c>
      <c r="L4477" t="s">
        <v>19</v>
      </c>
      <c r="M4477">
        <v>5</v>
      </c>
      <c r="N4477">
        <v>2.76</v>
      </c>
      <c r="O4477" t="str">
        <f t="shared" si="139"/>
        <v>1+ hours</v>
      </c>
      <c r="P4477" t="s">
        <v>34</v>
      </c>
    </row>
    <row r="4478" spans="1:16" x14ac:dyDescent="0.4">
      <c r="A4478" t="s">
        <v>4519</v>
      </c>
      <c r="B4478">
        <v>53</v>
      </c>
      <c r="C4478" t="s">
        <v>27</v>
      </c>
      <c r="D4478" t="s">
        <v>16</v>
      </c>
      <c r="E4478">
        <v>40.81</v>
      </c>
      <c r="F4478">
        <v>17</v>
      </c>
      <c r="G4478" t="s">
        <v>17</v>
      </c>
      <c r="H4478" t="s">
        <v>24</v>
      </c>
      <c r="I4478" s="2">
        <v>8.99</v>
      </c>
      <c r="J4478">
        <v>0</v>
      </c>
      <c r="K4478" s="2">
        <f t="shared" si="138"/>
        <v>0</v>
      </c>
      <c r="L4478" t="s">
        <v>19</v>
      </c>
      <c r="M4478">
        <v>1</v>
      </c>
      <c r="N4478">
        <v>2.27</v>
      </c>
      <c r="O4478" t="str">
        <f t="shared" si="139"/>
        <v>1+ hours</v>
      </c>
      <c r="P4478" t="s">
        <v>47</v>
      </c>
    </row>
    <row r="4479" spans="1:16" x14ac:dyDescent="0.4">
      <c r="A4479" t="s">
        <v>4520</v>
      </c>
      <c r="B4479">
        <v>37</v>
      </c>
      <c r="C4479" t="s">
        <v>15</v>
      </c>
      <c r="D4479" t="s">
        <v>16</v>
      </c>
      <c r="E4479">
        <v>7.26</v>
      </c>
      <c r="F4479">
        <v>57</v>
      </c>
      <c r="G4479" t="s">
        <v>33</v>
      </c>
      <c r="H4479" t="s">
        <v>18</v>
      </c>
      <c r="I4479" s="2">
        <v>8.99</v>
      </c>
      <c r="J4479">
        <v>1</v>
      </c>
      <c r="K4479" s="2">
        <f t="shared" si="138"/>
        <v>8.99</v>
      </c>
      <c r="L4479" t="s">
        <v>19</v>
      </c>
      <c r="M4479">
        <v>4</v>
      </c>
      <c r="N4479">
        <v>0.13</v>
      </c>
      <c r="O4479" t="str">
        <f t="shared" si="139"/>
        <v>0–0.2 hours</v>
      </c>
      <c r="P4479" t="s">
        <v>34</v>
      </c>
    </row>
    <row r="4480" spans="1:16" x14ac:dyDescent="0.4">
      <c r="A4480" t="s">
        <v>4521</v>
      </c>
      <c r="B4480">
        <v>37</v>
      </c>
      <c r="C4480" t="s">
        <v>41</v>
      </c>
      <c r="D4480" t="s">
        <v>22</v>
      </c>
      <c r="E4480">
        <v>18.920000000000002</v>
      </c>
      <c r="F4480">
        <v>0</v>
      </c>
      <c r="G4480" t="s">
        <v>70</v>
      </c>
      <c r="H4480" t="s">
        <v>18</v>
      </c>
      <c r="I4480" s="2">
        <v>13.99</v>
      </c>
      <c r="J4480">
        <v>0</v>
      </c>
      <c r="K4480" s="2">
        <f t="shared" si="138"/>
        <v>0</v>
      </c>
      <c r="L4480" t="s">
        <v>29</v>
      </c>
      <c r="M4480">
        <v>1</v>
      </c>
      <c r="N4480">
        <v>18.920000000000002</v>
      </c>
      <c r="O4480" t="str">
        <f t="shared" si="139"/>
        <v>1+ hours</v>
      </c>
      <c r="P4480" t="s">
        <v>20</v>
      </c>
    </row>
    <row r="4481" spans="1:16" x14ac:dyDescent="0.4">
      <c r="A4481" t="s">
        <v>4522</v>
      </c>
      <c r="B4481">
        <v>41</v>
      </c>
      <c r="C4481" t="s">
        <v>41</v>
      </c>
      <c r="D4481" t="s">
        <v>32</v>
      </c>
      <c r="E4481">
        <v>8.26</v>
      </c>
      <c r="F4481">
        <v>57</v>
      </c>
      <c r="G4481" t="s">
        <v>70</v>
      </c>
      <c r="H4481" t="s">
        <v>24</v>
      </c>
      <c r="I4481" s="2">
        <v>17.989999999999998</v>
      </c>
      <c r="J4481">
        <v>1</v>
      </c>
      <c r="K4481" s="2">
        <f t="shared" si="138"/>
        <v>17.989999999999998</v>
      </c>
      <c r="L4481" t="s">
        <v>29</v>
      </c>
      <c r="M4481">
        <v>4</v>
      </c>
      <c r="N4481">
        <v>0.14000000000000001</v>
      </c>
      <c r="O4481" t="str">
        <f t="shared" si="139"/>
        <v>0–0.2 hours</v>
      </c>
      <c r="P4481" t="s">
        <v>52</v>
      </c>
    </row>
    <row r="4482" spans="1:16" x14ac:dyDescent="0.4">
      <c r="A4482" t="s">
        <v>4523</v>
      </c>
      <c r="B4482">
        <v>59</v>
      </c>
      <c r="C4482" t="s">
        <v>41</v>
      </c>
      <c r="D4482" t="s">
        <v>16</v>
      </c>
      <c r="E4482">
        <v>8.85</v>
      </c>
      <c r="F4482">
        <v>16</v>
      </c>
      <c r="G4482" t="s">
        <v>28</v>
      </c>
      <c r="H4482" t="s">
        <v>57</v>
      </c>
      <c r="I4482" s="2">
        <v>8.99</v>
      </c>
      <c r="J4482">
        <v>0</v>
      </c>
      <c r="K4482" s="2">
        <f t="shared" si="138"/>
        <v>0</v>
      </c>
      <c r="L4482" t="s">
        <v>61</v>
      </c>
      <c r="M4482">
        <v>3</v>
      </c>
      <c r="N4482">
        <v>0.52</v>
      </c>
      <c r="O4482" t="str">
        <f t="shared" si="139"/>
        <v>0.4–0.6 hours</v>
      </c>
      <c r="P4482" t="s">
        <v>52</v>
      </c>
    </row>
    <row r="4483" spans="1:16" x14ac:dyDescent="0.4">
      <c r="A4483" t="s">
        <v>4524</v>
      </c>
      <c r="B4483">
        <v>28</v>
      </c>
      <c r="C4483" t="s">
        <v>27</v>
      </c>
      <c r="D4483" t="s">
        <v>32</v>
      </c>
      <c r="E4483">
        <v>4.1399999999999997</v>
      </c>
      <c r="F4483">
        <v>37</v>
      </c>
      <c r="G4483" t="s">
        <v>49</v>
      </c>
      <c r="H4483" t="s">
        <v>57</v>
      </c>
      <c r="I4483" s="2">
        <v>17.989999999999998</v>
      </c>
      <c r="J4483">
        <v>1</v>
      </c>
      <c r="K4483" s="2">
        <f t="shared" ref="K4483:K4546" si="140">SUMIF(J4483,1,I4483)</f>
        <v>17.989999999999998</v>
      </c>
      <c r="L4483" t="s">
        <v>19</v>
      </c>
      <c r="M4483">
        <v>2</v>
      </c>
      <c r="N4483">
        <v>0.11</v>
      </c>
      <c r="O4483" t="str">
        <f t="shared" ref="O4483:O4546" si="141">IF(N4483&gt;1,"1+ hours",IF(N4483&lt;=0.2,"0–0.2 hours",IF(N4483&lt;=0.4,"0.2–0.4 hours",IF(N4483&lt;=0.6,"0.4–0.6 hours",IF(N4483&lt;=0.8,"0.6–0.8 hours","0.8–1 hour")))))</f>
        <v>0–0.2 hours</v>
      </c>
      <c r="P4483" t="s">
        <v>52</v>
      </c>
    </row>
    <row r="4484" spans="1:16" x14ac:dyDescent="0.4">
      <c r="A4484" t="s">
        <v>4525</v>
      </c>
      <c r="B4484">
        <v>70</v>
      </c>
      <c r="C4484" t="s">
        <v>15</v>
      </c>
      <c r="D4484" t="s">
        <v>32</v>
      </c>
      <c r="E4484">
        <v>20.54</v>
      </c>
      <c r="F4484">
        <v>19</v>
      </c>
      <c r="G4484" t="s">
        <v>23</v>
      </c>
      <c r="H4484" t="s">
        <v>18</v>
      </c>
      <c r="I4484" s="2">
        <v>17.989999999999998</v>
      </c>
      <c r="J4484">
        <v>0</v>
      </c>
      <c r="K4484" s="2">
        <f t="shared" si="140"/>
        <v>0</v>
      </c>
      <c r="L4484" t="s">
        <v>29</v>
      </c>
      <c r="M4484">
        <v>4</v>
      </c>
      <c r="N4484">
        <v>1.03</v>
      </c>
      <c r="O4484" t="str">
        <f t="shared" si="141"/>
        <v>1+ hours</v>
      </c>
      <c r="P4484" t="s">
        <v>34</v>
      </c>
    </row>
    <row r="4485" spans="1:16" x14ac:dyDescent="0.4">
      <c r="A4485" t="s">
        <v>4526</v>
      </c>
      <c r="B4485">
        <v>50</v>
      </c>
      <c r="C4485" t="s">
        <v>15</v>
      </c>
      <c r="D4485" t="s">
        <v>22</v>
      </c>
      <c r="E4485">
        <v>9.9</v>
      </c>
      <c r="F4485">
        <v>10</v>
      </c>
      <c r="G4485" t="s">
        <v>70</v>
      </c>
      <c r="H4485" t="s">
        <v>55</v>
      </c>
      <c r="I4485" s="2">
        <v>13.99</v>
      </c>
      <c r="J4485">
        <v>0</v>
      </c>
      <c r="K4485" s="2">
        <f t="shared" si="140"/>
        <v>0</v>
      </c>
      <c r="L4485" t="s">
        <v>37</v>
      </c>
      <c r="M4485">
        <v>2</v>
      </c>
      <c r="N4485">
        <v>0.9</v>
      </c>
      <c r="O4485" t="str">
        <f t="shared" si="141"/>
        <v>0.8–1 hour</v>
      </c>
      <c r="P4485" t="s">
        <v>30</v>
      </c>
    </row>
    <row r="4486" spans="1:16" x14ac:dyDescent="0.4">
      <c r="A4486" t="s">
        <v>4527</v>
      </c>
      <c r="B4486">
        <v>62</v>
      </c>
      <c r="C4486" t="s">
        <v>15</v>
      </c>
      <c r="D4486" t="s">
        <v>32</v>
      </c>
      <c r="E4486">
        <v>4.03</v>
      </c>
      <c r="F4486">
        <v>50</v>
      </c>
      <c r="G4486" t="s">
        <v>23</v>
      </c>
      <c r="H4486" t="s">
        <v>24</v>
      </c>
      <c r="I4486" s="2">
        <v>17.989999999999998</v>
      </c>
      <c r="J4486">
        <v>1</v>
      </c>
      <c r="K4486" s="2">
        <f t="shared" si="140"/>
        <v>17.989999999999998</v>
      </c>
      <c r="L4486" t="s">
        <v>19</v>
      </c>
      <c r="M4486">
        <v>4</v>
      </c>
      <c r="N4486">
        <v>0.08</v>
      </c>
      <c r="O4486" t="str">
        <f t="shared" si="141"/>
        <v>0–0.2 hours</v>
      </c>
      <c r="P4486" t="s">
        <v>34</v>
      </c>
    </row>
    <row r="4487" spans="1:16" x14ac:dyDescent="0.4">
      <c r="A4487" t="s">
        <v>4528</v>
      </c>
      <c r="B4487">
        <v>51</v>
      </c>
      <c r="C4487" t="s">
        <v>15</v>
      </c>
      <c r="D4487" t="s">
        <v>32</v>
      </c>
      <c r="E4487">
        <v>1.67</v>
      </c>
      <c r="F4487">
        <v>28</v>
      </c>
      <c r="G4487" t="s">
        <v>17</v>
      </c>
      <c r="H4487" t="s">
        <v>57</v>
      </c>
      <c r="I4487" s="2">
        <v>17.989999999999998</v>
      </c>
      <c r="J4487">
        <v>1</v>
      </c>
      <c r="K4487" s="2">
        <f t="shared" si="140"/>
        <v>17.989999999999998</v>
      </c>
      <c r="L4487" t="s">
        <v>29</v>
      </c>
      <c r="M4487">
        <v>4</v>
      </c>
      <c r="N4487">
        <v>0.06</v>
      </c>
      <c r="O4487" t="str">
        <f t="shared" si="141"/>
        <v>0–0.2 hours</v>
      </c>
      <c r="P4487" t="s">
        <v>20</v>
      </c>
    </row>
    <row r="4488" spans="1:16" x14ac:dyDescent="0.4">
      <c r="A4488" t="s">
        <v>4529</v>
      </c>
      <c r="B4488">
        <v>27</v>
      </c>
      <c r="C4488" t="s">
        <v>15</v>
      </c>
      <c r="D4488" t="s">
        <v>16</v>
      </c>
      <c r="E4488">
        <v>12.8</v>
      </c>
      <c r="F4488">
        <v>43</v>
      </c>
      <c r="G4488" t="s">
        <v>70</v>
      </c>
      <c r="H4488" t="s">
        <v>18</v>
      </c>
      <c r="I4488" s="2">
        <v>8.99</v>
      </c>
      <c r="J4488">
        <v>1</v>
      </c>
      <c r="K4488" s="2">
        <f t="shared" si="140"/>
        <v>8.99</v>
      </c>
      <c r="L4488" t="s">
        <v>37</v>
      </c>
      <c r="M4488">
        <v>2</v>
      </c>
      <c r="N4488">
        <v>0.28999999999999998</v>
      </c>
      <c r="O4488" t="str">
        <f t="shared" si="141"/>
        <v>0.2–0.4 hours</v>
      </c>
      <c r="P4488" t="s">
        <v>34</v>
      </c>
    </row>
    <row r="4489" spans="1:16" x14ac:dyDescent="0.4">
      <c r="A4489" t="s">
        <v>4530</v>
      </c>
      <c r="B4489">
        <v>63</v>
      </c>
      <c r="C4489" t="s">
        <v>15</v>
      </c>
      <c r="D4489" t="s">
        <v>22</v>
      </c>
      <c r="E4489">
        <v>17.510000000000002</v>
      </c>
      <c r="F4489">
        <v>12</v>
      </c>
      <c r="G4489" t="s">
        <v>49</v>
      </c>
      <c r="H4489" t="s">
        <v>57</v>
      </c>
      <c r="I4489" s="2">
        <v>13.99</v>
      </c>
      <c r="J4489">
        <v>0</v>
      </c>
      <c r="K4489" s="2">
        <f t="shared" si="140"/>
        <v>0</v>
      </c>
      <c r="L4489" t="s">
        <v>43</v>
      </c>
      <c r="M4489">
        <v>1</v>
      </c>
      <c r="N4489">
        <v>1.35</v>
      </c>
      <c r="O4489" t="str">
        <f t="shared" si="141"/>
        <v>1+ hours</v>
      </c>
      <c r="P4489" t="s">
        <v>39</v>
      </c>
    </row>
    <row r="4490" spans="1:16" x14ac:dyDescent="0.4">
      <c r="A4490" t="s">
        <v>4531</v>
      </c>
      <c r="B4490">
        <v>56</v>
      </c>
      <c r="C4490" t="s">
        <v>15</v>
      </c>
      <c r="D4490" t="s">
        <v>32</v>
      </c>
      <c r="E4490">
        <v>45.06</v>
      </c>
      <c r="F4490">
        <v>6</v>
      </c>
      <c r="G4490" t="s">
        <v>17</v>
      </c>
      <c r="H4490" t="s">
        <v>24</v>
      </c>
      <c r="I4490" s="2">
        <v>17.989999999999998</v>
      </c>
      <c r="J4490">
        <v>0</v>
      </c>
      <c r="K4490" s="2">
        <f t="shared" si="140"/>
        <v>0</v>
      </c>
      <c r="L4490" t="s">
        <v>19</v>
      </c>
      <c r="M4490">
        <v>5</v>
      </c>
      <c r="N4490">
        <v>6.44</v>
      </c>
      <c r="O4490" t="str">
        <f t="shared" si="141"/>
        <v>1+ hours</v>
      </c>
      <c r="P4490" t="s">
        <v>20</v>
      </c>
    </row>
    <row r="4491" spans="1:16" x14ac:dyDescent="0.4">
      <c r="A4491" t="s">
        <v>4532</v>
      </c>
      <c r="B4491">
        <v>56</v>
      </c>
      <c r="C4491" t="s">
        <v>15</v>
      </c>
      <c r="D4491" t="s">
        <v>22</v>
      </c>
      <c r="E4491">
        <v>21.77</v>
      </c>
      <c r="F4491">
        <v>51</v>
      </c>
      <c r="G4491" t="s">
        <v>28</v>
      </c>
      <c r="H4491" t="s">
        <v>18</v>
      </c>
      <c r="I4491" s="2">
        <v>13.99</v>
      </c>
      <c r="J4491">
        <v>0</v>
      </c>
      <c r="K4491" s="2">
        <f t="shared" si="140"/>
        <v>0</v>
      </c>
      <c r="L4491" t="s">
        <v>61</v>
      </c>
      <c r="M4491">
        <v>2</v>
      </c>
      <c r="N4491">
        <v>0.42</v>
      </c>
      <c r="O4491" t="str">
        <f t="shared" si="141"/>
        <v>0.4–0.6 hours</v>
      </c>
      <c r="P4491" t="s">
        <v>30</v>
      </c>
    </row>
    <row r="4492" spans="1:16" x14ac:dyDescent="0.4">
      <c r="A4492" t="s">
        <v>4533</v>
      </c>
      <c r="B4492">
        <v>57</v>
      </c>
      <c r="C4492" t="s">
        <v>41</v>
      </c>
      <c r="D4492" t="s">
        <v>32</v>
      </c>
      <c r="E4492">
        <v>12.13</v>
      </c>
      <c r="F4492">
        <v>24</v>
      </c>
      <c r="G4492" t="s">
        <v>17</v>
      </c>
      <c r="H4492" t="s">
        <v>46</v>
      </c>
      <c r="I4492" s="2">
        <v>17.989999999999998</v>
      </c>
      <c r="J4492">
        <v>0</v>
      </c>
      <c r="K4492" s="2">
        <f t="shared" si="140"/>
        <v>0</v>
      </c>
      <c r="L4492" t="s">
        <v>29</v>
      </c>
      <c r="M4492">
        <v>1</v>
      </c>
      <c r="N4492">
        <v>0.49</v>
      </c>
      <c r="O4492" t="str">
        <f t="shared" si="141"/>
        <v>0.4–0.6 hours</v>
      </c>
      <c r="P4492" t="s">
        <v>39</v>
      </c>
    </row>
    <row r="4493" spans="1:16" x14ac:dyDescent="0.4">
      <c r="A4493" t="s">
        <v>4534</v>
      </c>
      <c r="B4493">
        <v>64</v>
      </c>
      <c r="C4493" t="s">
        <v>15</v>
      </c>
      <c r="D4493" t="s">
        <v>22</v>
      </c>
      <c r="E4493">
        <v>3.68</v>
      </c>
      <c r="F4493">
        <v>55</v>
      </c>
      <c r="G4493" t="s">
        <v>49</v>
      </c>
      <c r="H4493" t="s">
        <v>24</v>
      </c>
      <c r="I4493" s="2">
        <v>13.99</v>
      </c>
      <c r="J4493">
        <v>1</v>
      </c>
      <c r="K4493" s="2">
        <f t="shared" si="140"/>
        <v>13.99</v>
      </c>
      <c r="L4493" t="s">
        <v>29</v>
      </c>
      <c r="M4493">
        <v>5</v>
      </c>
      <c r="N4493">
        <v>7.0000000000000007E-2</v>
      </c>
      <c r="O4493" t="str">
        <f t="shared" si="141"/>
        <v>0–0.2 hours</v>
      </c>
      <c r="P4493" t="s">
        <v>47</v>
      </c>
    </row>
    <row r="4494" spans="1:16" x14ac:dyDescent="0.4">
      <c r="A4494" t="s">
        <v>4535</v>
      </c>
      <c r="B4494">
        <v>50</v>
      </c>
      <c r="C4494" t="s">
        <v>15</v>
      </c>
      <c r="D4494" t="s">
        <v>32</v>
      </c>
      <c r="E4494">
        <v>0.73</v>
      </c>
      <c r="F4494">
        <v>24</v>
      </c>
      <c r="G4494" t="s">
        <v>70</v>
      </c>
      <c r="H4494" t="s">
        <v>57</v>
      </c>
      <c r="I4494" s="2">
        <v>17.989999999999998</v>
      </c>
      <c r="J4494">
        <v>1</v>
      </c>
      <c r="K4494" s="2">
        <f t="shared" si="140"/>
        <v>17.989999999999998</v>
      </c>
      <c r="L4494" t="s">
        <v>29</v>
      </c>
      <c r="M4494">
        <v>2</v>
      </c>
      <c r="N4494">
        <v>0.03</v>
      </c>
      <c r="O4494" t="str">
        <f t="shared" si="141"/>
        <v>0–0.2 hours</v>
      </c>
      <c r="P4494" t="s">
        <v>20</v>
      </c>
    </row>
    <row r="4495" spans="1:16" x14ac:dyDescent="0.4">
      <c r="A4495" t="s">
        <v>4536</v>
      </c>
      <c r="B4495">
        <v>63</v>
      </c>
      <c r="C4495" t="s">
        <v>15</v>
      </c>
      <c r="D4495" t="s">
        <v>16</v>
      </c>
      <c r="E4495">
        <v>2.37</v>
      </c>
      <c r="F4495">
        <v>28</v>
      </c>
      <c r="G4495" t="s">
        <v>49</v>
      </c>
      <c r="H4495" t="s">
        <v>46</v>
      </c>
      <c r="I4495" s="2">
        <v>8.99</v>
      </c>
      <c r="J4495">
        <v>1</v>
      </c>
      <c r="K4495" s="2">
        <f t="shared" si="140"/>
        <v>8.99</v>
      </c>
      <c r="L4495" t="s">
        <v>37</v>
      </c>
      <c r="M4495">
        <v>5</v>
      </c>
      <c r="N4495">
        <v>0.08</v>
      </c>
      <c r="O4495" t="str">
        <f t="shared" si="141"/>
        <v>0–0.2 hours</v>
      </c>
      <c r="P4495" t="s">
        <v>47</v>
      </c>
    </row>
    <row r="4496" spans="1:16" x14ac:dyDescent="0.4">
      <c r="A4496" t="s">
        <v>4537</v>
      </c>
      <c r="B4496">
        <v>47</v>
      </c>
      <c r="C4496" t="s">
        <v>15</v>
      </c>
      <c r="D4496" t="s">
        <v>22</v>
      </c>
      <c r="E4496">
        <v>13.83</v>
      </c>
      <c r="F4496">
        <v>54</v>
      </c>
      <c r="G4496" t="s">
        <v>17</v>
      </c>
      <c r="H4496" t="s">
        <v>24</v>
      </c>
      <c r="I4496" s="2">
        <v>13.99</v>
      </c>
      <c r="J4496">
        <v>1</v>
      </c>
      <c r="K4496" s="2">
        <f t="shared" si="140"/>
        <v>13.99</v>
      </c>
      <c r="L4496" t="s">
        <v>19</v>
      </c>
      <c r="M4496">
        <v>3</v>
      </c>
      <c r="N4496">
        <v>0.25</v>
      </c>
      <c r="O4496" t="str">
        <f t="shared" si="141"/>
        <v>0.2–0.4 hours</v>
      </c>
      <c r="P4496" t="s">
        <v>52</v>
      </c>
    </row>
    <row r="4497" spans="1:16" x14ac:dyDescent="0.4">
      <c r="A4497" t="s">
        <v>4538</v>
      </c>
      <c r="B4497">
        <v>27</v>
      </c>
      <c r="C4497" t="s">
        <v>27</v>
      </c>
      <c r="D4497" t="s">
        <v>32</v>
      </c>
      <c r="E4497">
        <v>15.99</v>
      </c>
      <c r="F4497">
        <v>37</v>
      </c>
      <c r="G4497" t="s">
        <v>17</v>
      </c>
      <c r="H4497" t="s">
        <v>57</v>
      </c>
      <c r="I4497" s="2">
        <v>17.989999999999998</v>
      </c>
      <c r="J4497">
        <v>1</v>
      </c>
      <c r="K4497" s="2">
        <f t="shared" si="140"/>
        <v>17.989999999999998</v>
      </c>
      <c r="L4497" t="s">
        <v>19</v>
      </c>
      <c r="M4497">
        <v>2</v>
      </c>
      <c r="N4497">
        <v>0.42</v>
      </c>
      <c r="O4497" t="str">
        <f t="shared" si="141"/>
        <v>0.4–0.6 hours</v>
      </c>
      <c r="P4497" t="s">
        <v>30</v>
      </c>
    </row>
    <row r="4498" spans="1:16" x14ac:dyDescent="0.4">
      <c r="A4498" t="s">
        <v>4539</v>
      </c>
      <c r="B4498">
        <v>21</v>
      </c>
      <c r="C4498" t="s">
        <v>41</v>
      </c>
      <c r="D4498" t="s">
        <v>16</v>
      </c>
      <c r="E4498">
        <v>21.57</v>
      </c>
      <c r="F4498">
        <v>47</v>
      </c>
      <c r="G4498" t="s">
        <v>70</v>
      </c>
      <c r="H4498" t="s">
        <v>24</v>
      </c>
      <c r="I4498" s="2">
        <v>8.99</v>
      </c>
      <c r="J4498">
        <v>1</v>
      </c>
      <c r="K4498" s="2">
        <f t="shared" si="140"/>
        <v>8.99</v>
      </c>
      <c r="L4498" t="s">
        <v>37</v>
      </c>
      <c r="M4498">
        <v>3</v>
      </c>
      <c r="N4498">
        <v>0.45</v>
      </c>
      <c r="O4498" t="str">
        <f t="shared" si="141"/>
        <v>0.4–0.6 hours</v>
      </c>
      <c r="P4498" t="s">
        <v>47</v>
      </c>
    </row>
    <row r="4499" spans="1:16" x14ac:dyDescent="0.4">
      <c r="A4499" t="s">
        <v>4540</v>
      </c>
      <c r="B4499">
        <v>52</v>
      </c>
      <c r="C4499" t="s">
        <v>15</v>
      </c>
      <c r="D4499" t="s">
        <v>32</v>
      </c>
      <c r="E4499">
        <v>6.62</v>
      </c>
      <c r="F4499">
        <v>56</v>
      </c>
      <c r="G4499" t="s">
        <v>28</v>
      </c>
      <c r="H4499" t="s">
        <v>55</v>
      </c>
      <c r="I4499" s="2">
        <v>17.989999999999998</v>
      </c>
      <c r="J4499">
        <v>1</v>
      </c>
      <c r="K4499" s="2">
        <f t="shared" si="140"/>
        <v>17.989999999999998</v>
      </c>
      <c r="L4499" t="s">
        <v>19</v>
      </c>
      <c r="M4499">
        <v>1</v>
      </c>
      <c r="N4499">
        <v>0.12</v>
      </c>
      <c r="O4499" t="str">
        <f t="shared" si="141"/>
        <v>0–0.2 hours</v>
      </c>
      <c r="P4499" t="s">
        <v>47</v>
      </c>
    </row>
    <row r="4500" spans="1:16" x14ac:dyDescent="0.4">
      <c r="A4500" s="1" t="s">
        <v>4541</v>
      </c>
      <c r="B4500">
        <v>27</v>
      </c>
      <c r="C4500" t="s">
        <v>15</v>
      </c>
      <c r="D4500" t="s">
        <v>22</v>
      </c>
      <c r="E4500">
        <v>20.059999999999999</v>
      </c>
      <c r="F4500">
        <v>45</v>
      </c>
      <c r="G4500" t="s">
        <v>23</v>
      </c>
      <c r="H4500" t="s">
        <v>46</v>
      </c>
      <c r="I4500" s="2">
        <v>13.99</v>
      </c>
      <c r="J4500">
        <v>0</v>
      </c>
      <c r="K4500" s="2">
        <f t="shared" si="140"/>
        <v>0</v>
      </c>
      <c r="L4500" t="s">
        <v>37</v>
      </c>
      <c r="M4500">
        <v>4</v>
      </c>
      <c r="N4500">
        <v>0.44</v>
      </c>
      <c r="O4500" t="str">
        <f t="shared" si="141"/>
        <v>0.4–0.6 hours</v>
      </c>
      <c r="P4500" t="s">
        <v>20</v>
      </c>
    </row>
    <row r="4501" spans="1:16" x14ac:dyDescent="0.4">
      <c r="A4501" t="s">
        <v>4542</v>
      </c>
      <c r="B4501">
        <v>28</v>
      </c>
      <c r="C4501" t="s">
        <v>15</v>
      </c>
      <c r="D4501" t="s">
        <v>16</v>
      </c>
      <c r="E4501">
        <v>0.79</v>
      </c>
      <c r="F4501">
        <v>40</v>
      </c>
      <c r="G4501" t="s">
        <v>28</v>
      </c>
      <c r="H4501" t="s">
        <v>46</v>
      </c>
      <c r="I4501" s="2">
        <v>8.99</v>
      </c>
      <c r="J4501">
        <v>1</v>
      </c>
      <c r="K4501" s="2">
        <f t="shared" si="140"/>
        <v>8.99</v>
      </c>
      <c r="L4501" t="s">
        <v>19</v>
      </c>
      <c r="M4501">
        <v>1</v>
      </c>
      <c r="N4501">
        <v>0.02</v>
      </c>
      <c r="O4501" t="str">
        <f t="shared" si="141"/>
        <v>0–0.2 hours</v>
      </c>
      <c r="P4501" t="s">
        <v>20</v>
      </c>
    </row>
    <row r="4502" spans="1:16" x14ac:dyDescent="0.4">
      <c r="A4502" t="s">
        <v>4543</v>
      </c>
      <c r="B4502">
        <v>18</v>
      </c>
      <c r="C4502" t="s">
        <v>41</v>
      </c>
      <c r="D4502" t="s">
        <v>22</v>
      </c>
      <c r="E4502">
        <v>3.49</v>
      </c>
      <c r="F4502">
        <v>54</v>
      </c>
      <c r="G4502" t="s">
        <v>33</v>
      </c>
      <c r="H4502" t="s">
        <v>46</v>
      </c>
      <c r="I4502" s="2">
        <v>13.99</v>
      </c>
      <c r="J4502">
        <v>1</v>
      </c>
      <c r="K4502" s="2">
        <f t="shared" si="140"/>
        <v>13.99</v>
      </c>
      <c r="L4502" t="s">
        <v>29</v>
      </c>
      <c r="M4502">
        <v>3</v>
      </c>
      <c r="N4502">
        <v>0.06</v>
      </c>
      <c r="O4502" t="str">
        <f t="shared" si="141"/>
        <v>0–0.2 hours</v>
      </c>
      <c r="P4502" t="s">
        <v>25</v>
      </c>
    </row>
    <row r="4503" spans="1:16" x14ac:dyDescent="0.4">
      <c r="A4503" t="s">
        <v>4544</v>
      </c>
      <c r="B4503">
        <v>19</v>
      </c>
      <c r="C4503" t="s">
        <v>15</v>
      </c>
      <c r="D4503" t="s">
        <v>32</v>
      </c>
      <c r="E4503">
        <v>8.1199999999999992</v>
      </c>
      <c r="F4503">
        <v>2</v>
      </c>
      <c r="G4503" t="s">
        <v>23</v>
      </c>
      <c r="H4503" t="s">
        <v>46</v>
      </c>
      <c r="I4503" s="2">
        <v>17.989999999999998</v>
      </c>
      <c r="J4503">
        <v>0</v>
      </c>
      <c r="K4503" s="2">
        <f t="shared" si="140"/>
        <v>0</v>
      </c>
      <c r="L4503" t="s">
        <v>43</v>
      </c>
      <c r="M4503">
        <v>1</v>
      </c>
      <c r="N4503">
        <v>2.71</v>
      </c>
      <c r="O4503" t="str">
        <f t="shared" si="141"/>
        <v>1+ hours</v>
      </c>
      <c r="P4503" t="s">
        <v>20</v>
      </c>
    </row>
    <row r="4504" spans="1:16" x14ac:dyDescent="0.4">
      <c r="A4504" t="s">
        <v>4545</v>
      </c>
      <c r="B4504">
        <v>34</v>
      </c>
      <c r="C4504" t="s">
        <v>41</v>
      </c>
      <c r="D4504" t="s">
        <v>32</v>
      </c>
      <c r="E4504">
        <v>28.39</v>
      </c>
      <c r="F4504">
        <v>41</v>
      </c>
      <c r="G4504" t="s">
        <v>17</v>
      </c>
      <c r="H4504" t="s">
        <v>46</v>
      </c>
      <c r="I4504" s="2">
        <v>17.989999999999998</v>
      </c>
      <c r="J4504">
        <v>0</v>
      </c>
      <c r="K4504" s="2">
        <f t="shared" si="140"/>
        <v>0</v>
      </c>
      <c r="L4504" t="s">
        <v>29</v>
      </c>
      <c r="M4504">
        <v>2</v>
      </c>
      <c r="N4504">
        <v>0.68</v>
      </c>
      <c r="O4504" t="str">
        <f t="shared" si="141"/>
        <v>0.6–0.8 hours</v>
      </c>
      <c r="P4504" t="s">
        <v>34</v>
      </c>
    </row>
    <row r="4505" spans="1:16" x14ac:dyDescent="0.4">
      <c r="A4505" t="s">
        <v>4546</v>
      </c>
      <c r="B4505">
        <v>63</v>
      </c>
      <c r="C4505" t="s">
        <v>41</v>
      </c>
      <c r="D4505" t="s">
        <v>16</v>
      </c>
      <c r="E4505">
        <v>1.3</v>
      </c>
      <c r="F4505">
        <v>20</v>
      </c>
      <c r="G4505" t="s">
        <v>17</v>
      </c>
      <c r="H4505" t="s">
        <v>46</v>
      </c>
      <c r="I4505" s="2">
        <v>8.99</v>
      </c>
      <c r="J4505">
        <v>1</v>
      </c>
      <c r="K4505" s="2">
        <f t="shared" si="140"/>
        <v>8.99</v>
      </c>
      <c r="L4505" t="s">
        <v>29</v>
      </c>
      <c r="M4505">
        <v>5</v>
      </c>
      <c r="N4505">
        <v>0.06</v>
      </c>
      <c r="O4505" t="str">
        <f t="shared" si="141"/>
        <v>0–0.2 hours</v>
      </c>
      <c r="P4505" t="s">
        <v>34</v>
      </c>
    </row>
    <row r="4506" spans="1:16" x14ac:dyDescent="0.4">
      <c r="A4506" t="s">
        <v>4547</v>
      </c>
      <c r="B4506">
        <v>60</v>
      </c>
      <c r="C4506" t="s">
        <v>41</v>
      </c>
      <c r="D4506" t="s">
        <v>32</v>
      </c>
      <c r="E4506">
        <v>7.31</v>
      </c>
      <c r="F4506">
        <v>21</v>
      </c>
      <c r="G4506" t="s">
        <v>17</v>
      </c>
      <c r="H4506" t="s">
        <v>55</v>
      </c>
      <c r="I4506" s="2">
        <v>17.989999999999998</v>
      </c>
      <c r="J4506">
        <v>0</v>
      </c>
      <c r="K4506" s="2">
        <f t="shared" si="140"/>
        <v>0</v>
      </c>
      <c r="L4506" t="s">
        <v>19</v>
      </c>
      <c r="M4506">
        <v>3</v>
      </c>
      <c r="N4506">
        <v>0.33</v>
      </c>
      <c r="O4506" t="str">
        <f t="shared" si="141"/>
        <v>0.2–0.4 hours</v>
      </c>
      <c r="P4506" t="s">
        <v>34</v>
      </c>
    </row>
    <row r="4507" spans="1:16" x14ac:dyDescent="0.4">
      <c r="A4507" t="s">
        <v>4548</v>
      </c>
      <c r="B4507">
        <v>24</v>
      </c>
      <c r="C4507" t="s">
        <v>41</v>
      </c>
      <c r="D4507" t="s">
        <v>22</v>
      </c>
      <c r="E4507">
        <v>3.05</v>
      </c>
      <c r="F4507">
        <v>9</v>
      </c>
      <c r="G4507" t="s">
        <v>70</v>
      </c>
      <c r="H4507" t="s">
        <v>18</v>
      </c>
      <c r="I4507" s="2">
        <v>13.99</v>
      </c>
      <c r="J4507">
        <v>1</v>
      </c>
      <c r="K4507" s="2">
        <f t="shared" si="140"/>
        <v>13.99</v>
      </c>
      <c r="L4507" t="s">
        <v>29</v>
      </c>
      <c r="M4507">
        <v>1</v>
      </c>
      <c r="N4507">
        <v>0.3</v>
      </c>
      <c r="O4507" t="str">
        <f t="shared" si="141"/>
        <v>0.2–0.4 hours</v>
      </c>
      <c r="P4507" t="s">
        <v>20</v>
      </c>
    </row>
    <row r="4508" spans="1:16" x14ac:dyDescent="0.4">
      <c r="A4508" t="s">
        <v>4549</v>
      </c>
      <c r="B4508">
        <v>34</v>
      </c>
      <c r="C4508" t="s">
        <v>15</v>
      </c>
      <c r="D4508" t="s">
        <v>32</v>
      </c>
      <c r="E4508">
        <v>8.64</v>
      </c>
      <c r="F4508">
        <v>8</v>
      </c>
      <c r="G4508" t="s">
        <v>33</v>
      </c>
      <c r="H4508" t="s">
        <v>18</v>
      </c>
      <c r="I4508" s="2">
        <v>17.989999999999998</v>
      </c>
      <c r="J4508">
        <v>0</v>
      </c>
      <c r="K4508" s="2">
        <f t="shared" si="140"/>
        <v>0</v>
      </c>
      <c r="L4508" t="s">
        <v>19</v>
      </c>
      <c r="M4508">
        <v>4</v>
      </c>
      <c r="N4508">
        <v>0.96</v>
      </c>
      <c r="O4508" t="str">
        <f t="shared" si="141"/>
        <v>0.8–1 hour</v>
      </c>
      <c r="P4508" t="s">
        <v>20</v>
      </c>
    </row>
    <row r="4509" spans="1:16" x14ac:dyDescent="0.4">
      <c r="A4509" t="s">
        <v>4550</v>
      </c>
      <c r="B4509">
        <v>55</v>
      </c>
      <c r="C4509" t="s">
        <v>27</v>
      </c>
      <c r="D4509" t="s">
        <v>16</v>
      </c>
      <c r="E4509">
        <v>17.61</v>
      </c>
      <c r="F4509">
        <v>35</v>
      </c>
      <c r="G4509" t="s">
        <v>49</v>
      </c>
      <c r="H4509" t="s">
        <v>55</v>
      </c>
      <c r="I4509" s="2">
        <v>8.99</v>
      </c>
      <c r="J4509">
        <v>1</v>
      </c>
      <c r="K4509" s="2">
        <f t="shared" si="140"/>
        <v>8.99</v>
      </c>
      <c r="L4509" t="s">
        <v>19</v>
      </c>
      <c r="M4509">
        <v>1</v>
      </c>
      <c r="N4509">
        <v>0.49</v>
      </c>
      <c r="O4509" t="str">
        <f t="shared" si="141"/>
        <v>0.4–0.6 hours</v>
      </c>
      <c r="P4509" t="s">
        <v>47</v>
      </c>
    </row>
    <row r="4510" spans="1:16" x14ac:dyDescent="0.4">
      <c r="A4510" s="1" t="s">
        <v>4551</v>
      </c>
      <c r="B4510">
        <v>31</v>
      </c>
      <c r="C4510" t="s">
        <v>27</v>
      </c>
      <c r="D4510" t="s">
        <v>32</v>
      </c>
      <c r="E4510">
        <v>5.68</v>
      </c>
      <c r="F4510">
        <v>49</v>
      </c>
      <c r="G4510" t="s">
        <v>28</v>
      </c>
      <c r="H4510" t="s">
        <v>46</v>
      </c>
      <c r="I4510" s="2">
        <v>17.989999999999998</v>
      </c>
      <c r="J4510">
        <v>1</v>
      </c>
      <c r="K4510" s="2">
        <f t="shared" si="140"/>
        <v>17.989999999999998</v>
      </c>
      <c r="L4510" t="s">
        <v>29</v>
      </c>
      <c r="M4510">
        <v>2</v>
      </c>
      <c r="N4510">
        <v>0.11</v>
      </c>
      <c r="O4510" t="str">
        <f t="shared" si="141"/>
        <v>0–0.2 hours</v>
      </c>
      <c r="P4510" t="s">
        <v>47</v>
      </c>
    </row>
    <row r="4511" spans="1:16" x14ac:dyDescent="0.4">
      <c r="A4511" s="1" t="s">
        <v>4552</v>
      </c>
      <c r="B4511">
        <v>28</v>
      </c>
      <c r="C4511" t="s">
        <v>27</v>
      </c>
      <c r="D4511" t="s">
        <v>32</v>
      </c>
      <c r="E4511">
        <v>10.53</v>
      </c>
      <c r="F4511">
        <v>23</v>
      </c>
      <c r="G4511" t="s">
        <v>28</v>
      </c>
      <c r="H4511" t="s">
        <v>55</v>
      </c>
      <c r="I4511" s="2">
        <v>17.989999999999998</v>
      </c>
      <c r="J4511">
        <v>0</v>
      </c>
      <c r="K4511" s="2">
        <f t="shared" si="140"/>
        <v>0</v>
      </c>
      <c r="L4511" t="s">
        <v>61</v>
      </c>
      <c r="M4511">
        <v>2</v>
      </c>
      <c r="N4511">
        <v>0.44</v>
      </c>
      <c r="O4511" t="str">
        <f t="shared" si="141"/>
        <v>0.4–0.6 hours</v>
      </c>
      <c r="P4511" t="s">
        <v>34</v>
      </c>
    </row>
    <row r="4512" spans="1:16" x14ac:dyDescent="0.4">
      <c r="A4512" t="s">
        <v>4553</v>
      </c>
      <c r="B4512">
        <v>58</v>
      </c>
      <c r="C4512" t="s">
        <v>15</v>
      </c>
      <c r="D4512" t="s">
        <v>32</v>
      </c>
      <c r="E4512">
        <v>22.17</v>
      </c>
      <c r="F4512">
        <v>40</v>
      </c>
      <c r="G4512" t="s">
        <v>23</v>
      </c>
      <c r="H4512" t="s">
        <v>46</v>
      </c>
      <c r="I4512" s="2">
        <v>17.989999999999998</v>
      </c>
      <c r="J4512">
        <v>0</v>
      </c>
      <c r="K4512" s="2">
        <f t="shared" si="140"/>
        <v>0</v>
      </c>
      <c r="L4512" t="s">
        <v>43</v>
      </c>
      <c r="M4512">
        <v>4</v>
      </c>
      <c r="N4512">
        <v>0.54</v>
      </c>
      <c r="O4512" t="str">
        <f t="shared" si="141"/>
        <v>0.4–0.6 hours</v>
      </c>
      <c r="P4512" t="s">
        <v>47</v>
      </c>
    </row>
    <row r="4513" spans="1:16" x14ac:dyDescent="0.4">
      <c r="A4513" t="s">
        <v>4554</v>
      </c>
      <c r="B4513">
        <v>44</v>
      </c>
      <c r="C4513" t="s">
        <v>27</v>
      </c>
      <c r="D4513" t="s">
        <v>16</v>
      </c>
      <c r="E4513">
        <v>58.4</v>
      </c>
      <c r="F4513">
        <v>26</v>
      </c>
      <c r="G4513" t="s">
        <v>33</v>
      </c>
      <c r="H4513" t="s">
        <v>55</v>
      </c>
      <c r="I4513" s="2">
        <v>8.99</v>
      </c>
      <c r="J4513">
        <v>0</v>
      </c>
      <c r="K4513" s="2">
        <f t="shared" si="140"/>
        <v>0</v>
      </c>
      <c r="L4513" t="s">
        <v>19</v>
      </c>
      <c r="M4513">
        <v>1</v>
      </c>
      <c r="N4513">
        <v>2.16</v>
      </c>
      <c r="O4513" t="str">
        <f t="shared" si="141"/>
        <v>1+ hours</v>
      </c>
      <c r="P4513" t="s">
        <v>25</v>
      </c>
    </row>
    <row r="4514" spans="1:16" x14ac:dyDescent="0.4">
      <c r="A4514" t="s">
        <v>4555</v>
      </c>
      <c r="B4514">
        <v>69</v>
      </c>
      <c r="C4514" t="s">
        <v>27</v>
      </c>
      <c r="D4514" t="s">
        <v>32</v>
      </c>
      <c r="E4514">
        <v>5.8</v>
      </c>
      <c r="F4514">
        <v>26</v>
      </c>
      <c r="G4514" t="s">
        <v>70</v>
      </c>
      <c r="H4514" t="s">
        <v>57</v>
      </c>
      <c r="I4514" s="2">
        <v>17.989999999999998</v>
      </c>
      <c r="J4514">
        <v>0</v>
      </c>
      <c r="K4514" s="2">
        <f t="shared" si="140"/>
        <v>0</v>
      </c>
      <c r="L4514" t="s">
        <v>43</v>
      </c>
      <c r="M4514">
        <v>5</v>
      </c>
      <c r="N4514">
        <v>0.21</v>
      </c>
      <c r="O4514" t="str">
        <f t="shared" si="141"/>
        <v>0.2–0.4 hours</v>
      </c>
      <c r="P4514" t="s">
        <v>39</v>
      </c>
    </row>
    <row r="4515" spans="1:16" x14ac:dyDescent="0.4">
      <c r="A4515" t="s">
        <v>4556</v>
      </c>
      <c r="B4515">
        <v>42</v>
      </c>
      <c r="C4515" t="s">
        <v>27</v>
      </c>
      <c r="D4515" t="s">
        <v>32</v>
      </c>
      <c r="E4515">
        <v>9.08</v>
      </c>
      <c r="F4515">
        <v>17</v>
      </c>
      <c r="G4515" t="s">
        <v>17</v>
      </c>
      <c r="H4515" t="s">
        <v>55</v>
      </c>
      <c r="I4515" s="2">
        <v>17.989999999999998</v>
      </c>
      <c r="J4515">
        <v>0</v>
      </c>
      <c r="K4515" s="2">
        <f t="shared" si="140"/>
        <v>0</v>
      </c>
      <c r="L4515" t="s">
        <v>29</v>
      </c>
      <c r="M4515">
        <v>1</v>
      </c>
      <c r="N4515">
        <v>0.5</v>
      </c>
      <c r="O4515" t="str">
        <f t="shared" si="141"/>
        <v>0.4–0.6 hours</v>
      </c>
      <c r="P4515" t="s">
        <v>52</v>
      </c>
    </row>
    <row r="4516" spans="1:16" x14ac:dyDescent="0.4">
      <c r="A4516" t="s">
        <v>4557</v>
      </c>
      <c r="B4516">
        <v>52</v>
      </c>
      <c r="C4516" t="s">
        <v>27</v>
      </c>
      <c r="D4516" t="s">
        <v>16</v>
      </c>
      <c r="E4516">
        <v>17.09</v>
      </c>
      <c r="F4516">
        <v>42</v>
      </c>
      <c r="G4516" t="s">
        <v>49</v>
      </c>
      <c r="H4516" t="s">
        <v>18</v>
      </c>
      <c r="I4516" s="2">
        <v>8.99</v>
      </c>
      <c r="J4516">
        <v>1</v>
      </c>
      <c r="K4516" s="2">
        <f t="shared" si="140"/>
        <v>8.99</v>
      </c>
      <c r="L4516" t="s">
        <v>29</v>
      </c>
      <c r="M4516">
        <v>2</v>
      </c>
      <c r="N4516">
        <v>0.4</v>
      </c>
      <c r="O4516" t="str">
        <f t="shared" si="141"/>
        <v>0.2–0.4 hours</v>
      </c>
      <c r="P4516" t="s">
        <v>20</v>
      </c>
    </row>
    <row r="4517" spans="1:16" x14ac:dyDescent="0.4">
      <c r="A4517" t="s">
        <v>4558</v>
      </c>
      <c r="B4517">
        <v>50</v>
      </c>
      <c r="C4517" t="s">
        <v>41</v>
      </c>
      <c r="D4517" t="s">
        <v>32</v>
      </c>
      <c r="E4517">
        <v>12.33</v>
      </c>
      <c r="F4517">
        <v>16</v>
      </c>
      <c r="G4517" t="s">
        <v>49</v>
      </c>
      <c r="H4517" t="s">
        <v>24</v>
      </c>
      <c r="I4517" s="2">
        <v>17.989999999999998</v>
      </c>
      <c r="J4517">
        <v>0</v>
      </c>
      <c r="K4517" s="2">
        <f t="shared" si="140"/>
        <v>0</v>
      </c>
      <c r="L4517" t="s">
        <v>43</v>
      </c>
      <c r="M4517">
        <v>5</v>
      </c>
      <c r="N4517">
        <v>0.73</v>
      </c>
      <c r="O4517" t="str">
        <f t="shared" si="141"/>
        <v>0.6–0.8 hours</v>
      </c>
      <c r="P4517" t="s">
        <v>47</v>
      </c>
    </row>
    <row r="4518" spans="1:16" x14ac:dyDescent="0.4">
      <c r="A4518" t="s">
        <v>4559</v>
      </c>
      <c r="B4518">
        <v>20</v>
      </c>
      <c r="C4518" t="s">
        <v>41</v>
      </c>
      <c r="D4518" t="s">
        <v>22</v>
      </c>
      <c r="E4518">
        <v>12.93</v>
      </c>
      <c r="F4518">
        <v>14</v>
      </c>
      <c r="G4518" t="s">
        <v>49</v>
      </c>
      <c r="H4518" t="s">
        <v>46</v>
      </c>
      <c r="I4518" s="2">
        <v>13.99</v>
      </c>
      <c r="J4518">
        <v>0</v>
      </c>
      <c r="K4518" s="2">
        <f t="shared" si="140"/>
        <v>0</v>
      </c>
      <c r="L4518" t="s">
        <v>29</v>
      </c>
      <c r="M4518">
        <v>1</v>
      </c>
      <c r="N4518">
        <v>0.86</v>
      </c>
      <c r="O4518" t="str">
        <f t="shared" si="141"/>
        <v>0.8–1 hour</v>
      </c>
      <c r="P4518" t="s">
        <v>30</v>
      </c>
    </row>
    <row r="4519" spans="1:16" x14ac:dyDescent="0.4">
      <c r="A4519" t="s">
        <v>4560</v>
      </c>
      <c r="B4519">
        <v>37</v>
      </c>
      <c r="C4519" t="s">
        <v>41</v>
      </c>
      <c r="D4519" t="s">
        <v>32</v>
      </c>
      <c r="E4519">
        <v>8.9600000000000009</v>
      </c>
      <c r="F4519">
        <v>42</v>
      </c>
      <c r="G4519" t="s">
        <v>49</v>
      </c>
      <c r="H4519" t="s">
        <v>46</v>
      </c>
      <c r="I4519" s="2">
        <v>17.989999999999998</v>
      </c>
      <c r="J4519">
        <v>1</v>
      </c>
      <c r="K4519" s="2">
        <f t="shared" si="140"/>
        <v>17.989999999999998</v>
      </c>
      <c r="L4519" t="s">
        <v>19</v>
      </c>
      <c r="M4519">
        <v>1</v>
      </c>
      <c r="N4519">
        <v>0.21</v>
      </c>
      <c r="O4519" t="str">
        <f t="shared" si="141"/>
        <v>0.2–0.4 hours</v>
      </c>
      <c r="P4519" t="s">
        <v>47</v>
      </c>
    </row>
    <row r="4520" spans="1:16" x14ac:dyDescent="0.4">
      <c r="A4520" t="s">
        <v>4561</v>
      </c>
      <c r="B4520">
        <v>51</v>
      </c>
      <c r="C4520" t="s">
        <v>15</v>
      </c>
      <c r="D4520" t="s">
        <v>22</v>
      </c>
      <c r="E4520">
        <v>1.1000000000000001</v>
      </c>
      <c r="F4520">
        <v>29</v>
      </c>
      <c r="G4520" t="s">
        <v>49</v>
      </c>
      <c r="H4520" t="s">
        <v>57</v>
      </c>
      <c r="I4520" s="2">
        <v>13.99</v>
      </c>
      <c r="J4520">
        <v>1</v>
      </c>
      <c r="K4520" s="2">
        <f t="shared" si="140"/>
        <v>13.99</v>
      </c>
      <c r="L4520" t="s">
        <v>19</v>
      </c>
      <c r="M4520">
        <v>3</v>
      </c>
      <c r="N4520">
        <v>0.04</v>
      </c>
      <c r="O4520" t="str">
        <f t="shared" si="141"/>
        <v>0–0.2 hours</v>
      </c>
      <c r="P4520" t="s">
        <v>52</v>
      </c>
    </row>
    <row r="4521" spans="1:16" x14ac:dyDescent="0.4">
      <c r="A4521" t="s">
        <v>4562</v>
      </c>
      <c r="B4521">
        <v>49</v>
      </c>
      <c r="C4521" t="s">
        <v>27</v>
      </c>
      <c r="D4521" t="s">
        <v>32</v>
      </c>
      <c r="E4521">
        <v>3.03</v>
      </c>
      <c r="F4521">
        <v>39</v>
      </c>
      <c r="G4521" t="s">
        <v>17</v>
      </c>
      <c r="H4521" t="s">
        <v>18</v>
      </c>
      <c r="I4521" s="2">
        <v>17.989999999999998</v>
      </c>
      <c r="J4521">
        <v>1</v>
      </c>
      <c r="K4521" s="2">
        <f t="shared" si="140"/>
        <v>17.989999999999998</v>
      </c>
      <c r="L4521" t="s">
        <v>37</v>
      </c>
      <c r="M4521">
        <v>2</v>
      </c>
      <c r="N4521">
        <v>0.08</v>
      </c>
      <c r="O4521" t="str">
        <f t="shared" si="141"/>
        <v>0–0.2 hours</v>
      </c>
      <c r="P4521" t="s">
        <v>34</v>
      </c>
    </row>
    <row r="4522" spans="1:16" x14ac:dyDescent="0.4">
      <c r="A4522" t="s">
        <v>4563</v>
      </c>
      <c r="B4522">
        <v>40</v>
      </c>
      <c r="C4522" t="s">
        <v>41</v>
      </c>
      <c r="D4522" t="s">
        <v>16</v>
      </c>
      <c r="E4522">
        <v>9.07</v>
      </c>
      <c r="F4522">
        <v>11</v>
      </c>
      <c r="G4522" t="s">
        <v>28</v>
      </c>
      <c r="H4522" t="s">
        <v>24</v>
      </c>
      <c r="I4522" s="2">
        <v>8.99</v>
      </c>
      <c r="J4522">
        <v>0</v>
      </c>
      <c r="K4522" s="2">
        <f t="shared" si="140"/>
        <v>0</v>
      </c>
      <c r="L4522" t="s">
        <v>61</v>
      </c>
      <c r="M4522">
        <v>1</v>
      </c>
      <c r="N4522">
        <v>0.76</v>
      </c>
      <c r="O4522" t="str">
        <f t="shared" si="141"/>
        <v>0.6–0.8 hours</v>
      </c>
      <c r="P4522" t="s">
        <v>34</v>
      </c>
    </row>
    <row r="4523" spans="1:16" x14ac:dyDescent="0.4">
      <c r="A4523" t="s">
        <v>4564</v>
      </c>
      <c r="B4523">
        <v>60</v>
      </c>
      <c r="C4523" t="s">
        <v>15</v>
      </c>
      <c r="D4523" t="s">
        <v>32</v>
      </c>
      <c r="E4523">
        <v>9.2200000000000006</v>
      </c>
      <c r="F4523">
        <v>45</v>
      </c>
      <c r="G4523" t="s">
        <v>33</v>
      </c>
      <c r="H4523" t="s">
        <v>55</v>
      </c>
      <c r="I4523" s="2">
        <v>17.989999999999998</v>
      </c>
      <c r="J4523">
        <v>1</v>
      </c>
      <c r="K4523" s="2">
        <f t="shared" si="140"/>
        <v>17.989999999999998</v>
      </c>
      <c r="L4523" t="s">
        <v>29</v>
      </c>
      <c r="M4523">
        <v>2</v>
      </c>
      <c r="N4523">
        <v>0.2</v>
      </c>
      <c r="O4523" t="str">
        <f t="shared" si="141"/>
        <v>0–0.2 hours</v>
      </c>
      <c r="P4523" t="s">
        <v>52</v>
      </c>
    </row>
    <row r="4524" spans="1:16" x14ac:dyDescent="0.4">
      <c r="A4524" t="s">
        <v>4565</v>
      </c>
      <c r="B4524">
        <v>44</v>
      </c>
      <c r="C4524" t="s">
        <v>27</v>
      </c>
      <c r="D4524" t="s">
        <v>32</v>
      </c>
      <c r="E4524">
        <v>5.79</v>
      </c>
      <c r="F4524">
        <v>8</v>
      </c>
      <c r="G4524" t="s">
        <v>49</v>
      </c>
      <c r="H4524" t="s">
        <v>18</v>
      </c>
      <c r="I4524" s="2">
        <v>17.989999999999998</v>
      </c>
      <c r="J4524">
        <v>0</v>
      </c>
      <c r="K4524" s="2">
        <f t="shared" si="140"/>
        <v>0</v>
      </c>
      <c r="L4524" t="s">
        <v>19</v>
      </c>
      <c r="M4524">
        <v>3</v>
      </c>
      <c r="N4524">
        <v>0.64</v>
      </c>
      <c r="O4524" t="str">
        <f t="shared" si="141"/>
        <v>0.6–0.8 hours</v>
      </c>
      <c r="P4524" t="s">
        <v>52</v>
      </c>
    </row>
    <row r="4525" spans="1:16" x14ac:dyDescent="0.4">
      <c r="A4525" t="s">
        <v>4566</v>
      </c>
      <c r="B4525">
        <v>29</v>
      </c>
      <c r="C4525" t="s">
        <v>27</v>
      </c>
      <c r="D4525" t="s">
        <v>16</v>
      </c>
      <c r="E4525">
        <v>8.5500000000000007</v>
      </c>
      <c r="F4525">
        <v>40</v>
      </c>
      <c r="G4525" t="s">
        <v>70</v>
      </c>
      <c r="H4525" t="s">
        <v>57</v>
      </c>
      <c r="I4525" s="2">
        <v>8.99</v>
      </c>
      <c r="J4525">
        <v>1</v>
      </c>
      <c r="K4525" s="2">
        <f t="shared" si="140"/>
        <v>8.99</v>
      </c>
      <c r="L4525" t="s">
        <v>43</v>
      </c>
      <c r="M4525">
        <v>1</v>
      </c>
      <c r="N4525">
        <v>0.21</v>
      </c>
      <c r="O4525" t="str">
        <f t="shared" si="141"/>
        <v>0.2–0.4 hours</v>
      </c>
      <c r="P4525" t="s">
        <v>39</v>
      </c>
    </row>
    <row r="4526" spans="1:16" x14ac:dyDescent="0.4">
      <c r="A4526" t="s">
        <v>4567</v>
      </c>
      <c r="B4526">
        <v>30</v>
      </c>
      <c r="C4526" t="s">
        <v>41</v>
      </c>
      <c r="D4526" t="s">
        <v>32</v>
      </c>
      <c r="E4526">
        <v>1.87</v>
      </c>
      <c r="F4526">
        <v>6</v>
      </c>
      <c r="G4526" t="s">
        <v>28</v>
      </c>
      <c r="H4526" t="s">
        <v>55</v>
      </c>
      <c r="I4526" s="2">
        <v>17.989999999999998</v>
      </c>
      <c r="J4526">
        <v>0</v>
      </c>
      <c r="K4526" s="2">
        <f t="shared" si="140"/>
        <v>0</v>
      </c>
      <c r="L4526" t="s">
        <v>61</v>
      </c>
      <c r="M4526">
        <v>2</v>
      </c>
      <c r="N4526">
        <v>0.27</v>
      </c>
      <c r="O4526" t="str">
        <f t="shared" si="141"/>
        <v>0.2–0.4 hours</v>
      </c>
      <c r="P4526" t="s">
        <v>47</v>
      </c>
    </row>
    <row r="4527" spans="1:16" x14ac:dyDescent="0.4">
      <c r="A4527" t="s">
        <v>4568</v>
      </c>
      <c r="B4527">
        <v>20</v>
      </c>
      <c r="C4527" t="s">
        <v>15</v>
      </c>
      <c r="D4527" t="s">
        <v>32</v>
      </c>
      <c r="E4527">
        <v>12.02</v>
      </c>
      <c r="F4527">
        <v>23</v>
      </c>
      <c r="G4527" t="s">
        <v>28</v>
      </c>
      <c r="H4527" t="s">
        <v>55</v>
      </c>
      <c r="I4527" s="2">
        <v>17.989999999999998</v>
      </c>
      <c r="J4527">
        <v>0</v>
      </c>
      <c r="K4527" s="2">
        <f t="shared" si="140"/>
        <v>0</v>
      </c>
      <c r="L4527" t="s">
        <v>43</v>
      </c>
      <c r="M4527">
        <v>1</v>
      </c>
      <c r="N4527">
        <v>0.5</v>
      </c>
      <c r="O4527" t="str">
        <f t="shared" si="141"/>
        <v>0.4–0.6 hours</v>
      </c>
      <c r="P4527" t="s">
        <v>39</v>
      </c>
    </row>
    <row r="4528" spans="1:16" x14ac:dyDescent="0.4">
      <c r="A4528" t="s">
        <v>4569</v>
      </c>
      <c r="B4528">
        <v>55</v>
      </c>
      <c r="C4528" t="s">
        <v>15</v>
      </c>
      <c r="D4528" t="s">
        <v>16</v>
      </c>
      <c r="E4528">
        <v>6.2</v>
      </c>
      <c r="F4528">
        <v>45</v>
      </c>
      <c r="G4528" t="s">
        <v>28</v>
      </c>
      <c r="H4528" t="s">
        <v>46</v>
      </c>
      <c r="I4528" s="2">
        <v>8.99</v>
      </c>
      <c r="J4528">
        <v>1</v>
      </c>
      <c r="K4528" s="2">
        <f t="shared" si="140"/>
        <v>8.99</v>
      </c>
      <c r="L4528" t="s">
        <v>29</v>
      </c>
      <c r="M4528">
        <v>4</v>
      </c>
      <c r="N4528">
        <v>0.13</v>
      </c>
      <c r="O4528" t="str">
        <f t="shared" si="141"/>
        <v>0–0.2 hours</v>
      </c>
      <c r="P4528" t="s">
        <v>39</v>
      </c>
    </row>
    <row r="4529" spans="1:16" x14ac:dyDescent="0.4">
      <c r="A4529" t="s">
        <v>4570</v>
      </c>
      <c r="B4529">
        <v>21</v>
      </c>
      <c r="C4529" t="s">
        <v>41</v>
      </c>
      <c r="D4529" t="s">
        <v>16</v>
      </c>
      <c r="E4529">
        <v>11.16</v>
      </c>
      <c r="F4529">
        <v>58</v>
      </c>
      <c r="G4529" t="s">
        <v>49</v>
      </c>
      <c r="H4529" t="s">
        <v>57</v>
      </c>
      <c r="I4529" s="2">
        <v>8.99</v>
      </c>
      <c r="J4529">
        <v>1</v>
      </c>
      <c r="K4529" s="2">
        <f t="shared" si="140"/>
        <v>8.99</v>
      </c>
      <c r="L4529" t="s">
        <v>29</v>
      </c>
      <c r="M4529">
        <v>3</v>
      </c>
      <c r="N4529">
        <v>0.19</v>
      </c>
      <c r="O4529" t="str">
        <f t="shared" si="141"/>
        <v>0–0.2 hours</v>
      </c>
      <c r="P4529" t="s">
        <v>39</v>
      </c>
    </row>
    <row r="4530" spans="1:16" x14ac:dyDescent="0.4">
      <c r="A4530" t="s">
        <v>4571</v>
      </c>
      <c r="B4530">
        <v>29</v>
      </c>
      <c r="C4530" t="s">
        <v>15</v>
      </c>
      <c r="D4530" t="s">
        <v>22</v>
      </c>
      <c r="E4530">
        <v>3.2</v>
      </c>
      <c r="F4530">
        <v>54</v>
      </c>
      <c r="G4530" t="s">
        <v>28</v>
      </c>
      <c r="H4530" t="s">
        <v>46</v>
      </c>
      <c r="I4530" s="2">
        <v>13.99</v>
      </c>
      <c r="J4530">
        <v>1</v>
      </c>
      <c r="K4530" s="2">
        <f t="shared" si="140"/>
        <v>13.99</v>
      </c>
      <c r="L4530" t="s">
        <v>19</v>
      </c>
      <c r="M4530">
        <v>2</v>
      </c>
      <c r="N4530">
        <v>0.06</v>
      </c>
      <c r="O4530" t="str">
        <f t="shared" si="141"/>
        <v>0–0.2 hours</v>
      </c>
      <c r="P4530" t="s">
        <v>52</v>
      </c>
    </row>
    <row r="4531" spans="1:16" x14ac:dyDescent="0.4">
      <c r="A4531" t="s">
        <v>4572</v>
      </c>
      <c r="B4531">
        <v>41</v>
      </c>
      <c r="C4531" t="s">
        <v>27</v>
      </c>
      <c r="D4531" t="s">
        <v>32</v>
      </c>
      <c r="E4531">
        <v>8.44</v>
      </c>
      <c r="F4531">
        <v>36</v>
      </c>
      <c r="G4531" t="s">
        <v>49</v>
      </c>
      <c r="H4531" t="s">
        <v>24</v>
      </c>
      <c r="I4531" s="2">
        <v>17.989999999999998</v>
      </c>
      <c r="J4531">
        <v>1</v>
      </c>
      <c r="K4531" s="2">
        <f t="shared" si="140"/>
        <v>17.989999999999998</v>
      </c>
      <c r="L4531" t="s">
        <v>29</v>
      </c>
      <c r="M4531">
        <v>4</v>
      </c>
      <c r="N4531">
        <v>0.23</v>
      </c>
      <c r="O4531" t="str">
        <f t="shared" si="141"/>
        <v>0.2–0.4 hours</v>
      </c>
      <c r="P4531" t="s">
        <v>30</v>
      </c>
    </row>
    <row r="4532" spans="1:16" x14ac:dyDescent="0.4">
      <c r="A4532" t="s">
        <v>4573</v>
      </c>
      <c r="B4532">
        <v>28</v>
      </c>
      <c r="C4532" t="s">
        <v>15</v>
      </c>
      <c r="D4532" t="s">
        <v>22</v>
      </c>
      <c r="E4532">
        <v>8.8699999999999992</v>
      </c>
      <c r="F4532">
        <v>39</v>
      </c>
      <c r="G4532" t="s">
        <v>17</v>
      </c>
      <c r="H4532" t="s">
        <v>55</v>
      </c>
      <c r="I4532" s="2">
        <v>13.99</v>
      </c>
      <c r="J4532">
        <v>1</v>
      </c>
      <c r="K4532" s="2">
        <f t="shared" si="140"/>
        <v>13.99</v>
      </c>
      <c r="L4532" t="s">
        <v>43</v>
      </c>
      <c r="M4532">
        <v>1</v>
      </c>
      <c r="N4532">
        <v>0.22</v>
      </c>
      <c r="O4532" t="str">
        <f t="shared" si="141"/>
        <v>0.2–0.4 hours</v>
      </c>
      <c r="P4532" t="s">
        <v>52</v>
      </c>
    </row>
    <row r="4533" spans="1:16" x14ac:dyDescent="0.4">
      <c r="A4533" t="s">
        <v>4574</v>
      </c>
      <c r="B4533">
        <v>25</v>
      </c>
      <c r="C4533" t="s">
        <v>15</v>
      </c>
      <c r="D4533" t="s">
        <v>32</v>
      </c>
      <c r="E4533">
        <v>2.9</v>
      </c>
      <c r="F4533">
        <v>29</v>
      </c>
      <c r="G4533" t="s">
        <v>70</v>
      </c>
      <c r="H4533" t="s">
        <v>57</v>
      </c>
      <c r="I4533" s="2">
        <v>17.989999999999998</v>
      </c>
      <c r="J4533">
        <v>1</v>
      </c>
      <c r="K4533" s="2">
        <f t="shared" si="140"/>
        <v>17.989999999999998</v>
      </c>
      <c r="L4533" t="s">
        <v>61</v>
      </c>
      <c r="M4533">
        <v>2</v>
      </c>
      <c r="N4533">
        <v>0.1</v>
      </c>
      <c r="O4533" t="str">
        <f t="shared" si="141"/>
        <v>0–0.2 hours</v>
      </c>
      <c r="P4533" t="s">
        <v>25</v>
      </c>
    </row>
    <row r="4534" spans="1:16" x14ac:dyDescent="0.4">
      <c r="A4534" t="s">
        <v>4575</v>
      </c>
      <c r="B4534">
        <v>25</v>
      </c>
      <c r="C4534" t="s">
        <v>27</v>
      </c>
      <c r="D4534" t="s">
        <v>16</v>
      </c>
      <c r="E4534">
        <v>0.17</v>
      </c>
      <c r="F4534">
        <v>58</v>
      </c>
      <c r="G4534" t="s">
        <v>17</v>
      </c>
      <c r="H4534" t="s">
        <v>57</v>
      </c>
      <c r="I4534" s="2">
        <v>8.99</v>
      </c>
      <c r="J4534">
        <v>1</v>
      </c>
      <c r="K4534" s="2">
        <f t="shared" si="140"/>
        <v>8.99</v>
      </c>
      <c r="L4534" t="s">
        <v>43</v>
      </c>
      <c r="M4534">
        <v>4</v>
      </c>
      <c r="N4534">
        <v>0</v>
      </c>
      <c r="O4534" t="str">
        <f t="shared" si="141"/>
        <v>0–0.2 hours</v>
      </c>
      <c r="P4534" t="s">
        <v>52</v>
      </c>
    </row>
    <row r="4535" spans="1:16" x14ac:dyDescent="0.4">
      <c r="A4535" t="s">
        <v>4576</v>
      </c>
      <c r="B4535">
        <v>41</v>
      </c>
      <c r="C4535" t="s">
        <v>27</v>
      </c>
      <c r="D4535" t="s">
        <v>32</v>
      </c>
      <c r="E4535">
        <v>5.24</v>
      </c>
      <c r="F4535">
        <v>49</v>
      </c>
      <c r="G4535" t="s">
        <v>70</v>
      </c>
      <c r="H4535" t="s">
        <v>18</v>
      </c>
      <c r="I4535" s="2">
        <v>17.989999999999998</v>
      </c>
      <c r="J4535">
        <v>1</v>
      </c>
      <c r="K4535" s="2">
        <f t="shared" si="140"/>
        <v>17.989999999999998</v>
      </c>
      <c r="L4535" t="s">
        <v>29</v>
      </c>
      <c r="M4535">
        <v>2</v>
      </c>
      <c r="N4535">
        <v>0.1</v>
      </c>
      <c r="O4535" t="str">
        <f t="shared" si="141"/>
        <v>0–0.2 hours</v>
      </c>
      <c r="P4535" t="s">
        <v>47</v>
      </c>
    </row>
    <row r="4536" spans="1:16" x14ac:dyDescent="0.4">
      <c r="A4536" t="s">
        <v>4577</v>
      </c>
      <c r="B4536">
        <v>67</v>
      </c>
      <c r="C4536" t="s">
        <v>15</v>
      </c>
      <c r="D4536" t="s">
        <v>22</v>
      </c>
      <c r="E4536">
        <v>10.24</v>
      </c>
      <c r="F4536">
        <v>11</v>
      </c>
      <c r="G4536" t="s">
        <v>49</v>
      </c>
      <c r="H4536" t="s">
        <v>55</v>
      </c>
      <c r="I4536" s="2">
        <v>13.99</v>
      </c>
      <c r="J4536">
        <v>0</v>
      </c>
      <c r="K4536" s="2">
        <f t="shared" si="140"/>
        <v>0</v>
      </c>
      <c r="L4536" t="s">
        <v>37</v>
      </c>
      <c r="M4536">
        <v>2</v>
      </c>
      <c r="N4536">
        <v>0.85</v>
      </c>
      <c r="O4536" t="str">
        <f t="shared" si="141"/>
        <v>0.8–1 hour</v>
      </c>
      <c r="P4536" t="s">
        <v>39</v>
      </c>
    </row>
    <row r="4537" spans="1:16" x14ac:dyDescent="0.4">
      <c r="A4537" s="1" t="s">
        <v>4578</v>
      </c>
      <c r="B4537">
        <v>49</v>
      </c>
      <c r="C4537" t="s">
        <v>41</v>
      </c>
      <c r="D4537" t="s">
        <v>16</v>
      </c>
      <c r="E4537">
        <v>9.68</v>
      </c>
      <c r="F4537">
        <v>10</v>
      </c>
      <c r="G4537" t="s">
        <v>70</v>
      </c>
      <c r="H4537" t="s">
        <v>24</v>
      </c>
      <c r="I4537" s="2">
        <v>8.99</v>
      </c>
      <c r="J4537">
        <v>0</v>
      </c>
      <c r="K4537" s="2">
        <f t="shared" si="140"/>
        <v>0</v>
      </c>
      <c r="L4537" t="s">
        <v>43</v>
      </c>
      <c r="M4537">
        <v>2</v>
      </c>
      <c r="N4537">
        <v>0.88</v>
      </c>
      <c r="O4537" t="str">
        <f t="shared" si="141"/>
        <v>0.8–1 hour</v>
      </c>
      <c r="P4537" t="s">
        <v>34</v>
      </c>
    </row>
    <row r="4538" spans="1:16" x14ac:dyDescent="0.4">
      <c r="A4538" t="s">
        <v>4579</v>
      </c>
      <c r="B4538">
        <v>58</v>
      </c>
      <c r="C4538" t="s">
        <v>27</v>
      </c>
      <c r="D4538" t="s">
        <v>16</v>
      </c>
      <c r="E4538">
        <v>15.28</v>
      </c>
      <c r="F4538">
        <v>42</v>
      </c>
      <c r="G4538" t="s">
        <v>33</v>
      </c>
      <c r="H4538" t="s">
        <v>18</v>
      </c>
      <c r="I4538" s="2">
        <v>8.99</v>
      </c>
      <c r="J4538">
        <v>1</v>
      </c>
      <c r="K4538" s="2">
        <f t="shared" si="140"/>
        <v>8.99</v>
      </c>
      <c r="L4538" t="s">
        <v>37</v>
      </c>
      <c r="M4538">
        <v>1</v>
      </c>
      <c r="N4538">
        <v>0.36</v>
      </c>
      <c r="O4538" t="str">
        <f t="shared" si="141"/>
        <v>0.2–0.4 hours</v>
      </c>
      <c r="P4538" t="s">
        <v>39</v>
      </c>
    </row>
    <row r="4539" spans="1:16" x14ac:dyDescent="0.4">
      <c r="A4539" t="s">
        <v>4580</v>
      </c>
      <c r="B4539">
        <v>66</v>
      </c>
      <c r="C4539" t="s">
        <v>27</v>
      </c>
      <c r="D4539" t="s">
        <v>22</v>
      </c>
      <c r="E4539">
        <v>4.96</v>
      </c>
      <c r="F4539">
        <v>4</v>
      </c>
      <c r="G4539" t="s">
        <v>70</v>
      </c>
      <c r="H4539" t="s">
        <v>46</v>
      </c>
      <c r="I4539" s="2">
        <v>13.99</v>
      </c>
      <c r="J4539">
        <v>0</v>
      </c>
      <c r="K4539" s="2">
        <f t="shared" si="140"/>
        <v>0</v>
      </c>
      <c r="L4539" t="s">
        <v>19</v>
      </c>
      <c r="M4539">
        <v>1</v>
      </c>
      <c r="N4539">
        <v>0.99</v>
      </c>
      <c r="O4539" t="str">
        <f t="shared" si="141"/>
        <v>0.8–1 hour</v>
      </c>
      <c r="P4539" t="s">
        <v>25</v>
      </c>
    </row>
    <row r="4540" spans="1:16" x14ac:dyDescent="0.4">
      <c r="A4540" t="s">
        <v>4581</v>
      </c>
      <c r="B4540">
        <v>50</v>
      </c>
      <c r="C4540" t="s">
        <v>41</v>
      </c>
      <c r="D4540" t="s">
        <v>16</v>
      </c>
      <c r="E4540">
        <v>0.3</v>
      </c>
      <c r="F4540">
        <v>43</v>
      </c>
      <c r="G4540" t="s">
        <v>17</v>
      </c>
      <c r="H4540" t="s">
        <v>46</v>
      </c>
      <c r="I4540" s="2">
        <v>8.99</v>
      </c>
      <c r="J4540">
        <v>1</v>
      </c>
      <c r="K4540" s="2">
        <f t="shared" si="140"/>
        <v>8.99</v>
      </c>
      <c r="L4540" t="s">
        <v>19</v>
      </c>
      <c r="M4540">
        <v>3</v>
      </c>
      <c r="N4540">
        <v>0.01</v>
      </c>
      <c r="O4540" t="str">
        <f t="shared" si="141"/>
        <v>0–0.2 hours</v>
      </c>
      <c r="P4540" t="s">
        <v>25</v>
      </c>
    </row>
    <row r="4541" spans="1:16" x14ac:dyDescent="0.4">
      <c r="A4541" t="s">
        <v>4582</v>
      </c>
      <c r="B4541">
        <v>64</v>
      </c>
      <c r="C4541" t="s">
        <v>27</v>
      </c>
      <c r="D4541" t="s">
        <v>22</v>
      </c>
      <c r="E4541">
        <v>3.38</v>
      </c>
      <c r="F4541">
        <v>38</v>
      </c>
      <c r="G4541" t="s">
        <v>70</v>
      </c>
      <c r="H4541" t="s">
        <v>46</v>
      </c>
      <c r="I4541" s="2">
        <v>13.99</v>
      </c>
      <c r="J4541">
        <v>1</v>
      </c>
      <c r="K4541" s="2">
        <f t="shared" si="140"/>
        <v>13.99</v>
      </c>
      <c r="L4541" t="s">
        <v>43</v>
      </c>
      <c r="M4541">
        <v>2</v>
      </c>
      <c r="N4541">
        <v>0.09</v>
      </c>
      <c r="O4541" t="str">
        <f t="shared" si="141"/>
        <v>0–0.2 hours</v>
      </c>
      <c r="P4541" t="s">
        <v>39</v>
      </c>
    </row>
    <row r="4542" spans="1:16" x14ac:dyDescent="0.4">
      <c r="A4542" t="s">
        <v>4583</v>
      </c>
      <c r="B4542">
        <v>55</v>
      </c>
      <c r="C4542" t="s">
        <v>41</v>
      </c>
      <c r="D4542" t="s">
        <v>32</v>
      </c>
      <c r="E4542">
        <v>11.61</v>
      </c>
      <c r="F4542">
        <v>21</v>
      </c>
      <c r="G4542" t="s">
        <v>49</v>
      </c>
      <c r="H4542" t="s">
        <v>55</v>
      </c>
      <c r="I4542" s="2">
        <v>17.989999999999998</v>
      </c>
      <c r="J4542">
        <v>0</v>
      </c>
      <c r="K4542" s="2">
        <f t="shared" si="140"/>
        <v>0</v>
      </c>
      <c r="L4542" t="s">
        <v>37</v>
      </c>
      <c r="M4542">
        <v>4</v>
      </c>
      <c r="N4542">
        <v>0.53</v>
      </c>
      <c r="O4542" t="str">
        <f t="shared" si="141"/>
        <v>0.4–0.6 hours</v>
      </c>
      <c r="P4542" t="s">
        <v>39</v>
      </c>
    </row>
    <row r="4543" spans="1:16" x14ac:dyDescent="0.4">
      <c r="A4543" t="s">
        <v>4584</v>
      </c>
      <c r="B4543">
        <v>40</v>
      </c>
      <c r="C4543" t="s">
        <v>27</v>
      </c>
      <c r="D4543" t="s">
        <v>32</v>
      </c>
      <c r="E4543">
        <v>2.65</v>
      </c>
      <c r="F4543">
        <v>21</v>
      </c>
      <c r="G4543" t="s">
        <v>17</v>
      </c>
      <c r="H4543" t="s">
        <v>18</v>
      </c>
      <c r="I4543" s="2">
        <v>17.989999999999998</v>
      </c>
      <c r="J4543">
        <v>0</v>
      </c>
      <c r="K4543" s="2">
        <f t="shared" si="140"/>
        <v>0</v>
      </c>
      <c r="L4543" t="s">
        <v>37</v>
      </c>
      <c r="M4543">
        <v>5</v>
      </c>
      <c r="N4543">
        <v>0.12</v>
      </c>
      <c r="O4543" t="str">
        <f t="shared" si="141"/>
        <v>0–0.2 hours</v>
      </c>
      <c r="P4543" t="s">
        <v>47</v>
      </c>
    </row>
    <row r="4544" spans="1:16" x14ac:dyDescent="0.4">
      <c r="A4544" t="s">
        <v>4585</v>
      </c>
      <c r="B4544">
        <v>33</v>
      </c>
      <c r="C4544" t="s">
        <v>41</v>
      </c>
      <c r="D4544" t="s">
        <v>22</v>
      </c>
      <c r="E4544">
        <v>16.27</v>
      </c>
      <c r="F4544">
        <v>2</v>
      </c>
      <c r="G4544" t="s">
        <v>17</v>
      </c>
      <c r="H4544" t="s">
        <v>55</v>
      </c>
      <c r="I4544" s="2">
        <v>13.99</v>
      </c>
      <c r="J4544">
        <v>0</v>
      </c>
      <c r="K4544" s="2">
        <f t="shared" si="140"/>
        <v>0</v>
      </c>
      <c r="L4544" t="s">
        <v>29</v>
      </c>
      <c r="M4544">
        <v>2</v>
      </c>
      <c r="N4544">
        <v>5.42</v>
      </c>
      <c r="O4544" t="str">
        <f t="shared" si="141"/>
        <v>1+ hours</v>
      </c>
      <c r="P4544" t="s">
        <v>47</v>
      </c>
    </row>
    <row r="4545" spans="1:16" x14ac:dyDescent="0.4">
      <c r="A4545" t="s">
        <v>4586</v>
      </c>
      <c r="B4545">
        <v>35</v>
      </c>
      <c r="C4545" t="s">
        <v>15</v>
      </c>
      <c r="D4545" t="s">
        <v>16</v>
      </c>
      <c r="E4545">
        <v>2.5499999999999998</v>
      </c>
      <c r="F4545">
        <v>26</v>
      </c>
      <c r="G4545" t="s">
        <v>33</v>
      </c>
      <c r="H4545" t="s">
        <v>57</v>
      </c>
      <c r="I4545" s="2">
        <v>8.99</v>
      </c>
      <c r="J4545">
        <v>1</v>
      </c>
      <c r="K4545" s="2">
        <f t="shared" si="140"/>
        <v>8.99</v>
      </c>
      <c r="L4545" t="s">
        <v>19</v>
      </c>
      <c r="M4545">
        <v>2</v>
      </c>
      <c r="N4545">
        <v>0.09</v>
      </c>
      <c r="O4545" t="str">
        <f t="shared" si="141"/>
        <v>0–0.2 hours</v>
      </c>
      <c r="P4545" t="s">
        <v>20</v>
      </c>
    </row>
    <row r="4546" spans="1:16" x14ac:dyDescent="0.4">
      <c r="A4546" t="s">
        <v>4587</v>
      </c>
      <c r="B4546">
        <v>67</v>
      </c>
      <c r="C4546" t="s">
        <v>41</v>
      </c>
      <c r="D4546" t="s">
        <v>16</v>
      </c>
      <c r="E4546">
        <v>101.06</v>
      </c>
      <c r="F4546">
        <v>19</v>
      </c>
      <c r="G4546" t="s">
        <v>28</v>
      </c>
      <c r="H4546" t="s">
        <v>18</v>
      </c>
      <c r="I4546" s="2">
        <v>8.99</v>
      </c>
      <c r="J4546">
        <v>0</v>
      </c>
      <c r="K4546" s="2">
        <f t="shared" si="140"/>
        <v>0</v>
      </c>
      <c r="L4546" t="s">
        <v>61</v>
      </c>
      <c r="M4546">
        <v>2</v>
      </c>
      <c r="N4546">
        <v>5.05</v>
      </c>
      <c r="O4546" t="str">
        <f t="shared" si="141"/>
        <v>1+ hours</v>
      </c>
      <c r="P4546" t="s">
        <v>52</v>
      </c>
    </row>
    <row r="4547" spans="1:16" x14ac:dyDescent="0.4">
      <c r="A4547" t="s">
        <v>4588</v>
      </c>
      <c r="B4547">
        <v>62</v>
      </c>
      <c r="C4547" t="s">
        <v>41</v>
      </c>
      <c r="D4547" t="s">
        <v>22</v>
      </c>
      <c r="E4547">
        <v>3.95</v>
      </c>
      <c r="F4547">
        <v>54</v>
      </c>
      <c r="G4547" t="s">
        <v>33</v>
      </c>
      <c r="H4547" t="s">
        <v>18</v>
      </c>
      <c r="I4547" s="2">
        <v>13.99</v>
      </c>
      <c r="J4547">
        <v>1</v>
      </c>
      <c r="K4547" s="2">
        <f t="shared" ref="K4547:K4610" si="142">SUMIF(J4547,1,I4547)</f>
        <v>13.99</v>
      </c>
      <c r="L4547" t="s">
        <v>37</v>
      </c>
      <c r="M4547">
        <v>4</v>
      </c>
      <c r="N4547">
        <v>7.0000000000000007E-2</v>
      </c>
      <c r="O4547" t="str">
        <f t="shared" ref="O4547:O4610" si="143">IF(N4547&gt;1,"1+ hours",IF(N4547&lt;=0.2,"0–0.2 hours",IF(N4547&lt;=0.4,"0.2–0.4 hours",IF(N4547&lt;=0.6,"0.4–0.6 hours",IF(N4547&lt;=0.8,"0.6–0.8 hours","0.8–1 hour")))))</f>
        <v>0–0.2 hours</v>
      </c>
      <c r="P4547" t="s">
        <v>30</v>
      </c>
    </row>
    <row r="4548" spans="1:16" x14ac:dyDescent="0.4">
      <c r="A4548" t="s">
        <v>4589</v>
      </c>
      <c r="B4548">
        <v>61</v>
      </c>
      <c r="C4548" t="s">
        <v>41</v>
      </c>
      <c r="D4548" t="s">
        <v>22</v>
      </c>
      <c r="E4548">
        <v>13.1</v>
      </c>
      <c r="F4548">
        <v>45</v>
      </c>
      <c r="G4548" t="s">
        <v>49</v>
      </c>
      <c r="H4548" t="s">
        <v>55</v>
      </c>
      <c r="I4548" s="2">
        <v>13.99</v>
      </c>
      <c r="J4548">
        <v>0</v>
      </c>
      <c r="K4548" s="2">
        <f t="shared" si="142"/>
        <v>0</v>
      </c>
      <c r="L4548" t="s">
        <v>61</v>
      </c>
      <c r="M4548">
        <v>4</v>
      </c>
      <c r="N4548">
        <v>0.28000000000000003</v>
      </c>
      <c r="O4548" t="str">
        <f t="shared" si="143"/>
        <v>0.2–0.4 hours</v>
      </c>
      <c r="P4548" t="s">
        <v>47</v>
      </c>
    </row>
    <row r="4549" spans="1:16" x14ac:dyDescent="0.4">
      <c r="A4549" t="s">
        <v>4590</v>
      </c>
      <c r="B4549">
        <v>68</v>
      </c>
      <c r="C4549" t="s">
        <v>27</v>
      </c>
      <c r="D4549" t="s">
        <v>32</v>
      </c>
      <c r="E4549">
        <v>8.2799999999999994</v>
      </c>
      <c r="F4549">
        <v>47</v>
      </c>
      <c r="G4549" t="s">
        <v>23</v>
      </c>
      <c r="H4549" t="s">
        <v>46</v>
      </c>
      <c r="I4549" s="2">
        <v>17.989999999999998</v>
      </c>
      <c r="J4549">
        <v>1</v>
      </c>
      <c r="K4549" s="2">
        <f t="shared" si="142"/>
        <v>17.989999999999998</v>
      </c>
      <c r="L4549" t="s">
        <v>37</v>
      </c>
      <c r="M4549">
        <v>1</v>
      </c>
      <c r="N4549">
        <v>0.17</v>
      </c>
      <c r="O4549" t="str">
        <f t="shared" si="143"/>
        <v>0–0.2 hours</v>
      </c>
      <c r="P4549" t="s">
        <v>39</v>
      </c>
    </row>
    <row r="4550" spans="1:16" x14ac:dyDescent="0.4">
      <c r="A4550" t="s">
        <v>4591</v>
      </c>
      <c r="B4550">
        <v>39</v>
      </c>
      <c r="C4550" t="s">
        <v>27</v>
      </c>
      <c r="D4550" t="s">
        <v>22</v>
      </c>
      <c r="E4550">
        <v>0.12</v>
      </c>
      <c r="F4550">
        <v>3</v>
      </c>
      <c r="G4550" t="s">
        <v>49</v>
      </c>
      <c r="H4550" t="s">
        <v>57</v>
      </c>
      <c r="I4550" s="2">
        <v>13.99</v>
      </c>
      <c r="J4550">
        <v>0</v>
      </c>
      <c r="K4550" s="2">
        <f t="shared" si="142"/>
        <v>0</v>
      </c>
      <c r="L4550" t="s">
        <v>37</v>
      </c>
      <c r="M4550">
        <v>3</v>
      </c>
      <c r="N4550">
        <v>0.03</v>
      </c>
      <c r="O4550" t="str">
        <f t="shared" si="143"/>
        <v>0–0.2 hours</v>
      </c>
      <c r="P4550" t="s">
        <v>25</v>
      </c>
    </row>
    <row r="4551" spans="1:16" x14ac:dyDescent="0.4">
      <c r="A4551" t="s">
        <v>4592</v>
      </c>
      <c r="B4551">
        <v>66</v>
      </c>
      <c r="C4551" t="s">
        <v>15</v>
      </c>
      <c r="D4551" t="s">
        <v>32</v>
      </c>
      <c r="E4551">
        <v>6.15</v>
      </c>
      <c r="F4551">
        <v>39</v>
      </c>
      <c r="G4551" t="s">
        <v>28</v>
      </c>
      <c r="H4551" t="s">
        <v>24</v>
      </c>
      <c r="I4551" s="2">
        <v>17.989999999999998</v>
      </c>
      <c r="J4551">
        <v>0</v>
      </c>
      <c r="K4551" s="2">
        <f t="shared" si="142"/>
        <v>0</v>
      </c>
      <c r="L4551" t="s">
        <v>61</v>
      </c>
      <c r="M4551">
        <v>4</v>
      </c>
      <c r="N4551">
        <v>0.15</v>
      </c>
      <c r="O4551" t="str">
        <f t="shared" si="143"/>
        <v>0–0.2 hours</v>
      </c>
      <c r="P4551" t="s">
        <v>47</v>
      </c>
    </row>
    <row r="4552" spans="1:16" x14ac:dyDescent="0.4">
      <c r="A4552" t="s">
        <v>4593</v>
      </c>
      <c r="B4552">
        <v>30</v>
      </c>
      <c r="C4552" t="s">
        <v>41</v>
      </c>
      <c r="D4552" t="s">
        <v>22</v>
      </c>
      <c r="E4552">
        <v>3.18</v>
      </c>
      <c r="F4552">
        <v>27</v>
      </c>
      <c r="G4552" t="s">
        <v>33</v>
      </c>
      <c r="H4552" t="s">
        <v>55</v>
      </c>
      <c r="I4552" s="2">
        <v>13.99</v>
      </c>
      <c r="J4552">
        <v>1</v>
      </c>
      <c r="K4552" s="2">
        <f t="shared" si="142"/>
        <v>13.99</v>
      </c>
      <c r="L4552" t="s">
        <v>61</v>
      </c>
      <c r="M4552">
        <v>1</v>
      </c>
      <c r="N4552">
        <v>0.11</v>
      </c>
      <c r="O4552" t="str">
        <f t="shared" si="143"/>
        <v>0–0.2 hours</v>
      </c>
      <c r="P4552" t="s">
        <v>47</v>
      </c>
    </row>
    <row r="4553" spans="1:16" x14ac:dyDescent="0.4">
      <c r="A4553" t="s">
        <v>4594</v>
      </c>
      <c r="B4553">
        <v>40</v>
      </c>
      <c r="C4553" t="s">
        <v>27</v>
      </c>
      <c r="D4553" t="s">
        <v>32</v>
      </c>
      <c r="E4553">
        <v>18.010000000000002</v>
      </c>
      <c r="F4553">
        <v>14</v>
      </c>
      <c r="G4553" t="s">
        <v>28</v>
      </c>
      <c r="H4553" t="s">
        <v>55</v>
      </c>
      <c r="I4553" s="2">
        <v>17.989999999999998</v>
      </c>
      <c r="J4553">
        <v>0</v>
      </c>
      <c r="K4553" s="2">
        <f t="shared" si="142"/>
        <v>0</v>
      </c>
      <c r="L4553" t="s">
        <v>37</v>
      </c>
      <c r="M4553">
        <v>2</v>
      </c>
      <c r="N4553">
        <v>1.2</v>
      </c>
      <c r="O4553" t="str">
        <f t="shared" si="143"/>
        <v>1+ hours</v>
      </c>
      <c r="P4553" t="s">
        <v>39</v>
      </c>
    </row>
    <row r="4554" spans="1:16" x14ac:dyDescent="0.4">
      <c r="A4554" t="s">
        <v>4595</v>
      </c>
      <c r="B4554">
        <v>40</v>
      </c>
      <c r="C4554" t="s">
        <v>27</v>
      </c>
      <c r="D4554" t="s">
        <v>16</v>
      </c>
      <c r="E4554">
        <v>15.45</v>
      </c>
      <c r="F4554">
        <v>58</v>
      </c>
      <c r="G4554" t="s">
        <v>70</v>
      </c>
      <c r="H4554" t="s">
        <v>46</v>
      </c>
      <c r="I4554" s="2">
        <v>8.99</v>
      </c>
      <c r="J4554">
        <v>1</v>
      </c>
      <c r="K4554" s="2">
        <f t="shared" si="142"/>
        <v>8.99</v>
      </c>
      <c r="L4554" t="s">
        <v>43</v>
      </c>
      <c r="M4554">
        <v>2</v>
      </c>
      <c r="N4554">
        <v>0.26</v>
      </c>
      <c r="O4554" t="str">
        <f t="shared" si="143"/>
        <v>0.2–0.4 hours</v>
      </c>
      <c r="P4554" t="s">
        <v>47</v>
      </c>
    </row>
    <row r="4555" spans="1:16" x14ac:dyDescent="0.4">
      <c r="A4555" t="s">
        <v>4596</v>
      </c>
      <c r="B4555">
        <v>23</v>
      </c>
      <c r="C4555" t="s">
        <v>15</v>
      </c>
      <c r="D4555" t="s">
        <v>22</v>
      </c>
      <c r="E4555">
        <v>5.52</v>
      </c>
      <c r="F4555">
        <v>9</v>
      </c>
      <c r="G4555" t="s">
        <v>33</v>
      </c>
      <c r="H4555" t="s">
        <v>24</v>
      </c>
      <c r="I4555" s="2">
        <v>13.99</v>
      </c>
      <c r="J4555">
        <v>0</v>
      </c>
      <c r="K4555" s="2">
        <f t="shared" si="142"/>
        <v>0</v>
      </c>
      <c r="L4555" t="s">
        <v>19</v>
      </c>
      <c r="M4555">
        <v>4</v>
      </c>
      <c r="N4555">
        <v>0.55000000000000004</v>
      </c>
      <c r="O4555" t="str">
        <f t="shared" si="143"/>
        <v>0.4–0.6 hours</v>
      </c>
      <c r="P4555" t="s">
        <v>34</v>
      </c>
    </row>
    <row r="4556" spans="1:16" x14ac:dyDescent="0.4">
      <c r="A4556" t="s">
        <v>4597</v>
      </c>
      <c r="B4556">
        <v>70</v>
      </c>
      <c r="C4556" t="s">
        <v>27</v>
      </c>
      <c r="D4556" t="s">
        <v>22</v>
      </c>
      <c r="E4556">
        <v>19.11</v>
      </c>
      <c r="F4556">
        <v>28</v>
      </c>
      <c r="G4556" t="s">
        <v>17</v>
      </c>
      <c r="H4556" t="s">
        <v>46</v>
      </c>
      <c r="I4556" s="2">
        <v>13.99</v>
      </c>
      <c r="J4556">
        <v>0</v>
      </c>
      <c r="K4556" s="2">
        <f t="shared" si="142"/>
        <v>0</v>
      </c>
      <c r="L4556" t="s">
        <v>43</v>
      </c>
      <c r="M4556">
        <v>4</v>
      </c>
      <c r="N4556">
        <v>0.66</v>
      </c>
      <c r="O4556" t="str">
        <f t="shared" si="143"/>
        <v>0.6–0.8 hours</v>
      </c>
      <c r="P4556" t="s">
        <v>39</v>
      </c>
    </row>
    <row r="4557" spans="1:16" x14ac:dyDescent="0.4">
      <c r="A4557" t="s">
        <v>4598</v>
      </c>
      <c r="B4557">
        <v>55</v>
      </c>
      <c r="C4557" t="s">
        <v>41</v>
      </c>
      <c r="D4557" t="s">
        <v>32</v>
      </c>
      <c r="E4557">
        <v>1.08</v>
      </c>
      <c r="F4557">
        <v>46</v>
      </c>
      <c r="G4557" t="s">
        <v>23</v>
      </c>
      <c r="H4557" t="s">
        <v>57</v>
      </c>
      <c r="I4557" s="2">
        <v>17.989999999999998</v>
      </c>
      <c r="J4557">
        <v>1</v>
      </c>
      <c r="K4557" s="2">
        <f t="shared" si="142"/>
        <v>17.989999999999998</v>
      </c>
      <c r="L4557" t="s">
        <v>19</v>
      </c>
      <c r="M4557">
        <v>3</v>
      </c>
      <c r="N4557">
        <v>0.02</v>
      </c>
      <c r="O4557" t="str">
        <f t="shared" si="143"/>
        <v>0–0.2 hours</v>
      </c>
      <c r="P4557" t="s">
        <v>20</v>
      </c>
    </row>
    <row r="4558" spans="1:16" x14ac:dyDescent="0.4">
      <c r="A4558" t="s">
        <v>4599</v>
      </c>
      <c r="B4558">
        <v>64</v>
      </c>
      <c r="C4558" t="s">
        <v>41</v>
      </c>
      <c r="D4558" t="s">
        <v>22</v>
      </c>
      <c r="E4558">
        <v>1.29</v>
      </c>
      <c r="F4558">
        <v>9</v>
      </c>
      <c r="G4558" t="s">
        <v>17</v>
      </c>
      <c r="H4558" t="s">
        <v>24</v>
      </c>
      <c r="I4558" s="2">
        <v>13.99</v>
      </c>
      <c r="J4558">
        <v>1</v>
      </c>
      <c r="K4558" s="2">
        <f t="shared" si="142"/>
        <v>13.99</v>
      </c>
      <c r="L4558" t="s">
        <v>29</v>
      </c>
      <c r="M4558">
        <v>1</v>
      </c>
      <c r="N4558">
        <v>0.13</v>
      </c>
      <c r="O4558" t="str">
        <f t="shared" si="143"/>
        <v>0–0.2 hours</v>
      </c>
      <c r="P4558" t="s">
        <v>25</v>
      </c>
    </row>
    <row r="4559" spans="1:16" x14ac:dyDescent="0.4">
      <c r="A4559" t="s">
        <v>4600</v>
      </c>
      <c r="B4559">
        <v>29</v>
      </c>
      <c r="C4559" t="s">
        <v>15</v>
      </c>
      <c r="D4559" t="s">
        <v>16</v>
      </c>
      <c r="E4559">
        <v>27.02</v>
      </c>
      <c r="F4559">
        <v>9</v>
      </c>
      <c r="G4559" t="s">
        <v>49</v>
      </c>
      <c r="H4559" t="s">
        <v>24</v>
      </c>
      <c r="I4559" s="2">
        <v>8.99</v>
      </c>
      <c r="J4559">
        <v>0</v>
      </c>
      <c r="K4559" s="2">
        <f t="shared" si="142"/>
        <v>0</v>
      </c>
      <c r="L4559" t="s">
        <v>29</v>
      </c>
      <c r="M4559">
        <v>3</v>
      </c>
      <c r="N4559">
        <v>2.7</v>
      </c>
      <c r="O4559" t="str">
        <f t="shared" si="143"/>
        <v>1+ hours</v>
      </c>
      <c r="P4559" t="s">
        <v>47</v>
      </c>
    </row>
    <row r="4560" spans="1:16" x14ac:dyDescent="0.4">
      <c r="A4560" t="s">
        <v>4601</v>
      </c>
      <c r="B4560">
        <v>67</v>
      </c>
      <c r="C4560" t="s">
        <v>41</v>
      </c>
      <c r="D4560" t="s">
        <v>16</v>
      </c>
      <c r="E4560">
        <v>12</v>
      </c>
      <c r="F4560">
        <v>20</v>
      </c>
      <c r="G4560" t="s">
        <v>49</v>
      </c>
      <c r="H4560" t="s">
        <v>57</v>
      </c>
      <c r="I4560" s="2">
        <v>8.99</v>
      </c>
      <c r="J4560">
        <v>0</v>
      </c>
      <c r="K4560" s="2">
        <f t="shared" si="142"/>
        <v>0</v>
      </c>
      <c r="L4560" t="s">
        <v>43</v>
      </c>
      <c r="M4560">
        <v>4</v>
      </c>
      <c r="N4560">
        <v>0.56999999999999995</v>
      </c>
      <c r="O4560" t="str">
        <f t="shared" si="143"/>
        <v>0.4–0.6 hours</v>
      </c>
      <c r="P4560" t="s">
        <v>47</v>
      </c>
    </row>
    <row r="4561" spans="1:16" x14ac:dyDescent="0.4">
      <c r="A4561" t="s">
        <v>4602</v>
      </c>
      <c r="B4561">
        <v>29</v>
      </c>
      <c r="C4561" t="s">
        <v>27</v>
      </c>
      <c r="D4561" t="s">
        <v>16</v>
      </c>
      <c r="E4561">
        <v>4.84</v>
      </c>
      <c r="F4561">
        <v>49</v>
      </c>
      <c r="G4561" t="s">
        <v>70</v>
      </c>
      <c r="H4561" t="s">
        <v>55</v>
      </c>
      <c r="I4561" s="2">
        <v>8.99</v>
      </c>
      <c r="J4561">
        <v>1</v>
      </c>
      <c r="K4561" s="2">
        <f t="shared" si="142"/>
        <v>8.99</v>
      </c>
      <c r="L4561" t="s">
        <v>29</v>
      </c>
      <c r="M4561">
        <v>3</v>
      </c>
      <c r="N4561">
        <v>0.1</v>
      </c>
      <c r="O4561" t="str">
        <f t="shared" si="143"/>
        <v>0–0.2 hours</v>
      </c>
      <c r="P4561" t="s">
        <v>39</v>
      </c>
    </row>
    <row r="4562" spans="1:16" x14ac:dyDescent="0.4">
      <c r="A4562" t="s">
        <v>4603</v>
      </c>
      <c r="B4562">
        <v>53</v>
      </c>
      <c r="C4562" t="s">
        <v>27</v>
      </c>
      <c r="D4562" t="s">
        <v>32</v>
      </c>
      <c r="E4562">
        <v>19.37</v>
      </c>
      <c r="F4562">
        <v>40</v>
      </c>
      <c r="G4562" t="s">
        <v>23</v>
      </c>
      <c r="H4562" t="s">
        <v>57</v>
      </c>
      <c r="I4562" s="2">
        <v>17.989999999999998</v>
      </c>
      <c r="J4562">
        <v>1</v>
      </c>
      <c r="K4562" s="2">
        <f t="shared" si="142"/>
        <v>17.989999999999998</v>
      </c>
      <c r="L4562" t="s">
        <v>29</v>
      </c>
      <c r="M4562">
        <v>4</v>
      </c>
      <c r="N4562">
        <v>0.47</v>
      </c>
      <c r="O4562" t="str">
        <f t="shared" si="143"/>
        <v>0.4–0.6 hours</v>
      </c>
      <c r="P4562" t="s">
        <v>25</v>
      </c>
    </row>
    <row r="4563" spans="1:16" x14ac:dyDescent="0.4">
      <c r="A4563" t="s">
        <v>4604</v>
      </c>
      <c r="B4563">
        <v>67</v>
      </c>
      <c r="C4563" t="s">
        <v>41</v>
      </c>
      <c r="D4563" t="s">
        <v>22</v>
      </c>
      <c r="E4563">
        <v>23.1</v>
      </c>
      <c r="F4563">
        <v>59</v>
      </c>
      <c r="G4563" t="s">
        <v>17</v>
      </c>
      <c r="H4563" t="s">
        <v>24</v>
      </c>
      <c r="I4563" s="2">
        <v>13.99</v>
      </c>
      <c r="J4563">
        <v>0</v>
      </c>
      <c r="K4563" s="2">
        <f t="shared" si="142"/>
        <v>0</v>
      </c>
      <c r="L4563" t="s">
        <v>61</v>
      </c>
      <c r="M4563">
        <v>3</v>
      </c>
      <c r="N4563">
        <v>0.39</v>
      </c>
      <c r="O4563" t="str">
        <f t="shared" si="143"/>
        <v>0.2–0.4 hours</v>
      </c>
      <c r="P4563" t="s">
        <v>25</v>
      </c>
    </row>
    <row r="4564" spans="1:16" x14ac:dyDescent="0.4">
      <c r="A4564" t="s">
        <v>4605</v>
      </c>
      <c r="B4564">
        <v>30</v>
      </c>
      <c r="C4564" t="s">
        <v>41</v>
      </c>
      <c r="D4564" t="s">
        <v>22</v>
      </c>
      <c r="E4564">
        <v>4.99</v>
      </c>
      <c r="F4564">
        <v>17</v>
      </c>
      <c r="G4564" t="s">
        <v>28</v>
      </c>
      <c r="H4564" t="s">
        <v>57</v>
      </c>
      <c r="I4564" s="2">
        <v>13.99</v>
      </c>
      <c r="J4564">
        <v>0</v>
      </c>
      <c r="K4564" s="2">
        <f t="shared" si="142"/>
        <v>0</v>
      </c>
      <c r="L4564" t="s">
        <v>43</v>
      </c>
      <c r="M4564">
        <v>5</v>
      </c>
      <c r="N4564">
        <v>0.28000000000000003</v>
      </c>
      <c r="O4564" t="str">
        <f t="shared" si="143"/>
        <v>0.2–0.4 hours</v>
      </c>
      <c r="P4564" t="s">
        <v>20</v>
      </c>
    </row>
    <row r="4565" spans="1:16" x14ac:dyDescent="0.4">
      <c r="A4565" t="s">
        <v>4606</v>
      </c>
      <c r="B4565">
        <v>37</v>
      </c>
      <c r="C4565" t="s">
        <v>27</v>
      </c>
      <c r="D4565" t="s">
        <v>16</v>
      </c>
      <c r="E4565">
        <v>28.01</v>
      </c>
      <c r="F4565">
        <v>35</v>
      </c>
      <c r="G4565" t="s">
        <v>23</v>
      </c>
      <c r="H4565" t="s">
        <v>55</v>
      </c>
      <c r="I4565" s="2">
        <v>8.99</v>
      </c>
      <c r="J4565">
        <v>0</v>
      </c>
      <c r="K4565" s="2">
        <f t="shared" si="142"/>
        <v>0</v>
      </c>
      <c r="L4565" t="s">
        <v>43</v>
      </c>
      <c r="M4565">
        <v>1</v>
      </c>
      <c r="N4565">
        <v>0.78</v>
      </c>
      <c r="O4565" t="str">
        <f t="shared" si="143"/>
        <v>0.6–0.8 hours</v>
      </c>
      <c r="P4565" t="s">
        <v>25</v>
      </c>
    </row>
    <row r="4566" spans="1:16" x14ac:dyDescent="0.4">
      <c r="A4566" t="s">
        <v>4607</v>
      </c>
      <c r="B4566">
        <v>25</v>
      </c>
      <c r="C4566" t="s">
        <v>41</v>
      </c>
      <c r="D4566" t="s">
        <v>22</v>
      </c>
      <c r="E4566">
        <v>12.66</v>
      </c>
      <c r="F4566">
        <v>25</v>
      </c>
      <c r="G4566" t="s">
        <v>49</v>
      </c>
      <c r="H4566" t="s">
        <v>55</v>
      </c>
      <c r="I4566" s="2">
        <v>13.99</v>
      </c>
      <c r="J4566">
        <v>0</v>
      </c>
      <c r="K4566" s="2">
        <f t="shared" si="142"/>
        <v>0</v>
      </c>
      <c r="L4566" t="s">
        <v>43</v>
      </c>
      <c r="M4566">
        <v>5</v>
      </c>
      <c r="N4566">
        <v>0.49</v>
      </c>
      <c r="O4566" t="str">
        <f t="shared" si="143"/>
        <v>0.4–0.6 hours</v>
      </c>
      <c r="P4566" t="s">
        <v>52</v>
      </c>
    </row>
    <row r="4567" spans="1:16" x14ac:dyDescent="0.4">
      <c r="A4567" t="s">
        <v>4608</v>
      </c>
      <c r="B4567">
        <v>19</v>
      </c>
      <c r="C4567" t="s">
        <v>41</v>
      </c>
      <c r="D4567" t="s">
        <v>22</v>
      </c>
      <c r="E4567">
        <v>43.11</v>
      </c>
      <c r="F4567">
        <v>9</v>
      </c>
      <c r="G4567" t="s">
        <v>23</v>
      </c>
      <c r="H4567" t="s">
        <v>55</v>
      </c>
      <c r="I4567" s="2">
        <v>13.99</v>
      </c>
      <c r="J4567">
        <v>0</v>
      </c>
      <c r="K4567" s="2">
        <f t="shared" si="142"/>
        <v>0</v>
      </c>
      <c r="L4567" t="s">
        <v>37</v>
      </c>
      <c r="M4567">
        <v>1</v>
      </c>
      <c r="N4567">
        <v>4.3099999999999996</v>
      </c>
      <c r="O4567" t="str">
        <f t="shared" si="143"/>
        <v>1+ hours</v>
      </c>
      <c r="P4567" t="s">
        <v>47</v>
      </c>
    </row>
    <row r="4568" spans="1:16" x14ac:dyDescent="0.4">
      <c r="A4568" t="s">
        <v>4609</v>
      </c>
      <c r="B4568">
        <v>23</v>
      </c>
      <c r="C4568" t="s">
        <v>41</v>
      </c>
      <c r="D4568" t="s">
        <v>32</v>
      </c>
      <c r="E4568">
        <v>8.41</v>
      </c>
      <c r="F4568">
        <v>29</v>
      </c>
      <c r="G4568" t="s">
        <v>28</v>
      </c>
      <c r="H4568" t="s">
        <v>57</v>
      </c>
      <c r="I4568" s="2">
        <v>17.989999999999998</v>
      </c>
      <c r="J4568">
        <v>0</v>
      </c>
      <c r="K4568" s="2">
        <f t="shared" si="142"/>
        <v>0</v>
      </c>
      <c r="L4568" t="s">
        <v>37</v>
      </c>
      <c r="M4568">
        <v>4</v>
      </c>
      <c r="N4568">
        <v>0.28000000000000003</v>
      </c>
      <c r="O4568" t="str">
        <f t="shared" si="143"/>
        <v>0.2–0.4 hours</v>
      </c>
      <c r="P4568" t="s">
        <v>47</v>
      </c>
    </row>
    <row r="4569" spans="1:16" x14ac:dyDescent="0.4">
      <c r="A4569" t="s">
        <v>4610</v>
      </c>
      <c r="B4569">
        <v>53</v>
      </c>
      <c r="C4569" t="s">
        <v>41</v>
      </c>
      <c r="D4569" t="s">
        <v>22</v>
      </c>
      <c r="E4569">
        <v>28.91</v>
      </c>
      <c r="F4569">
        <v>27</v>
      </c>
      <c r="G4569" t="s">
        <v>17</v>
      </c>
      <c r="H4569" t="s">
        <v>24</v>
      </c>
      <c r="I4569" s="2">
        <v>13.99</v>
      </c>
      <c r="J4569">
        <v>0</v>
      </c>
      <c r="K4569" s="2">
        <f t="shared" si="142"/>
        <v>0</v>
      </c>
      <c r="L4569" t="s">
        <v>37</v>
      </c>
      <c r="M4569">
        <v>3</v>
      </c>
      <c r="N4569">
        <v>1.03</v>
      </c>
      <c r="O4569" t="str">
        <f t="shared" si="143"/>
        <v>1+ hours</v>
      </c>
      <c r="P4569" t="s">
        <v>39</v>
      </c>
    </row>
    <row r="4570" spans="1:16" x14ac:dyDescent="0.4">
      <c r="A4570" s="1" t="s">
        <v>4611</v>
      </c>
      <c r="B4570">
        <v>58</v>
      </c>
      <c r="C4570" t="s">
        <v>27</v>
      </c>
      <c r="D4570" t="s">
        <v>32</v>
      </c>
      <c r="E4570">
        <v>0.14000000000000001</v>
      </c>
      <c r="F4570">
        <v>54</v>
      </c>
      <c r="G4570" t="s">
        <v>28</v>
      </c>
      <c r="H4570" t="s">
        <v>46</v>
      </c>
      <c r="I4570" s="2">
        <v>17.989999999999998</v>
      </c>
      <c r="J4570">
        <v>1</v>
      </c>
      <c r="K4570" s="2">
        <f t="shared" si="142"/>
        <v>17.989999999999998</v>
      </c>
      <c r="L4570" t="s">
        <v>37</v>
      </c>
      <c r="M4570">
        <v>3</v>
      </c>
      <c r="N4570">
        <v>0</v>
      </c>
      <c r="O4570" t="str">
        <f t="shared" si="143"/>
        <v>0–0.2 hours</v>
      </c>
      <c r="P4570" t="s">
        <v>34</v>
      </c>
    </row>
    <row r="4571" spans="1:16" x14ac:dyDescent="0.4">
      <c r="A4571" t="s">
        <v>4612</v>
      </c>
      <c r="B4571">
        <v>27</v>
      </c>
      <c r="C4571" t="s">
        <v>41</v>
      </c>
      <c r="D4571" t="s">
        <v>32</v>
      </c>
      <c r="E4571">
        <v>9.6</v>
      </c>
      <c r="F4571">
        <v>60</v>
      </c>
      <c r="G4571" t="s">
        <v>70</v>
      </c>
      <c r="H4571" t="s">
        <v>57</v>
      </c>
      <c r="I4571" s="2">
        <v>17.989999999999998</v>
      </c>
      <c r="J4571">
        <v>1</v>
      </c>
      <c r="K4571" s="2">
        <f t="shared" si="142"/>
        <v>17.989999999999998</v>
      </c>
      <c r="L4571" t="s">
        <v>61</v>
      </c>
      <c r="M4571">
        <v>1</v>
      </c>
      <c r="N4571">
        <v>0.16</v>
      </c>
      <c r="O4571" t="str">
        <f t="shared" si="143"/>
        <v>0–0.2 hours</v>
      </c>
      <c r="P4571" t="s">
        <v>39</v>
      </c>
    </row>
    <row r="4572" spans="1:16" x14ac:dyDescent="0.4">
      <c r="A4572" t="s">
        <v>4613</v>
      </c>
      <c r="B4572">
        <v>36</v>
      </c>
      <c r="C4572" t="s">
        <v>15</v>
      </c>
      <c r="D4572" t="s">
        <v>22</v>
      </c>
      <c r="E4572">
        <v>17.04</v>
      </c>
      <c r="F4572">
        <v>31</v>
      </c>
      <c r="G4572" t="s">
        <v>49</v>
      </c>
      <c r="H4572" t="s">
        <v>24</v>
      </c>
      <c r="I4572" s="2">
        <v>13.99</v>
      </c>
      <c r="J4572">
        <v>0</v>
      </c>
      <c r="K4572" s="2">
        <f t="shared" si="142"/>
        <v>0</v>
      </c>
      <c r="L4572" t="s">
        <v>37</v>
      </c>
      <c r="M4572">
        <v>2</v>
      </c>
      <c r="N4572">
        <v>0.53</v>
      </c>
      <c r="O4572" t="str">
        <f t="shared" si="143"/>
        <v>0.4–0.6 hours</v>
      </c>
      <c r="P4572" t="s">
        <v>25</v>
      </c>
    </row>
    <row r="4573" spans="1:16" x14ac:dyDescent="0.4">
      <c r="A4573" t="s">
        <v>4614</v>
      </c>
      <c r="B4573">
        <v>44</v>
      </c>
      <c r="C4573" t="s">
        <v>41</v>
      </c>
      <c r="D4573" t="s">
        <v>16</v>
      </c>
      <c r="E4573">
        <v>2.84</v>
      </c>
      <c r="F4573">
        <v>12</v>
      </c>
      <c r="G4573" t="s">
        <v>33</v>
      </c>
      <c r="H4573" t="s">
        <v>57</v>
      </c>
      <c r="I4573" s="2">
        <v>8.99</v>
      </c>
      <c r="J4573">
        <v>1</v>
      </c>
      <c r="K4573" s="2">
        <f t="shared" si="142"/>
        <v>8.99</v>
      </c>
      <c r="L4573" t="s">
        <v>37</v>
      </c>
      <c r="M4573">
        <v>2</v>
      </c>
      <c r="N4573">
        <v>0.22</v>
      </c>
      <c r="O4573" t="str">
        <f t="shared" si="143"/>
        <v>0.2–0.4 hours</v>
      </c>
      <c r="P4573" t="s">
        <v>34</v>
      </c>
    </row>
    <row r="4574" spans="1:16" x14ac:dyDescent="0.4">
      <c r="A4574" t="s">
        <v>4615</v>
      </c>
      <c r="B4574">
        <v>55</v>
      </c>
      <c r="C4574" t="s">
        <v>27</v>
      </c>
      <c r="D4574" t="s">
        <v>32</v>
      </c>
      <c r="E4574">
        <v>0.15</v>
      </c>
      <c r="F4574">
        <v>0</v>
      </c>
      <c r="G4574" t="s">
        <v>49</v>
      </c>
      <c r="H4574" t="s">
        <v>18</v>
      </c>
      <c r="I4574" s="2">
        <v>17.989999999999998</v>
      </c>
      <c r="J4574">
        <v>0</v>
      </c>
      <c r="K4574" s="2">
        <f t="shared" si="142"/>
        <v>0</v>
      </c>
      <c r="L4574" t="s">
        <v>43</v>
      </c>
      <c r="M4574">
        <v>4</v>
      </c>
      <c r="N4574">
        <v>0.15</v>
      </c>
      <c r="O4574" t="str">
        <f t="shared" si="143"/>
        <v>0–0.2 hours</v>
      </c>
      <c r="P4574" t="s">
        <v>52</v>
      </c>
    </row>
    <row r="4575" spans="1:16" x14ac:dyDescent="0.4">
      <c r="A4575" t="s">
        <v>4616</v>
      </c>
      <c r="B4575">
        <v>38</v>
      </c>
      <c r="C4575" t="s">
        <v>41</v>
      </c>
      <c r="D4575" t="s">
        <v>22</v>
      </c>
      <c r="E4575">
        <v>7.44</v>
      </c>
      <c r="F4575">
        <v>34</v>
      </c>
      <c r="G4575" t="s">
        <v>49</v>
      </c>
      <c r="H4575" t="s">
        <v>24</v>
      </c>
      <c r="I4575" s="2">
        <v>13.99</v>
      </c>
      <c r="J4575">
        <v>1</v>
      </c>
      <c r="K4575" s="2">
        <f t="shared" si="142"/>
        <v>13.99</v>
      </c>
      <c r="L4575" t="s">
        <v>61</v>
      </c>
      <c r="M4575">
        <v>2</v>
      </c>
      <c r="N4575">
        <v>0.21</v>
      </c>
      <c r="O4575" t="str">
        <f t="shared" si="143"/>
        <v>0.2–0.4 hours</v>
      </c>
      <c r="P4575" t="s">
        <v>52</v>
      </c>
    </row>
    <row r="4576" spans="1:16" x14ac:dyDescent="0.4">
      <c r="A4576" t="s">
        <v>4617</v>
      </c>
      <c r="B4576">
        <v>29</v>
      </c>
      <c r="C4576" t="s">
        <v>41</v>
      </c>
      <c r="D4576" t="s">
        <v>16</v>
      </c>
      <c r="E4576">
        <v>10.93</v>
      </c>
      <c r="F4576">
        <v>59</v>
      </c>
      <c r="G4576" t="s">
        <v>28</v>
      </c>
      <c r="H4576" t="s">
        <v>55</v>
      </c>
      <c r="I4576" s="2">
        <v>8.99</v>
      </c>
      <c r="J4576">
        <v>1</v>
      </c>
      <c r="K4576" s="2">
        <f t="shared" si="142"/>
        <v>8.99</v>
      </c>
      <c r="L4576" t="s">
        <v>29</v>
      </c>
      <c r="M4576">
        <v>3</v>
      </c>
      <c r="N4576">
        <v>0.18</v>
      </c>
      <c r="O4576" t="str">
        <f t="shared" si="143"/>
        <v>0–0.2 hours</v>
      </c>
      <c r="P4576" t="s">
        <v>30</v>
      </c>
    </row>
    <row r="4577" spans="1:16" x14ac:dyDescent="0.4">
      <c r="A4577" t="s">
        <v>4618</v>
      </c>
      <c r="B4577">
        <v>32</v>
      </c>
      <c r="C4577" t="s">
        <v>27</v>
      </c>
      <c r="D4577" t="s">
        <v>32</v>
      </c>
      <c r="E4577">
        <v>18.579999999999998</v>
      </c>
      <c r="F4577">
        <v>18</v>
      </c>
      <c r="G4577" t="s">
        <v>70</v>
      </c>
      <c r="H4577" t="s">
        <v>57</v>
      </c>
      <c r="I4577" s="2">
        <v>17.989999999999998</v>
      </c>
      <c r="J4577">
        <v>0</v>
      </c>
      <c r="K4577" s="2">
        <f t="shared" si="142"/>
        <v>0</v>
      </c>
      <c r="L4577" t="s">
        <v>19</v>
      </c>
      <c r="M4577">
        <v>5</v>
      </c>
      <c r="N4577">
        <v>0.98</v>
      </c>
      <c r="O4577" t="str">
        <f t="shared" si="143"/>
        <v>0.8–1 hour</v>
      </c>
      <c r="P4577" t="s">
        <v>39</v>
      </c>
    </row>
    <row r="4578" spans="1:16" x14ac:dyDescent="0.4">
      <c r="A4578" t="s">
        <v>4619</v>
      </c>
      <c r="B4578">
        <v>70</v>
      </c>
      <c r="C4578" t="s">
        <v>41</v>
      </c>
      <c r="D4578" t="s">
        <v>22</v>
      </c>
      <c r="E4578">
        <v>32.590000000000003</v>
      </c>
      <c r="F4578">
        <v>7</v>
      </c>
      <c r="G4578" t="s">
        <v>28</v>
      </c>
      <c r="H4578" t="s">
        <v>24</v>
      </c>
      <c r="I4578" s="2">
        <v>13.99</v>
      </c>
      <c r="J4578">
        <v>0</v>
      </c>
      <c r="K4578" s="2">
        <f t="shared" si="142"/>
        <v>0</v>
      </c>
      <c r="L4578" t="s">
        <v>43</v>
      </c>
      <c r="M4578">
        <v>4</v>
      </c>
      <c r="N4578">
        <v>4.07</v>
      </c>
      <c r="O4578" t="str">
        <f t="shared" si="143"/>
        <v>1+ hours</v>
      </c>
      <c r="P4578" t="s">
        <v>47</v>
      </c>
    </row>
    <row r="4579" spans="1:16" x14ac:dyDescent="0.4">
      <c r="A4579" t="s">
        <v>4620</v>
      </c>
      <c r="B4579">
        <v>30</v>
      </c>
      <c r="C4579" t="s">
        <v>41</v>
      </c>
      <c r="D4579" t="s">
        <v>32</v>
      </c>
      <c r="E4579">
        <v>46.55</v>
      </c>
      <c r="F4579">
        <v>48</v>
      </c>
      <c r="G4579" t="s">
        <v>70</v>
      </c>
      <c r="H4579" t="s">
        <v>55</v>
      </c>
      <c r="I4579" s="2">
        <v>17.989999999999998</v>
      </c>
      <c r="J4579">
        <v>0</v>
      </c>
      <c r="K4579" s="2">
        <f t="shared" si="142"/>
        <v>0</v>
      </c>
      <c r="L4579" t="s">
        <v>29</v>
      </c>
      <c r="M4579">
        <v>3</v>
      </c>
      <c r="N4579">
        <v>0.95</v>
      </c>
      <c r="O4579" t="str">
        <f t="shared" si="143"/>
        <v>0.8–1 hour</v>
      </c>
      <c r="P4579" t="s">
        <v>39</v>
      </c>
    </row>
    <row r="4580" spans="1:16" x14ac:dyDescent="0.4">
      <c r="A4580" t="s">
        <v>4621</v>
      </c>
      <c r="B4580">
        <v>65</v>
      </c>
      <c r="C4580" t="s">
        <v>41</v>
      </c>
      <c r="D4580" t="s">
        <v>32</v>
      </c>
      <c r="E4580">
        <v>15.52</v>
      </c>
      <c r="F4580">
        <v>0</v>
      </c>
      <c r="G4580" t="s">
        <v>49</v>
      </c>
      <c r="H4580" t="s">
        <v>24</v>
      </c>
      <c r="I4580" s="2">
        <v>17.989999999999998</v>
      </c>
      <c r="J4580">
        <v>0</v>
      </c>
      <c r="K4580" s="2">
        <f t="shared" si="142"/>
        <v>0</v>
      </c>
      <c r="L4580" t="s">
        <v>19</v>
      </c>
      <c r="M4580">
        <v>4</v>
      </c>
      <c r="N4580">
        <v>15.52</v>
      </c>
      <c r="O4580" t="str">
        <f t="shared" si="143"/>
        <v>1+ hours</v>
      </c>
      <c r="P4580" t="s">
        <v>30</v>
      </c>
    </row>
    <row r="4581" spans="1:16" x14ac:dyDescent="0.4">
      <c r="A4581" t="s">
        <v>4622</v>
      </c>
      <c r="B4581">
        <v>50</v>
      </c>
      <c r="C4581" t="s">
        <v>15</v>
      </c>
      <c r="D4581" t="s">
        <v>16</v>
      </c>
      <c r="E4581">
        <v>25.08</v>
      </c>
      <c r="F4581">
        <v>53</v>
      </c>
      <c r="G4581" t="s">
        <v>49</v>
      </c>
      <c r="H4581" t="s">
        <v>55</v>
      </c>
      <c r="I4581" s="2">
        <v>8.99</v>
      </c>
      <c r="J4581">
        <v>0</v>
      </c>
      <c r="K4581" s="2">
        <f t="shared" si="142"/>
        <v>0</v>
      </c>
      <c r="L4581" t="s">
        <v>61</v>
      </c>
      <c r="M4581">
        <v>5</v>
      </c>
      <c r="N4581">
        <v>0.46</v>
      </c>
      <c r="O4581" t="str">
        <f t="shared" si="143"/>
        <v>0.4–0.6 hours</v>
      </c>
      <c r="P4581" t="s">
        <v>30</v>
      </c>
    </row>
    <row r="4582" spans="1:16" x14ac:dyDescent="0.4">
      <c r="A4582" t="s">
        <v>4623</v>
      </c>
      <c r="B4582">
        <v>61</v>
      </c>
      <c r="C4582" t="s">
        <v>41</v>
      </c>
      <c r="D4582" t="s">
        <v>22</v>
      </c>
      <c r="E4582">
        <v>14.2</v>
      </c>
      <c r="F4582">
        <v>35</v>
      </c>
      <c r="G4582" t="s">
        <v>70</v>
      </c>
      <c r="H4582" t="s">
        <v>24</v>
      </c>
      <c r="I4582" s="2">
        <v>13.99</v>
      </c>
      <c r="J4582">
        <v>0</v>
      </c>
      <c r="K4582" s="2">
        <f t="shared" si="142"/>
        <v>0</v>
      </c>
      <c r="L4582" t="s">
        <v>43</v>
      </c>
      <c r="M4582">
        <v>4</v>
      </c>
      <c r="N4582">
        <v>0.39</v>
      </c>
      <c r="O4582" t="str">
        <f t="shared" si="143"/>
        <v>0.2–0.4 hours</v>
      </c>
      <c r="P4582" t="s">
        <v>34</v>
      </c>
    </row>
    <row r="4583" spans="1:16" x14ac:dyDescent="0.4">
      <c r="A4583" t="s">
        <v>4624</v>
      </c>
      <c r="B4583">
        <v>39</v>
      </c>
      <c r="C4583" t="s">
        <v>15</v>
      </c>
      <c r="D4583" t="s">
        <v>32</v>
      </c>
      <c r="E4583">
        <v>15.64</v>
      </c>
      <c r="F4583">
        <v>24</v>
      </c>
      <c r="G4583" t="s">
        <v>33</v>
      </c>
      <c r="H4583" t="s">
        <v>55</v>
      </c>
      <c r="I4583" s="2">
        <v>17.989999999999998</v>
      </c>
      <c r="J4583">
        <v>0</v>
      </c>
      <c r="K4583" s="2">
        <f t="shared" si="142"/>
        <v>0</v>
      </c>
      <c r="L4583" t="s">
        <v>61</v>
      </c>
      <c r="M4583">
        <v>4</v>
      </c>
      <c r="N4583">
        <v>0.63</v>
      </c>
      <c r="O4583" t="str">
        <f t="shared" si="143"/>
        <v>0.6–0.8 hours</v>
      </c>
      <c r="P4583" t="s">
        <v>39</v>
      </c>
    </row>
    <row r="4584" spans="1:16" x14ac:dyDescent="0.4">
      <c r="A4584" t="s">
        <v>4625</v>
      </c>
      <c r="B4584">
        <v>25</v>
      </c>
      <c r="C4584" t="s">
        <v>27</v>
      </c>
      <c r="D4584" t="s">
        <v>16</v>
      </c>
      <c r="E4584">
        <v>22.29</v>
      </c>
      <c r="F4584">
        <v>54</v>
      </c>
      <c r="G4584" t="s">
        <v>17</v>
      </c>
      <c r="H4584" t="s">
        <v>24</v>
      </c>
      <c r="I4584" s="2">
        <v>8.99</v>
      </c>
      <c r="J4584">
        <v>0</v>
      </c>
      <c r="K4584" s="2">
        <f t="shared" si="142"/>
        <v>0</v>
      </c>
      <c r="L4584" t="s">
        <v>61</v>
      </c>
      <c r="M4584">
        <v>5</v>
      </c>
      <c r="N4584">
        <v>0.41</v>
      </c>
      <c r="O4584" t="str">
        <f t="shared" si="143"/>
        <v>0.4–0.6 hours</v>
      </c>
      <c r="P4584" t="s">
        <v>52</v>
      </c>
    </row>
    <row r="4585" spans="1:16" x14ac:dyDescent="0.4">
      <c r="A4585" t="s">
        <v>4626</v>
      </c>
      <c r="B4585">
        <v>29</v>
      </c>
      <c r="C4585" t="s">
        <v>41</v>
      </c>
      <c r="D4585" t="s">
        <v>16</v>
      </c>
      <c r="E4585">
        <v>8.06</v>
      </c>
      <c r="F4585">
        <v>13</v>
      </c>
      <c r="G4585" t="s">
        <v>70</v>
      </c>
      <c r="H4585" t="s">
        <v>24</v>
      </c>
      <c r="I4585" s="2">
        <v>8.99</v>
      </c>
      <c r="J4585">
        <v>0</v>
      </c>
      <c r="K4585" s="2">
        <f t="shared" si="142"/>
        <v>0</v>
      </c>
      <c r="L4585" t="s">
        <v>61</v>
      </c>
      <c r="M4585">
        <v>2</v>
      </c>
      <c r="N4585">
        <v>0.57999999999999996</v>
      </c>
      <c r="O4585" t="str">
        <f t="shared" si="143"/>
        <v>0.4–0.6 hours</v>
      </c>
      <c r="P4585" t="s">
        <v>39</v>
      </c>
    </row>
    <row r="4586" spans="1:16" x14ac:dyDescent="0.4">
      <c r="A4586" t="s">
        <v>4627</v>
      </c>
      <c r="B4586">
        <v>57</v>
      </c>
      <c r="C4586" t="s">
        <v>41</v>
      </c>
      <c r="D4586" t="s">
        <v>16</v>
      </c>
      <c r="E4586">
        <v>4.76</v>
      </c>
      <c r="F4586">
        <v>58</v>
      </c>
      <c r="G4586" t="s">
        <v>17</v>
      </c>
      <c r="H4586" t="s">
        <v>57</v>
      </c>
      <c r="I4586" s="2">
        <v>8.99</v>
      </c>
      <c r="J4586">
        <v>1</v>
      </c>
      <c r="K4586" s="2">
        <f t="shared" si="142"/>
        <v>8.99</v>
      </c>
      <c r="L4586" t="s">
        <v>61</v>
      </c>
      <c r="M4586">
        <v>1</v>
      </c>
      <c r="N4586">
        <v>0.08</v>
      </c>
      <c r="O4586" t="str">
        <f t="shared" si="143"/>
        <v>0–0.2 hours</v>
      </c>
      <c r="P4586" t="s">
        <v>20</v>
      </c>
    </row>
    <row r="4587" spans="1:16" x14ac:dyDescent="0.4">
      <c r="A4587" t="s">
        <v>4628</v>
      </c>
      <c r="B4587">
        <v>29</v>
      </c>
      <c r="C4587" t="s">
        <v>15</v>
      </c>
      <c r="D4587" t="s">
        <v>22</v>
      </c>
      <c r="E4587">
        <v>7.29</v>
      </c>
      <c r="F4587">
        <v>44</v>
      </c>
      <c r="G4587" t="s">
        <v>70</v>
      </c>
      <c r="H4587" t="s">
        <v>55</v>
      </c>
      <c r="I4587" s="2">
        <v>13.99</v>
      </c>
      <c r="J4587">
        <v>1</v>
      </c>
      <c r="K4587" s="2">
        <f t="shared" si="142"/>
        <v>13.99</v>
      </c>
      <c r="L4587" t="s">
        <v>19</v>
      </c>
      <c r="M4587">
        <v>3</v>
      </c>
      <c r="N4587">
        <v>0.16</v>
      </c>
      <c r="O4587" t="str">
        <f t="shared" si="143"/>
        <v>0–0.2 hours</v>
      </c>
      <c r="P4587" t="s">
        <v>39</v>
      </c>
    </row>
    <row r="4588" spans="1:16" x14ac:dyDescent="0.4">
      <c r="A4588" t="s">
        <v>4629</v>
      </c>
      <c r="B4588">
        <v>44</v>
      </c>
      <c r="C4588" t="s">
        <v>41</v>
      </c>
      <c r="D4588" t="s">
        <v>22</v>
      </c>
      <c r="E4588">
        <v>4.2</v>
      </c>
      <c r="F4588">
        <v>39</v>
      </c>
      <c r="G4588" t="s">
        <v>28</v>
      </c>
      <c r="H4588" t="s">
        <v>46</v>
      </c>
      <c r="I4588" s="2">
        <v>13.99</v>
      </c>
      <c r="J4588">
        <v>1</v>
      </c>
      <c r="K4588" s="2">
        <f t="shared" si="142"/>
        <v>13.99</v>
      </c>
      <c r="L4588" t="s">
        <v>43</v>
      </c>
      <c r="M4588">
        <v>3</v>
      </c>
      <c r="N4588">
        <v>0.11</v>
      </c>
      <c r="O4588" t="str">
        <f t="shared" si="143"/>
        <v>0–0.2 hours</v>
      </c>
      <c r="P4588" t="s">
        <v>20</v>
      </c>
    </row>
    <row r="4589" spans="1:16" x14ac:dyDescent="0.4">
      <c r="A4589" t="s">
        <v>4630</v>
      </c>
      <c r="B4589">
        <v>22</v>
      </c>
      <c r="C4589" t="s">
        <v>15</v>
      </c>
      <c r="D4589" t="s">
        <v>16</v>
      </c>
      <c r="E4589">
        <v>0.91</v>
      </c>
      <c r="F4589">
        <v>39</v>
      </c>
      <c r="G4589" t="s">
        <v>49</v>
      </c>
      <c r="H4589" t="s">
        <v>57</v>
      </c>
      <c r="I4589" s="2">
        <v>8.99</v>
      </c>
      <c r="J4589">
        <v>1</v>
      </c>
      <c r="K4589" s="2">
        <f t="shared" si="142"/>
        <v>8.99</v>
      </c>
      <c r="L4589" t="s">
        <v>29</v>
      </c>
      <c r="M4589">
        <v>1</v>
      </c>
      <c r="N4589">
        <v>0.02</v>
      </c>
      <c r="O4589" t="str">
        <f t="shared" si="143"/>
        <v>0–0.2 hours</v>
      </c>
      <c r="P4589" t="s">
        <v>30</v>
      </c>
    </row>
    <row r="4590" spans="1:16" x14ac:dyDescent="0.4">
      <c r="A4590" t="s">
        <v>4631</v>
      </c>
      <c r="B4590">
        <v>33</v>
      </c>
      <c r="C4590" t="s">
        <v>41</v>
      </c>
      <c r="D4590" t="s">
        <v>16</v>
      </c>
      <c r="E4590">
        <v>3.15</v>
      </c>
      <c r="F4590">
        <v>42</v>
      </c>
      <c r="G4590" t="s">
        <v>70</v>
      </c>
      <c r="H4590" t="s">
        <v>24</v>
      </c>
      <c r="I4590" s="2">
        <v>8.99</v>
      </c>
      <c r="J4590">
        <v>1</v>
      </c>
      <c r="K4590" s="2">
        <f t="shared" si="142"/>
        <v>8.99</v>
      </c>
      <c r="L4590" t="s">
        <v>29</v>
      </c>
      <c r="M4590">
        <v>1</v>
      </c>
      <c r="N4590">
        <v>7.0000000000000007E-2</v>
      </c>
      <c r="O4590" t="str">
        <f t="shared" si="143"/>
        <v>0–0.2 hours</v>
      </c>
      <c r="P4590" t="s">
        <v>30</v>
      </c>
    </row>
    <row r="4591" spans="1:16" x14ac:dyDescent="0.4">
      <c r="A4591" t="s">
        <v>4632</v>
      </c>
      <c r="B4591">
        <v>25</v>
      </c>
      <c r="C4591" t="s">
        <v>27</v>
      </c>
      <c r="D4591" t="s">
        <v>16</v>
      </c>
      <c r="E4591">
        <v>5.78</v>
      </c>
      <c r="F4591">
        <v>45</v>
      </c>
      <c r="G4591" t="s">
        <v>23</v>
      </c>
      <c r="H4591" t="s">
        <v>57</v>
      </c>
      <c r="I4591" s="2">
        <v>8.99</v>
      </c>
      <c r="J4591">
        <v>1</v>
      </c>
      <c r="K4591" s="2">
        <f t="shared" si="142"/>
        <v>8.99</v>
      </c>
      <c r="L4591" t="s">
        <v>61</v>
      </c>
      <c r="M4591">
        <v>4</v>
      </c>
      <c r="N4591">
        <v>0.13</v>
      </c>
      <c r="O4591" t="str">
        <f t="shared" si="143"/>
        <v>0–0.2 hours</v>
      </c>
      <c r="P4591" t="s">
        <v>25</v>
      </c>
    </row>
    <row r="4592" spans="1:16" x14ac:dyDescent="0.4">
      <c r="A4592" t="s">
        <v>4633</v>
      </c>
      <c r="B4592">
        <v>54</v>
      </c>
      <c r="C4592" t="s">
        <v>15</v>
      </c>
      <c r="D4592" t="s">
        <v>32</v>
      </c>
      <c r="E4592">
        <v>19.95</v>
      </c>
      <c r="F4592">
        <v>59</v>
      </c>
      <c r="G4592" t="s">
        <v>28</v>
      </c>
      <c r="H4592" t="s">
        <v>24</v>
      </c>
      <c r="I4592" s="2">
        <v>17.989999999999998</v>
      </c>
      <c r="J4592">
        <v>1</v>
      </c>
      <c r="K4592" s="2">
        <f t="shared" si="142"/>
        <v>17.989999999999998</v>
      </c>
      <c r="L4592" t="s">
        <v>43</v>
      </c>
      <c r="M4592">
        <v>1</v>
      </c>
      <c r="N4592">
        <v>0.33</v>
      </c>
      <c r="O4592" t="str">
        <f t="shared" si="143"/>
        <v>0.2–0.4 hours</v>
      </c>
      <c r="P4592" t="s">
        <v>34</v>
      </c>
    </row>
    <row r="4593" spans="1:16" x14ac:dyDescent="0.4">
      <c r="A4593" t="s">
        <v>4634</v>
      </c>
      <c r="B4593">
        <v>21</v>
      </c>
      <c r="C4593" t="s">
        <v>27</v>
      </c>
      <c r="D4593" t="s">
        <v>16</v>
      </c>
      <c r="E4593">
        <v>5.49</v>
      </c>
      <c r="F4593">
        <v>31</v>
      </c>
      <c r="G4593" t="s">
        <v>28</v>
      </c>
      <c r="H4593" t="s">
        <v>24</v>
      </c>
      <c r="I4593" s="2">
        <v>8.99</v>
      </c>
      <c r="J4593">
        <v>1</v>
      </c>
      <c r="K4593" s="2">
        <f t="shared" si="142"/>
        <v>8.99</v>
      </c>
      <c r="L4593" t="s">
        <v>43</v>
      </c>
      <c r="M4593">
        <v>2</v>
      </c>
      <c r="N4593">
        <v>0.17</v>
      </c>
      <c r="O4593" t="str">
        <f t="shared" si="143"/>
        <v>0–0.2 hours</v>
      </c>
      <c r="P4593" t="s">
        <v>47</v>
      </c>
    </row>
    <row r="4594" spans="1:16" x14ac:dyDescent="0.4">
      <c r="A4594" t="s">
        <v>4635</v>
      </c>
      <c r="B4594">
        <v>19</v>
      </c>
      <c r="C4594" t="s">
        <v>15</v>
      </c>
      <c r="D4594" t="s">
        <v>32</v>
      </c>
      <c r="E4594">
        <v>1.87</v>
      </c>
      <c r="F4594">
        <v>6</v>
      </c>
      <c r="G4594" t="s">
        <v>49</v>
      </c>
      <c r="H4594" t="s">
        <v>46</v>
      </c>
      <c r="I4594" s="2">
        <v>17.989999999999998</v>
      </c>
      <c r="J4594">
        <v>1</v>
      </c>
      <c r="K4594" s="2">
        <f t="shared" si="142"/>
        <v>17.989999999999998</v>
      </c>
      <c r="L4594" t="s">
        <v>37</v>
      </c>
      <c r="M4594">
        <v>1</v>
      </c>
      <c r="N4594">
        <v>0.27</v>
      </c>
      <c r="O4594" t="str">
        <f t="shared" si="143"/>
        <v>0.2–0.4 hours</v>
      </c>
      <c r="P4594" t="s">
        <v>20</v>
      </c>
    </row>
    <row r="4595" spans="1:16" x14ac:dyDescent="0.4">
      <c r="A4595" t="s">
        <v>4636</v>
      </c>
      <c r="B4595">
        <v>23</v>
      </c>
      <c r="C4595" t="s">
        <v>15</v>
      </c>
      <c r="D4595" t="s">
        <v>16</v>
      </c>
      <c r="E4595">
        <v>15.3</v>
      </c>
      <c r="F4595">
        <v>49</v>
      </c>
      <c r="G4595" t="s">
        <v>28</v>
      </c>
      <c r="H4595" t="s">
        <v>57</v>
      </c>
      <c r="I4595" s="2">
        <v>8.99</v>
      </c>
      <c r="J4595">
        <v>1</v>
      </c>
      <c r="K4595" s="2">
        <f t="shared" si="142"/>
        <v>8.99</v>
      </c>
      <c r="L4595" t="s">
        <v>19</v>
      </c>
      <c r="M4595">
        <v>3</v>
      </c>
      <c r="N4595">
        <v>0.31</v>
      </c>
      <c r="O4595" t="str">
        <f t="shared" si="143"/>
        <v>0.2–0.4 hours</v>
      </c>
      <c r="P4595" t="s">
        <v>39</v>
      </c>
    </row>
    <row r="4596" spans="1:16" x14ac:dyDescent="0.4">
      <c r="A4596" t="s">
        <v>4637</v>
      </c>
      <c r="B4596">
        <v>19</v>
      </c>
      <c r="C4596" t="s">
        <v>27</v>
      </c>
      <c r="D4596" t="s">
        <v>22</v>
      </c>
      <c r="E4596">
        <v>0.82</v>
      </c>
      <c r="F4596">
        <v>39</v>
      </c>
      <c r="G4596" t="s">
        <v>49</v>
      </c>
      <c r="H4596" t="s">
        <v>57</v>
      </c>
      <c r="I4596" s="2">
        <v>13.99</v>
      </c>
      <c r="J4596">
        <v>1</v>
      </c>
      <c r="K4596" s="2">
        <f t="shared" si="142"/>
        <v>13.99</v>
      </c>
      <c r="L4596" t="s">
        <v>37</v>
      </c>
      <c r="M4596">
        <v>5</v>
      </c>
      <c r="N4596">
        <v>0.02</v>
      </c>
      <c r="O4596" t="str">
        <f t="shared" si="143"/>
        <v>0–0.2 hours</v>
      </c>
      <c r="P4596" t="s">
        <v>30</v>
      </c>
    </row>
    <row r="4597" spans="1:16" x14ac:dyDescent="0.4">
      <c r="A4597" t="s">
        <v>4638</v>
      </c>
      <c r="B4597">
        <v>40</v>
      </c>
      <c r="C4597" t="s">
        <v>41</v>
      </c>
      <c r="D4597" t="s">
        <v>22</v>
      </c>
      <c r="E4597">
        <v>4.87</v>
      </c>
      <c r="F4597">
        <v>19</v>
      </c>
      <c r="G4597" t="s">
        <v>23</v>
      </c>
      <c r="H4597" t="s">
        <v>24</v>
      </c>
      <c r="I4597" s="2">
        <v>13.99</v>
      </c>
      <c r="J4597">
        <v>1</v>
      </c>
      <c r="K4597" s="2">
        <f t="shared" si="142"/>
        <v>13.99</v>
      </c>
      <c r="L4597" t="s">
        <v>37</v>
      </c>
      <c r="M4597">
        <v>1</v>
      </c>
      <c r="N4597">
        <v>0.24</v>
      </c>
      <c r="O4597" t="str">
        <f t="shared" si="143"/>
        <v>0.2–0.4 hours</v>
      </c>
      <c r="P4597" t="s">
        <v>30</v>
      </c>
    </row>
    <row r="4598" spans="1:16" x14ac:dyDescent="0.4">
      <c r="A4598" t="s">
        <v>4639</v>
      </c>
      <c r="B4598">
        <v>31</v>
      </c>
      <c r="C4598" t="s">
        <v>27</v>
      </c>
      <c r="D4598" t="s">
        <v>32</v>
      </c>
      <c r="E4598">
        <v>2.2000000000000002</v>
      </c>
      <c r="F4598">
        <v>43</v>
      </c>
      <c r="G4598" t="s">
        <v>23</v>
      </c>
      <c r="H4598" t="s">
        <v>55</v>
      </c>
      <c r="I4598" s="2">
        <v>17.989999999999998</v>
      </c>
      <c r="J4598">
        <v>1</v>
      </c>
      <c r="K4598" s="2">
        <f t="shared" si="142"/>
        <v>17.989999999999998</v>
      </c>
      <c r="L4598" t="s">
        <v>37</v>
      </c>
      <c r="M4598">
        <v>5</v>
      </c>
      <c r="N4598">
        <v>0.05</v>
      </c>
      <c r="O4598" t="str">
        <f t="shared" si="143"/>
        <v>0–0.2 hours</v>
      </c>
      <c r="P4598" t="s">
        <v>30</v>
      </c>
    </row>
    <row r="4599" spans="1:16" x14ac:dyDescent="0.4">
      <c r="A4599" t="s">
        <v>4640</v>
      </c>
      <c r="B4599">
        <v>38</v>
      </c>
      <c r="C4599" t="s">
        <v>27</v>
      </c>
      <c r="D4599" t="s">
        <v>16</v>
      </c>
      <c r="E4599">
        <v>2.7</v>
      </c>
      <c r="F4599">
        <v>49</v>
      </c>
      <c r="G4599" t="s">
        <v>70</v>
      </c>
      <c r="H4599" t="s">
        <v>24</v>
      </c>
      <c r="I4599" s="2">
        <v>8.99</v>
      </c>
      <c r="J4599">
        <v>1</v>
      </c>
      <c r="K4599" s="2">
        <f t="shared" si="142"/>
        <v>8.99</v>
      </c>
      <c r="L4599" t="s">
        <v>37</v>
      </c>
      <c r="M4599">
        <v>1</v>
      </c>
      <c r="N4599">
        <v>0.05</v>
      </c>
      <c r="O4599" t="str">
        <f t="shared" si="143"/>
        <v>0–0.2 hours</v>
      </c>
      <c r="P4599" t="s">
        <v>52</v>
      </c>
    </row>
    <row r="4600" spans="1:16" x14ac:dyDescent="0.4">
      <c r="A4600" t="s">
        <v>4641</v>
      </c>
      <c r="B4600">
        <v>25</v>
      </c>
      <c r="C4600" t="s">
        <v>15</v>
      </c>
      <c r="D4600" t="s">
        <v>32</v>
      </c>
      <c r="E4600">
        <v>5.75</v>
      </c>
      <c r="F4600">
        <v>7</v>
      </c>
      <c r="G4600" t="s">
        <v>70</v>
      </c>
      <c r="H4600" t="s">
        <v>46</v>
      </c>
      <c r="I4600" s="2">
        <v>17.989999999999998</v>
      </c>
      <c r="J4600">
        <v>0</v>
      </c>
      <c r="K4600" s="2">
        <f t="shared" si="142"/>
        <v>0</v>
      </c>
      <c r="L4600" t="s">
        <v>61</v>
      </c>
      <c r="M4600">
        <v>3</v>
      </c>
      <c r="N4600">
        <v>0.72</v>
      </c>
      <c r="O4600" t="str">
        <f t="shared" si="143"/>
        <v>0.6–0.8 hours</v>
      </c>
      <c r="P4600" t="s">
        <v>52</v>
      </c>
    </row>
    <row r="4601" spans="1:16" x14ac:dyDescent="0.4">
      <c r="A4601" t="s">
        <v>4642</v>
      </c>
      <c r="B4601">
        <v>39</v>
      </c>
      <c r="C4601" t="s">
        <v>41</v>
      </c>
      <c r="D4601" t="s">
        <v>32</v>
      </c>
      <c r="E4601">
        <v>9.2799999999999994</v>
      </c>
      <c r="F4601">
        <v>39</v>
      </c>
      <c r="G4601" t="s">
        <v>23</v>
      </c>
      <c r="H4601" t="s">
        <v>57</v>
      </c>
      <c r="I4601" s="2">
        <v>17.989999999999998</v>
      </c>
      <c r="J4601">
        <v>1</v>
      </c>
      <c r="K4601" s="2">
        <f t="shared" si="142"/>
        <v>17.989999999999998</v>
      </c>
      <c r="L4601" t="s">
        <v>29</v>
      </c>
      <c r="M4601">
        <v>3</v>
      </c>
      <c r="N4601">
        <v>0.23</v>
      </c>
      <c r="O4601" t="str">
        <f t="shared" si="143"/>
        <v>0.2–0.4 hours</v>
      </c>
      <c r="P4601" t="s">
        <v>34</v>
      </c>
    </row>
    <row r="4602" spans="1:16" x14ac:dyDescent="0.4">
      <c r="A4602" t="s">
        <v>4643</v>
      </c>
      <c r="B4602">
        <v>64</v>
      </c>
      <c r="C4602" t="s">
        <v>41</v>
      </c>
      <c r="D4602" t="s">
        <v>16</v>
      </c>
      <c r="E4602">
        <v>5.01</v>
      </c>
      <c r="F4602">
        <v>49</v>
      </c>
      <c r="G4602" t="s">
        <v>70</v>
      </c>
      <c r="H4602" t="s">
        <v>18</v>
      </c>
      <c r="I4602" s="2">
        <v>8.99</v>
      </c>
      <c r="J4602">
        <v>1</v>
      </c>
      <c r="K4602" s="2">
        <f t="shared" si="142"/>
        <v>8.99</v>
      </c>
      <c r="L4602" t="s">
        <v>37</v>
      </c>
      <c r="M4602">
        <v>5</v>
      </c>
      <c r="N4602">
        <v>0.1</v>
      </c>
      <c r="O4602" t="str">
        <f t="shared" si="143"/>
        <v>0–0.2 hours</v>
      </c>
      <c r="P4602" t="s">
        <v>20</v>
      </c>
    </row>
    <row r="4603" spans="1:16" x14ac:dyDescent="0.4">
      <c r="A4603" t="s">
        <v>4644</v>
      </c>
      <c r="B4603">
        <v>21</v>
      </c>
      <c r="C4603" t="s">
        <v>15</v>
      </c>
      <c r="D4603" t="s">
        <v>22</v>
      </c>
      <c r="E4603">
        <v>8.27</v>
      </c>
      <c r="F4603">
        <v>53</v>
      </c>
      <c r="G4603" t="s">
        <v>33</v>
      </c>
      <c r="H4603" t="s">
        <v>24</v>
      </c>
      <c r="I4603" s="2">
        <v>13.99</v>
      </c>
      <c r="J4603">
        <v>1</v>
      </c>
      <c r="K4603" s="2">
        <f t="shared" si="142"/>
        <v>13.99</v>
      </c>
      <c r="L4603" t="s">
        <v>61</v>
      </c>
      <c r="M4603">
        <v>3</v>
      </c>
      <c r="N4603">
        <v>0.15</v>
      </c>
      <c r="O4603" t="str">
        <f t="shared" si="143"/>
        <v>0–0.2 hours</v>
      </c>
      <c r="P4603" t="s">
        <v>52</v>
      </c>
    </row>
    <row r="4604" spans="1:16" x14ac:dyDescent="0.4">
      <c r="A4604" t="s">
        <v>4645</v>
      </c>
      <c r="B4604">
        <v>32</v>
      </c>
      <c r="C4604" t="s">
        <v>15</v>
      </c>
      <c r="D4604" t="s">
        <v>22</v>
      </c>
      <c r="E4604">
        <v>3.37</v>
      </c>
      <c r="F4604">
        <v>19</v>
      </c>
      <c r="G4604" t="s">
        <v>23</v>
      </c>
      <c r="H4604" t="s">
        <v>55</v>
      </c>
      <c r="I4604" s="2">
        <v>13.99</v>
      </c>
      <c r="J4604">
        <v>1</v>
      </c>
      <c r="K4604" s="2">
        <f t="shared" si="142"/>
        <v>13.99</v>
      </c>
      <c r="L4604" t="s">
        <v>29</v>
      </c>
      <c r="M4604">
        <v>1</v>
      </c>
      <c r="N4604">
        <v>0.17</v>
      </c>
      <c r="O4604" t="str">
        <f t="shared" si="143"/>
        <v>0–0.2 hours</v>
      </c>
      <c r="P4604" t="s">
        <v>20</v>
      </c>
    </row>
    <row r="4605" spans="1:16" x14ac:dyDescent="0.4">
      <c r="A4605" t="s">
        <v>4646</v>
      </c>
      <c r="B4605">
        <v>62</v>
      </c>
      <c r="C4605" t="s">
        <v>41</v>
      </c>
      <c r="D4605" t="s">
        <v>16</v>
      </c>
      <c r="E4605">
        <v>1.71</v>
      </c>
      <c r="F4605">
        <v>13</v>
      </c>
      <c r="G4605" t="s">
        <v>33</v>
      </c>
      <c r="H4605" t="s">
        <v>46</v>
      </c>
      <c r="I4605" s="2">
        <v>8.99</v>
      </c>
      <c r="J4605">
        <v>1</v>
      </c>
      <c r="K4605" s="2">
        <f t="shared" si="142"/>
        <v>8.99</v>
      </c>
      <c r="L4605" t="s">
        <v>43</v>
      </c>
      <c r="M4605">
        <v>4</v>
      </c>
      <c r="N4605">
        <v>0.12</v>
      </c>
      <c r="O4605" t="str">
        <f t="shared" si="143"/>
        <v>0–0.2 hours</v>
      </c>
      <c r="P4605" t="s">
        <v>30</v>
      </c>
    </row>
    <row r="4606" spans="1:16" x14ac:dyDescent="0.4">
      <c r="A4606" t="s">
        <v>4647</v>
      </c>
      <c r="B4606">
        <v>69</v>
      </c>
      <c r="C4606" t="s">
        <v>27</v>
      </c>
      <c r="D4606" t="s">
        <v>22</v>
      </c>
      <c r="E4606">
        <v>2.48</v>
      </c>
      <c r="F4606">
        <v>55</v>
      </c>
      <c r="G4606" t="s">
        <v>49</v>
      </c>
      <c r="H4606" t="s">
        <v>46</v>
      </c>
      <c r="I4606" s="2">
        <v>13.99</v>
      </c>
      <c r="J4606">
        <v>1</v>
      </c>
      <c r="K4606" s="2">
        <f t="shared" si="142"/>
        <v>13.99</v>
      </c>
      <c r="L4606" t="s">
        <v>19</v>
      </c>
      <c r="M4606">
        <v>1</v>
      </c>
      <c r="N4606">
        <v>0.04</v>
      </c>
      <c r="O4606" t="str">
        <f t="shared" si="143"/>
        <v>0–0.2 hours</v>
      </c>
      <c r="P4606" t="s">
        <v>39</v>
      </c>
    </row>
    <row r="4607" spans="1:16" x14ac:dyDescent="0.4">
      <c r="A4607" t="s">
        <v>4648</v>
      </c>
      <c r="B4607">
        <v>63</v>
      </c>
      <c r="C4607" t="s">
        <v>27</v>
      </c>
      <c r="D4607" t="s">
        <v>32</v>
      </c>
      <c r="E4607">
        <v>7.58</v>
      </c>
      <c r="F4607">
        <v>25</v>
      </c>
      <c r="G4607" t="s">
        <v>49</v>
      </c>
      <c r="H4607" t="s">
        <v>24</v>
      </c>
      <c r="I4607" s="2">
        <v>17.989999999999998</v>
      </c>
      <c r="J4607">
        <v>0</v>
      </c>
      <c r="K4607" s="2">
        <f t="shared" si="142"/>
        <v>0</v>
      </c>
      <c r="L4607" t="s">
        <v>43</v>
      </c>
      <c r="M4607">
        <v>1</v>
      </c>
      <c r="N4607">
        <v>0.28999999999999998</v>
      </c>
      <c r="O4607" t="str">
        <f t="shared" si="143"/>
        <v>0.2–0.4 hours</v>
      </c>
      <c r="P4607" t="s">
        <v>34</v>
      </c>
    </row>
    <row r="4608" spans="1:16" x14ac:dyDescent="0.4">
      <c r="A4608" t="s">
        <v>4649</v>
      </c>
      <c r="B4608">
        <v>23</v>
      </c>
      <c r="C4608" t="s">
        <v>27</v>
      </c>
      <c r="D4608" t="s">
        <v>32</v>
      </c>
      <c r="E4608">
        <v>18.149999999999999</v>
      </c>
      <c r="F4608">
        <v>16</v>
      </c>
      <c r="G4608" t="s">
        <v>33</v>
      </c>
      <c r="H4608" t="s">
        <v>46</v>
      </c>
      <c r="I4608" s="2">
        <v>17.989999999999998</v>
      </c>
      <c r="J4608">
        <v>0</v>
      </c>
      <c r="K4608" s="2">
        <f t="shared" si="142"/>
        <v>0</v>
      </c>
      <c r="L4608" t="s">
        <v>37</v>
      </c>
      <c r="M4608">
        <v>2</v>
      </c>
      <c r="N4608">
        <v>1.07</v>
      </c>
      <c r="O4608" t="str">
        <f t="shared" si="143"/>
        <v>1+ hours</v>
      </c>
      <c r="P4608" t="s">
        <v>20</v>
      </c>
    </row>
    <row r="4609" spans="1:16" x14ac:dyDescent="0.4">
      <c r="A4609" t="s">
        <v>4650</v>
      </c>
      <c r="B4609">
        <v>68</v>
      </c>
      <c r="C4609" t="s">
        <v>27</v>
      </c>
      <c r="D4609" t="s">
        <v>32</v>
      </c>
      <c r="E4609">
        <v>15.56</v>
      </c>
      <c r="F4609">
        <v>53</v>
      </c>
      <c r="G4609" t="s">
        <v>17</v>
      </c>
      <c r="H4609" t="s">
        <v>46</v>
      </c>
      <c r="I4609" s="2">
        <v>17.989999999999998</v>
      </c>
      <c r="J4609">
        <v>1</v>
      </c>
      <c r="K4609" s="2">
        <f t="shared" si="142"/>
        <v>17.989999999999998</v>
      </c>
      <c r="L4609" t="s">
        <v>29</v>
      </c>
      <c r="M4609">
        <v>3</v>
      </c>
      <c r="N4609">
        <v>0.28999999999999998</v>
      </c>
      <c r="O4609" t="str">
        <f t="shared" si="143"/>
        <v>0.2–0.4 hours</v>
      </c>
      <c r="P4609" t="s">
        <v>52</v>
      </c>
    </row>
    <row r="4610" spans="1:16" x14ac:dyDescent="0.4">
      <c r="A4610" t="s">
        <v>4651</v>
      </c>
      <c r="B4610">
        <v>60</v>
      </c>
      <c r="C4610" t="s">
        <v>15</v>
      </c>
      <c r="D4610" t="s">
        <v>32</v>
      </c>
      <c r="E4610">
        <v>2</v>
      </c>
      <c r="F4610">
        <v>32</v>
      </c>
      <c r="G4610" t="s">
        <v>70</v>
      </c>
      <c r="H4610" t="s">
        <v>24</v>
      </c>
      <c r="I4610" s="2">
        <v>17.989999999999998</v>
      </c>
      <c r="J4610">
        <v>1</v>
      </c>
      <c r="K4610" s="2">
        <f t="shared" si="142"/>
        <v>17.989999999999998</v>
      </c>
      <c r="L4610" t="s">
        <v>61</v>
      </c>
      <c r="M4610">
        <v>5</v>
      </c>
      <c r="N4610">
        <v>0.06</v>
      </c>
      <c r="O4610" t="str">
        <f t="shared" si="143"/>
        <v>0–0.2 hours</v>
      </c>
      <c r="P4610" t="s">
        <v>52</v>
      </c>
    </row>
    <row r="4611" spans="1:16" x14ac:dyDescent="0.4">
      <c r="A4611" t="s">
        <v>4652</v>
      </c>
      <c r="B4611">
        <v>38</v>
      </c>
      <c r="C4611" t="s">
        <v>41</v>
      </c>
      <c r="D4611" t="s">
        <v>22</v>
      </c>
      <c r="E4611">
        <v>8.7899999999999991</v>
      </c>
      <c r="F4611">
        <v>17</v>
      </c>
      <c r="G4611" t="s">
        <v>70</v>
      </c>
      <c r="H4611" t="s">
        <v>18</v>
      </c>
      <c r="I4611" s="2">
        <v>13.99</v>
      </c>
      <c r="J4611">
        <v>0</v>
      </c>
      <c r="K4611" s="2">
        <f t="shared" ref="K4611:K4674" si="144">SUMIF(J4611,1,I4611)</f>
        <v>0</v>
      </c>
      <c r="L4611" t="s">
        <v>43</v>
      </c>
      <c r="M4611">
        <v>5</v>
      </c>
      <c r="N4611">
        <v>0.49</v>
      </c>
      <c r="O4611" t="str">
        <f t="shared" ref="O4611:O4674" si="145">IF(N4611&gt;1,"1+ hours",IF(N4611&lt;=0.2,"0–0.2 hours",IF(N4611&lt;=0.4,"0.2–0.4 hours",IF(N4611&lt;=0.6,"0.4–0.6 hours",IF(N4611&lt;=0.8,"0.6–0.8 hours","0.8–1 hour")))))</f>
        <v>0.4–0.6 hours</v>
      </c>
      <c r="P4611" t="s">
        <v>30</v>
      </c>
    </row>
    <row r="4612" spans="1:16" x14ac:dyDescent="0.4">
      <c r="A4612" t="s">
        <v>4653</v>
      </c>
      <c r="B4612">
        <v>61</v>
      </c>
      <c r="C4612" t="s">
        <v>41</v>
      </c>
      <c r="D4612" t="s">
        <v>32</v>
      </c>
      <c r="E4612">
        <v>13.17</v>
      </c>
      <c r="F4612">
        <v>40</v>
      </c>
      <c r="G4612" t="s">
        <v>33</v>
      </c>
      <c r="H4612" t="s">
        <v>18</v>
      </c>
      <c r="I4612" s="2">
        <v>17.989999999999998</v>
      </c>
      <c r="J4612">
        <v>1</v>
      </c>
      <c r="K4612" s="2">
        <f t="shared" si="144"/>
        <v>17.989999999999998</v>
      </c>
      <c r="L4612" t="s">
        <v>29</v>
      </c>
      <c r="M4612">
        <v>3</v>
      </c>
      <c r="N4612">
        <v>0.32</v>
      </c>
      <c r="O4612" t="str">
        <f t="shared" si="145"/>
        <v>0.2–0.4 hours</v>
      </c>
      <c r="P4612" t="s">
        <v>34</v>
      </c>
    </row>
    <row r="4613" spans="1:16" x14ac:dyDescent="0.4">
      <c r="A4613" t="s">
        <v>4654</v>
      </c>
      <c r="B4613">
        <v>56</v>
      </c>
      <c r="C4613" t="s">
        <v>41</v>
      </c>
      <c r="D4613" t="s">
        <v>16</v>
      </c>
      <c r="E4613">
        <v>9.9</v>
      </c>
      <c r="F4613">
        <v>41</v>
      </c>
      <c r="G4613" t="s">
        <v>70</v>
      </c>
      <c r="H4613" t="s">
        <v>46</v>
      </c>
      <c r="I4613" s="2">
        <v>8.99</v>
      </c>
      <c r="J4613">
        <v>1</v>
      </c>
      <c r="K4613" s="2">
        <f t="shared" si="144"/>
        <v>8.99</v>
      </c>
      <c r="L4613" t="s">
        <v>43</v>
      </c>
      <c r="M4613">
        <v>5</v>
      </c>
      <c r="N4613">
        <v>0.24</v>
      </c>
      <c r="O4613" t="str">
        <f t="shared" si="145"/>
        <v>0.2–0.4 hours</v>
      </c>
      <c r="P4613" t="s">
        <v>30</v>
      </c>
    </row>
    <row r="4614" spans="1:16" x14ac:dyDescent="0.4">
      <c r="A4614" t="s">
        <v>4655</v>
      </c>
      <c r="B4614">
        <v>33</v>
      </c>
      <c r="C4614" t="s">
        <v>15</v>
      </c>
      <c r="D4614" t="s">
        <v>16</v>
      </c>
      <c r="E4614">
        <v>8.92</v>
      </c>
      <c r="F4614">
        <v>48</v>
      </c>
      <c r="G4614" t="s">
        <v>70</v>
      </c>
      <c r="H4614" t="s">
        <v>55</v>
      </c>
      <c r="I4614" s="2">
        <v>8.99</v>
      </c>
      <c r="J4614">
        <v>1</v>
      </c>
      <c r="K4614" s="2">
        <f t="shared" si="144"/>
        <v>8.99</v>
      </c>
      <c r="L4614" t="s">
        <v>29</v>
      </c>
      <c r="M4614">
        <v>5</v>
      </c>
      <c r="N4614">
        <v>0.18</v>
      </c>
      <c r="O4614" t="str">
        <f t="shared" si="145"/>
        <v>0–0.2 hours</v>
      </c>
      <c r="P4614" t="s">
        <v>47</v>
      </c>
    </row>
    <row r="4615" spans="1:16" x14ac:dyDescent="0.4">
      <c r="A4615" t="s">
        <v>4656</v>
      </c>
      <c r="B4615">
        <v>58</v>
      </c>
      <c r="C4615" t="s">
        <v>41</v>
      </c>
      <c r="D4615" t="s">
        <v>16</v>
      </c>
      <c r="E4615">
        <v>6.35</v>
      </c>
      <c r="F4615">
        <v>23</v>
      </c>
      <c r="G4615" t="s">
        <v>17</v>
      </c>
      <c r="H4615" t="s">
        <v>46</v>
      </c>
      <c r="I4615" s="2">
        <v>8.99</v>
      </c>
      <c r="J4615">
        <v>0</v>
      </c>
      <c r="K4615" s="2">
        <f t="shared" si="144"/>
        <v>0</v>
      </c>
      <c r="L4615" t="s">
        <v>61</v>
      </c>
      <c r="M4615">
        <v>2</v>
      </c>
      <c r="N4615">
        <v>0.26</v>
      </c>
      <c r="O4615" t="str">
        <f t="shared" si="145"/>
        <v>0.2–0.4 hours</v>
      </c>
      <c r="P4615" t="s">
        <v>47</v>
      </c>
    </row>
    <row r="4616" spans="1:16" x14ac:dyDescent="0.4">
      <c r="A4616" t="s">
        <v>4657</v>
      </c>
      <c r="B4616">
        <v>41</v>
      </c>
      <c r="C4616" t="s">
        <v>27</v>
      </c>
      <c r="D4616" t="s">
        <v>32</v>
      </c>
      <c r="E4616">
        <v>0.56999999999999995</v>
      </c>
      <c r="F4616">
        <v>52</v>
      </c>
      <c r="G4616" t="s">
        <v>70</v>
      </c>
      <c r="H4616" t="s">
        <v>24</v>
      </c>
      <c r="I4616" s="2">
        <v>17.989999999999998</v>
      </c>
      <c r="J4616">
        <v>1</v>
      </c>
      <c r="K4616" s="2">
        <f t="shared" si="144"/>
        <v>17.989999999999998</v>
      </c>
      <c r="L4616" t="s">
        <v>43</v>
      </c>
      <c r="M4616">
        <v>4</v>
      </c>
      <c r="N4616">
        <v>0.01</v>
      </c>
      <c r="O4616" t="str">
        <f t="shared" si="145"/>
        <v>0–0.2 hours</v>
      </c>
      <c r="P4616" t="s">
        <v>52</v>
      </c>
    </row>
    <row r="4617" spans="1:16" x14ac:dyDescent="0.4">
      <c r="A4617" t="s">
        <v>4658</v>
      </c>
      <c r="B4617">
        <v>45</v>
      </c>
      <c r="C4617" t="s">
        <v>27</v>
      </c>
      <c r="D4617" t="s">
        <v>32</v>
      </c>
      <c r="E4617">
        <v>15.41</v>
      </c>
      <c r="F4617">
        <v>6</v>
      </c>
      <c r="G4617" t="s">
        <v>17</v>
      </c>
      <c r="H4617" t="s">
        <v>46</v>
      </c>
      <c r="I4617" s="2">
        <v>17.989999999999998</v>
      </c>
      <c r="J4617">
        <v>0</v>
      </c>
      <c r="K4617" s="2">
        <f t="shared" si="144"/>
        <v>0</v>
      </c>
      <c r="L4617" t="s">
        <v>61</v>
      </c>
      <c r="M4617">
        <v>3</v>
      </c>
      <c r="N4617">
        <v>2.2000000000000002</v>
      </c>
      <c r="O4617" t="str">
        <f t="shared" si="145"/>
        <v>1+ hours</v>
      </c>
      <c r="P4617" t="s">
        <v>25</v>
      </c>
    </row>
    <row r="4618" spans="1:16" x14ac:dyDescent="0.4">
      <c r="A4618" t="s">
        <v>4659</v>
      </c>
      <c r="B4618">
        <v>59</v>
      </c>
      <c r="C4618" t="s">
        <v>27</v>
      </c>
      <c r="D4618" t="s">
        <v>22</v>
      </c>
      <c r="E4618">
        <v>4.17</v>
      </c>
      <c r="F4618">
        <v>57</v>
      </c>
      <c r="G4618" t="s">
        <v>28</v>
      </c>
      <c r="H4618" t="s">
        <v>57</v>
      </c>
      <c r="I4618" s="2">
        <v>13.99</v>
      </c>
      <c r="J4618">
        <v>1</v>
      </c>
      <c r="K4618" s="2">
        <f t="shared" si="144"/>
        <v>13.99</v>
      </c>
      <c r="L4618" t="s">
        <v>43</v>
      </c>
      <c r="M4618">
        <v>4</v>
      </c>
      <c r="N4618">
        <v>7.0000000000000007E-2</v>
      </c>
      <c r="O4618" t="str">
        <f t="shared" si="145"/>
        <v>0–0.2 hours</v>
      </c>
      <c r="P4618" t="s">
        <v>34</v>
      </c>
    </row>
    <row r="4619" spans="1:16" x14ac:dyDescent="0.4">
      <c r="A4619" t="s">
        <v>4660</v>
      </c>
      <c r="B4619">
        <v>24</v>
      </c>
      <c r="C4619" t="s">
        <v>15</v>
      </c>
      <c r="D4619" t="s">
        <v>16</v>
      </c>
      <c r="E4619">
        <v>11.85</v>
      </c>
      <c r="F4619">
        <v>0</v>
      </c>
      <c r="G4619" t="s">
        <v>28</v>
      </c>
      <c r="H4619" t="s">
        <v>24</v>
      </c>
      <c r="I4619" s="2">
        <v>8.99</v>
      </c>
      <c r="J4619">
        <v>0</v>
      </c>
      <c r="K4619" s="2">
        <f t="shared" si="144"/>
        <v>0</v>
      </c>
      <c r="L4619" t="s">
        <v>37</v>
      </c>
      <c r="M4619">
        <v>3</v>
      </c>
      <c r="N4619">
        <v>11.85</v>
      </c>
      <c r="O4619" t="str">
        <f t="shared" si="145"/>
        <v>1+ hours</v>
      </c>
      <c r="P4619" t="s">
        <v>25</v>
      </c>
    </row>
    <row r="4620" spans="1:16" x14ac:dyDescent="0.4">
      <c r="A4620" t="s">
        <v>4661</v>
      </c>
      <c r="B4620">
        <v>38</v>
      </c>
      <c r="C4620" t="s">
        <v>27</v>
      </c>
      <c r="D4620" t="s">
        <v>22</v>
      </c>
      <c r="E4620">
        <v>32.31</v>
      </c>
      <c r="F4620">
        <v>11</v>
      </c>
      <c r="G4620" t="s">
        <v>33</v>
      </c>
      <c r="H4620" t="s">
        <v>24</v>
      </c>
      <c r="I4620" s="2">
        <v>13.99</v>
      </c>
      <c r="J4620">
        <v>0</v>
      </c>
      <c r="K4620" s="2">
        <f t="shared" si="144"/>
        <v>0</v>
      </c>
      <c r="L4620" t="s">
        <v>43</v>
      </c>
      <c r="M4620">
        <v>3</v>
      </c>
      <c r="N4620">
        <v>2.69</v>
      </c>
      <c r="O4620" t="str">
        <f t="shared" si="145"/>
        <v>1+ hours</v>
      </c>
      <c r="P4620" t="s">
        <v>34</v>
      </c>
    </row>
    <row r="4621" spans="1:16" x14ac:dyDescent="0.4">
      <c r="A4621" t="s">
        <v>4662</v>
      </c>
      <c r="B4621">
        <v>59</v>
      </c>
      <c r="C4621" t="s">
        <v>15</v>
      </c>
      <c r="D4621" t="s">
        <v>16</v>
      </c>
      <c r="E4621">
        <v>12.4</v>
      </c>
      <c r="F4621">
        <v>43</v>
      </c>
      <c r="G4621" t="s">
        <v>49</v>
      </c>
      <c r="H4621" t="s">
        <v>55</v>
      </c>
      <c r="I4621" s="2">
        <v>8.99</v>
      </c>
      <c r="J4621">
        <v>1</v>
      </c>
      <c r="K4621" s="2">
        <f t="shared" si="144"/>
        <v>8.99</v>
      </c>
      <c r="L4621" t="s">
        <v>37</v>
      </c>
      <c r="M4621">
        <v>3</v>
      </c>
      <c r="N4621">
        <v>0.28000000000000003</v>
      </c>
      <c r="O4621" t="str">
        <f t="shared" si="145"/>
        <v>0.2–0.4 hours</v>
      </c>
      <c r="P4621" t="s">
        <v>34</v>
      </c>
    </row>
    <row r="4622" spans="1:16" x14ac:dyDescent="0.4">
      <c r="A4622" t="s">
        <v>4663</v>
      </c>
      <c r="B4622">
        <v>40</v>
      </c>
      <c r="C4622" t="s">
        <v>15</v>
      </c>
      <c r="D4622" t="s">
        <v>16</v>
      </c>
      <c r="E4622">
        <v>6.86</v>
      </c>
      <c r="F4622">
        <v>1</v>
      </c>
      <c r="G4622" t="s">
        <v>33</v>
      </c>
      <c r="H4622" t="s">
        <v>57</v>
      </c>
      <c r="I4622" s="2">
        <v>8.99</v>
      </c>
      <c r="J4622">
        <v>0</v>
      </c>
      <c r="K4622" s="2">
        <f t="shared" si="144"/>
        <v>0</v>
      </c>
      <c r="L4622" t="s">
        <v>29</v>
      </c>
      <c r="M4622">
        <v>4</v>
      </c>
      <c r="N4622">
        <v>3.43</v>
      </c>
      <c r="O4622" t="str">
        <f t="shared" si="145"/>
        <v>1+ hours</v>
      </c>
      <c r="P4622" t="s">
        <v>25</v>
      </c>
    </row>
    <row r="4623" spans="1:16" x14ac:dyDescent="0.4">
      <c r="A4623" t="s">
        <v>4664</v>
      </c>
      <c r="B4623">
        <v>53</v>
      </c>
      <c r="C4623" t="s">
        <v>27</v>
      </c>
      <c r="D4623" t="s">
        <v>32</v>
      </c>
      <c r="E4623">
        <v>17.989999999999998</v>
      </c>
      <c r="F4623">
        <v>0</v>
      </c>
      <c r="G4623" t="s">
        <v>23</v>
      </c>
      <c r="H4623" t="s">
        <v>24</v>
      </c>
      <c r="I4623" s="2">
        <v>17.989999999999998</v>
      </c>
      <c r="J4623">
        <v>0</v>
      </c>
      <c r="K4623" s="2">
        <f t="shared" si="144"/>
        <v>0</v>
      </c>
      <c r="L4623" t="s">
        <v>29</v>
      </c>
      <c r="M4623">
        <v>3</v>
      </c>
      <c r="N4623">
        <v>17.989999999999998</v>
      </c>
      <c r="O4623" t="str">
        <f t="shared" si="145"/>
        <v>1+ hours</v>
      </c>
      <c r="P4623" t="s">
        <v>34</v>
      </c>
    </row>
    <row r="4624" spans="1:16" x14ac:dyDescent="0.4">
      <c r="A4624" t="s">
        <v>4665</v>
      </c>
      <c r="B4624">
        <v>31</v>
      </c>
      <c r="C4624" t="s">
        <v>15</v>
      </c>
      <c r="D4624" t="s">
        <v>16</v>
      </c>
      <c r="E4624">
        <v>7.64</v>
      </c>
      <c r="F4624">
        <v>46</v>
      </c>
      <c r="G4624" t="s">
        <v>70</v>
      </c>
      <c r="H4624" t="s">
        <v>18</v>
      </c>
      <c r="I4624" s="2">
        <v>8.99</v>
      </c>
      <c r="J4624">
        <v>1</v>
      </c>
      <c r="K4624" s="2">
        <f t="shared" si="144"/>
        <v>8.99</v>
      </c>
      <c r="L4624" t="s">
        <v>61</v>
      </c>
      <c r="M4624">
        <v>4</v>
      </c>
      <c r="N4624">
        <v>0.16</v>
      </c>
      <c r="O4624" t="str">
        <f t="shared" si="145"/>
        <v>0–0.2 hours</v>
      </c>
      <c r="P4624" t="s">
        <v>30</v>
      </c>
    </row>
    <row r="4625" spans="1:16" x14ac:dyDescent="0.4">
      <c r="A4625" t="s">
        <v>4666</v>
      </c>
      <c r="B4625">
        <v>59</v>
      </c>
      <c r="C4625" t="s">
        <v>15</v>
      </c>
      <c r="D4625" t="s">
        <v>16</v>
      </c>
      <c r="E4625">
        <v>35.89</v>
      </c>
      <c r="F4625">
        <v>11</v>
      </c>
      <c r="G4625" t="s">
        <v>33</v>
      </c>
      <c r="H4625" t="s">
        <v>46</v>
      </c>
      <c r="I4625" s="2">
        <v>8.99</v>
      </c>
      <c r="J4625">
        <v>0</v>
      </c>
      <c r="K4625" s="2">
        <f t="shared" si="144"/>
        <v>0</v>
      </c>
      <c r="L4625" t="s">
        <v>61</v>
      </c>
      <c r="M4625">
        <v>4</v>
      </c>
      <c r="N4625">
        <v>2.99</v>
      </c>
      <c r="O4625" t="str">
        <f t="shared" si="145"/>
        <v>1+ hours</v>
      </c>
      <c r="P4625" t="s">
        <v>30</v>
      </c>
    </row>
    <row r="4626" spans="1:16" x14ac:dyDescent="0.4">
      <c r="A4626" t="s">
        <v>4667</v>
      </c>
      <c r="B4626">
        <v>58</v>
      </c>
      <c r="C4626" t="s">
        <v>27</v>
      </c>
      <c r="D4626" t="s">
        <v>16</v>
      </c>
      <c r="E4626">
        <v>8.5299999999999994</v>
      </c>
      <c r="F4626">
        <v>8</v>
      </c>
      <c r="G4626" t="s">
        <v>70</v>
      </c>
      <c r="H4626" t="s">
        <v>46</v>
      </c>
      <c r="I4626" s="2">
        <v>8.99</v>
      </c>
      <c r="J4626">
        <v>0</v>
      </c>
      <c r="K4626" s="2">
        <f t="shared" si="144"/>
        <v>0</v>
      </c>
      <c r="L4626" t="s">
        <v>43</v>
      </c>
      <c r="M4626">
        <v>2</v>
      </c>
      <c r="N4626">
        <v>0.95</v>
      </c>
      <c r="O4626" t="str">
        <f t="shared" si="145"/>
        <v>0.8–1 hour</v>
      </c>
      <c r="P4626" t="s">
        <v>47</v>
      </c>
    </row>
    <row r="4627" spans="1:16" x14ac:dyDescent="0.4">
      <c r="A4627" t="s">
        <v>4668</v>
      </c>
      <c r="B4627">
        <v>18</v>
      </c>
      <c r="C4627" t="s">
        <v>15</v>
      </c>
      <c r="D4627" t="s">
        <v>32</v>
      </c>
      <c r="E4627">
        <v>27.6</v>
      </c>
      <c r="F4627">
        <v>11</v>
      </c>
      <c r="G4627" t="s">
        <v>17</v>
      </c>
      <c r="H4627" t="s">
        <v>46</v>
      </c>
      <c r="I4627" s="2">
        <v>17.989999999999998</v>
      </c>
      <c r="J4627">
        <v>0</v>
      </c>
      <c r="K4627" s="2">
        <f t="shared" si="144"/>
        <v>0</v>
      </c>
      <c r="L4627" t="s">
        <v>37</v>
      </c>
      <c r="M4627">
        <v>5</v>
      </c>
      <c r="N4627">
        <v>2.2999999999999998</v>
      </c>
      <c r="O4627" t="str">
        <f t="shared" si="145"/>
        <v>1+ hours</v>
      </c>
      <c r="P4627" t="s">
        <v>39</v>
      </c>
    </row>
    <row r="4628" spans="1:16" x14ac:dyDescent="0.4">
      <c r="A4628" t="s">
        <v>4669</v>
      </c>
      <c r="B4628">
        <v>20</v>
      </c>
      <c r="C4628" t="s">
        <v>41</v>
      </c>
      <c r="D4628" t="s">
        <v>32</v>
      </c>
      <c r="E4628">
        <v>8.8699999999999992</v>
      </c>
      <c r="F4628">
        <v>24</v>
      </c>
      <c r="G4628" t="s">
        <v>33</v>
      </c>
      <c r="H4628" t="s">
        <v>46</v>
      </c>
      <c r="I4628" s="2">
        <v>17.989999999999998</v>
      </c>
      <c r="J4628">
        <v>0</v>
      </c>
      <c r="K4628" s="2">
        <f t="shared" si="144"/>
        <v>0</v>
      </c>
      <c r="L4628" t="s">
        <v>29</v>
      </c>
      <c r="M4628">
        <v>1</v>
      </c>
      <c r="N4628">
        <v>0.35</v>
      </c>
      <c r="O4628" t="str">
        <f t="shared" si="145"/>
        <v>0.2–0.4 hours</v>
      </c>
      <c r="P4628" t="s">
        <v>20</v>
      </c>
    </row>
    <row r="4629" spans="1:16" x14ac:dyDescent="0.4">
      <c r="A4629" t="s">
        <v>4670</v>
      </c>
      <c r="B4629">
        <v>59</v>
      </c>
      <c r="C4629" t="s">
        <v>27</v>
      </c>
      <c r="D4629" t="s">
        <v>16</v>
      </c>
      <c r="E4629">
        <v>12.03</v>
      </c>
      <c r="F4629">
        <v>33</v>
      </c>
      <c r="G4629" t="s">
        <v>28</v>
      </c>
      <c r="H4629" t="s">
        <v>18</v>
      </c>
      <c r="I4629" s="2">
        <v>8.99</v>
      </c>
      <c r="J4629">
        <v>1</v>
      </c>
      <c r="K4629" s="2">
        <f t="shared" si="144"/>
        <v>8.99</v>
      </c>
      <c r="L4629" t="s">
        <v>37</v>
      </c>
      <c r="M4629">
        <v>1</v>
      </c>
      <c r="N4629">
        <v>0.35</v>
      </c>
      <c r="O4629" t="str">
        <f t="shared" si="145"/>
        <v>0.2–0.4 hours</v>
      </c>
      <c r="P4629" t="s">
        <v>20</v>
      </c>
    </row>
    <row r="4630" spans="1:16" x14ac:dyDescent="0.4">
      <c r="A4630" t="s">
        <v>4671</v>
      </c>
      <c r="B4630">
        <v>28</v>
      </c>
      <c r="C4630" t="s">
        <v>27</v>
      </c>
      <c r="D4630" t="s">
        <v>32</v>
      </c>
      <c r="E4630">
        <v>16.690000000000001</v>
      </c>
      <c r="F4630">
        <v>47</v>
      </c>
      <c r="G4630" t="s">
        <v>49</v>
      </c>
      <c r="H4630" t="s">
        <v>24</v>
      </c>
      <c r="I4630" s="2">
        <v>17.989999999999998</v>
      </c>
      <c r="J4630">
        <v>1</v>
      </c>
      <c r="K4630" s="2">
        <f t="shared" si="144"/>
        <v>17.989999999999998</v>
      </c>
      <c r="L4630" t="s">
        <v>37</v>
      </c>
      <c r="M4630">
        <v>3</v>
      </c>
      <c r="N4630">
        <v>0.35</v>
      </c>
      <c r="O4630" t="str">
        <f t="shared" si="145"/>
        <v>0.2–0.4 hours</v>
      </c>
      <c r="P4630" t="s">
        <v>39</v>
      </c>
    </row>
    <row r="4631" spans="1:16" x14ac:dyDescent="0.4">
      <c r="A4631" t="s">
        <v>4672</v>
      </c>
      <c r="B4631">
        <v>48</v>
      </c>
      <c r="C4631" t="s">
        <v>15</v>
      </c>
      <c r="D4631" t="s">
        <v>32</v>
      </c>
      <c r="E4631">
        <v>1.54</v>
      </c>
      <c r="F4631">
        <v>22</v>
      </c>
      <c r="G4631" t="s">
        <v>28</v>
      </c>
      <c r="H4631" t="s">
        <v>46</v>
      </c>
      <c r="I4631" s="2">
        <v>17.989999999999998</v>
      </c>
      <c r="J4631">
        <v>1</v>
      </c>
      <c r="K4631" s="2">
        <f t="shared" si="144"/>
        <v>17.989999999999998</v>
      </c>
      <c r="L4631" t="s">
        <v>29</v>
      </c>
      <c r="M4631">
        <v>5</v>
      </c>
      <c r="N4631">
        <v>7.0000000000000007E-2</v>
      </c>
      <c r="O4631" t="str">
        <f t="shared" si="145"/>
        <v>0–0.2 hours</v>
      </c>
      <c r="P4631" t="s">
        <v>25</v>
      </c>
    </row>
    <row r="4632" spans="1:16" x14ac:dyDescent="0.4">
      <c r="A4632" t="s">
        <v>4673</v>
      </c>
      <c r="B4632">
        <v>35</v>
      </c>
      <c r="C4632" t="s">
        <v>27</v>
      </c>
      <c r="D4632" t="s">
        <v>32</v>
      </c>
      <c r="E4632">
        <v>25.2</v>
      </c>
      <c r="F4632">
        <v>48</v>
      </c>
      <c r="G4632" t="s">
        <v>28</v>
      </c>
      <c r="H4632" t="s">
        <v>57</v>
      </c>
      <c r="I4632" s="2">
        <v>17.989999999999998</v>
      </c>
      <c r="J4632">
        <v>0</v>
      </c>
      <c r="K4632" s="2">
        <f t="shared" si="144"/>
        <v>0</v>
      </c>
      <c r="L4632" t="s">
        <v>37</v>
      </c>
      <c r="M4632">
        <v>4</v>
      </c>
      <c r="N4632">
        <v>0.51</v>
      </c>
      <c r="O4632" t="str">
        <f t="shared" si="145"/>
        <v>0.4–0.6 hours</v>
      </c>
      <c r="P4632" t="s">
        <v>25</v>
      </c>
    </row>
    <row r="4633" spans="1:16" x14ac:dyDescent="0.4">
      <c r="A4633" t="s">
        <v>4674</v>
      </c>
      <c r="B4633">
        <v>46</v>
      </c>
      <c r="C4633" t="s">
        <v>15</v>
      </c>
      <c r="D4633" t="s">
        <v>16</v>
      </c>
      <c r="E4633">
        <v>4.1100000000000003</v>
      </c>
      <c r="F4633">
        <v>16</v>
      </c>
      <c r="G4633" t="s">
        <v>49</v>
      </c>
      <c r="H4633" t="s">
        <v>57</v>
      </c>
      <c r="I4633" s="2">
        <v>8.99</v>
      </c>
      <c r="J4633">
        <v>1</v>
      </c>
      <c r="K4633" s="2">
        <f t="shared" si="144"/>
        <v>8.99</v>
      </c>
      <c r="L4633" t="s">
        <v>61</v>
      </c>
      <c r="M4633">
        <v>4</v>
      </c>
      <c r="N4633">
        <v>0.24</v>
      </c>
      <c r="O4633" t="str">
        <f t="shared" si="145"/>
        <v>0.2–0.4 hours</v>
      </c>
      <c r="P4633" t="s">
        <v>20</v>
      </c>
    </row>
    <row r="4634" spans="1:16" x14ac:dyDescent="0.4">
      <c r="A4634" t="s">
        <v>4675</v>
      </c>
      <c r="B4634">
        <v>57</v>
      </c>
      <c r="C4634" t="s">
        <v>15</v>
      </c>
      <c r="D4634" t="s">
        <v>22</v>
      </c>
      <c r="E4634">
        <v>4.8099999999999996</v>
      </c>
      <c r="F4634">
        <v>21</v>
      </c>
      <c r="G4634" t="s">
        <v>28</v>
      </c>
      <c r="H4634" t="s">
        <v>55</v>
      </c>
      <c r="I4634" s="2">
        <v>13.99</v>
      </c>
      <c r="J4634">
        <v>1</v>
      </c>
      <c r="K4634" s="2">
        <f t="shared" si="144"/>
        <v>13.99</v>
      </c>
      <c r="L4634" t="s">
        <v>37</v>
      </c>
      <c r="M4634">
        <v>2</v>
      </c>
      <c r="N4634">
        <v>0.22</v>
      </c>
      <c r="O4634" t="str">
        <f t="shared" si="145"/>
        <v>0.2–0.4 hours</v>
      </c>
      <c r="P4634" t="s">
        <v>34</v>
      </c>
    </row>
    <row r="4635" spans="1:16" x14ac:dyDescent="0.4">
      <c r="A4635" t="s">
        <v>4676</v>
      </c>
      <c r="B4635">
        <v>67</v>
      </c>
      <c r="C4635" t="s">
        <v>15</v>
      </c>
      <c r="D4635" t="s">
        <v>22</v>
      </c>
      <c r="E4635">
        <v>1.93</v>
      </c>
      <c r="F4635">
        <v>48</v>
      </c>
      <c r="G4635" t="s">
        <v>28</v>
      </c>
      <c r="H4635" t="s">
        <v>24</v>
      </c>
      <c r="I4635" s="2">
        <v>13.99</v>
      </c>
      <c r="J4635">
        <v>1</v>
      </c>
      <c r="K4635" s="2">
        <f t="shared" si="144"/>
        <v>13.99</v>
      </c>
      <c r="L4635" t="s">
        <v>37</v>
      </c>
      <c r="M4635">
        <v>5</v>
      </c>
      <c r="N4635">
        <v>0.04</v>
      </c>
      <c r="O4635" t="str">
        <f t="shared" si="145"/>
        <v>0–0.2 hours</v>
      </c>
      <c r="P4635" t="s">
        <v>34</v>
      </c>
    </row>
    <row r="4636" spans="1:16" x14ac:dyDescent="0.4">
      <c r="A4636" t="s">
        <v>4677</v>
      </c>
      <c r="B4636">
        <v>67</v>
      </c>
      <c r="C4636" t="s">
        <v>41</v>
      </c>
      <c r="D4636" t="s">
        <v>22</v>
      </c>
      <c r="E4636">
        <v>0.01</v>
      </c>
      <c r="F4636">
        <v>1</v>
      </c>
      <c r="G4636" t="s">
        <v>49</v>
      </c>
      <c r="H4636" t="s">
        <v>55</v>
      </c>
      <c r="I4636" s="2">
        <v>13.99</v>
      </c>
      <c r="J4636">
        <v>0</v>
      </c>
      <c r="K4636" s="2">
        <f t="shared" si="144"/>
        <v>0</v>
      </c>
      <c r="L4636" t="s">
        <v>29</v>
      </c>
      <c r="M4636">
        <v>4</v>
      </c>
      <c r="N4636">
        <v>0.01</v>
      </c>
      <c r="O4636" t="str">
        <f t="shared" si="145"/>
        <v>0–0.2 hours</v>
      </c>
      <c r="P4636" t="s">
        <v>34</v>
      </c>
    </row>
    <row r="4637" spans="1:16" x14ac:dyDescent="0.4">
      <c r="A4637" t="s">
        <v>4678</v>
      </c>
      <c r="B4637">
        <v>49</v>
      </c>
      <c r="C4637" t="s">
        <v>41</v>
      </c>
      <c r="D4637" t="s">
        <v>22</v>
      </c>
      <c r="E4637">
        <v>19.77</v>
      </c>
      <c r="F4637">
        <v>54</v>
      </c>
      <c r="G4637" t="s">
        <v>70</v>
      </c>
      <c r="H4637" t="s">
        <v>18</v>
      </c>
      <c r="I4637" s="2">
        <v>13.99</v>
      </c>
      <c r="J4637">
        <v>0</v>
      </c>
      <c r="K4637" s="2">
        <f t="shared" si="144"/>
        <v>0</v>
      </c>
      <c r="L4637" t="s">
        <v>37</v>
      </c>
      <c r="M4637">
        <v>4</v>
      </c>
      <c r="N4637">
        <v>0.36</v>
      </c>
      <c r="O4637" t="str">
        <f t="shared" si="145"/>
        <v>0.2–0.4 hours</v>
      </c>
      <c r="P4637" t="s">
        <v>20</v>
      </c>
    </row>
    <row r="4638" spans="1:16" x14ac:dyDescent="0.4">
      <c r="A4638" t="s">
        <v>4679</v>
      </c>
      <c r="B4638">
        <v>48</v>
      </c>
      <c r="C4638" t="s">
        <v>41</v>
      </c>
      <c r="D4638" t="s">
        <v>32</v>
      </c>
      <c r="E4638">
        <v>2.98</v>
      </c>
      <c r="F4638">
        <v>6</v>
      </c>
      <c r="G4638" t="s">
        <v>49</v>
      </c>
      <c r="H4638" t="s">
        <v>18</v>
      </c>
      <c r="I4638" s="2">
        <v>17.989999999999998</v>
      </c>
      <c r="J4638">
        <v>0</v>
      </c>
      <c r="K4638" s="2">
        <f t="shared" si="144"/>
        <v>0</v>
      </c>
      <c r="L4638" t="s">
        <v>37</v>
      </c>
      <c r="M4638">
        <v>2</v>
      </c>
      <c r="N4638">
        <v>0.43</v>
      </c>
      <c r="O4638" t="str">
        <f t="shared" si="145"/>
        <v>0.4–0.6 hours</v>
      </c>
      <c r="P4638" t="s">
        <v>47</v>
      </c>
    </row>
    <row r="4639" spans="1:16" x14ac:dyDescent="0.4">
      <c r="A4639" t="s">
        <v>4680</v>
      </c>
      <c r="B4639">
        <v>23</v>
      </c>
      <c r="C4639" t="s">
        <v>27</v>
      </c>
      <c r="D4639" t="s">
        <v>16</v>
      </c>
      <c r="E4639">
        <v>27.77</v>
      </c>
      <c r="F4639">
        <v>21</v>
      </c>
      <c r="G4639" t="s">
        <v>28</v>
      </c>
      <c r="H4639" t="s">
        <v>46</v>
      </c>
      <c r="I4639" s="2">
        <v>8.99</v>
      </c>
      <c r="J4639">
        <v>0</v>
      </c>
      <c r="K4639" s="2">
        <f t="shared" si="144"/>
        <v>0</v>
      </c>
      <c r="L4639" t="s">
        <v>43</v>
      </c>
      <c r="M4639">
        <v>2</v>
      </c>
      <c r="N4639">
        <v>1.26</v>
      </c>
      <c r="O4639" t="str">
        <f t="shared" si="145"/>
        <v>1+ hours</v>
      </c>
      <c r="P4639" t="s">
        <v>47</v>
      </c>
    </row>
    <row r="4640" spans="1:16" x14ac:dyDescent="0.4">
      <c r="A4640" t="s">
        <v>4681</v>
      </c>
      <c r="B4640">
        <v>43</v>
      </c>
      <c r="C4640" t="s">
        <v>15</v>
      </c>
      <c r="D4640" t="s">
        <v>16</v>
      </c>
      <c r="E4640">
        <v>6.86</v>
      </c>
      <c r="F4640">
        <v>41</v>
      </c>
      <c r="G4640" t="s">
        <v>49</v>
      </c>
      <c r="H4640" t="s">
        <v>55</v>
      </c>
      <c r="I4640" s="2">
        <v>8.99</v>
      </c>
      <c r="J4640">
        <v>1</v>
      </c>
      <c r="K4640" s="2">
        <f t="shared" si="144"/>
        <v>8.99</v>
      </c>
      <c r="L4640" t="s">
        <v>43</v>
      </c>
      <c r="M4640">
        <v>4</v>
      </c>
      <c r="N4640">
        <v>0.16</v>
      </c>
      <c r="O4640" t="str">
        <f t="shared" si="145"/>
        <v>0–0.2 hours</v>
      </c>
      <c r="P4640" t="s">
        <v>52</v>
      </c>
    </row>
    <row r="4641" spans="1:16" x14ac:dyDescent="0.4">
      <c r="A4641" t="s">
        <v>4682</v>
      </c>
      <c r="B4641">
        <v>49</v>
      </c>
      <c r="C4641" t="s">
        <v>41</v>
      </c>
      <c r="D4641" t="s">
        <v>16</v>
      </c>
      <c r="E4641">
        <v>10.85</v>
      </c>
      <c r="F4641">
        <v>27</v>
      </c>
      <c r="G4641" t="s">
        <v>28</v>
      </c>
      <c r="H4641" t="s">
        <v>46</v>
      </c>
      <c r="I4641" s="2">
        <v>8.99</v>
      </c>
      <c r="J4641">
        <v>0</v>
      </c>
      <c r="K4641" s="2">
        <f t="shared" si="144"/>
        <v>0</v>
      </c>
      <c r="L4641" t="s">
        <v>43</v>
      </c>
      <c r="M4641">
        <v>4</v>
      </c>
      <c r="N4641">
        <v>0.39</v>
      </c>
      <c r="O4641" t="str">
        <f t="shared" si="145"/>
        <v>0.2–0.4 hours</v>
      </c>
      <c r="P4641" t="s">
        <v>39</v>
      </c>
    </row>
    <row r="4642" spans="1:16" x14ac:dyDescent="0.4">
      <c r="A4642" t="s">
        <v>4683</v>
      </c>
      <c r="B4642">
        <v>65</v>
      </c>
      <c r="C4642" t="s">
        <v>41</v>
      </c>
      <c r="D4642" t="s">
        <v>22</v>
      </c>
      <c r="E4642">
        <v>10.44</v>
      </c>
      <c r="F4642">
        <v>58</v>
      </c>
      <c r="G4642" t="s">
        <v>33</v>
      </c>
      <c r="H4642" t="s">
        <v>46</v>
      </c>
      <c r="I4642" s="2">
        <v>13.99</v>
      </c>
      <c r="J4642">
        <v>1</v>
      </c>
      <c r="K4642" s="2">
        <f t="shared" si="144"/>
        <v>13.99</v>
      </c>
      <c r="L4642" t="s">
        <v>19</v>
      </c>
      <c r="M4642">
        <v>2</v>
      </c>
      <c r="N4642">
        <v>0.18</v>
      </c>
      <c r="O4642" t="str">
        <f t="shared" si="145"/>
        <v>0–0.2 hours</v>
      </c>
      <c r="P4642" t="s">
        <v>52</v>
      </c>
    </row>
    <row r="4643" spans="1:16" x14ac:dyDescent="0.4">
      <c r="A4643" t="s">
        <v>4684</v>
      </c>
      <c r="B4643">
        <v>59</v>
      </c>
      <c r="C4643" t="s">
        <v>27</v>
      </c>
      <c r="D4643" t="s">
        <v>16</v>
      </c>
      <c r="E4643">
        <v>24.62</v>
      </c>
      <c r="F4643">
        <v>21</v>
      </c>
      <c r="G4643" t="s">
        <v>70</v>
      </c>
      <c r="H4643" t="s">
        <v>18</v>
      </c>
      <c r="I4643" s="2">
        <v>8.99</v>
      </c>
      <c r="J4643">
        <v>0</v>
      </c>
      <c r="K4643" s="2">
        <f t="shared" si="144"/>
        <v>0</v>
      </c>
      <c r="L4643" t="s">
        <v>61</v>
      </c>
      <c r="M4643">
        <v>3</v>
      </c>
      <c r="N4643">
        <v>1.1200000000000001</v>
      </c>
      <c r="O4643" t="str">
        <f t="shared" si="145"/>
        <v>1+ hours</v>
      </c>
      <c r="P4643" t="s">
        <v>30</v>
      </c>
    </row>
    <row r="4644" spans="1:16" x14ac:dyDescent="0.4">
      <c r="A4644" t="s">
        <v>4685</v>
      </c>
      <c r="B4644">
        <v>48</v>
      </c>
      <c r="C4644" t="s">
        <v>27</v>
      </c>
      <c r="D4644" t="s">
        <v>16</v>
      </c>
      <c r="E4644">
        <v>6.94</v>
      </c>
      <c r="F4644">
        <v>52</v>
      </c>
      <c r="G4644" t="s">
        <v>28</v>
      </c>
      <c r="H4644" t="s">
        <v>55</v>
      </c>
      <c r="I4644" s="2">
        <v>8.99</v>
      </c>
      <c r="J4644">
        <v>1</v>
      </c>
      <c r="K4644" s="2">
        <f t="shared" si="144"/>
        <v>8.99</v>
      </c>
      <c r="L4644" t="s">
        <v>37</v>
      </c>
      <c r="M4644">
        <v>1</v>
      </c>
      <c r="N4644">
        <v>0.13</v>
      </c>
      <c r="O4644" t="str">
        <f t="shared" si="145"/>
        <v>0–0.2 hours</v>
      </c>
      <c r="P4644" t="s">
        <v>20</v>
      </c>
    </row>
    <row r="4645" spans="1:16" x14ac:dyDescent="0.4">
      <c r="A4645" t="s">
        <v>4686</v>
      </c>
      <c r="B4645">
        <v>21</v>
      </c>
      <c r="C4645" t="s">
        <v>41</v>
      </c>
      <c r="D4645" t="s">
        <v>22</v>
      </c>
      <c r="E4645">
        <v>4.5199999999999996</v>
      </c>
      <c r="F4645">
        <v>3</v>
      </c>
      <c r="G4645" t="s">
        <v>33</v>
      </c>
      <c r="H4645" t="s">
        <v>24</v>
      </c>
      <c r="I4645" s="2">
        <v>13.99</v>
      </c>
      <c r="J4645">
        <v>0</v>
      </c>
      <c r="K4645" s="2">
        <f t="shared" si="144"/>
        <v>0</v>
      </c>
      <c r="L4645" t="s">
        <v>29</v>
      </c>
      <c r="M4645">
        <v>3</v>
      </c>
      <c r="N4645">
        <v>1.1299999999999999</v>
      </c>
      <c r="O4645" t="str">
        <f t="shared" si="145"/>
        <v>1+ hours</v>
      </c>
      <c r="P4645" t="s">
        <v>30</v>
      </c>
    </row>
    <row r="4646" spans="1:16" x14ac:dyDescent="0.4">
      <c r="A4646" s="1" t="s">
        <v>4687</v>
      </c>
      <c r="B4646">
        <v>61</v>
      </c>
      <c r="C4646" t="s">
        <v>41</v>
      </c>
      <c r="D4646" t="s">
        <v>32</v>
      </c>
      <c r="E4646">
        <v>1.63</v>
      </c>
      <c r="F4646">
        <v>36</v>
      </c>
      <c r="G4646" t="s">
        <v>17</v>
      </c>
      <c r="H4646" t="s">
        <v>24</v>
      </c>
      <c r="I4646" s="2">
        <v>17.989999999999998</v>
      </c>
      <c r="J4646">
        <v>1</v>
      </c>
      <c r="K4646" s="2">
        <f t="shared" si="144"/>
        <v>17.989999999999998</v>
      </c>
      <c r="L4646" t="s">
        <v>29</v>
      </c>
      <c r="M4646">
        <v>5</v>
      </c>
      <c r="N4646">
        <v>0.04</v>
      </c>
      <c r="O4646" t="str">
        <f t="shared" si="145"/>
        <v>0–0.2 hours</v>
      </c>
      <c r="P4646" t="s">
        <v>30</v>
      </c>
    </row>
    <row r="4647" spans="1:16" x14ac:dyDescent="0.4">
      <c r="A4647" t="s">
        <v>4688</v>
      </c>
      <c r="B4647">
        <v>34</v>
      </c>
      <c r="C4647" t="s">
        <v>27</v>
      </c>
      <c r="D4647" t="s">
        <v>16</v>
      </c>
      <c r="E4647">
        <v>12.42</v>
      </c>
      <c r="F4647">
        <v>28</v>
      </c>
      <c r="G4647" t="s">
        <v>70</v>
      </c>
      <c r="H4647" t="s">
        <v>55</v>
      </c>
      <c r="I4647" s="2">
        <v>8.99</v>
      </c>
      <c r="J4647">
        <v>0</v>
      </c>
      <c r="K4647" s="2">
        <f t="shared" si="144"/>
        <v>0</v>
      </c>
      <c r="L4647" t="s">
        <v>61</v>
      </c>
      <c r="M4647">
        <v>2</v>
      </c>
      <c r="N4647">
        <v>0.43</v>
      </c>
      <c r="O4647" t="str">
        <f t="shared" si="145"/>
        <v>0.4–0.6 hours</v>
      </c>
      <c r="P4647" t="s">
        <v>52</v>
      </c>
    </row>
    <row r="4648" spans="1:16" x14ac:dyDescent="0.4">
      <c r="A4648" t="s">
        <v>4689</v>
      </c>
      <c r="B4648">
        <v>51</v>
      </c>
      <c r="C4648" t="s">
        <v>41</v>
      </c>
      <c r="D4648" t="s">
        <v>22</v>
      </c>
      <c r="E4648">
        <v>38.31</v>
      </c>
      <c r="F4648">
        <v>4</v>
      </c>
      <c r="G4648" t="s">
        <v>17</v>
      </c>
      <c r="H4648" t="s">
        <v>18</v>
      </c>
      <c r="I4648" s="2">
        <v>13.99</v>
      </c>
      <c r="J4648">
        <v>0</v>
      </c>
      <c r="K4648" s="2">
        <f t="shared" si="144"/>
        <v>0</v>
      </c>
      <c r="L4648" t="s">
        <v>29</v>
      </c>
      <c r="M4648">
        <v>5</v>
      </c>
      <c r="N4648">
        <v>7.66</v>
      </c>
      <c r="O4648" t="str">
        <f t="shared" si="145"/>
        <v>1+ hours</v>
      </c>
      <c r="P4648" t="s">
        <v>20</v>
      </c>
    </row>
    <row r="4649" spans="1:16" x14ac:dyDescent="0.4">
      <c r="A4649" t="s">
        <v>4690</v>
      </c>
      <c r="B4649">
        <v>23</v>
      </c>
      <c r="C4649" t="s">
        <v>41</v>
      </c>
      <c r="D4649" t="s">
        <v>22</v>
      </c>
      <c r="E4649">
        <v>14.9</v>
      </c>
      <c r="F4649">
        <v>40</v>
      </c>
      <c r="G4649" t="s">
        <v>28</v>
      </c>
      <c r="H4649" t="s">
        <v>57</v>
      </c>
      <c r="I4649" s="2">
        <v>13.99</v>
      </c>
      <c r="J4649">
        <v>1</v>
      </c>
      <c r="K4649" s="2">
        <f t="shared" si="144"/>
        <v>13.99</v>
      </c>
      <c r="L4649" t="s">
        <v>43</v>
      </c>
      <c r="M4649">
        <v>1</v>
      </c>
      <c r="N4649">
        <v>0.36</v>
      </c>
      <c r="O4649" t="str">
        <f t="shared" si="145"/>
        <v>0.2–0.4 hours</v>
      </c>
      <c r="P4649" t="s">
        <v>25</v>
      </c>
    </row>
    <row r="4650" spans="1:16" x14ac:dyDescent="0.4">
      <c r="A4650" t="s">
        <v>4691</v>
      </c>
      <c r="B4650">
        <v>30</v>
      </c>
      <c r="C4650" t="s">
        <v>15</v>
      </c>
      <c r="D4650" t="s">
        <v>32</v>
      </c>
      <c r="E4650">
        <v>7.13</v>
      </c>
      <c r="F4650">
        <v>49</v>
      </c>
      <c r="G4650" t="s">
        <v>49</v>
      </c>
      <c r="H4650" t="s">
        <v>55</v>
      </c>
      <c r="I4650" s="2">
        <v>17.989999999999998</v>
      </c>
      <c r="J4650">
        <v>1</v>
      </c>
      <c r="K4650" s="2">
        <f t="shared" si="144"/>
        <v>17.989999999999998</v>
      </c>
      <c r="L4650" t="s">
        <v>37</v>
      </c>
      <c r="M4650">
        <v>3</v>
      </c>
      <c r="N4650">
        <v>0.14000000000000001</v>
      </c>
      <c r="O4650" t="str">
        <f t="shared" si="145"/>
        <v>0–0.2 hours</v>
      </c>
      <c r="P4650" t="s">
        <v>39</v>
      </c>
    </row>
    <row r="4651" spans="1:16" x14ac:dyDescent="0.4">
      <c r="A4651" t="s">
        <v>4692</v>
      </c>
      <c r="B4651">
        <v>20</v>
      </c>
      <c r="C4651" t="s">
        <v>41</v>
      </c>
      <c r="D4651" t="s">
        <v>32</v>
      </c>
      <c r="E4651">
        <v>7.81</v>
      </c>
      <c r="F4651">
        <v>53</v>
      </c>
      <c r="G4651" t="s">
        <v>33</v>
      </c>
      <c r="H4651" t="s">
        <v>18</v>
      </c>
      <c r="I4651" s="2">
        <v>17.989999999999998</v>
      </c>
      <c r="J4651">
        <v>1</v>
      </c>
      <c r="K4651" s="2">
        <f t="shared" si="144"/>
        <v>17.989999999999998</v>
      </c>
      <c r="L4651" t="s">
        <v>19</v>
      </c>
      <c r="M4651">
        <v>4</v>
      </c>
      <c r="N4651">
        <v>0.14000000000000001</v>
      </c>
      <c r="O4651" t="str">
        <f t="shared" si="145"/>
        <v>0–0.2 hours</v>
      </c>
      <c r="P4651" t="s">
        <v>39</v>
      </c>
    </row>
    <row r="4652" spans="1:16" x14ac:dyDescent="0.4">
      <c r="A4652" t="s">
        <v>4693</v>
      </c>
      <c r="B4652">
        <v>42</v>
      </c>
      <c r="C4652" t="s">
        <v>27</v>
      </c>
      <c r="D4652" t="s">
        <v>22</v>
      </c>
      <c r="E4652">
        <v>0.48</v>
      </c>
      <c r="F4652">
        <v>5</v>
      </c>
      <c r="G4652" t="s">
        <v>70</v>
      </c>
      <c r="H4652" t="s">
        <v>55</v>
      </c>
      <c r="I4652" s="2">
        <v>13.99</v>
      </c>
      <c r="J4652">
        <v>0</v>
      </c>
      <c r="K4652" s="2">
        <f t="shared" si="144"/>
        <v>0</v>
      </c>
      <c r="L4652" t="s">
        <v>61</v>
      </c>
      <c r="M4652">
        <v>5</v>
      </c>
      <c r="N4652">
        <v>0.08</v>
      </c>
      <c r="O4652" t="str">
        <f t="shared" si="145"/>
        <v>0–0.2 hours</v>
      </c>
      <c r="P4652" t="s">
        <v>20</v>
      </c>
    </row>
    <row r="4653" spans="1:16" x14ac:dyDescent="0.4">
      <c r="A4653" t="s">
        <v>4694</v>
      </c>
      <c r="B4653">
        <v>62</v>
      </c>
      <c r="C4653" t="s">
        <v>27</v>
      </c>
      <c r="D4653" t="s">
        <v>22</v>
      </c>
      <c r="E4653">
        <v>6.55</v>
      </c>
      <c r="F4653">
        <v>52</v>
      </c>
      <c r="G4653" t="s">
        <v>28</v>
      </c>
      <c r="H4653" t="s">
        <v>55</v>
      </c>
      <c r="I4653" s="2">
        <v>13.99</v>
      </c>
      <c r="J4653">
        <v>0</v>
      </c>
      <c r="K4653" s="2">
        <f t="shared" si="144"/>
        <v>0</v>
      </c>
      <c r="L4653" t="s">
        <v>37</v>
      </c>
      <c r="M4653">
        <v>5</v>
      </c>
      <c r="N4653">
        <v>0.12</v>
      </c>
      <c r="O4653" t="str">
        <f t="shared" si="145"/>
        <v>0–0.2 hours</v>
      </c>
      <c r="P4653" t="s">
        <v>25</v>
      </c>
    </row>
    <row r="4654" spans="1:16" x14ac:dyDescent="0.4">
      <c r="A4654" t="s">
        <v>4695</v>
      </c>
      <c r="B4654">
        <v>49</v>
      </c>
      <c r="C4654" t="s">
        <v>41</v>
      </c>
      <c r="D4654" t="s">
        <v>32</v>
      </c>
      <c r="E4654">
        <v>29.41</v>
      </c>
      <c r="F4654">
        <v>14</v>
      </c>
      <c r="G4654" t="s">
        <v>33</v>
      </c>
      <c r="H4654" t="s">
        <v>55</v>
      </c>
      <c r="I4654" s="2">
        <v>17.989999999999998</v>
      </c>
      <c r="J4654">
        <v>0</v>
      </c>
      <c r="K4654" s="2">
        <f t="shared" si="144"/>
        <v>0</v>
      </c>
      <c r="L4654" t="s">
        <v>19</v>
      </c>
      <c r="M4654">
        <v>1</v>
      </c>
      <c r="N4654">
        <v>1.96</v>
      </c>
      <c r="O4654" t="str">
        <f t="shared" si="145"/>
        <v>1+ hours</v>
      </c>
      <c r="P4654" t="s">
        <v>47</v>
      </c>
    </row>
    <row r="4655" spans="1:16" x14ac:dyDescent="0.4">
      <c r="A4655" t="s">
        <v>4696</v>
      </c>
      <c r="B4655">
        <v>41</v>
      </c>
      <c r="C4655" t="s">
        <v>27</v>
      </c>
      <c r="D4655" t="s">
        <v>16</v>
      </c>
      <c r="E4655">
        <v>32.799999999999997</v>
      </c>
      <c r="F4655">
        <v>32</v>
      </c>
      <c r="G4655" t="s">
        <v>23</v>
      </c>
      <c r="H4655" t="s">
        <v>24</v>
      </c>
      <c r="I4655" s="2">
        <v>8.99</v>
      </c>
      <c r="J4655">
        <v>0</v>
      </c>
      <c r="K4655" s="2">
        <f t="shared" si="144"/>
        <v>0</v>
      </c>
      <c r="L4655" t="s">
        <v>61</v>
      </c>
      <c r="M4655">
        <v>2</v>
      </c>
      <c r="N4655">
        <v>0.99</v>
      </c>
      <c r="O4655" t="str">
        <f t="shared" si="145"/>
        <v>0.8–1 hour</v>
      </c>
      <c r="P4655" t="s">
        <v>30</v>
      </c>
    </row>
    <row r="4656" spans="1:16" x14ac:dyDescent="0.4">
      <c r="A4656" t="s">
        <v>4697</v>
      </c>
      <c r="B4656">
        <v>65</v>
      </c>
      <c r="C4656" t="s">
        <v>27</v>
      </c>
      <c r="D4656" t="s">
        <v>16</v>
      </c>
      <c r="E4656">
        <v>0.24</v>
      </c>
      <c r="F4656">
        <v>28</v>
      </c>
      <c r="G4656" t="s">
        <v>28</v>
      </c>
      <c r="H4656" t="s">
        <v>57</v>
      </c>
      <c r="I4656" s="2">
        <v>8.99</v>
      </c>
      <c r="J4656">
        <v>1</v>
      </c>
      <c r="K4656" s="2">
        <f t="shared" si="144"/>
        <v>8.99</v>
      </c>
      <c r="L4656" t="s">
        <v>43</v>
      </c>
      <c r="M4656">
        <v>5</v>
      </c>
      <c r="N4656">
        <v>0.01</v>
      </c>
      <c r="O4656" t="str">
        <f t="shared" si="145"/>
        <v>0–0.2 hours</v>
      </c>
      <c r="P4656" t="s">
        <v>25</v>
      </c>
    </row>
    <row r="4657" spans="1:16" x14ac:dyDescent="0.4">
      <c r="A4657" t="s">
        <v>4698</v>
      </c>
      <c r="B4657">
        <v>34</v>
      </c>
      <c r="C4657" t="s">
        <v>15</v>
      </c>
      <c r="D4657" t="s">
        <v>22</v>
      </c>
      <c r="E4657">
        <v>33.380000000000003</v>
      </c>
      <c r="F4657">
        <v>53</v>
      </c>
      <c r="G4657" t="s">
        <v>17</v>
      </c>
      <c r="H4657" t="s">
        <v>18</v>
      </c>
      <c r="I4657" s="2">
        <v>13.99</v>
      </c>
      <c r="J4657">
        <v>0</v>
      </c>
      <c r="K4657" s="2">
        <f t="shared" si="144"/>
        <v>0</v>
      </c>
      <c r="L4657" t="s">
        <v>37</v>
      </c>
      <c r="M4657">
        <v>5</v>
      </c>
      <c r="N4657">
        <v>0.62</v>
      </c>
      <c r="O4657" t="str">
        <f t="shared" si="145"/>
        <v>0.6–0.8 hours</v>
      </c>
      <c r="P4657" t="s">
        <v>39</v>
      </c>
    </row>
    <row r="4658" spans="1:16" x14ac:dyDescent="0.4">
      <c r="A4658" t="s">
        <v>4699</v>
      </c>
      <c r="B4658">
        <v>32</v>
      </c>
      <c r="C4658" t="s">
        <v>15</v>
      </c>
      <c r="D4658" t="s">
        <v>22</v>
      </c>
      <c r="E4658">
        <v>14.18</v>
      </c>
      <c r="F4658">
        <v>59</v>
      </c>
      <c r="G4658" t="s">
        <v>49</v>
      </c>
      <c r="H4658" t="s">
        <v>46</v>
      </c>
      <c r="I4658" s="2">
        <v>13.99</v>
      </c>
      <c r="J4658">
        <v>1</v>
      </c>
      <c r="K4658" s="2">
        <f t="shared" si="144"/>
        <v>13.99</v>
      </c>
      <c r="L4658" t="s">
        <v>37</v>
      </c>
      <c r="M4658">
        <v>1</v>
      </c>
      <c r="N4658">
        <v>0.24</v>
      </c>
      <c r="O4658" t="str">
        <f t="shared" si="145"/>
        <v>0.2–0.4 hours</v>
      </c>
      <c r="P4658" t="s">
        <v>47</v>
      </c>
    </row>
    <row r="4659" spans="1:16" x14ac:dyDescent="0.4">
      <c r="A4659" t="s">
        <v>4700</v>
      </c>
      <c r="B4659">
        <v>33</v>
      </c>
      <c r="C4659" t="s">
        <v>15</v>
      </c>
      <c r="D4659" t="s">
        <v>22</v>
      </c>
      <c r="E4659">
        <v>6.97</v>
      </c>
      <c r="F4659">
        <v>44</v>
      </c>
      <c r="G4659" t="s">
        <v>28</v>
      </c>
      <c r="H4659" t="s">
        <v>57</v>
      </c>
      <c r="I4659" s="2">
        <v>13.99</v>
      </c>
      <c r="J4659">
        <v>1</v>
      </c>
      <c r="K4659" s="2">
        <f t="shared" si="144"/>
        <v>13.99</v>
      </c>
      <c r="L4659" t="s">
        <v>43</v>
      </c>
      <c r="M4659">
        <v>3</v>
      </c>
      <c r="N4659">
        <v>0.15</v>
      </c>
      <c r="O4659" t="str">
        <f t="shared" si="145"/>
        <v>0–0.2 hours</v>
      </c>
      <c r="P4659" t="s">
        <v>39</v>
      </c>
    </row>
    <row r="4660" spans="1:16" x14ac:dyDescent="0.4">
      <c r="A4660" t="s">
        <v>4701</v>
      </c>
      <c r="B4660">
        <v>47</v>
      </c>
      <c r="C4660" t="s">
        <v>27</v>
      </c>
      <c r="D4660" t="s">
        <v>16</v>
      </c>
      <c r="E4660">
        <v>6.39</v>
      </c>
      <c r="F4660">
        <v>54</v>
      </c>
      <c r="G4660" t="s">
        <v>28</v>
      </c>
      <c r="H4660" t="s">
        <v>18</v>
      </c>
      <c r="I4660" s="2">
        <v>8.99</v>
      </c>
      <c r="J4660">
        <v>1</v>
      </c>
      <c r="K4660" s="2">
        <f t="shared" si="144"/>
        <v>8.99</v>
      </c>
      <c r="L4660" t="s">
        <v>29</v>
      </c>
      <c r="M4660">
        <v>4</v>
      </c>
      <c r="N4660">
        <v>0.12</v>
      </c>
      <c r="O4660" t="str">
        <f t="shared" si="145"/>
        <v>0–0.2 hours</v>
      </c>
      <c r="P4660" t="s">
        <v>52</v>
      </c>
    </row>
    <row r="4661" spans="1:16" x14ac:dyDescent="0.4">
      <c r="A4661" t="s">
        <v>4702</v>
      </c>
      <c r="B4661">
        <v>33</v>
      </c>
      <c r="C4661" t="s">
        <v>15</v>
      </c>
      <c r="D4661" t="s">
        <v>32</v>
      </c>
      <c r="E4661">
        <v>6.35</v>
      </c>
      <c r="F4661">
        <v>30</v>
      </c>
      <c r="G4661" t="s">
        <v>28</v>
      </c>
      <c r="H4661" t="s">
        <v>57</v>
      </c>
      <c r="I4661" s="2">
        <v>17.989999999999998</v>
      </c>
      <c r="J4661">
        <v>0</v>
      </c>
      <c r="K4661" s="2">
        <f t="shared" si="144"/>
        <v>0</v>
      </c>
      <c r="L4661" t="s">
        <v>61</v>
      </c>
      <c r="M4661">
        <v>5</v>
      </c>
      <c r="N4661">
        <v>0.2</v>
      </c>
      <c r="O4661" t="str">
        <f t="shared" si="145"/>
        <v>0–0.2 hours</v>
      </c>
      <c r="P4661" t="s">
        <v>25</v>
      </c>
    </row>
    <row r="4662" spans="1:16" x14ac:dyDescent="0.4">
      <c r="A4662" t="s">
        <v>4703</v>
      </c>
      <c r="B4662">
        <v>67</v>
      </c>
      <c r="C4662" t="s">
        <v>15</v>
      </c>
      <c r="D4662" t="s">
        <v>22</v>
      </c>
      <c r="E4662">
        <v>2.79</v>
      </c>
      <c r="F4662">
        <v>53</v>
      </c>
      <c r="G4662" t="s">
        <v>23</v>
      </c>
      <c r="H4662" t="s">
        <v>46</v>
      </c>
      <c r="I4662" s="2">
        <v>13.99</v>
      </c>
      <c r="J4662">
        <v>1</v>
      </c>
      <c r="K4662" s="2">
        <f t="shared" si="144"/>
        <v>13.99</v>
      </c>
      <c r="L4662" t="s">
        <v>43</v>
      </c>
      <c r="M4662">
        <v>4</v>
      </c>
      <c r="N4662">
        <v>0.05</v>
      </c>
      <c r="O4662" t="str">
        <f t="shared" si="145"/>
        <v>0–0.2 hours</v>
      </c>
      <c r="P4662" t="s">
        <v>52</v>
      </c>
    </row>
    <row r="4663" spans="1:16" x14ac:dyDescent="0.4">
      <c r="A4663" t="s">
        <v>4704</v>
      </c>
      <c r="B4663">
        <v>20</v>
      </c>
      <c r="C4663" t="s">
        <v>27</v>
      </c>
      <c r="D4663" t="s">
        <v>16</v>
      </c>
      <c r="E4663">
        <v>47</v>
      </c>
      <c r="F4663">
        <v>25</v>
      </c>
      <c r="G4663" t="s">
        <v>49</v>
      </c>
      <c r="H4663" t="s">
        <v>57</v>
      </c>
      <c r="I4663" s="2">
        <v>8.99</v>
      </c>
      <c r="J4663">
        <v>0</v>
      </c>
      <c r="K4663" s="2">
        <f t="shared" si="144"/>
        <v>0</v>
      </c>
      <c r="L4663" t="s">
        <v>37</v>
      </c>
      <c r="M4663">
        <v>4</v>
      </c>
      <c r="N4663">
        <v>1.81</v>
      </c>
      <c r="O4663" t="str">
        <f t="shared" si="145"/>
        <v>1+ hours</v>
      </c>
      <c r="P4663" t="s">
        <v>39</v>
      </c>
    </row>
    <row r="4664" spans="1:16" x14ac:dyDescent="0.4">
      <c r="A4664" t="s">
        <v>4705</v>
      </c>
      <c r="B4664">
        <v>43</v>
      </c>
      <c r="C4664" t="s">
        <v>15</v>
      </c>
      <c r="D4664" t="s">
        <v>22</v>
      </c>
      <c r="E4664">
        <v>38.840000000000003</v>
      </c>
      <c r="F4664">
        <v>56</v>
      </c>
      <c r="G4664" t="s">
        <v>23</v>
      </c>
      <c r="H4664" t="s">
        <v>24</v>
      </c>
      <c r="I4664" s="2">
        <v>13.99</v>
      </c>
      <c r="J4664">
        <v>0</v>
      </c>
      <c r="K4664" s="2">
        <f t="shared" si="144"/>
        <v>0</v>
      </c>
      <c r="L4664" t="s">
        <v>37</v>
      </c>
      <c r="M4664">
        <v>4</v>
      </c>
      <c r="N4664">
        <v>0.68</v>
      </c>
      <c r="O4664" t="str">
        <f t="shared" si="145"/>
        <v>0.6–0.8 hours</v>
      </c>
      <c r="P4664" t="s">
        <v>39</v>
      </c>
    </row>
    <row r="4665" spans="1:16" x14ac:dyDescent="0.4">
      <c r="A4665" t="s">
        <v>4706</v>
      </c>
      <c r="B4665">
        <v>36</v>
      </c>
      <c r="C4665" t="s">
        <v>27</v>
      </c>
      <c r="D4665" t="s">
        <v>22</v>
      </c>
      <c r="E4665">
        <v>2.56</v>
      </c>
      <c r="F4665">
        <v>6</v>
      </c>
      <c r="G4665" t="s">
        <v>17</v>
      </c>
      <c r="H4665" t="s">
        <v>57</v>
      </c>
      <c r="I4665" s="2">
        <v>13.99</v>
      </c>
      <c r="J4665">
        <v>0</v>
      </c>
      <c r="K4665" s="2">
        <f t="shared" si="144"/>
        <v>0</v>
      </c>
      <c r="L4665" t="s">
        <v>37</v>
      </c>
      <c r="M4665">
        <v>5</v>
      </c>
      <c r="N4665">
        <v>0.37</v>
      </c>
      <c r="O4665" t="str">
        <f t="shared" si="145"/>
        <v>0.2–0.4 hours</v>
      </c>
      <c r="P4665" t="s">
        <v>47</v>
      </c>
    </row>
    <row r="4666" spans="1:16" x14ac:dyDescent="0.4">
      <c r="A4666" t="s">
        <v>4707</v>
      </c>
      <c r="B4666">
        <v>54</v>
      </c>
      <c r="C4666" t="s">
        <v>27</v>
      </c>
      <c r="D4666" t="s">
        <v>16</v>
      </c>
      <c r="E4666">
        <v>13.25</v>
      </c>
      <c r="F4666">
        <v>49</v>
      </c>
      <c r="G4666" t="s">
        <v>23</v>
      </c>
      <c r="H4666" t="s">
        <v>24</v>
      </c>
      <c r="I4666" s="2">
        <v>8.99</v>
      </c>
      <c r="J4666">
        <v>1</v>
      </c>
      <c r="K4666" s="2">
        <f t="shared" si="144"/>
        <v>8.99</v>
      </c>
      <c r="L4666" t="s">
        <v>37</v>
      </c>
      <c r="M4666">
        <v>3</v>
      </c>
      <c r="N4666">
        <v>0.27</v>
      </c>
      <c r="O4666" t="str">
        <f t="shared" si="145"/>
        <v>0.2–0.4 hours</v>
      </c>
      <c r="P4666" t="s">
        <v>20</v>
      </c>
    </row>
    <row r="4667" spans="1:16" x14ac:dyDescent="0.4">
      <c r="A4667" t="s">
        <v>4708</v>
      </c>
      <c r="B4667">
        <v>26</v>
      </c>
      <c r="C4667" t="s">
        <v>15</v>
      </c>
      <c r="D4667" t="s">
        <v>22</v>
      </c>
      <c r="E4667">
        <v>12.76</v>
      </c>
      <c r="F4667">
        <v>54</v>
      </c>
      <c r="G4667" t="s">
        <v>28</v>
      </c>
      <c r="H4667" t="s">
        <v>55</v>
      </c>
      <c r="I4667" s="2">
        <v>13.99</v>
      </c>
      <c r="J4667">
        <v>0</v>
      </c>
      <c r="K4667" s="2">
        <f t="shared" si="144"/>
        <v>0</v>
      </c>
      <c r="L4667" t="s">
        <v>61</v>
      </c>
      <c r="M4667">
        <v>4</v>
      </c>
      <c r="N4667">
        <v>0.23</v>
      </c>
      <c r="O4667" t="str">
        <f t="shared" si="145"/>
        <v>0.2–0.4 hours</v>
      </c>
      <c r="P4667" t="s">
        <v>39</v>
      </c>
    </row>
    <row r="4668" spans="1:16" x14ac:dyDescent="0.4">
      <c r="A4668" t="s">
        <v>4709</v>
      </c>
      <c r="B4668">
        <v>25</v>
      </c>
      <c r="C4668" t="s">
        <v>41</v>
      </c>
      <c r="D4668" t="s">
        <v>22</v>
      </c>
      <c r="E4668">
        <v>26.47</v>
      </c>
      <c r="F4668">
        <v>60</v>
      </c>
      <c r="G4668" t="s">
        <v>70</v>
      </c>
      <c r="H4668" t="s">
        <v>18</v>
      </c>
      <c r="I4668" s="2">
        <v>13.99</v>
      </c>
      <c r="J4668">
        <v>0</v>
      </c>
      <c r="K4668" s="2">
        <f t="shared" si="144"/>
        <v>0</v>
      </c>
      <c r="L4668" t="s">
        <v>43</v>
      </c>
      <c r="M4668">
        <v>1</v>
      </c>
      <c r="N4668">
        <v>0.43</v>
      </c>
      <c r="O4668" t="str">
        <f t="shared" si="145"/>
        <v>0.4–0.6 hours</v>
      </c>
      <c r="P4668" t="s">
        <v>20</v>
      </c>
    </row>
    <row r="4669" spans="1:16" x14ac:dyDescent="0.4">
      <c r="A4669" t="s">
        <v>4710</v>
      </c>
      <c r="B4669">
        <v>37</v>
      </c>
      <c r="C4669" t="s">
        <v>41</v>
      </c>
      <c r="D4669" t="s">
        <v>22</v>
      </c>
      <c r="E4669">
        <v>1.33</v>
      </c>
      <c r="F4669">
        <v>60</v>
      </c>
      <c r="G4669" t="s">
        <v>23</v>
      </c>
      <c r="H4669" t="s">
        <v>55</v>
      </c>
      <c r="I4669" s="2">
        <v>13.99</v>
      </c>
      <c r="J4669">
        <v>1</v>
      </c>
      <c r="K4669" s="2">
        <f t="shared" si="144"/>
        <v>13.99</v>
      </c>
      <c r="L4669" t="s">
        <v>19</v>
      </c>
      <c r="M4669">
        <v>5</v>
      </c>
      <c r="N4669">
        <v>0.02</v>
      </c>
      <c r="O4669" t="str">
        <f t="shared" si="145"/>
        <v>0–0.2 hours</v>
      </c>
      <c r="P4669" t="s">
        <v>47</v>
      </c>
    </row>
    <row r="4670" spans="1:16" x14ac:dyDescent="0.4">
      <c r="A4670" t="s">
        <v>4711</v>
      </c>
      <c r="B4670">
        <v>43</v>
      </c>
      <c r="C4670" t="s">
        <v>41</v>
      </c>
      <c r="D4670" t="s">
        <v>16</v>
      </c>
      <c r="E4670">
        <v>10.02</v>
      </c>
      <c r="F4670">
        <v>50</v>
      </c>
      <c r="G4670" t="s">
        <v>23</v>
      </c>
      <c r="H4670" t="s">
        <v>18</v>
      </c>
      <c r="I4670" s="2">
        <v>8.99</v>
      </c>
      <c r="J4670">
        <v>1</v>
      </c>
      <c r="K4670" s="2">
        <f t="shared" si="144"/>
        <v>8.99</v>
      </c>
      <c r="L4670" t="s">
        <v>61</v>
      </c>
      <c r="M4670">
        <v>1</v>
      </c>
      <c r="N4670">
        <v>0.2</v>
      </c>
      <c r="O4670" t="str">
        <f t="shared" si="145"/>
        <v>0–0.2 hours</v>
      </c>
      <c r="P4670" t="s">
        <v>30</v>
      </c>
    </row>
    <row r="4671" spans="1:16" x14ac:dyDescent="0.4">
      <c r="A4671" t="s">
        <v>4712</v>
      </c>
      <c r="B4671">
        <v>69</v>
      </c>
      <c r="C4671" t="s">
        <v>41</v>
      </c>
      <c r="D4671" t="s">
        <v>16</v>
      </c>
      <c r="E4671">
        <v>7.66</v>
      </c>
      <c r="F4671">
        <v>46</v>
      </c>
      <c r="G4671" t="s">
        <v>17</v>
      </c>
      <c r="H4671" t="s">
        <v>18</v>
      </c>
      <c r="I4671" s="2">
        <v>8.99</v>
      </c>
      <c r="J4671">
        <v>1</v>
      </c>
      <c r="K4671" s="2">
        <f t="shared" si="144"/>
        <v>8.99</v>
      </c>
      <c r="L4671" t="s">
        <v>43</v>
      </c>
      <c r="M4671">
        <v>3</v>
      </c>
      <c r="N4671">
        <v>0.16</v>
      </c>
      <c r="O4671" t="str">
        <f t="shared" si="145"/>
        <v>0–0.2 hours</v>
      </c>
      <c r="P4671" t="s">
        <v>34</v>
      </c>
    </row>
    <row r="4672" spans="1:16" x14ac:dyDescent="0.4">
      <c r="A4672" t="s">
        <v>4713</v>
      </c>
      <c r="B4672">
        <v>32</v>
      </c>
      <c r="C4672" t="s">
        <v>27</v>
      </c>
      <c r="D4672" t="s">
        <v>22</v>
      </c>
      <c r="E4672">
        <v>22.99</v>
      </c>
      <c r="F4672">
        <v>31</v>
      </c>
      <c r="G4672" t="s">
        <v>17</v>
      </c>
      <c r="H4672" t="s">
        <v>24</v>
      </c>
      <c r="I4672" s="2">
        <v>13.99</v>
      </c>
      <c r="J4672">
        <v>0</v>
      </c>
      <c r="K4672" s="2">
        <f t="shared" si="144"/>
        <v>0</v>
      </c>
      <c r="L4672" t="s">
        <v>37</v>
      </c>
      <c r="M4672">
        <v>1</v>
      </c>
      <c r="N4672">
        <v>0.72</v>
      </c>
      <c r="O4672" t="str">
        <f t="shared" si="145"/>
        <v>0.6–0.8 hours</v>
      </c>
      <c r="P4672" t="s">
        <v>25</v>
      </c>
    </row>
    <row r="4673" spans="1:16" x14ac:dyDescent="0.4">
      <c r="A4673" t="s">
        <v>4714</v>
      </c>
      <c r="B4673">
        <v>35</v>
      </c>
      <c r="C4673" t="s">
        <v>27</v>
      </c>
      <c r="D4673" t="s">
        <v>16</v>
      </c>
      <c r="E4673">
        <v>9.1999999999999993</v>
      </c>
      <c r="F4673">
        <v>26</v>
      </c>
      <c r="G4673" t="s">
        <v>49</v>
      </c>
      <c r="H4673" t="s">
        <v>46</v>
      </c>
      <c r="I4673" s="2">
        <v>8.99</v>
      </c>
      <c r="J4673">
        <v>1</v>
      </c>
      <c r="K4673" s="2">
        <f t="shared" si="144"/>
        <v>8.99</v>
      </c>
      <c r="L4673" t="s">
        <v>19</v>
      </c>
      <c r="M4673">
        <v>2</v>
      </c>
      <c r="N4673">
        <v>0.34</v>
      </c>
      <c r="O4673" t="str">
        <f t="shared" si="145"/>
        <v>0.2–0.4 hours</v>
      </c>
      <c r="P4673" t="s">
        <v>47</v>
      </c>
    </row>
    <row r="4674" spans="1:16" x14ac:dyDescent="0.4">
      <c r="A4674" t="s">
        <v>4715</v>
      </c>
      <c r="B4674">
        <v>29</v>
      </c>
      <c r="C4674" t="s">
        <v>15</v>
      </c>
      <c r="D4674" t="s">
        <v>32</v>
      </c>
      <c r="E4674">
        <v>4.46</v>
      </c>
      <c r="F4674">
        <v>42</v>
      </c>
      <c r="G4674" t="s">
        <v>28</v>
      </c>
      <c r="H4674" t="s">
        <v>57</v>
      </c>
      <c r="I4674" s="2">
        <v>17.989999999999998</v>
      </c>
      <c r="J4674">
        <v>1</v>
      </c>
      <c r="K4674" s="2">
        <f t="shared" si="144"/>
        <v>17.989999999999998</v>
      </c>
      <c r="L4674" t="s">
        <v>43</v>
      </c>
      <c r="M4674">
        <v>4</v>
      </c>
      <c r="N4674">
        <v>0.1</v>
      </c>
      <c r="O4674" t="str">
        <f t="shared" si="145"/>
        <v>0–0.2 hours</v>
      </c>
      <c r="P4674" t="s">
        <v>47</v>
      </c>
    </row>
    <row r="4675" spans="1:16" x14ac:dyDescent="0.4">
      <c r="A4675" t="s">
        <v>4716</v>
      </c>
      <c r="B4675">
        <v>34</v>
      </c>
      <c r="C4675" t="s">
        <v>15</v>
      </c>
      <c r="D4675" t="s">
        <v>32</v>
      </c>
      <c r="E4675">
        <v>2.94</v>
      </c>
      <c r="F4675">
        <v>39</v>
      </c>
      <c r="G4675" t="s">
        <v>70</v>
      </c>
      <c r="H4675" t="s">
        <v>55</v>
      </c>
      <c r="I4675" s="2">
        <v>17.989999999999998</v>
      </c>
      <c r="J4675">
        <v>1</v>
      </c>
      <c r="K4675" s="2">
        <f t="shared" ref="K4675:K4738" si="146">SUMIF(J4675,1,I4675)</f>
        <v>17.989999999999998</v>
      </c>
      <c r="L4675" t="s">
        <v>29</v>
      </c>
      <c r="M4675">
        <v>1</v>
      </c>
      <c r="N4675">
        <v>7.0000000000000007E-2</v>
      </c>
      <c r="O4675" t="str">
        <f t="shared" ref="O4675:O4738" si="147">IF(N4675&gt;1,"1+ hours",IF(N4675&lt;=0.2,"0–0.2 hours",IF(N4675&lt;=0.4,"0.2–0.4 hours",IF(N4675&lt;=0.6,"0.4–0.6 hours",IF(N4675&lt;=0.8,"0.6–0.8 hours","0.8–1 hour")))))</f>
        <v>0–0.2 hours</v>
      </c>
      <c r="P4675" t="s">
        <v>52</v>
      </c>
    </row>
    <row r="4676" spans="1:16" x14ac:dyDescent="0.4">
      <c r="A4676" t="s">
        <v>4717</v>
      </c>
      <c r="B4676">
        <v>45</v>
      </c>
      <c r="C4676" t="s">
        <v>15</v>
      </c>
      <c r="D4676" t="s">
        <v>32</v>
      </c>
      <c r="E4676">
        <v>2.59</v>
      </c>
      <c r="F4676">
        <v>56</v>
      </c>
      <c r="G4676" t="s">
        <v>23</v>
      </c>
      <c r="H4676" t="s">
        <v>57</v>
      </c>
      <c r="I4676" s="2">
        <v>17.989999999999998</v>
      </c>
      <c r="J4676">
        <v>1</v>
      </c>
      <c r="K4676" s="2">
        <f t="shared" si="146"/>
        <v>17.989999999999998</v>
      </c>
      <c r="L4676" t="s">
        <v>43</v>
      </c>
      <c r="M4676">
        <v>3</v>
      </c>
      <c r="N4676">
        <v>0.05</v>
      </c>
      <c r="O4676" t="str">
        <f t="shared" si="147"/>
        <v>0–0.2 hours</v>
      </c>
      <c r="P4676" t="s">
        <v>30</v>
      </c>
    </row>
    <row r="4677" spans="1:16" x14ac:dyDescent="0.4">
      <c r="A4677" t="s">
        <v>4718</v>
      </c>
      <c r="B4677">
        <v>46</v>
      </c>
      <c r="C4677" t="s">
        <v>15</v>
      </c>
      <c r="D4677" t="s">
        <v>22</v>
      </c>
      <c r="E4677">
        <v>1.22</v>
      </c>
      <c r="F4677">
        <v>59</v>
      </c>
      <c r="G4677" t="s">
        <v>70</v>
      </c>
      <c r="H4677" t="s">
        <v>55</v>
      </c>
      <c r="I4677" s="2">
        <v>13.99</v>
      </c>
      <c r="J4677">
        <v>1</v>
      </c>
      <c r="K4677" s="2">
        <f t="shared" si="146"/>
        <v>13.99</v>
      </c>
      <c r="L4677" t="s">
        <v>37</v>
      </c>
      <c r="M4677">
        <v>3</v>
      </c>
      <c r="N4677">
        <v>0.02</v>
      </c>
      <c r="O4677" t="str">
        <f t="shared" si="147"/>
        <v>0–0.2 hours</v>
      </c>
      <c r="P4677" t="s">
        <v>34</v>
      </c>
    </row>
    <row r="4678" spans="1:16" x14ac:dyDescent="0.4">
      <c r="A4678" s="1" t="s">
        <v>4719</v>
      </c>
      <c r="B4678">
        <v>31</v>
      </c>
      <c r="C4678" t="s">
        <v>15</v>
      </c>
      <c r="D4678" t="s">
        <v>16</v>
      </c>
      <c r="E4678">
        <v>10.38</v>
      </c>
      <c r="F4678">
        <v>42</v>
      </c>
      <c r="G4678" t="s">
        <v>70</v>
      </c>
      <c r="H4678" t="s">
        <v>57</v>
      </c>
      <c r="I4678" s="2">
        <v>8.99</v>
      </c>
      <c r="J4678">
        <v>1</v>
      </c>
      <c r="K4678" s="2">
        <f t="shared" si="146"/>
        <v>8.99</v>
      </c>
      <c r="L4678" t="s">
        <v>37</v>
      </c>
      <c r="M4678">
        <v>1</v>
      </c>
      <c r="N4678">
        <v>0.24</v>
      </c>
      <c r="O4678" t="str">
        <f t="shared" si="147"/>
        <v>0.2–0.4 hours</v>
      </c>
      <c r="P4678" t="s">
        <v>20</v>
      </c>
    </row>
    <row r="4679" spans="1:16" x14ac:dyDescent="0.4">
      <c r="A4679" t="s">
        <v>4720</v>
      </c>
      <c r="B4679">
        <v>68</v>
      </c>
      <c r="C4679" t="s">
        <v>27</v>
      </c>
      <c r="D4679" t="s">
        <v>16</v>
      </c>
      <c r="E4679">
        <v>15.56</v>
      </c>
      <c r="F4679">
        <v>53</v>
      </c>
      <c r="G4679" t="s">
        <v>28</v>
      </c>
      <c r="H4679" t="s">
        <v>24</v>
      </c>
      <c r="I4679" s="2">
        <v>8.99</v>
      </c>
      <c r="J4679">
        <v>1</v>
      </c>
      <c r="K4679" s="2">
        <f t="shared" si="146"/>
        <v>8.99</v>
      </c>
      <c r="L4679" t="s">
        <v>43</v>
      </c>
      <c r="M4679">
        <v>5</v>
      </c>
      <c r="N4679">
        <v>0.28999999999999998</v>
      </c>
      <c r="O4679" t="str">
        <f t="shared" si="147"/>
        <v>0.2–0.4 hours</v>
      </c>
      <c r="P4679" t="s">
        <v>34</v>
      </c>
    </row>
    <row r="4680" spans="1:16" x14ac:dyDescent="0.4">
      <c r="A4680" t="s">
        <v>4721</v>
      </c>
      <c r="B4680">
        <v>36</v>
      </c>
      <c r="C4680" t="s">
        <v>27</v>
      </c>
      <c r="D4680" t="s">
        <v>22</v>
      </c>
      <c r="E4680">
        <v>11.94</v>
      </c>
      <c r="F4680">
        <v>45</v>
      </c>
      <c r="G4680" t="s">
        <v>23</v>
      </c>
      <c r="H4680" t="s">
        <v>57</v>
      </c>
      <c r="I4680" s="2">
        <v>13.99</v>
      </c>
      <c r="J4680">
        <v>1</v>
      </c>
      <c r="K4680" s="2">
        <f t="shared" si="146"/>
        <v>13.99</v>
      </c>
      <c r="L4680" t="s">
        <v>43</v>
      </c>
      <c r="M4680">
        <v>2</v>
      </c>
      <c r="N4680">
        <v>0.26</v>
      </c>
      <c r="O4680" t="str">
        <f t="shared" si="147"/>
        <v>0.2–0.4 hours</v>
      </c>
      <c r="P4680" t="s">
        <v>47</v>
      </c>
    </row>
    <row r="4681" spans="1:16" x14ac:dyDescent="0.4">
      <c r="A4681" t="s">
        <v>4722</v>
      </c>
      <c r="B4681">
        <v>68</v>
      </c>
      <c r="C4681" t="s">
        <v>27</v>
      </c>
      <c r="D4681" t="s">
        <v>16</v>
      </c>
      <c r="E4681">
        <v>24.27</v>
      </c>
      <c r="F4681">
        <v>33</v>
      </c>
      <c r="G4681" t="s">
        <v>28</v>
      </c>
      <c r="H4681" t="s">
        <v>18</v>
      </c>
      <c r="I4681" s="2">
        <v>8.99</v>
      </c>
      <c r="J4681">
        <v>1</v>
      </c>
      <c r="K4681" s="2">
        <f t="shared" si="146"/>
        <v>8.99</v>
      </c>
      <c r="L4681" t="s">
        <v>19</v>
      </c>
      <c r="M4681">
        <v>1</v>
      </c>
      <c r="N4681">
        <v>0.71</v>
      </c>
      <c r="O4681" t="str">
        <f t="shared" si="147"/>
        <v>0.6–0.8 hours</v>
      </c>
      <c r="P4681" t="s">
        <v>39</v>
      </c>
    </row>
    <row r="4682" spans="1:16" x14ac:dyDescent="0.4">
      <c r="A4682" t="s">
        <v>4723</v>
      </c>
      <c r="B4682">
        <v>50</v>
      </c>
      <c r="C4682" t="s">
        <v>41</v>
      </c>
      <c r="D4682" t="s">
        <v>16</v>
      </c>
      <c r="E4682">
        <v>4.3</v>
      </c>
      <c r="F4682">
        <v>54</v>
      </c>
      <c r="G4682" t="s">
        <v>70</v>
      </c>
      <c r="H4682" t="s">
        <v>57</v>
      </c>
      <c r="I4682" s="2">
        <v>8.99</v>
      </c>
      <c r="J4682">
        <v>1</v>
      </c>
      <c r="K4682" s="2">
        <f t="shared" si="146"/>
        <v>8.99</v>
      </c>
      <c r="L4682" t="s">
        <v>43</v>
      </c>
      <c r="M4682">
        <v>5</v>
      </c>
      <c r="N4682">
        <v>0.08</v>
      </c>
      <c r="O4682" t="str">
        <f t="shared" si="147"/>
        <v>0–0.2 hours</v>
      </c>
      <c r="P4682" t="s">
        <v>20</v>
      </c>
    </row>
    <row r="4683" spans="1:16" x14ac:dyDescent="0.4">
      <c r="A4683" t="s">
        <v>4724</v>
      </c>
      <c r="B4683">
        <v>18</v>
      </c>
      <c r="C4683" t="s">
        <v>27</v>
      </c>
      <c r="D4683" t="s">
        <v>22</v>
      </c>
      <c r="E4683">
        <v>9.77</v>
      </c>
      <c r="F4683">
        <v>57</v>
      </c>
      <c r="G4683" t="s">
        <v>17</v>
      </c>
      <c r="H4683" t="s">
        <v>55</v>
      </c>
      <c r="I4683" s="2">
        <v>13.99</v>
      </c>
      <c r="J4683">
        <v>1</v>
      </c>
      <c r="K4683" s="2">
        <f t="shared" si="146"/>
        <v>13.99</v>
      </c>
      <c r="L4683" t="s">
        <v>29</v>
      </c>
      <c r="M4683">
        <v>2</v>
      </c>
      <c r="N4683">
        <v>0.17</v>
      </c>
      <c r="O4683" t="str">
        <f t="shared" si="147"/>
        <v>0–0.2 hours</v>
      </c>
      <c r="P4683" t="s">
        <v>25</v>
      </c>
    </row>
    <row r="4684" spans="1:16" x14ac:dyDescent="0.4">
      <c r="A4684" t="s">
        <v>4725</v>
      </c>
      <c r="B4684">
        <v>34</v>
      </c>
      <c r="C4684" t="s">
        <v>41</v>
      </c>
      <c r="D4684" t="s">
        <v>32</v>
      </c>
      <c r="E4684">
        <v>3.92</v>
      </c>
      <c r="F4684">
        <v>4</v>
      </c>
      <c r="G4684" t="s">
        <v>49</v>
      </c>
      <c r="H4684" t="s">
        <v>18</v>
      </c>
      <c r="I4684" s="2">
        <v>17.989999999999998</v>
      </c>
      <c r="J4684">
        <v>0</v>
      </c>
      <c r="K4684" s="2">
        <f t="shared" si="146"/>
        <v>0</v>
      </c>
      <c r="L4684" t="s">
        <v>19</v>
      </c>
      <c r="M4684">
        <v>1</v>
      </c>
      <c r="N4684">
        <v>0.78</v>
      </c>
      <c r="O4684" t="str">
        <f t="shared" si="147"/>
        <v>0.6–0.8 hours</v>
      </c>
      <c r="P4684" t="s">
        <v>20</v>
      </c>
    </row>
    <row r="4685" spans="1:16" x14ac:dyDescent="0.4">
      <c r="A4685" t="s">
        <v>4726</v>
      </c>
      <c r="B4685">
        <v>39</v>
      </c>
      <c r="C4685" t="s">
        <v>15</v>
      </c>
      <c r="D4685" t="s">
        <v>32</v>
      </c>
      <c r="E4685">
        <v>13.51</v>
      </c>
      <c r="F4685">
        <v>54</v>
      </c>
      <c r="G4685" t="s">
        <v>33</v>
      </c>
      <c r="H4685" t="s">
        <v>57</v>
      </c>
      <c r="I4685" s="2">
        <v>17.989999999999998</v>
      </c>
      <c r="J4685">
        <v>0</v>
      </c>
      <c r="K4685" s="2">
        <f t="shared" si="146"/>
        <v>0</v>
      </c>
      <c r="L4685" t="s">
        <v>43</v>
      </c>
      <c r="M4685">
        <v>4</v>
      </c>
      <c r="N4685">
        <v>0.25</v>
      </c>
      <c r="O4685" t="str">
        <f t="shared" si="147"/>
        <v>0.2–0.4 hours</v>
      </c>
      <c r="P4685" t="s">
        <v>30</v>
      </c>
    </row>
    <row r="4686" spans="1:16" x14ac:dyDescent="0.4">
      <c r="A4686" t="s">
        <v>4727</v>
      </c>
      <c r="B4686">
        <v>45</v>
      </c>
      <c r="C4686" t="s">
        <v>41</v>
      </c>
      <c r="D4686" t="s">
        <v>32</v>
      </c>
      <c r="E4686">
        <v>27.2</v>
      </c>
      <c r="F4686">
        <v>8</v>
      </c>
      <c r="G4686" t="s">
        <v>23</v>
      </c>
      <c r="H4686" t="s">
        <v>46</v>
      </c>
      <c r="I4686" s="2">
        <v>17.989999999999998</v>
      </c>
      <c r="J4686">
        <v>0</v>
      </c>
      <c r="K4686" s="2">
        <f t="shared" si="146"/>
        <v>0</v>
      </c>
      <c r="L4686" t="s">
        <v>37</v>
      </c>
      <c r="M4686">
        <v>5</v>
      </c>
      <c r="N4686">
        <v>3.02</v>
      </c>
      <c r="O4686" t="str">
        <f t="shared" si="147"/>
        <v>1+ hours</v>
      </c>
      <c r="P4686" t="s">
        <v>25</v>
      </c>
    </row>
    <row r="4687" spans="1:16" x14ac:dyDescent="0.4">
      <c r="A4687" t="s">
        <v>4728</v>
      </c>
      <c r="B4687">
        <v>23</v>
      </c>
      <c r="C4687" t="s">
        <v>41</v>
      </c>
      <c r="D4687" t="s">
        <v>32</v>
      </c>
      <c r="E4687">
        <v>16.510000000000002</v>
      </c>
      <c r="F4687">
        <v>41</v>
      </c>
      <c r="G4687" t="s">
        <v>33</v>
      </c>
      <c r="H4687" t="s">
        <v>57</v>
      </c>
      <c r="I4687" s="2">
        <v>17.989999999999998</v>
      </c>
      <c r="J4687">
        <v>1</v>
      </c>
      <c r="K4687" s="2">
        <f t="shared" si="146"/>
        <v>17.989999999999998</v>
      </c>
      <c r="L4687" t="s">
        <v>19</v>
      </c>
      <c r="M4687">
        <v>5</v>
      </c>
      <c r="N4687">
        <v>0.39</v>
      </c>
      <c r="O4687" t="str">
        <f t="shared" si="147"/>
        <v>0.2–0.4 hours</v>
      </c>
      <c r="P4687" t="s">
        <v>39</v>
      </c>
    </row>
    <row r="4688" spans="1:16" x14ac:dyDescent="0.4">
      <c r="A4688" t="s">
        <v>4729</v>
      </c>
      <c r="B4688">
        <v>56</v>
      </c>
      <c r="C4688" t="s">
        <v>27</v>
      </c>
      <c r="D4688" t="s">
        <v>22</v>
      </c>
      <c r="E4688">
        <v>4.05</v>
      </c>
      <c r="F4688">
        <v>4</v>
      </c>
      <c r="G4688" t="s">
        <v>23</v>
      </c>
      <c r="H4688" t="s">
        <v>18</v>
      </c>
      <c r="I4688" s="2">
        <v>13.99</v>
      </c>
      <c r="J4688">
        <v>0</v>
      </c>
      <c r="K4688" s="2">
        <f t="shared" si="146"/>
        <v>0</v>
      </c>
      <c r="L4688" t="s">
        <v>43</v>
      </c>
      <c r="M4688">
        <v>4</v>
      </c>
      <c r="N4688">
        <v>0.81</v>
      </c>
      <c r="O4688" t="str">
        <f t="shared" si="147"/>
        <v>0.8–1 hour</v>
      </c>
      <c r="P4688" t="s">
        <v>30</v>
      </c>
    </row>
    <row r="4689" spans="1:16" x14ac:dyDescent="0.4">
      <c r="A4689" t="s">
        <v>4730</v>
      </c>
      <c r="B4689">
        <v>31</v>
      </c>
      <c r="C4689" t="s">
        <v>41</v>
      </c>
      <c r="D4689" t="s">
        <v>22</v>
      </c>
      <c r="E4689">
        <v>2.2000000000000002</v>
      </c>
      <c r="F4689">
        <v>29</v>
      </c>
      <c r="G4689" t="s">
        <v>28</v>
      </c>
      <c r="H4689" t="s">
        <v>18</v>
      </c>
      <c r="I4689" s="2">
        <v>13.99</v>
      </c>
      <c r="J4689">
        <v>1</v>
      </c>
      <c r="K4689" s="2">
        <f t="shared" si="146"/>
        <v>13.99</v>
      </c>
      <c r="L4689" t="s">
        <v>43</v>
      </c>
      <c r="M4689">
        <v>1</v>
      </c>
      <c r="N4689">
        <v>7.0000000000000007E-2</v>
      </c>
      <c r="O4689" t="str">
        <f t="shared" si="147"/>
        <v>0–0.2 hours</v>
      </c>
      <c r="P4689" t="s">
        <v>47</v>
      </c>
    </row>
    <row r="4690" spans="1:16" x14ac:dyDescent="0.4">
      <c r="A4690" t="s">
        <v>4731</v>
      </c>
      <c r="B4690">
        <v>31</v>
      </c>
      <c r="C4690" t="s">
        <v>27</v>
      </c>
      <c r="D4690" t="s">
        <v>22</v>
      </c>
      <c r="E4690">
        <v>2.02</v>
      </c>
      <c r="F4690">
        <v>39</v>
      </c>
      <c r="G4690" t="s">
        <v>23</v>
      </c>
      <c r="H4690" t="s">
        <v>24</v>
      </c>
      <c r="I4690" s="2">
        <v>13.99</v>
      </c>
      <c r="J4690">
        <v>1</v>
      </c>
      <c r="K4690" s="2">
        <f t="shared" si="146"/>
        <v>13.99</v>
      </c>
      <c r="L4690" t="s">
        <v>61</v>
      </c>
      <c r="M4690">
        <v>4</v>
      </c>
      <c r="N4690">
        <v>0.05</v>
      </c>
      <c r="O4690" t="str">
        <f t="shared" si="147"/>
        <v>0–0.2 hours</v>
      </c>
      <c r="P4690" t="s">
        <v>47</v>
      </c>
    </row>
    <row r="4691" spans="1:16" x14ac:dyDescent="0.4">
      <c r="A4691" t="s">
        <v>4732</v>
      </c>
      <c r="B4691">
        <v>31</v>
      </c>
      <c r="C4691" t="s">
        <v>41</v>
      </c>
      <c r="D4691" t="s">
        <v>22</v>
      </c>
      <c r="E4691">
        <v>54.98</v>
      </c>
      <c r="F4691">
        <v>57</v>
      </c>
      <c r="G4691" t="s">
        <v>17</v>
      </c>
      <c r="H4691" t="s">
        <v>55</v>
      </c>
      <c r="I4691" s="2">
        <v>13.99</v>
      </c>
      <c r="J4691">
        <v>0</v>
      </c>
      <c r="K4691" s="2">
        <f t="shared" si="146"/>
        <v>0</v>
      </c>
      <c r="L4691" t="s">
        <v>19</v>
      </c>
      <c r="M4691">
        <v>4</v>
      </c>
      <c r="N4691">
        <v>0.95</v>
      </c>
      <c r="O4691" t="str">
        <f t="shared" si="147"/>
        <v>0.8–1 hour</v>
      </c>
      <c r="P4691" t="s">
        <v>34</v>
      </c>
    </row>
    <row r="4692" spans="1:16" x14ac:dyDescent="0.4">
      <c r="A4692" t="s">
        <v>4733</v>
      </c>
      <c r="B4692">
        <v>41</v>
      </c>
      <c r="C4692" t="s">
        <v>27</v>
      </c>
      <c r="D4692" t="s">
        <v>16</v>
      </c>
      <c r="E4692">
        <v>7.78</v>
      </c>
      <c r="F4692">
        <v>0</v>
      </c>
      <c r="G4692" t="s">
        <v>28</v>
      </c>
      <c r="H4692" t="s">
        <v>57</v>
      </c>
      <c r="I4692" s="2">
        <v>8.99</v>
      </c>
      <c r="J4692">
        <v>0</v>
      </c>
      <c r="K4692" s="2">
        <f t="shared" si="146"/>
        <v>0</v>
      </c>
      <c r="L4692" t="s">
        <v>43</v>
      </c>
      <c r="M4692">
        <v>2</v>
      </c>
      <c r="N4692">
        <v>7.78</v>
      </c>
      <c r="O4692" t="str">
        <f t="shared" si="147"/>
        <v>1+ hours</v>
      </c>
      <c r="P4692" t="s">
        <v>39</v>
      </c>
    </row>
    <row r="4693" spans="1:16" x14ac:dyDescent="0.4">
      <c r="A4693" t="s">
        <v>4734</v>
      </c>
      <c r="B4693">
        <v>32</v>
      </c>
      <c r="C4693" t="s">
        <v>15</v>
      </c>
      <c r="D4693" t="s">
        <v>22</v>
      </c>
      <c r="E4693">
        <v>1.43</v>
      </c>
      <c r="F4693">
        <v>19</v>
      </c>
      <c r="G4693" t="s">
        <v>33</v>
      </c>
      <c r="H4693" t="s">
        <v>46</v>
      </c>
      <c r="I4693" s="2">
        <v>13.99</v>
      </c>
      <c r="J4693">
        <v>1</v>
      </c>
      <c r="K4693" s="2">
        <f t="shared" si="146"/>
        <v>13.99</v>
      </c>
      <c r="L4693" t="s">
        <v>19</v>
      </c>
      <c r="M4693">
        <v>2</v>
      </c>
      <c r="N4693">
        <v>7.0000000000000007E-2</v>
      </c>
      <c r="O4693" t="str">
        <f t="shared" si="147"/>
        <v>0–0.2 hours</v>
      </c>
      <c r="P4693" t="s">
        <v>52</v>
      </c>
    </row>
    <row r="4694" spans="1:16" x14ac:dyDescent="0.4">
      <c r="A4694" t="s">
        <v>4735</v>
      </c>
      <c r="B4694">
        <v>67</v>
      </c>
      <c r="C4694" t="s">
        <v>41</v>
      </c>
      <c r="D4694" t="s">
        <v>32</v>
      </c>
      <c r="E4694">
        <v>18.54</v>
      </c>
      <c r="F4694">
        <v>58</v>
      </c>
      <c r="G4694" t="s">
        <v>17</v>
      </c>
      <c r="H4694" t="s">
        <v>46</v>
      </c>
      <c r="I4694" s="2">
        <v>17.989999999999998</v>
      </c>
      <c r="J4694">
        <v>0</v>
      </c>
      <c r="K4694" s="2">
        <f t="shared" si="146"/>
        <v>0</v>
      </c>
      <c r="L4694" t="s">
        <v>43</v>
      </c>
      <c r="M4694">
        <v>5</v>
      </c>
      <c r="N4694">
        <v>0.31</v>
      </c>
      <c r="O4694" t="str">
        <f t="shared" si="147"/>
        <v>0.2–0.4 hours</v>
      </c>
      <c r="P4694" t="s">
        <v>47</v>
      </c>
    </row>
    <row r="4695" spans="1:16" x14ac:dyDescent="0.4">
      <c r="A4695" t="s">
        <v>4736</v>
      </c>
      <c r="B4695">
        <v>46</v>
      </c>
      <c r="C4695" t="s">
        <v>27</v>
      </c>
      <c r="D4695" t="s">
        <v>16</v>
      </c>
      <c r="E4695">
        <v>4.84</v>
      </c>
      <c r="F4695">
        <v>27</v>
      </c>
      <c r="G4695" t="s">
        <v>17</v>
      </c>
      <c r="H4695" t="s">
        <v>55</v>
      </c>
      <c r="I4695" s="2">
        <v>8.99</v>
      </c>
      <c r="J4695">
        <v>1</v>
      </c>
      <c r="K4695" s="2">
        <f t="shared" si="146"/>
        <v>8.99</v>
      </c>
      <c r="L4695" t="s">
        <v>43</v>
      </c>
      <c r="M4695">
        <v>2</v>
      </c>
      <c r="N4695">
        <v>0.17</v>
      </c>
      <c r="O4695" t="str">
        <f t="shared" si="147"/>
        <v>0–0.2 hours</v>
      </c>
      <c r="P4695" t="s">
        <v>39</v>
      </c>
    </row>
    <row r="4696" spans="1:16" x14ac:dyDescent="0.4">
      <c r="A4696" t="s">
        <v>4737</v>
      </c>
      <c r="B4696">
        <v>54</v>
      </c>
      <c r="C4696" t="s">
        <v>41</v>
      </c>
      <c r="D4696" t="s">
        <v>32</v>
      </c>
      <c r="E4696">
        <v>6.65</v>
      </c>
      <c r="F4696">
        <v>23</v>
      </c>
      <c r="G4696" t="s">
        <v>28</v>
      </c>
      <c r="H4696" t="s">
        <v>24</v>
      </c>
      <c r="I4696" s="2">
        <v>17.989999999999998</v>
      </c>
      <c r="J4696">
        <v>0</v>
      </c>
      <c r="K4696" s="2">
        <f t="shared" si="146"/>
        <v>0</v>
      </c>
      <c r="L4696" t="s">
        <v>43</v>
      </c>
      <c r="M4696">
        <v>4</v>
      </c>
      <c r="N4696">
        <v>0.28000000000000003</v>
      </c>
      <c r="O4696" t="str">
        <f t="shared" si="147"/>
        <v>0.2–0.4 hours</v>
      </c>
      <c r="P4696" t="s">
        <v>47</v>
      </c>
    </row>
    <row r="4697" spans="1:16" x14ac:dyDescent="0.4">
      <c r="A4697" t="s">
        <v>4738</v>
      </c>
      <c r="B4697">
        <v>59</v>
      </c>
      <c r="C4697" t="s">
        <v>41</v>
      </c>
      <c r="D4697" t="s">
        <v>32</v>
      </c>
      <c r="E4697">
        <v>47.14</v>
      </c>
      <c r="F4697">
        <v>35</v>
      </c>
      <c r="G4697" t="s">
        <v>33</v>
      </c>
      <c r="H4697" t="s">
        <v>57</v>
      </c>
      <c r="I4697" s="2">
        <v>17.989999999999998</v>
      </c>
      <c r="J4697">
        <v>0</v>
      </c>
      <c r="K4697" s="2">
        <f t="shared" si="146"/>
        <v>0</v>
      </c>
      <c r="L4697" t="s">
        <v>29</v>
      </c>
      <c r="M4697">
        <v>3</v>
      </c>
      <c r="N4697">
        <v>1.31</v>
      </c>
      <c r="O4697" t="str">
        <f t="shared" si="147"/>
        <v>1+ hours</v>
      </c>
      <c r="P4697" t="s">
        <v>47</v>
      </c>
    </row>
    <row r="4698" spans="1:16" x14ac:dyDescent="0.4">
      <c r="A4698" t="s">
        <v>4739</v>
      </c>
      <c r="B4698">
        <v>44</v>
      </c>
      <c r="C4698" t="s">
        <v>15</v>
      </c>
      <c r="D4698" t="s">
        <v>16</v>
      </c>
      <c r="E4698">
        <v>20.91</v>
      </c>
      <c r="F4698">
        <v>5</v>
      </c>
      <c r="G4698" t="s">
        <v>49</v>
      </c>
      <c r="H4698" t="s">
        <v>46</v>
      </c>
      <c r="I4698" s="2">
        <v>8.99</v>
      </c>
      <c r="J4698">
        <v>0</v>
      </c>
      <c r="K4698" s="2">
        <f t="shared" si="146"/>
        <v>0</v>
      </c>
      <c r="L4698" t="s">
        <v>19</v>
      </c>
      <c r="M4698">
        <v>5</v>
      </c>
      <c r="N4698">
        <v>3.48</v>
      </c>
      <c r="O4698" t="str">
        <f t="shared" si="147"/>
        <v>1+ hours</v>
      </c>
      <c r="P4698" t="s">
        <v>25</v>
      </c>
    </row>
    <row r="4699" spans="1:16" x14ac:dyDescent="0.4">
      <c r="A4699" t="s">
        <v>4740</v>
      </c>
      <c r="B4699">
        <v>62</v>
      </c>
      <c r="C4699" t="s">
        <v>41</v>
      </c>
      <c r="D4699" t="s">
        <v>16</v>
      </c>
      <c r="E4699">
        <v>3.31</v>
      </c>
      <c r="F4699">
        <v>21</v>
      </c>
      <c r="G4699" t="s">
        <v>17</v>
      </c>
      <c r="H4699" t="s">
        <v>18</v>
      </c>
      <c r="I4699" s="2">
        <v>8.99</v>
      </c>
      <c r="J4699">
        <v>1</v>
      </c>
      <c r="K4699" s="2">
        <f t="shared" si="146"/>
        <v>8.99</v>
      </c>
      <c r="L4699" t="s">
        <v>19</v>
      </c>
      <c r="M4699">
        <v>3</v>
      </c>
      <c r="N4699">
        <v>0.15</v>
      </c>
      <c r="O4699" t="str">
        <f t="shared" si="147"/>
        <v>0–0.2 hours</v>
      </c>
      <c r="P4699" t="s">
        <v>20</v>
      </c>
    </row>
    <row r="4700" spans="1:16" x14ac:dyDescent="0.4">
      <c r="A4700" t="s">
        <v>4741</v>
      </c>
      <c r="B4700">
        <v>46</v>
      </c>
      <c r="C4700" t="s">
        <v>41</v>
      </c>
      <c r="D4700" t="s">
        <v>22</v>
      </c>
      <c r="E4700">
        <v>2.98</v>
      </c>
      <c r="F4700">
        <v>51</v>
      </c>
      <c r="G4700" t="s">
        <v>49</v>
      </c>
      <c r="H4700" t="s">
        <v>46</v>
      </c>
      <c r="I4700" s="2">
        <v>13.99</v>
      </c>
      <c r="J4700">
        <v>1</v>
      </c>
      <c r="K4700" s="2">
        <f t="shared" si="146"/>
        <v>13.99</v>
      </c>
      <c r="L4700" t="s">
        <v>61</v>
      </c>
      <c r="M4700">
        <v>1</v>
      </c>
      <c r="N4700">
        <v>0.06</v>
      </c>
      <c r="O4700" t="str">
        <f t="shared" si="147"/>
        <v>0–0.2 hours</v>
      </c>
      <c r="P4700" t="s">
        <v>20</v>
      </c>
    </row>
    <row r="4701" spans="1:16" x14ac:dyDescent="0.4">
      <c r="A4701" t="s">
        <v>4742</v>
      </c>
      <c r="B4701">
        <v>68</v>
      </c>
      <c r="C4701" t="s">
        <v>15</v>
      </c>
      <c r="D4701" t="s">
        <v>22</v>
      </c>
      <c r="E4701">
        <v>37.299999999999997</v>
      </c>
      <c r="F4701">
        <v>31</v>
      </c>
      <c r="G4701" t="s">
        <v>17</v>
      </c>
      <c r="H4701" t="s">
        <v>55</v>
      </c>
      <c r="I4701" s="2">
        <v>13.99</v>
      </c>
      <c r="J4701">
        <v>0</v>
      </c>
      <c r="K4701" s="2">
        <f t="shared" si="146"/>
        <v>0</v>
      </c>
      <c r="L4701" t="s">
        <v>29</v>
      </c>
      <c r="M4701">
        <v>5</v>
      </c>
      <c r="N4701">
        <v>1.17</v>
      </c>
      <c r="O4701" t="str">
        <f t="shared" si="147"/>
        <v>1+ hours</v>
      </c>
      <c r="P4701" t="s">
        <v>20</v>
      </c>
    </row>
    <row r="4702" spans="1:16" x14ac:dyDescent="0.4">
      <c r="A4702" t="s">
        <v>4743</v>
      </c>
      <c r="B4702">
        <v>28</v>
      </c>
      <c r="C4702" t="s">
        <v>27</v>
      </c>
      <c r="D4702" t="s">
        <v>32</v>
      </c>
      <c r="E4702">
        <v>10.38</v>
      </c>
      <c r="F4702">
        <v>33</v>
      </c>
      <c r="G4702" t="s">
        <v>33</v>
      </c>
      <c r="H4702" t="s">
        <v>24</v>
      </c>
      <c r="I4702" s="2">
        <v>17.989999999999998</v>
      </c>
      <c r="J4702">
        <v>1</v>
      </c>
      <c r="K4702" s="2">
        <f t="shared" si="146"/>
        <v>17.989999999999998</v>
      </c>
      <c r="L4702" t="s">
        <v>61</v>
      </c>
      <c r="M4702">
        <v>3</v>
      </c>
      <c r="N4702">
        <v>0.31</v>
      </c>
      <c r="O4702" t="str">
        <f t="shared" si="147"/>
        <v>0.2–0.4 hours</v>
      </c>
      <c r="P4702" t="s">
        <v>52</v>
      </c>
    </row>
    <row r="4703" spans="1:16" x14ac:dyDescent="0.4">
      <c r="A4703" t="s">
        <v>4744</v>
      </c>
      <c r="B4703">
        <v>55</v>
      </c>
      <c r="C4703" t="s">
        <v>41</v>
      </c>
      <c r="D4703" t="s">
        <v>32</v>
      </c>
      <c r="E4703">
        <v>6.14</v>
      </c>
      <c r="F4703">
        <v>25</v>
      </c>
      <c r="G4703" t="s">
        <v>33</v>
      </c>
      <c r="H4703" t="s">
        <v>55</v>
      </c>
      <c r="I4703" s="2">
        <v>17.989999999999998</v>
      </c>
      <c r="J4703">
        <v>0</v>
      </c>
      <c r="K4703" s="2">
        <f t="shared" si="146"/>
        <v>0</v>
      </c>
      <c r="L4703" t="s">
        <v>61</v>
      </c>
      <c r="M4703">
        <v>4</v>
      </c>
      <c r="N4703">
        <v>0.24</v>
      </c>
      <c r="O4703" t="str">
        <f t="shared" si="147"/>
        <v>0.2–0.4 hours</v>
      </c>
      <c r="P4703" t="s">
        <v>47</v>
      </c>
    </row>
    <row r="4704" spans="1:16" x14ac:dyDescent="0.4">
      <c r="A4704" t="s">
        <v>4745</v>
      </c>
      <c r="B4704">
        <v>70</v>
      </c>
      <c r="C4704" t="s">
        <v>15</v>
      </c>
      <c r="D4704" t="s">
        <v>22</v>
      </c>
      <c r="E4704">
        <v>4.75</v>
      </c>
      <c r="F4704">
        <v>54</v>
      </c>
      <c r="G4704" t="s">
        <v>23</v>
      </c>
      <c r="H4704" t="s">
        <v>24</v>
      </c>
      <c r="I4704" s="2">
        <v>13.99</v>
      </c>
      <c r="J4704">
        <v>1</v>
      </c>
      <c r="K4704" s="2">
        <f t="shared" si="146"/>
        <v>13.99</v>
      </c>
      <c r="L4704" t="s">
        <v>19</v>
      </c>
      <c r="M4704">
        <v>3</v>
      </c>
      <c r="N4704">
        <v>0.09</v>
      </c>
      <c r="O4704" t="str">
        <f t="shared" si="147"/>
        <v>0–0.2 hours</v>
      </c>
      <c r="P4704" t="s">
        <v>39</v>
      </c>
    </row>
    <row r="4705" spans="1:16" x14ac:dyDescent="0.4">
      <c r="A4705" t="s">
        <v>4746</v>
      </c>
      <c r="B4705">
        <v>69</v>
      </c>
      <c r="C4705" t="s">
        <v>41</v>
      </c>
      <c r="D4705" t="s">
        <v>22</v>
      </c>
      <c r="E4705">
        <v>7.26</v>
      </c>
      <c r="F4705">
        <v>48</v>
      </c>
      <c r="G4705" t="s">
        <v>17</v>
      </c>
      <c r="H4705" t="s">
        <v>55</v>
      </c>
      <c r="I4705" s="2">
        <v>13.99</v>
      </c>
      <c r="J4705">
        <v>0</v>
      </c>
      <c r="K4705" s="2">
        <f t="shared" si="146"/>
        <v>0</v>
      </c>
      <c r="L4705" t="s">
        <v>61</v>
      </c>
      <c r="M4705">
        <v>5</v>
      </c>
      <c r="N4705">
        <v>0.15</v>
      </c>
      <c r="O4705" t="str">
        <f t="shared" si="147"/>
        <v>0–0.2 hours</v>
      </c>
      <c r="P4705" t="s">
        <v>39</v>
      </c>
    </row>
    <row r="4706" spans="1:16" x14ac:dyDescent="0.4">
      <c r="A4706" s="1" t="s">
        <v>4747</v>
      </c>
      <c r="B4706">
        <v>31</v>
      </c>
      <c r="C4706" t="s">
        <v>15</v>
      </c>
      <c r="D4706" t="s">
        <v>22</v>
      </c>
      <c r="E4706">
        <v>23.56</v>
      </c>
      <c r="F4706">
        <v>40</v>
      </c>
      <c r="G4706" t="s">
        <v>70</v>
      </c>
      <c r="H4706" t="s">
        <v>57</v>
      </c>
      <c r="I4706" s="2">
        <v>13.99</v>
      </c>
      <c r="J4706">
        <v>0</v>
      </c>
      <c r="K4706" s="2">
        <f t="shared" si="146"/>
        <v>0</v>
      </c>
      <c r="L4706" t="s">
        <v>29</v>
      </c>
      <c r="M4706">
        <v>5</v>
      </c>
      <c r="N4706">
        <v>0.56999999999999995</v>
      </c>
      <c r="O4706" t="str">
        <f t="shared" si="147"/>
        <v>0.4–0.6 hours</v>
      </c>
      <c r="P4706" t="s">
        <v>25</v>
      </c>
    </row>
    <row r="4707" spans="1:16" x14ac:dyDescent="0.4">
      <c r="A4707" t="s">
        <v>4748</v>
      </c>
      <c r="B4707">
        <v>55</v>
      </c>
      <c r="C4707" t="s">
        <v>27</v>
      </c>
      <c r="D4707" t="s">
        <v>16</v>
      </c>
      <c r="E4707">
        <v>7.86</v>
      </c>
      <c r="F4707">
        <v>36</v>
      </c>
      <c r="G4707" t="s">
        <v>70</v>
      </c>
      <c r="H4707" t="s">
        <v>55</v>
      </c>
      <c r="I4707" s="2">
        <v>8.99</v>
      </c>
      <c r="J4707">
        <v>1</v>
      </c>
      <c r="K4707" s="2">
        <f t="shared" si="146"/>
        <v>8.99</v>
      </c>
      <c r="L4707" t="s">
        <v>61</v>
      </c>
      <c r="M4707">
        <v>4</v>
      </c>
      <c r="N4707">
        <v>0.21</v>
      </c>
      <c r="O4707" t="str">
        <f t="shared" si="147"/>
        <v>0.2–0.4 hours</v>
      </c>
      <c r="P4707" t="s">
        <v>34</v>
      </c>
    </row>
    <row r="4708" spans="1:16" x14ac:dyDescent="0.4">
      <c r="A4708" t="s">
        <v>4749</v>
      </c>
      <c r="B4708">
        <v>40</v>
      </c>
      <c r="C4708" t="s">
        <v>15</v>
      </c>
      <c r="D4708" t="s">
        <v>22</v>
      </c>
      <c r="E4708">
        <v>7.48</v>
      </c>
      <c r="F4708">
        <v>54</v>
      </c>
      <c r="G4708" t="s">
        <v>17</v>
      </c>
      <c r="H4708" t="s">
        <v>57</v>
      </c>
      <c r="I4708" s="2">
        <v>13.99</v>
      </c>
      <c r="J4708">
        <v>1</v>
      </c>
      <c r="K4708" s="2">
        <f t="shared" si="146"/>
        <v>13.99</v>
      </c>
      <c r="L4708" t="s">
        <v>37</v>
      </c>
      <c r="M4708">
        <v>1</v>
      </c>
      <c r="N4708">
        <v>0.14000000000000001</v>
      </c>
      <c r="O4708" t="str">
        <f t="shared" si="147"/>
        <v>0–0.2 hours</v>
      </c>
      <c r="P4708" t="s">
        <v>47</v>
      </c>
    </row>
    <row r="4709" spans="1:16" x14ac:dyDescent="0.4">
      <c r="A4709" t="s">
        <v>4750</v>
      </c>
      <c r="B4709">
        <v>36</v>
      </c>
      <c r="C4709" t="s">
        <v>41</v>
      </c>
      <c r="D4709" t="s">
        <v>32</v>
      </c>
      <c r="E4709">
        <v>2.13</v>
      </c>
      <c r="F4709">
        <v>54</v>
      </c>
      <c r="G4709" t="s">
        <v>33</v>
      </c>
      <c r="H4709" t="s">
        <v>46</v>
      </c>
      <c r="I4709" s="2">
        <v>17.989999999999998</v>
      </c>
      <c r="J4709">
        <v>1</v>
      </c>
      <c r="K4709" s="2">
        <f t="shared" si="146"/>
        <v>17.989999999999998</v>
      </c>
      <c r="L4709" t="s">
        <v>37</v>
      </c>
      <c r="M4709">
        <v>3</v>
      </c>
      <c r="N4709">
        <v>0.04</v>
      </c>
      <c r="O4709" t="str">
        <f t="shared" si="147"/>
        <v>0–0.2 hours</v>
      </c>
      <c r="P4709" t="s">
        <v>30</v>
      </c>
    </row>
    <row r="4710" spans="1:16" x14ac:dyDescent="0.4">
      <c r="A4710" t="s">
        <v>4751</v>
      </c>
      <c r="B4710">
        <v>62</v>
      </c>
      <c r="C4710" t="s">
        <v>27</v>
      </c>
      <c r="D4710" t="s">
        <v>16</v>
      </c>
      <c r="E4710">
        <v>6.12</v>
      </c>
      <c r="F4710">
        <v>51</v>
      </c>
      <c r="G4710" t="s">
        <v>17</v>
      </c>
      <c r="H4710" t="s">
        <v>57</v>
      </c>
      <c r="I4710" s="2">
        <v>8.99</v>
      </c>
      <c r="J4710">
        <v>1</v>
      </c>
      <c r="K4710" s="2">
        <f t="shared" si="146"/>
        <v>8.99</v>
      </c>
      <c r="L4710" t="s">
        <v>19</v>
      </c>
      <c r="M4710">
        <v>2</v>
      </c>
      <c r="N4710">
        <v>0.12</v>
      </c>
      <c r="O4710" t="str">
        <f t="shared" si="147"/>
        <v>0–0.2 hours</v>
      </c>
      <c r="P4710" t="s">
        <v>25</v>
      </c>
    </row>
    <row r="4711" spans="1:16" x14ac:dyDescent="0.4">
      <c r="A4711" t="s">
        <v>4752</v>
      </c>
      <c r="B4711">
        <v>63</v>
      </c>
      <c r="C4711" t="s">
        <v>15</v>
      </c>
      <c r="D4711" t="s">
        <v>16</v>
      </c>
      <c r="E4711">
        <v>10.71</v>
      </c>
      <c r="F4711">
        <v>43</v>
      </c>
      <c r="G4711" t="s">
        <v>28</v>
      </c>
      <c r="H4711" t="s">
        <v>46</v>
      </c>
      <c r="I4711" s="2">
        <v>8.99</v>
      </c>
      <c r="J4711">
        <v>1</v>
      </c>
      <c r="K4711" s="2">
        <f t="shared" si="146"/>
        <v>8.99</v>
      </c>
      <c r="L4711" t="s">
        <v>37</v>
      </c>
      <c r="M4711">
        <v>2</v>
      </c>
      <c r="N4711">
        <v>0.24</v>
      </c>
      <c r="O4711" t="str">
        <f t="shared" si="147"/>
        <v>0.2–0.4 hours</v>
      </c>
      <c r="P4711" t="s">
        <v>47</v>
      </c>
    </row>
    <row r="4712" spans="1:16" x14ac:dyDescent="0.4">
      <c r="A4712" s="1" t="s">
        <v>4753</v>
      </c>
      <c r="B4712">
        <v>43</v>
      </c>
      <c r="C4712" t="s">
        <v>41</v>
      </c>
      <c r="D4712" t="s">
        <v>22</v>
      </c>
      <c r="E4712">
        <v>1.06</v>
      </c>
      <c r="F4712">
        <v>27</v>
      </c>
      <c r="G4712" t="s">
        <v>28</v>
      </c>
      <c r="H4712" t="s">
        <v>18</v>
      </c>
      <c r="I4712" s="2">
        <v>13.99</v>
      </c>
      <c r="J4712">
        <v>0</v>
      </c>
      <c r="K4712" s="2">
        <f t="shared" si="146"/>
        <v>0</v>
      </c>
      <c r="L4712" t="s">
        <v>43</v>
      </c>
      <c r="M4712">
        <v>4</v>
      </c>
      <c r="N4712">
        <v>0.04</v>
      </c>
      <c r="O4712" t="str">
        <f t="shared" si="147"/>
        <v>0–0.2 hours</v>
      </c>
      <c r="P4712" t="s">
        <v>20</v>
      </c>
    </row>
    <row r="4713" spans="1:16" x14ac:dyDescent="0.4">
      <c r="A4713" t="s">
        <v>4754</v>
      </c>
      <c r="B4713">
        <v>18</v>
      </c>
      <c r="C4713" t="s">
        <v>15</v>
      </c>
      <c r="D4713" t="s">
        <v>32</v>
      </c>
      <c r="E4713">
        <v>12.22</v>
      </c>
      <c r="F4713">
        <v>48</v>
      </c>
      <c r="G4713" t="s">
        <v>23</v>
      </c>
      <c r="H4713" t="s">
        <v>18</v>
      </c>
      <c r="I4713" s="2">
        <v>17.989999999999998</v>
      </c>
      <c r="J4713">
        <v>0</v>
      </c>
      <c r="K4713" s="2">
        <f t="shared" si="146"/>
        <v>0</v>
      </c>
      <c r="L4713" t="s">
        <v>37</v>
      </c>
      <c r="M4713">
        <v>5</v>
      </c>
      <c r="N4713">
        <v>0.25</v>
      </c>
      <c r="O4713" t="str">
        <f t="shared" si="147"/>
        <v>0.2–0.4 hours</v>
      </c>
      <c r="P4713" t="s">
        <v>25</v>
      </c>
    </row>
    <row r="4714" spans="1:16" x14ac:dyDescent="0.4">
      <c r="A4714" t="s">
        <v>4755</v>
      </c>
      <c r="B4714">
        <v>23</v>
      </c>
      <c r="C4714" t="s">
        <v>27</v>
      </c>
      <c r="D4714" t="s">
        <v>22</v>
      </c>
      <c r="E4714">
        <v>3.9</v>
      </c>
      <c r="F4714">
        <v>1</v>
      </c>
      <c r="G4714" t="s">
        <v>33</v>
      </c>
      <c r="H4714" t="s">
        <v>57</v>
      </c>
      <c r="I4714" s="2">
        <v>13.99</v>
      </c>
      <c r="J4714">
        <v>0</v>
      </c>
      <c r="K4714" s="2">
        <f t="shared" si="146"/>
        <v>0</v>
      </c>
      <c r="L4714" t="s">
        <v>61</v>
      </c>
      <c r="M4714">
        <v>1</v>
      </c>
      <c r="N4714">
        <v>1.95</v>
      </c>
      <c r="O4714" t="str">
        <f t="shared" si="147"/>
        <v>1+ hours</v>
      </c>
      <c r="P4714" t="s">
        <v>25</v>
      </c>
    </row>
    <row r="4715" spans="1:16" x14ac:dyDescent="0.4">
      <c r="A4715" t="s">
        <v>4756</v>
      </c>
      <c r="B4715">
        <v>21</v>
      </c>
      <c r="C4715" t="s">
        <v>27</v>
      </c>
      <c r="D4715" t="s">
        <v>32</v>
      </c>
      <c r="E4715">
        <v>19.77</v>
      </c>
      <c r="F4715">
        <v>22</v>
      </c>
      <c r="G4715" t="s">
        <v>23</v>
      </c>
      <c r="H4715" t="s">
        <v>57</v>
      </c>
      <c r="I4715" s="2">
        <v>17.989999999999998</v>
      </c>
      <c r="J4715">
        <v>0</v>
      </c>
      <c r="K4715" s="2">
        <f t="shared" si="146"/>
        <v>0</v>
      </c>
      <c r="L4715" t="s">
        <v>61</v>
      </c>
      <c r="M4715">
        <v>4</v>
      </c>
      <c r="N4715">
        <v>0.86</v>
      </c>
      <c r="O4715" t="str">
        <f t="shared" si="147"/>
        <v>0.8–1 hour</v>
      </c>
      <c r="P4715" t="s">
        <v>39</v>
      </c>
    </row>
    <row r="4716" spans="1:16" x14ac:dyDescent="0.4">
      <c r="A4716" t="s">
        <v>4757</v>
      </c>
      <c r="B4716">
        <v>53</v>
      </c>
      <c r="C4716" t="s">
        <v>41</v>
      </c>
      <c r="D4716" t="s">
        <v>16</v>
      </c>
      <c r="E4716">
        <v>2.42</v>
      </c>
      <c r="F4716">
        <v>11</v>
      </c>
      <c r="G4716" t="s">
        <v>17</v>
      </c>
      <c r="H4716" t="s">
        <v>55</v>
      </c>
      <c r="I4716" s="2">
        <v>8.99</v>
      </c>
      <c r="J4716">
        <v>1</v>
      </c>
      <c r="K4716" s="2">
        <f t="shared" si="146"/>
        <v>8.99</v>
      </c>
      <c r="L4716" t="s">
        <v>19</v>
      </c>
      <c r="M4716">
        <v>5</v>
      </c>
      <c r="N4716">
        <v>0.2</v>
      </c>
      <c r="O4716" t="str">
        <f t="shared" si="147"/>
        <v>0–0.2 hours</v>
      </c>
      <c r="P4716" t="s">
        <v>20</v>
      </c>
    </row>
    <row r="4717" spans="1:16" x14ac:dyDescent="0.4">
      <c r="A4717" t="s">
        <v>4758</v>
      </c>
      <c r="B4717">
        <v>64</v>
      </c>
      <c r="C4717" t="s">
        <v>15</v>
      </c>
      <c r="D4717" t="s">
        <v>32</v>
      </c>
      <c r="E4717">
        <v>7</v>
      </c>
      <c r="F4717">
        <v>9</v>
      </c>
      <c r="G4717" t="s">
        <v>33</v>
      </c>
      <c r="H4717" t="s">
        <v>24</v>
      </c>
      <c r="I4717" s="2">
        <v>17.989999999999998</v>
      </c>
      <c r="J4717">
        <v>0</v>
      </c>
      <c r="K4717" s="2">
        <f t="shared" si="146"/>
        <v>0</v>
      </c>
      <c r="L4717" t="s">
        <v>29</v>
      </c>
      <c r="M4717">
        <v>4</v>
      </c>
      <c r="N4717">
        <v>0.7</v>
      </c>
      <c r="O4717" t="str">
        <f t="shared" si="147"/>
        <v>0.6–0.8 hours</v>
      </c>
      <c r="P4717" t="s">
        <v>30</v>
      </c>
    </row>
    <row r="4718" spans="1:16" x14ac:dyDescent="0.4">
      <c r="A4718" t="s">
        <v>4759</v>
      </c>
      <c r="B4718">
        <v>21</v>
      </c>
      <c r="C4718" t="s">
        <v>15</v>
      </c>
      <c r="D4718" t="s">
        <v>22</v>
      </c>
      <c r="E4718">
        <v>61.8</v>
      </c>
      <c r="F4718">
        <v>41</v>
      </c>
      <c r="G4718" t="s">
        <v>23</v>
      </c>
      <c r="H4718" t="s">
        <v>46</v>
      </c>
      <c r="I4718" s="2">
        <v>13.99</v>
      </c>
      <c r="J4718">
        <v>0</v>
      </c>
      <c r="K4718" s="2">
        <f t="shared" si="146"/>
        <v>0</v>
      </c>
      <c r="L4718" t="s">
        <v>43</v>
      </c>
      <c r="M4718">
        <v>3</v>
      </c>
      <c r="N4718">
        <v>1.47</v>
      </c>
      <c r="O4718" t="str">
        <f t="shared" si="147"/>
        <v>1+ hours</v>
      </c>
      <c r="P4718" t="s">
        <v>30</v>
      </c>
    </row>
    <row r="4719" spans="1:16" x14ac:dyDescent="0.4">
      <c r="A4719" t="s">
        <v>4760</v>
      </c>
      <c r="B4719">
        <v>50</v>
      </c>
      <c r="C4719" t="s">
        <v>27</v>
      </c>
      <c r="D4719" t="s">
        <v>16</v>
      </c>
      <c r="E4719">
        <v>2.84</v>
      </c>
      <c r="F4719">
        <v>36</v>
      </c>
      <c r="G4719" t="s">
        <v>28</v>
      </c>
      <c r="H4719" t="s">
        <v>55</v>
      </c>
      <c r="I4719" s="2">
        <v>8.99</v>
      </c>
      <c r="J4719">
        <v>1</v>
      </c>
      <c r="K4719" s="2">
        <f t="shared" si="146"/>
        <v>8.99</v>
      </c>
      <c r="L4719" t="s">
        <v>19</v>
      </c>
      <c r="M4719">
        <v>3</v>
      </c>
      <c r="N4719">
        <v>0.08</v>
      </c>
      <c r="O4719" t="str">
        <f t="shared" si="147"/>
        <v>0–0.2 hours</v>
      </c>
      <c r="P4719" t="s">
        <v>47</v>
      </c>
    </row>
    <row r="4720" spans="1:16" x14ac:dyDescent="0.4">
      <c r="A4720" t="s">
        <v>4761</v>
      </c>
      <c r="B4720">
        <v>38</v>
      </c>
      <c r="C4720" t="s">
        <v>15</v>
      </c>
      <c r="D4720" t="s">
        <v>22</v>
      </c>
      <c r="E4720">
        <v>5.32</v>
      </c>
      <c r="F4720">
        <v>24</v>
      </c>
      <c r="G4720" t="s">
        <v>23</v>
      </c>
      <c r="H4720" t="s">
        <v>57</v>
      </c>
      <c r="I4720" s="2">
        <v>13.99</v>
      </c>
      <c r="J4720">
        <v>0</v>
      </c>
      <c r="K4720" s="2">
        <f t="shared" si="146"/>
        <v>0</v>
      </c>
      <c r="L4720" t="s">
        <v>29</v>
      </c>
      <c r="M4720">
        <v>4</v>
      </c>
      <c r="N4720">
        <v>0.21</v>
      </c>
      <c r="O4720" t="str">
        <f t="shared" si="147"/>
        <v>0.2–0.4 hours</v>
      </c>
      <c r="P4720" t="s">
        <v>52</v>
      </c>
    </row>
    <row r="4721" spans="1:16" x14ac:dyDescent="0.4">
      <c r="A4721" t="s">
        <v>4762</v>
      </c>
      <c r="B4721">
        <v>67</v>
      </c>
      <c r="C4721" t="s">
        <v>41</v>
      </c>
      <c r="D4721" t="s">
        <v>22</v>
      </c>
      <c r="E4721">
        <v>0.44</v>
      </c>
      <c r="F4721">
        <v>27</v>
      </c>
      <c r="G4721" t="s">
        <v>49</v>
      </c>
      <c r="H4721" t="s">
        <v>57</v>
      </c>
      <c r="I4721" s="2">
        <v>13.99</v>
      </c>
      <c r="J4721">
        <v>1</v>
      </c>
      <c r="K4721" s="2">
        <f t="shared" si="146"/>
        <v>13.99</v>
      </c>
      <c r="L4721" t="s">
        <v>61</v>
      </c>
      <c r="M4721">
        <v>3</v>
      </c>
      <c r="N4721">
        <v>0.02</v>
      </c>
      <c r="O4721" t="str">
        <f t="shared" si="147"/>
        <v>0–0.2 hours</v>
      </c>
      <c r="P4721" t="s">
        <v>20</v>
      </c>
    </row>
    <row r="4722" spans="1:16" x14ac:dyDescent="0.4">
      <c r="A4722" t="s">
        <v>4763</v>
      </c>
      <c r="B4722">
        <v>70</v>
      </c>
      <c r="C4722" t="s">
        <v>27</v>
      </c>
      <c r="D4722" t="s">
        <v>22</v>
      </c>
      <c r="E4722">
        <v>7.16</v>
      </c>
      <c r="F4722">
        <v>40</v>
      </c>
      <c r="G4722" t="s">
        <v>23</v>
      </c>
      <c r="H4722" t="s">
        <v>57</v>
      </c>
      <c r="I4722" s="2">
        <v>13.99</v>
      </c>
      <c r="J4722">
        <v>1</v>
      </c>
      <c r="K4722" s="2">
        <f t="shared" si="146"/>
        <v>13.99</v>
      </c>
      <c r="L4722" t="s">
        <v>37</v>
      </c>
      <c r="M4722">
        <v>1</v>
      </c>
      <c r="N4722">
        <v>0.17</v>
      </c>
      <c r="O4722" t="str">
        <f t="shared" si="147"/>
        <v>0–0.2 hours</v>
      </c>
      <c r="P4722" t="s">
        <v>47</v>
      </c>
    </row>
    <row r="4723" spans="1:16" x14ac:dyDescent="0.4">
      <c r="A4723" t="s">
        <v>4764</v>
      </c>
      <c r="B4723">
        <v>58</v>
      </c>
      <c r="C4723" t="s">
        <v>15</v>
      </c>
      <c r="D4723" t="s">
        <v>22</v>
      </c>
      <c r="E4723">
        <v>0.73</v>
      </c>
      <c r="F4723">
        <v>14</v>
      </c>
      <c r="G4723" t="s">
        <v>23</v>
      </c>
      <c r="H4723" t="s">
        <v>24</v>
      </c>
      <c r="I4723" s="2">
        <v>13.99</v>
      </c>
      <c r="J4723">
        <v>1</v>
      </c>
      <c r="K4723" s="2">
        <f t="shared" si="146"/>
        <v>13.99</v>
      </c>
      <c r="L4723" t="s">
        <v>19</v>
      </c>
      <c r="M4723">
        <v>3</v>
      </c>
      <c r="N4723">
        <v>0.05</v>
      </c>
      <c r="O4723" t="str">
        <f t="shared" si="147"/>
        <v>0–0.2 hours</v>
      </c>
      <c r="P4723" t="s">
        <v>20</v>
      </c>
    </row>
    <row r="4724" spans="1:16" x14ac:dyDescent="0.4">
      <c r="A4724" t="s">
        <v>4765</v>
      </c>
      <c r="B4724">
        <v>21</v>
      </c>
      <c r="C4724" t="s">
        <v>15</v>
      </c>
      <c r="D4724" t="s">
        <v>16</v>
      </c>
      <c r="E4724">
        <v>2.73</v>
      </c>
      <c r="F4724">
        <v>48</v>
      </c>
      <c r="G4724" t="s">
        <v>28</v>
      </c>
      <c r="H4724" t="s">
        <v>18</v>
      </c>
      <c r="I4724" s="2">
        <v>8.99</v>
      </c>
      <c r="J4724">
        <v>1</v>
      </c>
      <c r="K4724" s="2">
        <f t="shared" si="146"/>
        <v>8.99</v>
      </c>
      <c r="L4724" t="s">
        <v>43</v>
      </c>
      <c r="M4724">
        <v>5</v>
      </c>
      <c r="N4724">
        <v>0.06</v>
      </c>
      <c r="O4724" t="str">
        <f t="shared" si="147"/>
        <v>0–0.2 hours</v>
      </c>
      <c r="P4724" t="s">
        <v>30</v>
      </c>
    </row>
    <row r="4725" spans="1:16" x14ac:dyDescent="0.4">
      <c r="A4725" t="s">
        <v>4766</v>
      </c>
      <c r="B4725">
        <v>28</v>
      </c>
      <c r="C4725" t="s">
        <v>15</v>
      </c>
      <c r="D4725" t="s">
        <v>32</v>
      </c>
      <c r="E4725">
        <v>17.100000000000001</v>
      </c>
      <c r="F4725">
        <v>16</v>
      </c>
      <c r="G4725" t="s">
        <v>17</v>
      </c>
      <c r="H4725" t="s">
        <v>55</v>
      </c>
      <c r="I4725" s="2">
        <v>17.989999999999998</v>
      </c>
      <c r="J4725">
        <v>0</v>
      </c>
      <c r="K4725" s="2">
        <f t="shared" si="146"/>
        <v>0</v>
      </c>
      <c r="L4725" t="s">
        <v>29</v>
      </c>
      <c r="M4725">
        <v>4</v>
      </c>
      <c r="N4725">
        <v>1.01</v>
      </c>
      <c r="O4725" t="str">
        <f t="shared" si="147"/>
        <v>1+ hours</v>
      </c>
      <c r="P4725" t="s">
        <v>20</v>
      </c>
    </row>
    <row r="4726" spans="1:16" x14ac:dyDescent="0.4">
      <c r="A4726" t="s">
        <v>4767</v>
      </c>
      <c r="B4726">
        <v>61</v>
      </c>
      <c r="C4726" t="s">
        <v>41</v>
      </c>
      <c r="D4726" t="s">
        <v>16</v>
      </c>
      <c r="E4726">
        <v>20.11</v>
      </c>
      <c r="F4726">
        <v>17</v>
      </c>
      <c r="G4726" t="s">
        <v>70</v>
      </c>
      <c r="H4726" t="s">
        <v>55</v>
      </c>
      <c r="I4726" s="2">
        <v>8.99</v>
      </c>
      <c r="J4726">
        <v>0</v>
      </c>
      <c r="K4726" s="2">
        <f t="shared" si="146"/>
        <v>0</v>
      </c>
      <c r="L4726" t="s">
        <v>37</v>
      </c>
      <c r="M4726">
        <v>1</v>
      </c>
      <c r="N4726">
        <v>1.1200000000000001</v>
      </c>
      <c r="O4726" t="str">
        <f t="shared" si="147"/>
        <v>1+ hours</v>
      </c>
      <c r="P4726" t="s">
        <v>47</v>
      </c>
    </row>
    <row r="4727" spans="1:16" x14ac:dyDescent="0.4">
      <c r="A4727" t="s">
        <v>4768</v>
      </c>
      <c r="B4727">
        <v>27</v>
      </c>
      <c r="C4727" t="s">
        <v>41</v>
      </c>
      <c r="D4727" t="s">
        <v>16</v>
      </c>
      <c r="E4727">
        <v>31</v>
      </c>
      <c r="F4727">
        <v>57</v>
      </c>
      <c r="G4727" t="s">
        <v>49</v>
      </c>
      <c r="H4727" t="s">
        <v>18</v>
      </c>
      <c r="I4727" s="2">
        <v>8.99</v>
      </c>
      <c r="J4727">
        <v>0</v>
      </c>
      <c r="K4727" s="2">
        <f t="shared" si="146"/>
        <v>0</v>
      </c>
      <c r="L4727" t="s">
        <v>29</v>
      </c>
      <c r="M4727">
        <v>5</v>
      </c>
      <c r="N4727">
        <v>0.53</v>
      </c>
      <c r="O4727" t="str">
        <f t="shared" si="147"/>
        <v>0.4–0.6 hours</v>
      </c>
      <c r="P4727" t="s">
        <v>39</v>
      </c>
    </row>
    <row r="4728" spans="1:16" x14ac:dyDescent="0.4">
      <c r="A4728" t="s">
        <v>4769</v>
      </c>
      <c r="B4728">
        <v>63</v>
      </c>
      <c r="C4728" t="s">
        <v>15</v>
      </c>
      <c r="D4728" t="s">
        <v>22</v>
      </c>
      <c r="E4728">
        <v>11.42</v>
      </c>
      <c r="F4728">
        <v>57</v>
      </c>
      <c r="G4728" t="s">
        <v>23</v>
      </c>
      <c r="H4728" t="s">
        <v>55</v>
      </c>
      <c r="I4728" s="2">
        <v>13.99</v>
      </c>
      <c r="J4728">
        <v>1</v>
      </c>
      <c r="K4728" s="2">
        <f t="shared" si="146"/>
        <v>13.99</v>
      </c>
      <c r="L4728" t="s">
        <v>61</v>
      </c>
      <c r="M4728">
        <v>1</v>
      </c>
      <c r="N4728">
        <v>0.2</v>
      </c>
      <c r="O4728" t="str">
        <f t="shared" si="147"/>
        <v>0–0.2 hours</v>
      </c>
      <c r="P4728" t="s">
        <v>34</v>
      </c>
    </row>
    <row r="4729" spans="1:16" x14ac:dyDescent="0.4">
      <c r="A4729" t="s">
        <v>4770</v>
      </c>
      <c r="B4729">
        <v>51</v>
      </c>
      <c r="C4729" t="s">
        <v>41</v>
      </c>
      <c r="D4729" t="s">
        <v>32</v>
      </c>
      <c r="E4729">
        <v>14.64</v>
      </c>
      <c r="F4729">
        <v>23</v>
      </c>
      <c r="G4729" t="s">
        <v>17</v>
      </c>
      <c r="H4729" t="s">
        <v>57</v>
      </c>
      <c r="I4729" s="2">
        <v>17.989999999999998</v>
      </c>
      <c r="J4729">
        <v>0</v>
      </c>
      <c r="K4729" s="2">
        <f t="shared" si="146"/>
        <v>0</v>
      </c>
      <c r="L4729" t="s">
        <v>61</v>
      </c>
      <c r="M4729">
        <v>4</v>
      </c>
      <c r="N4729">
        <v>0.61</v>
      </c>
      <c r="O4729" t="str">
        <f t="shared" si="147"/>
        <v>0.6–0.8 hours</v>
      </c>
      <c r="P4729" t="s">
        <v>52</v>
      </c>
    </row>
    <row r="4730" spans="1:16" x14ac:dyDescent="0.4">
      <c r="A4730" t="s">
        <v>4771</v>
      </c>
      <c r="B4730">
        <v>40</v>
      </c>
      <c r="C4730" t="s">
        <v>27</v>
      </c>
      <c r="D4730" t="s">
        <v>16</v>
      </c>
      <c r="E4730">
        <v>5.54</v>
      </c>
      <c r="F4730">
        <v>11</v>
      </c>
      <c r="G4730" t="s">
        <v>33</v>
      </c>
      <c r="H4730" t="s">
        <v>24</v>
      </c>
      <c r="I4730" s="2">
        <v>8.99</v>
      </c>
      <c r="J4730">
        <v>1</v>
      </c>
      <c r="K4730" s="2">
        <f t="shared" si="146"/>
        <v>8.99</v>
      </c>
      <c r="L4730" t="s">
        <v>19</v>
      </c>
      <c r="M4730">
        <v>1</v>
      </c>
      <c r="N4730">
        <v>0.46</v>
      </c>
      <c r="O4730" t="str">
        <f t="shared" si="147"/>
        <v>0.4–0.6 hours</v>
      </c>
      <c r="P4730" t="s">
        <v>30</v>
      </c>
    </row>
    <row r="4731" spans="1:16" x14ac:dyDescent="0.4">
      <c r="A4731" t="s">
        <v>4772</v>
      </c>
      <c r="B4731">
        <v>47</v>
      </c>
      <c r="C4731" t="s">
        <v>27</v>
      </c>
      <c r="D4731" t="s">
        <v>32</v>
      </c>
      <c r="E4731">
        <v>34.18</v>
      </c>
      <c r="F4731">
        <v>50</v>
      </c>
      <c r="G4731" t="s">
        <v>23</v>
      </c>
      <c r="H4731" t="s">
        <v>55</v>
      </c>
      <c r="I4731" s="2">
        <v>17.989999999999998</v>
      </c>
      <c r="J4731">
        <v>0</v>
      </c>
      <c r="K4731" s="2">
        <f t="shared" si="146"/>
        <v>0</v>
      </c>
      <c r="L4731" t="s">
        <v>29</v>
      </c>
      <c r="M4731">
        <v>4</v>
      </c>
      <c r="N4731">
        <v>0.67</v>
      </c>
      <c r="O4731" t="str">
        <f t="shared" si="147"/>
        <v>0.6–0.8 hours</v>
      </c>
      <c r="P4731" t="s">
        <v>30</v>
      </c>
    </row>
    <row r="4732" spans="1:16" x14ac:dyDescent="0.4">
      <c r="A4732" t="s">
        <v>4773</v>
      </c>
      <c r="B4732">
        <v>19</v>
      </c>
      <c r="C4732" t="s">
        <v>15</v>
      </c>
      <c r="D4732" t="s">
        <v>16</v>
      </c>
      <c r="E4732">
        <v>1.23</v>
      </c>
      <c r="F4732">
        <v>47</v>
      </c>
      <c r="G4732" t="s">
        <v>28</v>
      </c>
      <c r="H4732" t="s">
        <v>24</v>
      </c>
      <c r="I4732" s="2">
        <v>8.99</v>
      </c>
      <c r="J4732">
        <v>1</v>
      </c>
      <c r="K4732" s="2">
        <f t="shared" si="146"/>
        <v>8.99</v>
      </c>
      <c r="L4732" t="s">
        <v>37</v>
      </c>
      <c r="M4732">
        <v>4</v>
      </c>
      <c r="N4732">
        <v>0.03</v>
      </c>
      <c r="O4732" t="str">
        <f t="shared" si="147"/>
        <v>0–0.2 hours</v>
      </c>
      <c r="P4732" t="s">
        <v>25</v>
      </c>
    </row>
    <row r="4733" spans="1:16" x14ac:dyDescent="0.4">
      <c r="A4733" t="s">
        <v>4774</v>
      </c>
      <c r="B4733">
        <v>43</v>
      </c>
      <c r="C4733" t="s">
        <v>27</v>
      </c>
      <c r="D4733" t="s">
        <v>16</v>
      </c>
      <c r="E4733">
        <v>7.51</v>
      </c>
      <c r="F4733">
        <v>2</v>
      </c>
      <c r="G4733" t="s">
        <v>23</v>
      </c>
      <c r="H4733" t="s">
        <v>18</v>
      </c>
      <c r="I4733" s="2">
        <v>8.99</v>
      </c>
      <c r="J4733">
        <v>0</v>
      </c>
      <c r="K4733" s="2">
        <f t="shared" si="146"/>
        <v>0</v>
      </c>
      <c r="L4733" t="s">
        <v>61</v>
      </c>
      <c r="M4733">
        <v>4</v>
      </c>
      <c r="N4733">
        <v>2.5</v>
      </c>
      <c r="O4733" t="str">
        <f t="shared" si="147"/>
        <v>1+ hours</v>
      </c>
      <c r="P4733" t="s">
        <v>30</v>
      </c>
    </row>
    <row r="4734" spans="1:16" x14ac:dyDescent="0.4">
      <c r="A4734" t="s">
        <v>4775</v>
      </c>
      <c r="B4734">
        <v>63</v>
      </c>
      <c r="C4734" t="s">
        <v>41</v>
      </c>
      <c r="D4734" t="s">
        <v>22</v>
      </c>
      <c r="E4734">
        <v>16.41</v>
      </c>
      <c r="F4734">
        <v>34</v>
      </c>
      <c r="G4734" t="s">
        <v>70</v>
      </c>
      <c r="H4734" t="s">
        <v>18</v>
      </c>
      <c r="I4734" s="2">
        <v>13.99</v>
      </c>
      <c r="J4734">
        <v>1</v>
      </c>
      <c r="K4734" s="2">
        <f t="shared" si="146"/>
        <v>13.99</v>
      </c>
      <c r="L4734" t="s">
        <v>43</v>
      </c>
      <c r="M4734">
        <v>1</v>
      </c>
      <c r="N4734">
        <v>0.47</v>
      </c>
      <c r="O4734" t="str">
        <f t="shared" si="147"/>
        <v>0.4–0.6 hours</v>
      </c>
      <c r="P4734" t="s">
        <v>25</v>
      </c>
    </row>
    <row r="4735" spans="1:16" x14ac:dyDescent="0.4">
      <c r="A4735" t="s">
        <v>4776</v>
      </c>
      <c r="B4735">
        <v>39</v>
      </c>
      <c r="C4735" t="s">
        <v>27</v>
      </c>
      <c r="D4735" t="s">
        <v>22</v>
      </c>
      <c r="E4735">
        <v>11.29</v>
      </c>
      <c r="F4735">
        <v>40</v>
      </c>
      <c r="G4735" t="s">
        <v>23</v>
      </c>
      <c r="H4735" t="s">
        <v>46</v>
      </c>
      <c r="I4735" s="2">
        <v>13.99</v>
      </c>
      <c r="J4735">
        <v>1</v>
      </c>
      <c r="K4735" s="2">
        <f t="shared" si="146"/>
        <v>13.99</v>
      </c>
      <c r="L4735" t="s">
        <v>29</v>
      </c>
      <c r="M4735">
        <v>1</v>
      </c>
      <c r="N4735">
        <v>0.28000000000000003</v>
      </c>
      <c r="O4735" t="str">
        <f t="shared" si="147"/>
        <v>0.2–0.4 hours</v>
      </c>
      <c r="P4735" t="s">
        <v>52</v>
      </c>
    </row>
    <row r="4736" spans="1:16" x14ac:dyDescent="0.4">
      <c r="A4736" t="s">
        <v>4777</v>
      </c>
      <c r="B4736">
        <v>20</v>
      </c>
      <c r="C4736" t="s">
        <v>15</v>
      </c>
      <c r="D4736" t="s">
        <v>16</v>
      </c>
      <c r="E4736">
        <v>0.37</v>
      </c>
      <c r="F4736">
        <v>27</v>
      </c>
      <c r="G4736" t="s">
        <v>17</v>
      </c>
      <c r="H4736" t="s">
        <v>55</v>
      </c>
      <c r="I4736" s="2">
        <v>8.99</v>
      </c>
      <c r="J4736">
        <v>1</v>
      </c>
      <c r="K4736" s="2">
        <f t="shared" si="146"/>
        <v>8.99</v>
      </c>
      <c r="L4736" t="s">
        <v>43</v>
      </c>
      <c r="M4736">
        <v>1</v>
      </c>
      <c r="N4736">
        <v>0.01</v>
      </c>
      <c r="O4736" t="str">
        <f t="shared" si="147"/>
        <v>0–0.2 hours</v>
      </c>
      <c r="P4736" t="s">
        <v>30</v>
      </c>
    </row>
    <row r="4737" spans="1:16" x14ac:dyDescent="0.4">
      <c r="A4737" t="s">
        <v>4778</v>
      </c>
      <c r="B4737">
        <v>39</v>
      </c>
      <c r="C4737" t="s">
        <v>27</v>
      </c>
      <c r="D4737" t="s">
        <v>16</v>
      </c>
      <c r="E4737">
        <v>7.24</v>
      </c>
      <c r="F4737">
        <v>8</v>
      </c>
      <c r="G4737" t="s">
        <v>33</v>
      </c>
      <c r="H4737" t="s">
        <v>24</v>
      </c>
      <c r="I4737" s="2">
        <v>8.99</v>
      </c>
      <c r="J4737">
        <v>0</v>
      </c>
      <c r="K4737" s="2">
        <f t="shared" si="146"/>
        <v>0</v>
      </c>
      <c r="L4737" t="s">
        <v>61</v>
      </c>
      <c r="M4737">
        <v>3</v>
      </c>
      <c r="N4737">
        <v>0.8</v>
      </c>
      <c r="O4737" t="str">
        <f t="shared" si="147"/>
        <v>0.6–0.8 hours</v>
      </c>
      <c r="P4737" t="s">
        <v>34</v>
      </c>
    </row>
    <row r="4738" spans="1:16" x14ac:dyDescent="0.4">
      <c r="A4738" t="s">
        <v>4779</v>
      </c>
      <c r="B4738">
        <v>30</v>
      </c>
      <c r="C4738" t="s">
        <v>15</v>
      </c>
      <c r="D4738" t="s">
        <v>32</v>
      </c>
      <c r="E4738">
        <v>21.23</v>
      </c>
      <c r="F4738">
        <v>50</v>
      </c>
      <c r="G4738" t="s">
        <v>17</v>
      </c>
      <c r="H4738" t="s">
        <v>24</v>
      </c>
      <c r="I4738" s="2">
        <v>17.989999999999998</v>
      </c>
      <c r="J4738">
        <v>0</v>
      </c>
      <c r="K4738" s="2">
        <f t="shared" si="146"/>
        <v>0</v>
      </c>
      <c r="L4738" t="s">
        <v>61</v>
      </c>
      <c r="M4738">
        <v>2</v>
      </c>
      <c r="N4738">
        <v>0.42</v>
      </c>
      <c r="O4738" t="str">
        <f t="shared" si="147"/>
        <v>0.4–0.6 hours</v>
      </c>
      <c r="P4738" t="s">
        <v>30</v>
      </c>
    </row>
    <row r="4739" spans="1:16" x14ac:dyDescent="0.4">
      <c r="A4739" t="s">
        <v>4780</v>
      </c>
      <c r="B4739">
        <v>46</v>
      </c>
      <c r="C4739" t="s">
        <v>41</v>
      </c>
      <c r="D4739" t="s">
        <v>22</v>
      </c>
      <c r="E4739">
        <v>0.89</v>
      </c>
      <c r="F4739">
        <v>35</v>
      </c>
      <c r="G4739" t="s">
        <v>33</v>
      </c>
      <c r="H4739" t="s">
        <v>57</v>
      </c>
      <c r="I4739" s="2">
        <v>13.99</v>
      </c>
      <c r="J4739">
        <v>1</v>
      </c>
      <c r="K4739" s="2">
        <f t="shared" ref="K4739:K4802" si="148">SUMIF(J4739,1,I4739)</f>
        <v>13.99</v>
      </c>
      <c r="L4739" t="s">
        <v>19</v>
      </c>
      <c r="M4739">
        <v>1</v>
      </c>
      <c r="N4739">
        <v>0.02</v>
      </c>
      <c r="O4739" t="str">
        <f t="shared" ref="O4739:O4802" si="149">IF(N4739&gt;1,"1+ hours",IF(N4739&lt;=0.2,"0–0.2 hours",IF(N4739&lt;=0.4,"0.2–0.4 hours",IF(N4739&lt;=0.6,"0.4–0.6 hours",IF(N4739&lt;=0.8,"0.6–0.8 hours","0.8–1 hour")))))</f>
        <v>0–0.2 hours</v>
      </c>
      <c r="P4739" t="s">
        <v>30</v>
      </c>
    </row>
    <row r="4740" spans="1:16" x14ac:dyDescent="0.4">
      <c r="A4740" t="s">
        <v>4781</v>
      </c>
      <c r="B4740">
        <v>66</v>
      </c>
      <c r="C4740" t="s">
        <v>15</v>
      </c>
      <c r="D4740" t="s">
        <v>16</v>
      </c>
      <c r="E4740">
        <v>1.21</v>
      </c>
      <c r="F4740">
        <v>7</v>
      </c>
      <c r="G4740" t="s">
        <v>17</v>
      </c>
      <c r="H4740" t="s">
        <v>18</v>
      </c>
      <c r="I4740" s="2">
        <v>8.99</v>
      </c>
      <c r="J4740">
        <v>1</v>
      </c>
      <c r="K4740" s="2">
        <f t="shared" si="148"/>
        <v>8.99</v>
      </c>
      <c r="L4740" t="s">
        <v>29</v>
      </c>
      <c r="M4740">
        <v>5</v>
      </c>
      <c r="N4740">
        <v>0.15</v>
      </c>
      <c r="O4740" t="str">
        <f t="shared" si="149"/>
        <v>0–0.2 hours</v>
      </c>
      <c r="P4740" t="s">
        <v>52</v>
      </c>
    </row>
    <row r="4741" spans="1:16" x14ac:dyDescent="0.4">
      <c r="A4741" t="s">
        <v>4782</v>
      </c>
      <c r="B4741">
        <v>19</v>
      </c>
      <c r="C4741" t="s">
        <v>15</v>
      </c>
      <c r="D4741" t="s">
        <v>32</v>
      </c>
      <c r="E4741">
        <v>13.21</v>
      </c>
      <c r="F4741">
        <v>32</v>
      </c>
      <c r="G4741" t="s">
        <v>28</v>
      </c>
      <c r="H4741" t="s">
        <v>55</v>
      </c>
      <c r="I4741" s="2">
        <v>17.989999999999998</v>
      </c>
      <c r="J4741">
        <v>1</v>
      </c>
      <c r="K4741" s="2">
        <f t="shared" si="148"/>
        <v>17.989999999999998</v>
      </c>
      <c r="L4741" t="s">
        <v>29</v>
      </c>
      <c r="M4741">
        <v>2</v>
      </c>
      <c r="N4741">
        <v>0.4</v>
      </c>
      <c r="O4741" t="str">
        <f t="shared" si="149"/>
        <v>0.2–0.4 hours</v>
      </c>
      <c r="P4741" t="s">
        <v>20</v>
      </c>
    </row>
    <row r="4742" spans="1:16" x14ac:dyDescent="0.4">
      <c r="A4742" t="s">
        <v>4783</v>
      </c>
      <c r="B4742">
        <v>54</v>
      </c>
      <c r="C4742" t="s">
        <v>41</v>
      </c>
      <c r="D4742" t="s">
        <v>32</v>
      </c>
      <c r="E4742">
        <v>18.07</v>
      </c>
      <c r="F4742">
        <v>14</v>
      </c>
      <c r="G4742" t="s">
        <v>28</v>
      </c>
      <c r="H4742" t="s">
        <v>18</v>
      </c>
      <c r="I4742" s="2">
        <v>17.989999999999998</v>
      </c>
      <c r="J4742">
        <v>0</v>
      </c>
      <c r="K4742" s="2">
        <f t="shared" si="148"/>
        <v>0</v>
      </c>
      <c r="L4742" t="s">
        <v>37</v>
      </c>
      <c r="M4742">
        <v>2</v>
      </c>
      <c r="N4742">
        <v>1.2</v>
      </c>
      <c r="O4742" t="str">
        <f t="shared" si="149"/>
        <v>1+ hours</v>
      </c>
      <c r="P4742" t="s">
        <v>25</v>
      </c>
    </row>
    <row r="4743" spans="1:16" x14ac:dyDescent="0.4">
      <c r="A4743" t="s">
        <v>4784</v>
      </c>
      <c r="B4743">
        <v>32</v>
      </c>
      <c r="C4743" t="s">
        <v>27</v>
      </c>
      <c r="D4743" t="s">
        <v>22</v>
      </c>
      <c r="E4743">
        <v>12.46</v>
      </c>
      <c r="F4743">
        <v>17</v>
      </c>
      <c r="G4743" t="s">
        <v>17</v>
      </c>
      <c r="H4743" t="s">
        <v>46</v>
      </c>
      <c r="I4743" s="2">
        <v>13.99</v>
      </c>
      <c r="J4743">
        <v>0</v>
      </c>
      <c r="K4743" s="2">
        <f t="shared" si="148"/>
        <v>0</v>
      </c>
      <c r="L4743" t="s">
        <v>37</v>
      </c>
      <c r="M4743">
        <v>5</v>
      </c>
      <c r="N4743">
        <v>0.69</v>
      </c>
      <c r="O4743" t="str">
        <f t="shared" si="149"/>
        <v>0.6–0.8 hours</v>
      </c>
      <c r="P4743" t="s">
        <v>47</v>
      </c>
    </row>
    <row r="4744" spans="1:16" x14ac:dyDescent="0.4">
      <c r="A4744" t="s">
        <v>4785</v>
      </c>
      <c r="B4744">
        <v>40</v>
      </c>
      <c r="C4744" t="s">
        <v>27</v>
      </c>
      <c r="D4744" t="s">
        <v>16</v>
      </c>
      <c r="E4744">
        <v>3.95</v>
      </c>
      <c r="F4744">
        <v>34</v>
      </c>
      <c r="G4744" t="s">
        <v>33</v>
      </c>
      <c r="H4744" t="s">
        <v>57</v>
      </c>
      <c r="I4744" s="2">
        <v>8.99</v>
      </c>
      <c r="J4744">
        <v>1</v>
      </c>
      <c r="K4744" s="2">
        <f t="shared" si="148"/>
        <v>8.99</v>
      </c>
      <c r="L4744" t="s">
        <v>37</v>
      </c>
      <c r="M4744">
        <v>4</v>
      </c>
      <c r="N4744">
        <v>0.11</v>
      </c>
      <c r="O4744" t="str">
        <f t="shared" si="149"/>
        <v>0–0.2 hours</v>
      </c>
      <c r="P4744" t="s">
        <v>47</v>
      </c>
    </row>
    <row r="4745" spans="1:16" x14ac:dyDescent="0.4">
      <c r="A4745" t="s">
        <v>4786</v>
      </c>
      <c r="B4745">
        <v>51</v>
      </c>
      <c r="C4745" t="s">
        <v>27</v>
      </c>
      <c r="D4745" t="s">
        <v>16</v>
      </c>
      <c r="E4745">
        <v>7.4</v>
      </c>
      <c r="F4745">
        <v>49</v>
      </c>
      <c r="G4745" t="s">
        <v>33</v>
      </c>
      <c r="H4745" t="s">
        <v>24</v>
      </c>
      <c r="I4745" s="2">
        <v>8.99</v>
      </c>
      <c r="J4745">
        <v>1</v>
      </c>
      <c r="K4745" s="2">
        <f t="shared" si="148"/>
        <v>8.99</v>
      </c>
      <c r="L4745" t="s">
        <v>43</v>
      </c>
      <c r="M4745">
        <v>4</v>
      </c>
      <c r="N4745">
        <v>0.15</v>
      </c>
      <c r="O4745" t="str">
        <f t="shared" si="149"/>
        <v>0–0.2 hours</v>
      </c>
      <c r="P4745" t="s">
        <v>52</v>
      </c>
    </row>
    <row r="4746" spans="1:16" x14ac:dyDescent="0.4">
      <c r="A4746" t="s">
        <v>4787</v>
      </c>
      <c r="B4746">
        <v>24</v>
      </c>
      <c r="C4746" t="s">
        <v>15</v>
      </c>
      <c r="D4746" t="s">
        <v>32</v>
      </c>
      <c r="E4746">
        <v>5.54</v>
      </c>
      <c r="F4746">
        <v>47</v>
      </c>
      <c r="G4746" t="s">
        <v>17</v>
      </c>
      <c r="H4746" t="s">
        <v>57</v>
      </c>
      <c r="I4746" s="2">
        <v>17.989999999999998</v>
      </c>
      <c r="J4746">
        <v>0</v>
      </c>
      <c r="K4746" s="2">
        <f t="shared" si="148"/>
        <v>0</v>
      </c>
      <c r="L4746" t="s">
        <v>43</v>
      </c>
      <c r="M4746">
        <v>5</v>
      </c>
      <c r="N4746">
        <v>0.12</v>
      </c>
      <c r="O4746" t="str">
        <f t="shared" si="149"/>
        <v>0–0.2 hours</v>
      </c>
      <c r="P4746" t="s">
        <v>52</v>
      </c>
    </row>
    <row r="4747" spans="1:16" x14ac:dyDescent="0.4">
      <c r="A4747" t="s">
        <v>4788</v>
      </c>
      <c r="B4747">
        <v>50</v>
      </c>
      <c r="C4747" t="s">
        <v>41</v>
      </c>
      <c r="D4747" t="s">
        <v>16</v>
      </c>
      <c r="E4747">
        <v>34.909999999999997</v>
      </c>
      <c r="F4747">
        <v>55</v>
      </c>
      <c r="G4747" t="s">
        <v>49</v>
      </c>
      <c r="H4747" t="s">
        <v>57</v>
      </c>
      <c r="I4747" s="2">
        <v>8.99</v>
      </c>
      <c r="J4747">
        <v>0</v>
      </c>
      <c r="K4747" s="2">
        <f t="shared" si="148"/>
        <v>0</v>
      </c>
      <c r="L4747" t="s">
        <v>43</v>
      </c>
      <c r="M4747">
        <v>1</v>
      </c>
      <c r="N4747">
        <v>0.62</v>
      </c>
      <c r="O4747" t="str">
        <f t="shared" si="149"/>
        <v>0.6–0.8 hours</v>
      </c>
      <c r="P4747" t="s">
        <v>30</v>
      </c>
    </row>
    <row r="4748" spans="1:16" x14ac:dyDescent="0.4">
      <c r="A4748" t="s">
        <v>4789</v>
      </c>
      <c r="B4748">
        <v>52</v>
      </c>
      <c r="C4748" t="s">
        <v>27</v>
      </c>
      <c r="D4748" t="s">
        <v>32</v>
      </c>
      <c r="E4748">
        <v>19.84</v>
      </c>
      <c r="F4748">
        <v>51</v>
      </c>
      <c r="G4748" t="s">
        <v>49</v>
      </c>
      <c r="H4748" t="s">
        <v>57</v>
      </c>
      <c r="I4748" s="2">
        <v>17.989999999999998</v>
      </c>
      <c r="J4748">
        <v>0</v>
      </c>
      <c r="K4748" s="2">
        <f t="shared" si="148"/>
        <v>0</v>
      </c>
      <c r="L4748" t="s">
        <v>43</v>
      </c>
      <c r="M4748">
        <v>4</v>
      </c>
      <c r="N4748">
        <v>0.38</v>
      </c>
      <c r="O4748" t="str">
        <f t="shared" si="149"/>
        <v>0.2–0.4 hours</v>
      </c>
      <c r="P4748" t="s">
        <v>30</v>
      </c>
    </row>
    <row r="4749" spans="1:16" x14ac:dyDescent="0.4">
      <c r="A4749" t="s">
        <v>4790</v>
      </c>
      <c r="B4749">
        <v>40</v>
      </c>
      <c r="C4749" t="s">
        <v>41</v>
      </c>
      <c r="D4749" t="s">
        <v>22</v>
      </c>
      <c r="E4749">
        <v>1.53</v>
      </c>
      <c r="F4749">
        <v>23</v>
      </c>
      <c r="G4749" t="s">
        <v>17</v>
      </c>
      <c r="H4749" t="s">
        <v>46</v>
      </c>
      <c r="I4749" s="2">
        <v>13.99</v>
      </c>
      <c r="J4749">
        <v>1</v>
      </c>
      <c r="K4749" s="2">
        <f t="shared" si="148"/>
        <v>13.99</v>
      </c>
      <c r="L4749" t="s">
        <v>61</v>
      </c>
      <c r="M4749">
        <v>1</v>
      </c>
      <c r="N4749">
        <v>0.06</v>
      </c>
      <c r="O4749" t="str">
        <f t="shared" si="149"/>
        <v>0–0.2 hours</v>
      </c>
      <c r="P4749" t="s">
        <v>30</v>
      </c>
    </row>
    <row r="4750" spans="1:16" x14ac:dyDescent="0.4">
      <c r="A4750" t="s">
        <v>4791</v>
      </c>
      <c r="B4750">
        <v>24</v>
      </c>
      <c r="C4750" t="s">
        <v>27</v>
      </c>
      <c r="D4750" t="s">
        <v>22</v>
      </c>
      <c r="E4750">
        <v>30.63</v>
      </c>
      <c r="F4750">
        <v>58</v>
      </c>
      <c r="G4750" t="s">
        <v>33</v>
      </c>
      <c r="H4750" t="s">
        <v>24</v>
      </c>
      <c r="I4750" s="2">
        <v>13.99</v>
      </c>
      <c r="J4750">
        <v>0</v>
      </c>
      <c r="K4750" s="2">
        <f t="shared" si="148"/>
        <v>0</v>
      </c>
      <c r="L4750" t="s">
        <v>37</v>
      </c>
      <c r="M4750">
        <v>4</v>
      </c>
      <c r="N4750">
        <v>0.52</v>
      </c>
      <c r="O4750" t="str">
        <f t="shared" si="149"/>
        <v>0.4–0.6 hours</v>
      </c>
      <c r="P4750" t="s">
        <v>25</v>
      </c>
    </row>
    <row r="4751" spans="1:16" x14ac:dyDescent="0.4">
      <c r="A4751" t="s">
        <v>4792</v>
      </c>
      <c r="B4751">
        <v>29</v>
      </c>
      <c r="C4751" t="s">
        <v>27</v>
      </c>
      <c r="D4751" t="s">
        <v>32</v>
      </c>
      <c r="E4751">
        <v>3.17</v>
      </c>
      <c r="F4751">
        <v>8</v>
      </c>
      <c r="G4751" t="s">
        <v>49</v>
      </c>
      <c r="H4751" t="s">
        <v>18</v>
      </c>
      <c r="I4751" s="2">
        <v>17.989999999999998</v>
      </c>
      <c r="J4751">
        <v>1</v>
      </c>
      <c r="K4751" s="2">
        <f t="shared" si="148"/>
        <v>17.989999999999998</v>
      </c>
      <c r="L4751" t="s">
        <v>29</v>
      </c>
      <c r="M4751">
        <v>2</v>
      </c>
      <c r="N4751">
        <v>0.35</v>
      </c>
      <c r="O4751" t="str">
        <f t="shared" si="149"/>
        <v>0.2–0.4 hours</v>
      </c>
      <c r="P4751" t="s">
        <v>20</v>
      </c>
    </row>
    <row r="4752" spans="1:16" x14ac:dyDescent="0.4">
      <c r="A4752" t="s">
        <v>4793</v>
      </c>
      <c r="B4752">
        <v>68</v>
      </c>
      <c r="C4752" t="s">
        <v>15</v>
      </c>
      <c r="D4752" t="s">
        <v>16</v>
      </c>
      <c r="E4752">
        <v>21.58</v>
      </c>
      <c r="F4752">
        <v>30</v>
      </c>
      <c r="G4752" t="s">
        <v>33</v>
      </c>
      <c r="H4752" t="s">
        <v>57</v>
      </c>
      <c r="I4752" s="2">
        <v>8.99</v>
      </c>
      <c r="J4752">
        <v>0</v>
      </c>
      <c r="K4752" s="2">
        <f t="shared" si="148"/>
        <v>0</v>
      </c>
      <c r="L4752" t="s">
        <v>61</v>
      </c>
      <c r="M4752">
        <v>2</v>
      </c>
      <c r="N4752">
        <v>0.7</v>
      </c>
      <c r="O4752" t="str">
        <f t="shared" si="149"/>
        <v>0.6–0.8 hours</v>
      </c>
      <c r="P4752" t="s">
        <v>34</v>
      </c>
    </row>
    <row r="4753" spans="1:16" x14ac:dyDescent="0.4">
      <c r="A4753" t="s">
        <v>4794</v>
      </c>
      <c r="B4753">
        <v>18</v>
      </c>
      <c r="C4753" t="s">
        <v>27</v>
      </c>
      <c r="D4753" t="s">
        <v>16</v>
      </c>
      <c r="E4753">
        <v>18.12</v>
      </c>
      <c r="F4753">
        <v>2</v>
      </c>
      <c r="G4753" t="s">
        <v>70</v>
      </c>
      <c r="H4753" t="s">
        <v>57</v>
      </c>
      <c r="I4753" s="2">
        <v>8.99</v>
      </c>
      <c r="J4753">
        <v>0</v>
      </c>
      <c r="K4753" s="2">
        <f t="shared" si="148"/>
        <v>0</v>
      </c>
      <c r="L4753" t="s">
        <v>37</v>
      </c>
      <c r="M4753">
        <v>1</v>
      </c>
      <c r="N4753">
        <v>6.04</v>
      </c>
      <c r="O4753" t="str">
        <f t="shared" si="149"/>
        <v>1+ hours</v>
      </c>
      <c r="P4753" t="s">
        <v>34</v>
      </c>
    </row>
    <row r="4754" spans="1:16" x14ac:dyDescent="0.4">
      <c r="A4754" t="s">
        <v>4795</v>
      </c>
      <c r="B4754">
        <v>45</v>
      </c>
      <c r="C4754" t="s">
        <v>27</v>
      </c>
      <c r="D4754" t="s">
        <v>22</v>
      </c>
      <c r="E4754">
        <v>16.100000000000001</v>
      </c>
      <c r="F4754">
        <v>13</v>
      </c>
      <c r="G4754" t="s">
        <v>49</v>
      </c>
      <c r="H4754" t="s">
        <v>57</v>
      </c>
      <c r="I4754" s="2">
        <v>13.99</v>
      </c>
      <c r="J4754">
        <v>0</v>
      </c>
      <c r="K4754" s="2">
        <f t="shared" si="148"/>
        <v>0</v>
      </c>
      <c r="L4754" t="s">
        <v>37</v>
      </c>
      <c r="M4754">
        <v>3</v>
      </c>
      <c r="N4754">
        <v>1.1499999999999999</v>
      </c>
      <c r="O4754" t="str">
        <f t="shared" si="149"/>
        <v>1+ hours</v>
      </c>
      <c r="P4754" t="s">
        <v>25</v>
      </c>
    </row>
    <row r="4755" spans="1:16" x14ac:dyDescent="0.4">
      <c r="A4755" t="s">
        <v>4796</v>
      </c>
      <c r="B4755">
        <v>20</v>
      </c>
      <c r="C4755" t="s">
        <v>15</v>
      </c>
      <c r="D4755" t="s">
        <v>22</v>
      </c>
      <c r="E4755">
        <v>2.75</v>
      </c>
      <c r="F4755">
        <v>2</v>
      </c>
      <c r="G4755" t="s">
        <v>17</v>
      </c>
      <c r="H4755" t="s">
        <v>18</v>
      </c>
      <c r="I4755" s="2">
        <v>13.99</v>
      </c>
      <c r="J4755">
        <v>0</v>
      </c>
      <c r="K4755" s="2">
        <f t="shared" si="148"/>
        <v>0</v>
      </c>
      <c r="L4755" t="s">
        <v>61</v>
      </c>
      <c r="M4755">
        <v>2</v>
      </c>
      <c r="N4755">
        <v>0.92</v>
      </c>
      <c r="O4755" t="str">
        <f t="shared" si="149"/>
        <v>0.8–1 hour</v>
      </c>
      <c r="P4755" t="s">
        <v>25</v>
      </c>
    </row>
    <row r="4756" spans="1:16" x14ac:dyDescent="0.4">
      <c r="A4756" t="s">
        <v>4797</v>
      </c>
      <c r="B4756">
        <v>38</v>
      </c>
      <c r="C4756" t="s">
        <v>41</v>
      </c>
      <c r="D4756" t="s">
        <v>32</v>
      </c>
      <c r="E4756">
        <v>4.88</v>
      </c>
      <c r="F4756">
        <v>12</v>
      </c>
      <c r="G4756" t="s">
        <v>70</v>
      </c>
      <c r="H4756" t="s">
        <v>46</v>
      </c>
      <c r="I4756" s="2">
        <v>17.989999999999998</v>
      </c>
      <c r="J4756">
        <v>1</v>
      </c>
      <c r="K4756" s="2">
        <f t="shared" si="148"/>
        <v>17.989999999999998</v>
      </c>
      <c r="L4756" t="s">
        <v>19</v>
      </c>
      <c r="M4756">
        <v>1</v>
      </c>
      <c r="N4756">
        <v>0.38</v>
      </c>
      <c r="O4756" t="str">
        <f t="shared" si="149"/>
        <v>0.2–0.4 hours</v>
      </c>
      <c r="P4756" t="s">
        <v>39</v>
      </c>
    </row>
    <row r="4757" spans="1:16" x14ac:dyDescent="0.4">
      <c r="A4757" t="s">
        <v>4798</v>
      </c>
      <c r="B4757">
        <v>70</v>
      </c>
      <c r="C4757" t="s">
        <v>15</v>
      </c>
      <c r="D4757" t="s">
        <v>22</v>
      </c>
      <c r="E4757">
        <v>1.42</v>
      </c>
      <c r="F4757">
        <v>17</v>
      </c>
      <c r="G4757" t="s">
        <v>49</v>
      </c>
      <c r="H4757" t="s">
        <v>46</v>
      </c>
      <c r="I4757" s="2">
        <v>13.99</v>
      </c>
      <c r="J4757">
        <v>1</v>
      </c>
      <c r="K4757" s="2">
        <f t="shared" si="148"/>
        <v>13.99</v>
      </c>
      <c r="L4757" t="s">
        <v>37</v>
      </c>
      <c r="M4757">
        <v>2</v>
      </c>
      <c r="N4757">
        <v>0.08</v>
      </c>
      <c r="O4757" t="str">
        <f t="shared" si="149"/>
        <v>0–0.2 hours</v>
      </c>
      <c r="P4757" t="s">
        <v>47</v>
      </c>
    </row>
    <row r="4758" spans="1:16" x14ac:dyDescent="0.4">
      <c r="A4758" t="s">
        <v>4799</v>
      </c>
      <c r="B4758">
        <v>25</v>
      </c>
      <c r="C4758" t="s">
        <v>41</v>
      </c>
      <c r="D4758" t="s">
        <v>22</v>
      </c>
      <c r="E4758">
        <v>3.84</v>
      </c>
      <c r="F4758">
        <v>45</v>
      </c>
      <c r="G4758" t="s">
        <v>17</v>
      </c>
      <c r="H4758" t="s">
        <v>24</v>
      </c>
      <c r="I4758" s="2">
        <v>13.99</v>
      </c>
      <c r="J4758">
        <v>1</v>
      </c>
      <c r="K4758" s="2">
        <f t="shared" si="148"/>
        <v>13.99</v>
      </c>
      <c r="L4758" t="s">
        <v>37</v>
      </c>
      <c r="M4758">
        <v>5</v>
      </c>
      <c r="N4758">
        <v>0.08</v>
      </c>
      <c r="O4758" t="str">
        <f t="shared" si="149"/>
        <v>0–0.2 hours</v>
      </c>
      <c r="P4758" t="s">
        <v>30</v>
      </c>
    </row>
    <row r="4759" spans="1:16" x14ac:dyDescent="0.4">
      <c r="A4759" t="s">
        <v>4800</v>
      </c>
      <c r="B4759">
        <v>42</v>
      </c>
      <c r="C4759" t="s">
        <v>27</v>
      </c>
      <c r="D4759" t="s">
        <v>32</v>
      </c>
      <c r="E4759">
        <v>6.45</v>
      </c>
      <c r="F4759">
        <v>52</v>
      </c>
      <c r="G4759" t="s">
        <v>23</v>
      </c>
      <c r="H4759" t="s">
        <v>57</v>
      </c>
      <c r="I4759" s="2">
        <v>17.989999999999998</v>
      </c>
      <c r="J4759">
        <v>1</v>
      </c>
      <c r="K4759" s="2">
        <f t="shared" si="148"/>
        <v>17.989999999999998</v>
      </c>
      <c r="L4759" t="s">
        <v>19</v>
      </c>
      <c r="M4759">
        <v>1</v>
      </c>
      <c r="N4759">
        <v>0.12</v>
      </c>
      <c r="O4759" t="str">
        <f t="shared" si="149"/>
        <v>0–0.2 hours</v>
      </c>
      <c r="P4759" t="s">
        <v>52</v>
      </c>
    </row>
    <row r="4760" spans="1:16" x14ac:dyDescent="0.4">
      <c r="A4760" t="s">
        <v>4801</v>
      </c>
      <c r="B4760">
        <v>56</v>
      </c>
      <c r="C4760" t="s">
        <v>27</v>
      </c>
      <c r="D4760" t="s">
        <v>32</v>
      </c>
      <c r="E4760">
        <v>10.31</v>
      </c>
      <c r="F4760">
        <v>31</v>
      </c>
      <c r="G4760" t="s">
        <v>23</v>
      </c>
      <c r="H4760" t="s">
        <v>46</v>
      </c>
      <c r="I4760" s="2">
        <v>17.989999999999998</v>
      </c>
      <c r="J4760">
        <v>1</v>
      </c>
      <c r="K4760" s="2">
        <f t="shared" si="148"/>
        <v>17.989999999999998</v>
      </c>
      <c r="L4760" t="s">
        <v>19</v>
      </c>
      <c r="M4760">
        <v>3</v>
      </c>
      <c r="N4760">
        <v>0.32</v>
      </c>
      <c r="O4760" t="str">
        <f t="shared" si="149"/>
        <v>0.2–0.4 hours</v>
      </c>
      <c r="P4760" t="s">
        <v>47</v>
      </c>
    </row>
    <row r="4761" spans="1:16" x14ac:dyDescent="0.4">
      <c r="A4761" t="s">
        <v>4802</v>
      </c>
      <c r="B4761">
        <v>49</v>
      </c>
      <c r="C4761" t="s">
        <v>15</v>
      </c>
      <c r="D4761" t="s">
        <v>16</v>
      </c>
      <c r="E4761">
        <v>3.16</v>
      </c>
      <c r="F4761">
        <v>31</v>
      </c>
      <c r="G4761" t="s">
        <v>28</v>
      </c>
      <c r="H4761" t="s">
        <v>55</v>
      </c>
      <c r="I4761" s="2">
        <v>8.99</v>
      </c>
      <c r="J4761">
        <v>1</v>
      </c>
      <c r="K4761" s="2">
        <f t="shared" si="148"/>
        <v>8.99</v>
      </c>
      <c r="L4761" t="s">
        <v>19</v>
      </c>
      <c r="M4761">
        <v>5</v>
      </c>
      <c r="N4761">
        <v>0.1</v>
      </c>
      <c r="O4761" t="str">
        <f t="shared" si="149"/>
        <v>0–0.2 hours</v>
      </c>
      <c r="P4761" t="s">
        <v>20</v>
      </c>
    </row>
    <row r="4762" spans="1:16" x14ac:dyDescent="0.4">
      <c r="A4762" t="s">
        <v>4803</v>
      </c>
      <c r="B4762">
        <v>25</v>
      </c>
      <c r="C4762" t="s">
        <v>27</v>
      </c>
      <c r="D4762" t="s">
        <v>32</v>
      </c>
      <c r="E4762">
        <v>50.94</v>
      </c>
      <c r="F4762">
        <v>28</v>
      </c>
      <c r="G4762" t="s">
        <v>17</v>
      </c>
      <c r="H4762" t="s">
        <v>24</v>
      </c>
      <c r="I4762" s="2">
        <v>17.989999999999998</v>
      </c>
      <c r="J4762">
        <v>0</v>
      </c>
      <c r="K4762" s="2">
        <f t="shared" si="148"/>
        <v>0</v>
      </c>
      <c r="L4762" t="s">
        <v>37</v>
      </c>
      <c r="M4762">
        <v>4</v>
      </c>
      <c r="N4762">
        <v>1.76</v>
      </c>
      <c r="O4762" t="str">
        <f t="shared" si="149"/>
        <v>1+ hours</v>
      </c>
      <c r="P4762" t="s">
        <v>30</v>
      </c>
    </row>
    <row r="4763" spans="1:16" x14ac:dyDescent="0.4">
      <c r="A4763" s="1" t="s">
        <v>4804</v>
      </c>
      <c r="B4763">
        <v>39</v>
      </c>
      <c r="C4763" t="s">
        <v>15</v>
      </c>
      <c r="D4763" t="s">
        <v>32</v>
      </c>
      <c r="E4763">
        <v>0.33</v>
      </c>
      <c r="F4763">
        <v>29</v>
      </c>
      <c r="G4763" t="s">
        <v>17</v>
      </c>
      <c r="H4763" t="s">
        <v>46</v>
      </c>
      <c r="I4763" s="2">
        <v>17.989999999999998</v>
      </c>
      <c r="J4763">
        <v>1</v>
      </c>
      <c r="K4763" s="2">
        <f t="shared" si="148"/>
        <v>17.989999999999998</v>
      </c>
      <c r="L4763" t="s">
        <v>61</v>
      </c>
      <c r="M4763">
        <v>2</v>
      </c>
      <c r="N4763">
        <v>0.01</v>
      </c>
      <c r="O4763" t="str">
        <f t="shared" si="149"/>
        <v>0–0.2 hours</v>
      </c>
      <c r="P4763" t="s">
        <v>52</v>
      </c>
    </row>
    <row r="4764" spans="1:16" x14ac:dyDescent="0.4">
      <c r="A4764" t="s">
        <v>4805</v>
      </c>
      <c r="B4764">
        <v>37</v>
      </c>
      <c r="C4764" t="s">
        <v>27</v>
      </c>
      <c r="D4764" t="s">
        <v>32</v>
      </c>
      <c r="E4764">
        <v>19.29</v>
      </c>
      <c r="F4764">
        <v>42</v>
      </c>
      <c r="G4764" t="s">
        <v>70</v>
      </c>
      <c r="H4764" t="s">
        <v>57</v>
      </c>
      <c r="I4764" s="2">
        <v>17.989999999999998</v>
      </c>
      <c r="J4764">
        <v>0</v>
      </c>
      <c r="K4764" s="2">
        <f t="shared" si="148"/>
        <v>0</v>
      </c>
      <c r="L4764" t="s">
        <v>43</v>
      </c>
      <c r="M4764">
        <v>4</v>
      </c>
      <c r="N4764">
        <v>0.45</v>
      </c>
      <c r="O4764" t="str">
        <f t="shared" si="149"/>
        <v>0.4–0.6 hours</v>
      </c>
      <c r="P4764" t="s">
        <v>47</v>
      </c>
    </row>
    <row r="4765" spans="1:16" x14ac:dyDescent="0.4">
      <c r="A4765" t="s">
        <v>4806</v>
      </c>
      <c r="B4765">
        <v>21</v>
      </c>
      <c r="C4765" t="s">
        <v>41</v>
      </c>
      <c r="D4765" t="s">
        <v>22</v>
      </c>
      <c r="E4765">
        <v>0.19</v>
      </c>
      <c r="F4765">
        <v>59</v>
      </c>
      <c r="G4765" t="s">
        <v>70</v>
      </c>
      <c r="H4765" t="s">
        <v>24</v>
      </c>
      <c r="I4765" s="2">
        <v>13.99</v>
      </c>
      <c r="J4765">
        <v>1</v>
      </c>
      <c r="K4765" s="2">
        <f t="shared" si="148"/>
        <v>13.99</v>
      </c>
      <c r="L4765" t="s">
        <v>37</v>
      </c>
      <c r="M4765">
        <v>3</v>
      </c>
      <c r="N4765">
        <v>0</v>
      </c>
      <c r="O4765" t="str">
        <f t="shared" si="149"/>
        <v>0–0.2 hours</v>
      </c>
      <c r="P4765" t="s">
        <v>39</v>
      </c>
    </row>
    <row r="4766" spans="1:16" x14ac:dyDescent="0.4">
      <c r="A4766" t="s">
        <v>4807</v>
      </c>
      <c r="B4766">
        <v>32</v>
      </c>
      <c r="C4766" t="s">
        <v>41</v>
      </c>
      <c r="D4766" t="s">
        <v>22</v>
      </c>
      <c r="E4766">
        <v>7.88</v>
      </c>
      <c r="F4766">
        <v>38</v>
      </c>
      <c r="G4766" t="s">
        <v>23</v>
      </c>
      <c r="H4766" t="s">
        <v>57</v>
      </c>
      <c r="I4766" s="2">
        <v>13.99</v>
      </c>
      <c r="J4766">
        <v>1</v>
      </c>
      <c r="K4766" s="2">
        <f t="shared" si="148"/>
        <v>13.99</v>
      </c>
      <c r="L4766" t="s">
        <v>37</v>
      </c>
      <c r="M4766">
        <v>1</v>
      </c>
      <c r="N4766">
        <v>0.2</v>
      </c>
      <c r="O4766" t="str">
        <f t="shared" si="149"/>
        <v>0–0.2 hours</v>
      </c>
      <c r="P4766" t="s">
        <v>30</v>
      </c>
    </row>
    <row r="4767" spans="1:16" x14ac:dyDescent="0.4">
      <c r="A4767" t="s">
        <v>4808</v>
      </c>
      <c r="B4767">
        <v>49</v>
      </c>
      <c r="C4767" t="s">
        <v>15</v>
      </c>
      <c r="D4767" t="s">
        <v>32</v>
      </c>
      <c r="E4767">
        <v>0.21</v>
      </c>
      <c r="F4767">
        <v>26</v>
      </c>
      <c r="G4767" t="s">
        <v>33</v>
      </c>
      <c r="H4767" t="s">
        <v>18</v>
      </c>
      <c r="I4767" s="2">
        <v>17.989999999999998</v>
      </c>
      <c r="J4767">
        <v>1</v>
      </c>
      <c r="K4767" s="2">
        <f t="shared" si="148"/>
        <v>17.989999999999998</v>
      </c>
      <c r="L4767" t="s">
        <v>37</v>
      </c>
      <c r="M4767">
        <v>3</v>
      </c>
      <c r="N4767">
        <v>0.01</v>
      </c>
      <c r="O4767" t="str">
        <f t="shared" si="149"/>
        <v>0–0.2 hours</v>
      </c>
      <c r="P4767" t="s">
        <v>52</v>
      </c>
    </row>
    <row r="4768" spans="1:16" x14ac:dyDescent="0.4">
      <c r="A4768" t="s">
        <v>4809</v>
      </c>
      <c r="B4768">
        <v>29</v>
      </c>
      <c r="C4768" t="s">
        <v>27</v>
      </c>
      <c r="D4768" t="s">
        <v>16</v>
      </c>
      <c r="E4768">
        <v>15.6</v>
      </c>
      <c r="F4768">
        <v>11</v>
      </c>
      <c r="G4768" t="s">
        <v>49</v>
      </c>
      <c r="H4768" t="s">
        <v>57</v>
      </c>
      <c r="I4768" s="2">
        <v>8.99</v>
      </c>
      <c r="J4768">
        <v>0</v>
      </c>
      <c r="K4768" s="2">
        <f t="shared" si="148"/>
        <v>0</v>
      </c>
      <c r="L4768" t="s">
        <v>29</v>
      </c>
      <c r="M4768">
        <v>2</v>
      </c>
      <c r="N4768">
        <v>1.3</v>
      </c>
      <c r="O4768" t="str">
        <f t="shared" si="149"/>
        <v>1+ hours</v>
      </c>
      <c r="P4768" t="s">
        <v>52</v>
      </c>
    </row>
    <row r="4769" spans="1:16" x14ac:dyDescent="0.4">
      <c r="A4769" t="s">
        <v>4810</v>
      </c>
      <c r="B4769">
        <v>56</v>
      </c>
      <c r="C4769" t="s">
        <v>41</v>
      </c>
      <c r="D4769" t="s">
        <v>16</v>
      </c>
      <c r="E4769">
        <v>6.72</v>
      </c>
      <c r="F4769">
        <v>1</v>
      </c>
      <c r="G4769" t="s">
        <v>33</v>
      </c>
      <c r="H4769" t="s">
        <v>46</v>
      </c>
      <c r="I4769" s="2">
        <v>8.99</v>
      </c>
      <c r="J4769">
        <v>0</v>
      </c>
      <c r="K4769" s="2">
        <f t="shared" si="148"/>
        <v>0</v>
      </c>
      <c r="L4769" t="s">
        <v>37</v>
      </c>
      <c r="M4769">
        <v>2</v>
      </c>
      <c r="N4769">
        <v>3.36</v>
      </c>
      <c r="O4769" t="str">
        <f t="shared" si="149"/>
        <v>1+ hours</v>
      </c>
      <c r="P4769" t="s">
        <v>39</v>
      </c>
    </row>
    <row r="4770" spans="1:16" x14ac:dyDescent="0.4">
      <c r="A4770" t="s">
        <v>4811</v>
      </c>
      <c r="B4770">
        <v>35</v>
      </c>
      <c r="C4770" t="s">
        <v>27</v>
      </c>
      <c r="D4770" t="s">
        <v>32</v>
      </c>
      <c r="E4770">
        <v>19.05</v>
      </c>
      <c r="F4770">
        <v>57</v>
      </c>
      <c r="G4770" t="s">
        <v>33</v>
      </c>
      <c r="H4770" t="s">
        <v>24</v>
      </c>
      <c r="I4770" s="2">
        <v>17.989999999999998</v>
      </c>
      <c r="J4770">
        <v>0</v>
      </c>
      <c r="K4770" s="2">
        <f t="shared" si="148"/>
        <v>0</v>
      </c>
      <c r="L4770" t="s">
        <v>61</v>
      </c>
      <c r="M4770">
        <v>5</v>
      </c>
      <c r="N4770">
        <v>0.33</v>
      </c>
      <c r="O4770" t="str">
        <f t="shared" si="149"/>
        <v>0.2–0.4 hours</v>
      </c>
      <c r="P4770" t="s">
        <v>20</v>
      </c>
    </row>
    <row r="4771" spans="1:16" x14ac:dyDescent="0.4">
      <c r="A4771" t="s">
        <v>4812</v>
      </c>
      <c r="B4771">
        <v>38</v>
      </c>
      <c r="C4771" t="s">
        <v>27</v>
      </c>
      <c r="D4771" t="s">
        <v>32</v>
      </c>
      <c r="E4771">
        <v>10.11</v>
      </c>
      <c r="F4771">
        <v>23</v>
      </c>
      <c r="G4771" t="s">
        <v>28</v>
      </c>
      <c r="H4771" t="s">
        <v>55</v>
      </c>
      <c r="I4771" s="2">
        <v>17.989999999999998</v>
      </c>
      <c r="J4771">
        <v>0</v>
      </c>
      <c r="K4771" s="2">
        <f t="shared" si="148"/>
        <v>0</v>
      </c>
      <c r="L4771" t="s">
        <v>43</v>
      </c>
      <c r="M4771">
        <v>4</v>
      </c>
      <c r="N4771">
        <v>0.42</v>
      </c>
      <c r="O4771" t="str">
        <f t="shared" si="149"/>
        <v>0.4–0.6 hours</v>
      </c>
      <c r="P4771" t="s">
        <v>20</v>
      </c>
    </row>
    <row r="4772" spans="1:16" x14ac:dyDescent="0.4">
      <c r="A4772" t="s">
        <v>4813</v>
      </c>
      <c r="B4772">
        <v>22</v>
      </c>
      <c r="C4772" t="s">
        <v>27</v>
      </c>
      <c r="D4772" t="s">
        <v>16</v>
      </c>
      <c r="E4772">
        <v>4.4000000000000004</v>
      </c>
      <c r="F4772">
        <v>34</v>
      </c>
      <c r="G4772" t="s">
        <v>23</v>
      </c>
      <c r="H4772" t="s">
        <v>18</v>
      </c>
      <c r="I4772" s="2">
        <v>8.99</v>
      </c>
      <c r="J4772">
        <v>1</v>
      </c>
      <c r="K4772" s="2">
        <f t="shared" si="148"/>
        <v>8.99</v>
      </c>
      <c r="L4772" t="s">
        <v>29</v>
      </c>
      <c r="M4772">
        <v>5</v>
      </c>
      <c r="N4772">
        <v>0.13</v>
      </c>
      <c r="O4772" t="str">
        <f t="shared" si="149"/>
        <v>0–0.2 hours</v>
      </c>
      <c r="P4772" t="s">
        <v>20</v>
      </c>
    </row>
    <row r="4773" spans="1:16" x14ac:dyDescent="0.4">
      <c r="A4773" t="s">
        <v>4814</v>
      </c>
      <c r="B4773">
        <v>68</v>
      </c>
      <c r="C4773" t="s">
        <v>15</v>
      </c>
      <c r="D4773" t="s">
        <v>16</v>
      </c>
      <c r="E4773">
        <v>23.54</v>
      </c>
      <c r="F4773">
        <v>33</v>
      </c>
      <c r="G4773" t="s">
        <v>70</v>
      </c>
      <c r="H4773" t="s">
        <v>57</v>
      </c>
      <c r="I4773" s="2">
        <v>8.99</v>
      </c>
      <c r="J4773">
        <v>0</v>
      </c>
      <c r="K4773" s="2">
        <f t="shared" si="148"/>
        <v>0</v>
      </c>
      <c r="L4773" t="s">
        <v>19</v>
      </c>
      <c r="M4773">
        <v>5</v>
      </c>
      <c r="N4773">
        <v>0.69</v>
      </c>
      <c r="O4773" t="str">
        <f t="shared" si="149"/>
        <v>0.6–0.8 hours</v>
      </c>
      <c r="P4773" t="s">
        <v>20</v>
      </c>
    </row>
    <row r="4774" spans="1:16" x14ac:dyDescent="0.4">
      <c r="A4774" t="s">
        <v>4815</v>
      </c>
      <c r="B4774">
        <v>46</v>
      </c>
      <c r="C4774" t="s">
        <v>41</v>
      </c>
      <c r="D4774" t="s">
        <v>16</v>
      </c>
      <c r="E4774">
        <v>13.5</v>
      </c>
      <c r="F4774">
        <v>44</v>
      </c>
      <c r="G4774" t="s">
        <v>70</v>
      </c>
      <c r="H4774" t="s">
        <v>46</v>
      </c>
      <c r="I4774" s="2">
        <v>8.99</v>
      </c>
      <c r="J4774">
        <v>1</v>
      </c>
      <c r="K4774" s="2">
        <f t="shared" si="148"/>
        <v>8.99</v>
      </c>
      <c r="L4774" t="s">
        <v>37</v>
      </c>
      <c r="M4774">
        <v>1</v>
      </c>
      <c r="N4774">
        <v>0.3</v>
      </c>
      <c r="O4774" t="str">
        <f t="shared" si="149"/>
        <v>0.2–0.4 hours</v>
      </c>
      <c r="P4774" t="s">
        <v>30</v>
      </c>
    </row>
    <row r="4775" spans="1:16" x14ac:dyDescent="0.4">
      <c r="A4775" t="s">
        <v>4816</v>
      </c>
      <c r="B4775">
        <v>38</v>
      </c>
      <c r="C4775" t="s">
        <v>41</v>
      </c>
      <c r="D4775" t="s">
        <v>16</v>
      </c>
      <c r="E4775">
        <v>11.77</v>
      </c>
      <c r="F4775">
        <v>49</v>
      </c>
      <c r="G4775" t="s">
        <v>17</v>
      </c>
      <c r="H4775" t="s">
        <v>18</v>
      </c>
      <c r="I4775" s="2">
        <v>8.99</v>
      </c>
      <c r="J4775">
        <v>1</v>
      </c>
      <c r="K4775" s="2">
        <f t="shared" si="148"/>
        <v>8.99</v>
      </c>
      <c r="L4775" t="s">
        <v>61</v>
      </c>
      <c r="M4775">
        <v>5</v>
      </c>
      <c r="N4775">
        <v>0.24</v>
      </c>
      <c r="O4775" t="str">
        <f t="shared" si="149"/>
        <v>0.2–0.4 hours</v>
      </c>
      <c r="P4775" t="s">
        <v>47</v>
      </c>
    </row>
    <row r="4776" spans="1:16" x14ac:dyDescent="0.4">
      <c r="A4776" t="s">
        <v>4817</v>
      </c>
      <c r="B4776">
        <v>31</v>
      </c>
      <c r="C4776" t="s">
        <v>41</v>
      </c>
      <c r="D4776" t="s">
        <v>22</v>
      </c>
      <c r="E4776">
        <v>8.85</v>
      </c>
      <c r="F4776">
        <v>5</v>
      </c>
      <c r="G4776" t="s">
        <v>33</v>
      </c>
      <c r="H4776" t="s">
        <v>57</v>
      </c>
      <c r="I4776" s="2">
        <v>13.99</v>
      </c>
      <c r="J4776">
        <v>0</v>
      </c>
      <c r="K4776" s="2">
        <f t="shared" si="148"/>
        <v>0</v>
      </c>
      <c r="L4776" t="s">
        <v>19</v>
      </c>
      <c r="M4776">
        <v>1</v>
      </c>
      <c r="N4776">
        <v>1.47</v>
      </c>
      <c r="O4776" t="str">
        <f t="shared" si="149"/>
        <v>1+ hours</v>
      </c>
      <c r="P4776" t="s">
        <v>25</v>
      </c>
    </row>
    <row r="4777" spans="1:16" x14ac:dyDescent="0.4">
      <c r="A4777" t="s">
        <v>4818</v>
      </c>
      <c r="B4777">
        <v>64</v>
      </c>
      <c r="C4777" t="s">
        <v>27</v>
      </c>
      <c r="D4777" t="s">
        <v>22</v>
      </c>
      <c r="E4777">
        <v>13.89</v>
      </c>
      <c r="F4777">
        <v>43</v>
      </c>
      <c r="G4777" t="s">
        <v>33</v>
      </c>
      <c r="H4777" t="s">
        <v>57</v>
      </c>
      <c r="I4777" s="2">
        <v>13.99</v>
      </c>
      <c r="J4777">
        <v>1</v>
      </c>
      <c r="K4777" s="2">
        <f t="shared" si="148"/>
        <v>13.99</v>
      </c>
      <c r="L4777" t="s">
        <v>61</v>
      </c>
      <c r="M4777">
        <v>1</v>
      </c>
      <c r="N4777">
        <v>0.32</v>
      </c>
      <c r="O4777" t="str">
        <f t="shared" si="149"/>
        <v>0.2–0.4 hours</v>
      </c>
      <c r="P4777" t="s">
        <v>52</v>
      </c>
    </row>
    <row r="4778" spans="1:16" x14ac:dyDescent="0.4">
      <c r="A4778" t="s">
        <v>4819</v>
      </c>
      <c r="B4778">
        <v>42</v>
      </c>
      <c r="C4778" t="s">
        <v>27</v>
      </c>
      <c r="D4778" t="s">
        <v>22</v>
      </c>
      <c r="E4778">
        <v>4.37</v>
      </c>
      <c r="F4778">
        <v>18</v>
      </c>
      <c r="G4778" t="s">
        <v>17</v>
      </c>
      <c r="H4778" t="s">
        <v>46</v>
      </c>
      <c r="I4778" s="2">
        <v>13.99</v>
      </c>
      <c r="J4778">
        <v>1</v>
      </c>
      <c r="K4778" s="2">
        <f t="shared" si="148"/>
        <v>13.99</v>
      </c>
      <c r="L4778" t="s">
        <v>29</v>
      </c>
      <c r="M4778">
        <v>5</v>
      </c>
      <c r="N4778">
        <v>0.23</v>
      </c>
      <c r="O4778" t="str">
        <f t="shared" si="149"/>
        <v>0.2–0.4 hours</v>
      </c>
      <c r="P4778" t="s">
        <v>34</v>
      </c>
    </row>
    <row r="4779" spans="1:16" x14ac:dyDescent="0.4">
      <c r="A4779" t="s">
        <v>4820</v>
      </c>
      <c r="B4779">
        <v>51</v>
      </c>
      <c r="C4779" t="s">
        <v>27</v>
      </c>
      <c r="D4779" t="s">
        <v>22</v>
      </c>
      <c r="E4779">
        <v>4.3499999999999996</v>
      </c>
      <c r="F4779">
        <v>44</v>
      </c>
      <c r="G4779" t="s">
        <v>33</v>
      </c>
      <c r="H4779" t="s">
        <v>46</v>
      </c>
      <c r="I4779" s="2">
        <v>13.99</v>
      </c>
      <c r="J4779">
        <v>1</v>
      </c>
      <c r="K4779" s="2">
        <f t="shared" si="148"/>
        <v>13.99</v>
      </c>
      <c r="L4779" t="s">
        <v>19</v>
      </c>
      <c r="M4779">
        <v>1</v>
      </c>
      <c r="N4779">
        <v>0.1</v>
      </c>
      <c r="O4779" t="str">
        <f t="shared" si="149"/>
        <v>0–0.2 hours</v>
      </c>
      <c r="P4779" t="s">
        <v>25</v>
      </c>
    </row>
    <row r="4780" spans="1:16" x14ac:dyDescent="0.4">
      <c r="A4780" t="s">
        <v>4821</v>
      </c>
      <c r="B4780">
        <v>23</v>
      </c>
      <c r="C4780" t="s">
        <v>41</v>
      </c>
      <c r="D4780" t="s">
        <v>16</v>
      </c>
      <c r="E4780">
        <v>1.81</v>
      </c>
      <c r="F4780">
        <v>0</v>
      </c>
      <c r="G4780" t="s">
        <v>23</v>
      </c>
      <c r="H4780" t="s">
        <v>46</v>
      </c>
      <c r="I4780" s="2">
        <v>8.99</v>
      </c>
      <c r="J4780">
        <v>0</v>
      </c>
      <c r="K4780" s="2">
        <f t="shared" si="148"/>
        <v>0</v>
      </c>
      <c r="L4780" t="s">
        <v>29</v>
      </c>
      <c r="M4780">
        <v>5</v>
      </c>
      <c r="N4780">
        <v>1.81</v>
      </c>
      <c r="O4780" t="str">
        <f t="shared" si="149"/>
        <v>1+ hours</v>
      </c>
      <c r="P4780" t="s">
        <v>34</v>
      </c>
    </row>
    <row r="4781" spans="1:16" x14ac:dyDescent="0.4">
      <c r="A4781" t="s">
        <v>4822</v>
      </c>
      <c r="B4781">
        <v>56</v>
      </c>
      <c r="C4781" t="s">
        <v>27</v>
      </c>
      <c r="D4781" t="s">
        <v>32</v>
      </c>
      <c r="E4781">
        <v>32.380000000000003</v>
      </c>
      <c r="F4781">
        <v>15</v>
      </c>
      <c r="G4781" t="s">
        <v>49</v>
      </c>
      <c r="H4781" t="s">
        <v>46</v>
      </c>
      <c r="I4781" s="2">
        <v>17.989999999999998</v>
      </c>
      <c r="J4781">
        <v>0</v>
      </c>
      <c r="K4781" s="2">
        <f t="shared" si="148"/>
        <v>0</v>
      </c>
      <c r="L4781" t="s">
        <v>37</v>
      </c>
      <c r="M4781">
        <v>5</v>
      </c>
      <c r="N4781">
        <v>2.02</v>
      </c>
      <c r="O4781" t="str">
        <f t="shared" si="149"/>
        <v>1+ hours</v>
      </c>
      <c r="P4781" t="s">
        <v>47</v>
      </c>
    </row>
    <row r="4782" spans="1:16" x14ac:dyDescent="0.4">
      <c r="A4782" t="s">
        <v>4823</v>
      </c>
      <c r="B4782">
        <v>59</v>
      </c>
      <c r="C4782" t="s">
        <v>41</v>
      </c>
      <c r="D4782" t="s">
        <v>22</v>
      </c>
      <c r="E4782">
        <v>4.41</v>
      </c>
      <c r="F4782">
        <v>35</v>
      </c>
      <c r="G4782" t="s">
        <v>23</v>
      </c>
      <c r="H4782" t="s">
        <v>18</v>
      </c>
      <c r="I4782" s="2">
        <v>13.99</v>
      </c>
      <c r="J4782">
        <v>1</v>
      </c>
      <c r="K4782" s="2">
        <f t="shared" si="148"/>
        <v>13.99</v>
      </c>
      <c r="L4782" t="s">
        <v>29</v>
      </c>
      <c r="M4782">
        <v>3</v>
      </c>
      <c r="N4782">
        <v>0.12</v>
      </c>
      <c r="O4782" t="str">
        <f t="shared" si="149"/>
        <v>0–0.2 hours</v>
      </c>
      <c r="P4782" t="s">
        <v>39</v>
      </c>
    </row>
    <row r="4783" spans="1:16" x14ac:dyDescent="0.4">
      <c r="A4783" t="s">
        <v>4824</v>
      </c>
      <c r="B4783">
        <v>20</v>
      </c>
      <c r="C4783" t="s">
        <v>27</v>
      </c>
      <c r="D4783" t="s">
        <v>32</v>
      </c>
      <c r="E4783">
        <v>4.18</v>
      </c>
      <c r="F4783">
        <v>36</v>
      </c>
      <c r="G4783" t="s">
        <v>70</v>
      </c>
      <c r="H4783" t="s">
        <v>57</v>
      </c>
      <c r="I4783" s="2">
        <v>17.989999999999998</v>
      </c>
      <c r="J4783">
        <v>1</v>
      </c>
      <c r="K4783" s="2">
        <f t="shared" si="148"/>
        <v>17.989999999999998</v>
      </c>
      <c r="L4783" t="s">
        <v>37</v>
      </c>
      <c r="M4783">
        <v>3</v>
      </c>
      <c r="N4783">
        <v>0.11</v>
      </c>
      <c r="O4783" t="str">
        <f t="shared" si="149"/>
        <v>0–0.2 hours</v>
      </c>
      <c r="P4783" t="s">
        <v>52</v>
      </c>
    </row>
    <row r="4784" spans="1:16" x14ac:dyDescent="0.4">
      <c r="A4784" t="s">
        <v>4825</v>
      </c>
      <c r="B4784">
        <v>56</v>
      </c>
      <c r="C4784" t="s">
        <v>41</v>
      </c>
      <c r="D4784" t="s">
        <v>16</v>
      </c>
      <c r="E4784">
        <v>7.39</v>
      </c>
      <c r="F4784">
        <v>53</v>
      </c>
      <c r="G4784" t="s">
        <v>49</v>
      </c>
      <c r="H4784" t="s">
        <v>24</v>
      </c>
      <c r="I4784" s="2">
        <v>8.99</v>
      </c>
      <c r="J4784">
        <v>1</v>
      </c>
      <c r="K4784" s="2">
        <f t="shared" si="148"/>
        <v>8.99</v>
      </c>
      <c r="L4784" t="s">
        <v>37</v>
      </c>
      <c r="M4784">
        <v>1</v>
      </c>
      <c r="N4784">
        <v>0.14000000000000001</v>
      </c>
      <c r="O4784" t="str">
        <f t="shared" si="149"/>
        <v>0–0.2 hours</v>
      </c>
      <c r="P4784" t="s">
        <v>47</v>
      </c>
    </row>
    <row r="4785" spans="1:16" x14ac:dyDescent="0.4">
      <c r="A4785" t="s">
        <v>4826</v>
      </c>
      <c r="B4785">
        <v>22</v>
      </c>
      <c r="C4785" t="s">
        <v>41</v>
      </c>
      <c r="D4785" t="s">
        <v>32</v>
      </c>
      <c r="E4785">
        <v>0.77</v>
      </c>
      <c r="F4785">
        <v>29</v>
      </c>
      <c r="G4785" t="s">
        <v>70</v>
      </c>
      <c r="H4785" t="s">
        <v>55</v>
      </c>
      <c r="I4785" s="2">
        <v>17.989999999999998</v>
      </c>
      <c r="J4785">
        <v>1</v>
      </c>
      <c r="K4785" s="2">
        <f t="shared" si="148"/>
        <v>17.989999999999998</v>
      </c>
      <c r="L4785" t="s">
        <v>37</v>
      </c>
      <c r="M4785">
        <v>1</v>
      </c>
      <c r="N4785">
        <v>0.03</v>
      </c>
      <c r="O4785" t="str">
        <f t="shared" si="149"/>
        <v>0–0.2 hours</v>
      </c>
      <c r="P4785" t="s">
        <v>34</v>
      </c>
    </row>
    <row r="4786" spans="1:16" x14ac:dyDescent="0.4">
      <c r="A4786" t="s">
        <v>4827</v>
      </c>
      <c r="B4786">
        <v>65</v>
      </c>
      <c r="C4786" t="s">
        <v>15</v>
      </c>
      <c r="D4786" t="s">
        <v>22</v>
      </c>
      <c r="E4786">
        <v>2.92</v>
      </c>
      <c r="F4786">
        <v>1</v>
      </c>
      <c r="G4786" t="s">
        <v>17</v>
      </c>
      <c r="H4786" t="s">
        <v>18</v>
      </c>
      <c r="I4786" s="2">
        <v>13.99</v>
      </c>
      <c r="J4786">
        <v>0</v>
      </c>
      <c r="K4786" s="2">
        <f t="shared" si="148"/>
        <v>0</v>
      </c>
      <c r="L4786" t="s">
        <v>61</v>
      </c>
      <c r="M4786">
        <v>5</v>
      </c>
      <c r="N4786">
        <v>1.46</v>
      </c>
      <c r="O4786" t="str">
        <f t="shared" si="149"/>
        <v>1+ hours</v>
      </c>
      <c r="P4786" t="s">
        <v>52</v>
      </c>
    </row>
    <row r="4787" spans="1:16" x14ac:dyDescent="0.4">
      <c r="A4787" t="s">
        <v>4828</v>
      </c>
      <c r="B4787">
        <v>40</v>
      </c>
      <c r="C4787" t="s">
        <v>41</v>
      </c>
      <c r="D4787" t="s">
        <v>22</v>
      </c>
      <c r="E4787">
        <v>8.17</v>
      </c>
      <c r="F4787">
        <v>4</v>
      </c>
      <c r="G4787" t="s">
        <v>70</v>
      </c>
      <c r="H4787" t="s">
        <v>46</v>
      </c>
      <c r="I4787" s="2">
        <v>13.99</v>
      </c>
      <c r="J4787">
        <v>0</v>
      </c>
      <c r="K4787" s="2">
        <f t="shared" si="148"/>
        <v>0</v>
      </c>
      <c r="L4787" t="s">
        <v>37</v>
      </c>
      <c r="M4787">
        <v>1</v>
      </c>
      <c r="N4787">
        <v>1.63</v>
      </c>
      <c r="O4787" t="str">
        <f t="shared" si="149"/>
        <v>1+ hours</v>
      </c>
      <c r="P4787" t="s">
        <v>52</v>
      </c>
    </row>
    <row r="4788" spans="1:16" x14ac:dyDescent="0.4">
      <c r="A4788" t="s">
        <v>4829</v>
      </c>
      <c r="B4788">
        <v>27</v>
      </c>
      <c r="C4788" t="s">
        <v>15</v>
      </c>
      <c r="D4788" t="s">
        <v>32</v>
      </c>
      <c r="E4788">
        <v>27.3</v>
      </c>
      <c r="F4788">
        <v>4</v>
      </c>
      <c r="G4788" t="s">
        <v>49</v>
      </c>
      <c r="H4788" t="s">
        <v>46</v>
      </c>
      <c r="I4788" s="2">
        <v>17.989999999999998</v>
      </c>
      <c r="J4788">
        <v>0</v>
      </c>
      <c r="K4788" s="2">
        <f t="shared" si="148"/>
        <v>0</v>
      </c>
      <c r="L4788" t="s">
        <v>43</v>
      </c>
      <c r="M4788">
        <v>3</v>
      </c>
      <c r="N4788">
        <v>5.46</v>
      </c>
      <c r="O4788" t="str">
        <f t="shared" si="149"/>
        <v>1+ hours</v>
      </c>
      <c r="P4788" t="s">
        <v>30</v>
      </c>
    </row>
    <row r="4789" spans="1:16" x14ac:dyDescent="0.4">
      <c r="A4789" t="s">
        <v>4830</v>
      </c>
      <c r="B4789">
        <v>66</v>
      </c>
      <c r="C4789" t="s">
        <v>41</v>
      </c>
      <c r="D4789" t="s">
        <v>32</v>
      </c>
      <c r="E4789">
        <v>42.58</v>
      </c>
      <c r="F4789">
        <v>54</v>
      </c>
      <c r="G4789" t="s">
        <v>70</v>
      </c>
      <c r="H4789" t="s">
        <v>55</v>
      </c>
      <c r="I4789" s="2">
        <v>17.989999999999998</v>
      </c>
      <c r="J4789">
        <v>0</v>
      </c>
      <c r="K4789" s="2">
        <f t="shared" si="148"/>
        <v>0</v>
      </c>
      <c r="L4789" t="s">
        <v>61</v>
      </c>
      <c r="M4789">
        <v>3</v>
      </c>
      <c r="N4789">
        <v>0.77</v>
      </c>
      <c r="O4789" t="str">
        <f t="shared" si="149"/>
        <v>0.6–0.8 hours</v>
      </c>
      <c r="P4789" t="s">
        <v>39</v>
      </c>
    </row>
    <row r="4790" spans="1:16" x14ac:dyDescent="0.4">
      <c r="A4790" t="s">
        <v>4831</v>
      </c>
      <c r="B4790">
        <v>70</v>
      </c>
      <c r="C4790" t="s">
        <v>15</v>
      </c>
      <c r="D4790" t="s">
        <v>16</v>
      </c>
      <c r="E4790">
        <v>7.97</v>
      </c>
      <c r="F4790">
        <v>24</v>
      </c>
      <c r="G4790" t="s">
        <v>23</v>
      </c>
      <c r="H4790" t="s">
        <v>55</v>
      </c>
      <c r="I4790" s="2">
        <v>8.99</v>
      </c>
      <c r="J4790">
        <v>1</v>
      </c>
      <c r="K4790" s="2">
        <f t="shared" si="148"/>
        <v>8.99</v>
      </c>
      <c r="L4790" t="s">
        <v>19</v>
      </c>
      <c r="M4790">
        <v>2</v>
      </c>
      <c r="N4790">
        <v>0.32</v>
      </c>
      <c r="O4790" t="str">
        <f t="shared" si="149"/>
        <v>0.2–0.4 hours</v>
      </c>
      <c r="P4790" t="s">
        <v>30</v>
      </c>
    </row>
    <row r="4791" spans="1:16" x14ac:dyDescent="0.4">
      <c r="A4791" t="s">
        <v>4832</v>
      </c>
      <c r="B4791">
        <v>22</v>
      </c>
      <c r="C4791" t="s">
        <v>27</v>
      </c>
      <c r="D4791" t="s">
        <v>32</v>
      </c>
      <c r="E4791">
        <v>4.9800000000000004</v>
      </c>
      <c r="F4791">
        <v>0</v>
      </c>
      <c r="G4791" t="s">
        <v>49</v>
      </c>
      <c r="H4791" t="s">
        <v>18</v>
      </c>
      <c r="I4791" s="2">
        <v>17.989999999999998</v>
      </c>
      <c r="J4791">
        <v>0</v>
      </c>
      <c r="K4791" s="2">
        <f t="shared" si="148"/>
        <v>0</v>
      </c>
      <c r="L4791" t="s">
        <v>43</v>
      </c>
      <c r="M4791">
        <v>5</v>
      </c>
      <c r="N4791">
        <v>4.9800000000000004</v>
      </c>
      <c r="O4791" t="str">
        <f t="shared" si="149"/>
        <v>1+ hours</v>
      </c>
      <c r="P4791" t="s">
        <v>30</v>
      </c>
    </row>
    <row r="4792" spans="1:16" x14ac:dyDescent="0.4">
      <c r="A4792" t="s">
        <v>4833</v>
      </c>
      <c r="B4792">
        <v>64</v>
      </c>
      <c r="C4792" t="s">
        <v>41</v>
      </c>
      <c r="D4792" t="s">
        <v>32</v>
      </c>
      <c r="E4792">
        <v>6.42</v>
      </c>
      <c r="F4792">
        <v>35</v>
      </c>
      <c r="G4792" t="s">
        <v>33</v>
      </c>
      <c r="H4792" t="s">
        <v>57</v>
      </c>
      <c r="I4792" s="2">
        <v>17.989999999999998</v>
      </c>
      <c r="J4792">
        <v>1</v>
      </c>
      <c r="K4792" s="2">
        <f t="shared" si="148"/>
        <v>17.989999999999998</v>
      </c>
      <c r="L4792" t="s">
        <v>29</v>
      </c>
      <c r="M4792">
        <v>5</v>
      </c>
      <c r="N4792">
        <v>0.18</v>
      </c>
      <c r="O4792" t="str">
        <f t="shared" si="149"/>
        <v>0–0.2 hours</v>
      </c>
      <c r="P4792" t="s">
        <v>25</v>
      </c>
    </row>
    <row r="4793" spans="1:16" x14ac:dyDescent="0.4">
      <c r="A4793" t="s">
        <v>4834</v>
      </c>
      <c r="B4793">
        <v>58</v>
      </c>
      <c r="C4793" t="s">
        <v>27</v>
      </c>
      <c r="D4793" t="s">
        <v>32</v>
      </c>
      <c r="E4793">
        <v>30.44</v>
      </c>
      <c r="F4793">
        <v>57</v>
      </c>
      <c r="G4793" t="s">
        <v>23</v>
      </c>
      <c r="H4793" t="s">
        <v>57</v>
      </c>
      <c r="I4793" s="2">
        <v>17.989999999999998</v>
      </c>
      <c r="J4793">
        <v>0</v>
      </c>
      <c r="K4793" s="2">
        <f t="shared" si="148"/>
        <v>0</v>
      </c>
      <c r="L4793" t="s">
        <v>29</v>
      </c>
      <c r="M4793">
        <v>3</v>
      </c>
      <c r="N4793">
        <v>0.52</v>
      </c>
      <c r="O4793" t="str">
        <f t="shared" si="149"/>
        <v>0.4–0.6 hours</v>
      </c>
      <c r="P4793" t="s">
        <v>52</v>
      </c>
    </row>
    <row r="4794" spans="1:16" x14ac:dyDescent="0.4">
      <c r="A4794" t="s">
        <v>4835</v>
      </c>
      <c r="B4794">
        <v>58</v>
      </c>
      <c r="C4794" t="s">
        <v>41</v>
      </c>
      <c r="D4794" t="s">
        <v>32</v>
      </c>
      <c r="E4794">
        <v>32.880000000000003</v>
      </c>
      <c r="F4794">
        <v>0</v>
      </c>
      <c r="G4794" t="s">
        <v>49</v>
      </c>
      <c r="H4794" t="s">
        <v>57</v>
      </c>
      <c r="I4794" s="2">
        <v>17.989999999999998</v>
      </c>
      <c r="J4794">
        <v>0</v>
      </c>
      <c r="K4794" s="2">
        <f t="shared" si="148"/>
        <v>0</v>
      </c>
      <c r="L4794" t="s">
        <v>37</v>
      </c>
      <c r="M4794">
        <v>5</v>
      </c>
      <c r="N4794">
        <v>32.880000000000003</v>
      </c>
      <c r="O4794" t="str">
        <f t="shared" si="149"/>
        <v>1+ hours</v>
      </c>
      <c r="P4794" t="s">
        <v>39</v>
      </c>
    </row>
    <row r="4795" spans="1:16" x14ac:dyDescent="0.4">
      <c r="A4795" t="s">
        <v>4836</v>
      </c>
      <c r="B4795">
        <v>29</v>
      </c>
      <c r="C4795" t="s">
        <v>27</v>
      </c>
      <c r="D4795" t="s">
        <v>16</v>
      </c>
      <c r="E4795">
        <v>11.19</v>
      </c>
      <c r="F4795">
        <v>11</v>
      </c>
      <c r="G4795" t="s">
        <v>17</v>
      </c>
      <c r="H4795" t="s">
        <v>24</v>
      </c>
      <c r="I4795" s="2">
        <v>8.99</v>
      </c>
      <c r="J4795">
        <v>0</v>
      </c>
      <c r="K4795" s="2">
        <f t="shared" si="148"/>
        <v>0</v>
      </c>
      <c r="L4795" t="s">
        <v>37</v>
      </c>
      <c r="M4795">
        <v>2</v>
      </c>
      <c r="N4795">
        <v>0.93</v>
      </c>
      <c r="O4795" t="str">
        <f t="shared" si="149"/>
        <v>0.8–1 hour</v>
      </c>
      <c r="P4795" t="s">
        <v>47</v>
      </c>
    </row>
    <row r="4796" spans="1:16" x14ac:dyDescent="0.4">
      <c r="A4796" t="s">
        <v>4837</v>
      </c>
      <c r="B4796">
        <v>34</v>
      </c>
      <c r="C4796" t="s">
        <v>41</v>
      </c>
      <c r="D4796" t="s">
        <v>16</v>
      </c>
      <c r="E4796">
        <v>1.77</v>
      </c>
      <c r="F4796">
        <v>10</v>
      </c>
      <c r="G4796" t="s">
        <v>17</v>
      </c>
      <c r="H4796" t="s">
        <v>46</v>
      </c>
      <c r="I4796" s="2">
        <v>8.99</v>
      </c>
      <c r="J4796">
        <v>1</v>
      </c>
      <c r="K4796" s="2">
        <f t="shared" si="148"/>
        <v>8.99</v>
      </c>
      <c r="L4796" t="s">
        <v>61</v>
      </c>
      <c r="M4796">
        <v>2</v>
      </c>
      <c r="N4796">
        <v>0.16</v>
      </c>
      <c r="O4796" t="str">
        <f t="shared" si="149"/>
        <v>0–0.2 hours</v>
      </c>
      <c r="P4796" t="s">
        <v>39</v>
      </c>
    </row>
    <row r="4797" spans="1:16" x14ac:dyDescent="0.4">
      <c r="A4797" t="s">
        <v>4838</v>
      </c>
      <c r="B4797">
        <v>58</v>
      </c>
      <c r="C4797" t="s">
        <v>27</v>
      </c>
      <c r="D4797" t="s">
        <v>32</v>
      </c>
      <c r="E4797">
        <v>30.18</v>
      </c>
      <c r="F4797">
        <v>48</v>
      </c>
      <c r="G4797" t="s">
        <v>28</v>
      </c>
      <c r="H4797" t="s">
        <v>55</v>
      </c>
      <c r="I4797" s="2">
        <v>17.989999999999998</v>
      </c>
      <c r="J4797">
        <v>0</v>
      </c>
      <c r="K4797" s="2">
        <f t="shared" si="148"/>
        <v>0</v>
      </c>
      <c r="L4797" t="s">
        <v>61</v>
      </c>
      <c r="M4797">
        <v>4</v>
      </c>
      <c r="N4797">
        <v>0.62</v>
      </c>
      <c r="O4797" t="str">
        <f t="shared" si="149"/>
        <v>0.6–0.8 hours</v>
      </c>
      <c r="P4797" t="s">
        <v>34</v>
      </c>
    </row>
    <row r="4798" spans="1:16" x14ac:dyDescent="0.4">
      <c r="A4798" t="s">
        <v>4839</v>
      </c>
      <c r="B4798">
        <v>62</v>
      </c>
      <c r="C4798" t="s">
        <v>15</v>
      </c>
      <c r="D4798" t="s">
        <v>22</v>
      </c>
      <c r="E4798">
        <v>3.61</v>
      </c>
      <c r="F4798">
        <v>0</v>
      </c>
      <c r="G4798" t="s">
        <v>33</v>
      </c>
      <c r="H4798" t="s">
        <v>55</v>
      </c>
      <c r="I4798" s="2">
        <v>13.99</v>
      </c>
      <c r="J4798">
        <v>0</v>
      </c>
      <c r="K4798" s="2">
        <f t="shared" si="148"/>
        <v>0</v>
      </c>
      <c r="L4798" t="s">
        <v>43</v>
      </c>
      <c r="M4798">
        <v>3</v>
      </c>
      <c r="N4798">
        <v>3.61</v>
      </c>
      <c r="O4798" t="str">
        <f t="shared" si="149"/>
        <v>1+ hours</v>
      </c>
      <c r="P4798" t="s">
        <v>39</v>
      </c>
    </row>
    <row r="4799" spans="1:16" x14ac:dyDescent="0.4">
      <c r="A4799" t="s">
        <v>4840</v>
      </c>
      <c r="B4799">
        <v>49</v>
      </c>
      <c r="C4799" t="s">
        <v>15</v>
      </c>
      <c r="D4799" t="s">
        <v>16</v>
      </c>
      <c r="E4799">
        <v>0.59</v>
      </c>
      <c r="F4799">
        <v>45</v>
      </c>
      <c r="G4799" t="s">
        <v>23</v>
      </c>
      <c r="H4799" t="s">
        <v>18</v>
      </c>
      <c r="I4799" s="2">
        <v>8.99</v>
      </c>
      <c r="J4799">
        <v>1</v>
      </c>
      <c r="K4799" s="2">
        <f t="shared" si="148"/>
        <v>8.99</v>
      </c>
      <c r="L4799" t="s">
        <v>19</v>
      </c>
      <c r="M4799">
        <v>2</v>
      </c>
      <c r="N4799">
        <v>0.01</v>
      </c>
      <c r="O4799" t="str">
        <f t="shared" si="149"/>
        <v>0–0.2 hours</v>
      </c>
      <c r="P4799" t="s">
        <v>25</v>
      </c>
    </row>
    <row r="4800" spans="1:16" x14ac:dyDescent="0.4">
      <c r="A4800" t="s">
        <v>4841</v>
      </c>
      <c r="B4800">
        <v>47</v>
      </c>
      <c r="C4800" t="s">
        <v>27</v>
      </c>
      <c r="D4800" t="s">
        <v>22</v>
      </c>
      <c r="E4800">
        <v>7.04</v>
      </c>
      <c r="F4800">
        <v>34</v>
      </c>
      <c r="G4800" t="s">
        <v>33</v>
      </c>
      <c r="H4800" t="s">
        <v>46</v>
      </c>
      <c r="I4800" s="2">
        <v>13.99</v>
      </c>
      <c r="J4800">
        <v>1</v>
      </c>
      <c r="K4800" s="2">
        <f t="shared" si="148"/>
        <v>13.99</v>
      </c>
      <c r="L4800" t="s">
        <v>43</v>
      </c>
      <c r="M4800">
        <v>2</v>
      </c>
      <c r="N4800">
        <v>0.2</v>
      </c>
      <c r="O4800" t="str">
        <f t="shared" si="149"/>
        <v>0–0.2 hours</v>
      </c>
      <c r="P4800" t="s">
        <v>20</v>
      </c>
    </row>
    <row r="4801" spans="1:16" x14ac:dyDescent="0.4">
      <c r="A4801" t="s">
        <v>4842</v>
      </c>
      <c r="B4801">
        <v>38</v>
      </c>
      <c r="C4801" t="s">
        <v>41</v>
      </c>
      <c r="D4801" t="s">
        <v>32</v>
      </c>
      <c r="E4801">
        <v>0.47</v>
      </c>
      <c r="F4801">
        <v>48</v>
      </c>
      <c r="G4801" t="s">
        <v>49</v>
      </c>
      <c r="H4801" t="s">
        <v>55</v>
      </c>
      <c r="I4801" s="2">
        <v>17.989999999999998</v>
      </c>
      <c r="J4801">
        <v>1</v>
      </c>
      <c r="K4801" s="2">
        <f t="shared" si="148"/>
        <v>17.989999999999998</v>
      </c>
      <c r="L4801" t="s">
        <v>43</v>
      </c>
      <c r="M4801">
        <v>3</v>
      </c>
      <c r="N4801">
        <v>0.01</v>
      </c>
      <c r="O4801" t="str">
        <f t="shared" si="149"/>
        <v>0–0.2 hours</v>
      </c>
      <c r="P4801" t="s">
        <v>34</v>
      </c>
    </row>
    <row r="4802" spans="1:16" x14ac:dyDescent="0.4">
      <c r="A4802" t="s">
        <v>4843</v>
      </c>
      <c r="B4802">
        <v>23</v>
      </c>
      <c r="C4802" t="s">
        <v>15</v>
      </c>
      <c r="D4802" t="s">
        <v>32</v>
      </c>
      <c r="E4802">
        <v>0.24</v>
      </c>
      <c r="F4802">
        <v>23</v>
      </c>
      <c r="G4802" t="s">
        <v>28</v>
      </c>
      <c r="H4802" t="s">
        <v>24</v>
      </c>
      <c r="I4802" s="2">
        <v>17.989999999999998</v>
      </c>
      <c r="J4802">
        <v>1</v>
      </c>
      <c r="K4802" s="2">
        <f t="shared" si="148"/>
        <v>17.989999999999998</v>
      </c>
      <c r="L4802" t="s">
        <v>43</v>
      </c>
      <c r="M4802">
        <v>2</v>
      </c>
      <c r="N4802">
        <v>0.01</v>
      </c>
      <c r="O4802" t="str">
        <f t="shared" si="149"/>
        <v>0–0.2 hours</v>
      </c>
      <c r="P4802" t="s">
        <v>34</v>
      </c>
    </row>
    <row r="4803" spans="1:16" x14ac:dyDescent="0.4">
      <c r="A4803" t="s">
        <v>4844</v>
      </c>
      <c r="B4803">
        <v>46</v>
      </c>
      <c r="C4803" t="s">
        <v>27</v>
      </c>
      <c r="D4803" t="s">
        <v>32</v>
      </c>
      <c r="E4803">
        <v>34.32</v>
      </c>
      <c r="F4803">
        <v>34</v>
      </c>
      <c r="G4803" t="s">
        <v>49</v>
      </c>
      <c r="H4803" t="s">
        <v>55</v>
      </c>
      <c r="I4803" s="2">
        <v>17.989999999999998</v>
      </c>
      <c r="J4803">
        <v>0</v>
      </c>
      <c r="K4803" s="2">
        <f t="shared" ref="K4803:K4866" si="150">SUMIF(J4803,1,I4803)</f>
        <v>0</v>
      </c>
      <c r="L4803" t="s">
        <v>61</v>
      </c>
      <c r="M4803">
        <v>5</v>
      </c>
      <c r="N4803">
        <v>0.98</v>
      </c>
      <c r="O4803" t="str">
        <f t="shared" ref="O4803:O4866" si="151">IF(N4803&gt;1,"1+ hours",IF(N4803&lt;=0.2,"0–0.2 hours",IF(N4803&lt;=0.4,"0.2–0.4 hours",IF(N4803&lt;=0.6,"0.4–0.6 hours",IF(N4803&lt;=0.8,"0.6–0.8 hours","0.8–1 hour")))))</f>
        <v>0.8–1 hour</v>
      </c>
      <c r="P4803" t="s">
        <v>20</v>
      </c>
    </row>
    <row r="4804" spans="1:16" x14ac:dyDescent="0.4">
      <c r="A4804" t="s">
        <v>4845</v>
      </c>
      <c r="B4804">
        <v>47</v>
      </c>
      <c r="C4804" t="s">
        <v>15</v>
      </c>
      <c r="D4804" t="s">
        <v>22</v>
      </c>
      <c r="E4804">
        <v>42.79</v>
      </c>
      <c r="F4804">
        <v>2</v>
      </c>
      <c r="G4804" t="s">
        <v>23</v>
      </c>
      <c r="H4804" t="s">
        <v>18</v>
      </c>
      <c r="I4804" s="2">
        <v>13.99</v>
      </c>
      <c r="J4804">
        <v>0</v>
      </c>
      <c r="K4804" s="2">
        <f t="shared" si="150"/>
        <v>0</v>
      </c>
      <c r="L4804" t="s">
        <v>37</v>
      </c>
      <c r="M4804">
        <v>1</v>
      </c>
      <c r="N4804">
        <v>14.26</v>
      </c>
      <c r="O4804" t="str">
        <f t="shared" si="151"/>
        <v>1+ hours</v>
      </c>
      <c r="P4804" t="s">
        <v>30</v>
      </c>
    </row>
    <row r="4805" spans="1:16" x14ac:dyDescent="0.4">
      <c r="A4805" t="s">
        <v>4846</v>
      </c>
      <c r="B4805">
        <v>64</v>
      </c>
      <c r="C4805" t="s">
        <v>41</v>
      </c>
      <c r="D4805" t="s">
        <v>22</v>
      </c>
      <c r="E4805">
        <v>7.6</v>
      </c>
      <c r="F4805">
        <v>44</v>
      </c>
      <c r="G4805" t="s">
        <v>17</v>
      </c>
      <c r="H4805" t="s">
        <v>46</v>
      </c>
      <c r="I4805" s="2">
        <v>13.99</v>
      </c>
      <c r="J4805">
        <v>1</v>
      </c>
      <c r="K4805" s="2">
        <f t="shared" si="150"/>
        <v>13.99</v>
      </c>
      <c r="L4805" t="s">
        <v>37</v>
      </c>
      <c r="M4805">
        <v>1</v>
      </c>
      <c r="N4805">
        <v>0.17</v>
      </c>
      <c r="O4805" t="str">
        <f t="shared" si="151"/>
        <v>0–0.2 hours</v>
      </c>
      <c r="P4805" t="s">
        <v>30</v>
      </c>
    </row>
    <row r="4806" spans="1:16" x14ac:dyDescent="0.4">
      <c r="A4806" t="s">
        <v>4847</v>
      </c>
      <c r="B4806">
        <v>60</v>
      </c>
      <c r="C4806" t="s">
        <v>15</v>
      </c>
      <c r="D4806" t="s">
        <v>32</v>
      </c>
      <c r="E4806">
        <v>8.4</v>
      </c>
      <c r="F4806">
        <v>53</v>
      </c>
      <c r="G4806" t="s">
        <v>23</v>
      </c>
      <c r="H4806" t="s">
        <v>18</v>
      </c>
      <c r="I4806" s="2">
        <v>17.989999999999998</v>
      </c>
      <c r="J4806">
        <v>1</v>
      </c>
      <c r="K4806" s="2">
        <f t="shared" si="150"/>
        <v>17.989999999999998</v>
      </c>
      <c r="L4806" t="s">
        <v>61</v>
      </c>
      <c r="M4806">
        <v>2</v>
      </c>
      <c r="N4806">
        <v>0.16</v>
      </c>
      <c r="O4806" t="str">
        <f t="shared" si="151"/>
        <v>0–0.2 hours</v>
      </c>
      <c r="P4806" t="s">
        <v>52</v>
      </c>
    </row>
    <row r="4807" spans="1:16" x14ac:dyDescent="0.4">
      <c r="A4807" t="s">
        <v>4848</v>
      </c>
      <c r="B4807">
        <v>59</v>
      </c>
      <c r="C4807" t="s">
        <v>27</v>
      </c>
      <c r="D4807" t="s">
        <v>22</v>
      </c>
      <c r="E4807">
        <v>29.55</v>
      </c>
      <c r="F4807">
        <v>0</v>
      </c>
      <c r="G4807" t="s">
        <v>49</v>
      </c>
      <c r="H4807" t="s">
        <v>46</v>
      </c>
      <c r="I4807" s="2">
        <v>13.99</v>
      </c>
      <c r="J4807">
        <v>0</v>
      </c>
      <c r="K4807" s="2">
        <f t="shared" si="150"/>
        <v>0</v>
      </c>
      <c r="L4807" t="s">
        <v>29</v>
      </c>
      <c r="M4807">
        <v>5</v>
      </c>
      <c r="N4807">
        <v>29.55</v>
      </c>
      <c r="O4807" t="str">
        <f t="shared" si="151"/>
        <v>1+ hours</v>
      </c>
      <c r="P4807" t="s">
        <v>39</v>
      </c>
    </row>
    <row r="4808" spans="1:16" x14ac:dyDescent="0.4">
      <c r="A4808" t="s">
        <v>4849</v>
      </c>
      <c r="B4808">
        <v>18</v>
      </c>
      <c r="C4808" t="s">
        <v>27</v>
      </c>
      <c r="D4808" t="s">
        <v>22</v>
      </c>
      <c r="E4808">
        <v>6.99</v>
      </c>
      <c r="F4808">
        <v>46</v>
      </c>
      <c r="G4808" t="s">
        <v>17</v>
      </c>
      <c r="H4808" t="s">
        <v>55</v>
      </c>
      <c r="I4808" s="2">
        <v>13.99</v>
      </c>
      <c r="J4808">
        <v>1</v>
      </c>
      <c r="K4808" s="2">
        <f t="shared" si="150"/>
        <v>13.99</v>
      </c>
      <c r="L4808" t="s">
        <v>29</v>
      </c>
      <c r="M4808">
        <v>5</v>
      </c>
      <c r="N4808">
        <v>0.15</v>
      </c>
      <c r="O4808" t="str">
        <f t="shared" si="151"/>
        <v>0–0.2 hours</v>
      </c>
      <c r="P4808" t="s">
        <v>47</v>
      </c>
    </row>
    <row r="4809" spans="1:16" x14ac:dyDescent="0.4">
      <c r="A4809" t="s">
        <v>4850</v>
      </c>
      <c r="B4809">
        <v>61</v>
      </c>
      <c r="C4809" t="s">
        <v>27</v>
      </c>
      <c r="D4809" t="s">
        <v>32</v>
      </c>
      <c r="E4809">
        <v>0.78</v>
      </c>
      <c r="F4809">
        <v>33</v>
      </c>
      <c r="G4809" t="s">
        <v>70</v>
      </c>
      <c r="H4809" t="s">
        <v>18</v>
      </c>
      <c r="I4809" s="2">
        <v>17.989999999999998</v>
      </c>
      <c r="J4809">
        <v>1</v>
      </c>
      <c r="K4809" s="2">
        <f t="shared" si="150"/>
        <v>17.989999999999998</v>
      </c>
      <c r="L4809" t="s">
        <v>43</v>
      </c>
      <c r="M4809">
        <v>5</v>
      </c>
      <c r="N4809">
        <v>0.02</v>
      </c>
      <c r="O4809" t="str">
        <f t="shared" si="151"/>
        <v>0–0.2 hours</v>
      </c>
      <c r="P4809" t="s">
        <v>25</v>
      </c>
    </row>
    <row r="4810" spans="1:16" x14ac:dyDescent="0.4">
      <c r="A4810" s="1" t="s">
        <v>4851</v>
      </c>
      <c r="B4810">
        <v>65</v>
      </c>
      <c r="C4810" t="s">
        <v>41</v>
      </c>
      <c r="D4810" t="s">
        <v>32</v>
      </c>
      <c r="E4810">
        <v>31.99</v>
      </c>
      <c r="F4810">
        <v>57</v>
      </c>
      <c r="G4810" t="s">
        <v>28</v>
      </c>
      <c r="H4810" t="s">
        <v>24</v>
      </c>
      <c r="I4810" s="2">
        <v>17.989999999999998</v>
      </c>
      <c r="J4810">
        <v>0</v>
      </c>
      <c r="K4810" s="2">
        <f t="shared" si="150"/>
        <v>0</v>
      </c>
      <c r="L4810" t="s">
        <v>43</v>
      </c>
      <c r="M4810">
        <v>2</v>
      </c>
      <c r="N4810">
        <v>0.55000000000000004</v>
      </c>
      <c r="O4810" t="str">
        <f t="shared" si="151"/>
        <v>0.4–0.6 hours</v>
      </c>
      <c r="P4810" t="s">
        <v>20</v>
      </c>
    </row>
    <row r="4811" spans="1:16" x14ac:dyDescent="0.4">
      <c r="A4811" t="s">
        <v>4852</v>
      </c>
      <c r="B4811">
        <v>48</v>
      </c>
      <c r="C4811" t="s">
        <v>41</v>
      </c>
      <c r="D4811" t="s">
        <v>22</v>
      </c>
      <c r="E4811">
        <v>6.71</v>
      </c>
      <c r="F4811">
        <v>46</v>
      </c>
      <c r="G4811" t="s">
        <v>70</v>
      </c>
      <c r="H4811" t="s">
        <v>57</v>
      </c>
      <c r="I4811" s="2">
        <v>13.99</v>
      </c>
      <c r="J4811">
        <v>1</v>
      </c>
      <c r="K4811" s="2">
        <f t="shared" si="150"/>
        <v>13.99</v>
      </c>
      <c r="L4811" t="s">
        <v>43</v>
      </c>
      <c r="M4811">
        <v>2</v>
      </c>
      <c r="N4811">
        <v>0.14000000000000001</v>
      </c>
      <c r="O4811" t="str">
        <f t="shared" si="151"/>
        <v>0–0.2 hours</v>
      </c>
      <c r="P4811" t="s">
        <v>30</v>
      </c>
    </row>
    <row r="4812" spans="1:16" x14ac:dyDescent="0.4">
      <c r="A4812" s="1" t="s">
        <v>4853</v>
      </c>
      <c r="B4812">
        <v>22</v>
      </c>
      <c r="C4812" t="s">
        <v>27</v>
      </c>
      <c r="D4812" t="s">
        <v>32</v>
      </c>
      <c r="E4812">
        <v>14.35</v>
      </c>
      <c r="F4812">
        <v>1</v>
      </c>
      <c r="G4812" t="s">
        <v>23</v>
      </c>
      <c r="H4812" t="s">
        <v>46</v>
      </c>
      <c r="I4812" s="2">
        <v>17.989999999999998</v>
      </c>
      <c r="J4812">
        <v>0</v>
      </c>
      <c r="K4812" s="2">
        <f t="shared" si="150"/>
        <v>0</v>
      </c>
      <c r="L4812" t="s">
        <v>61</v>
      </c>
      <c r="M4812">
        <v>5</v>
      </c>
      <c r="N4812">
        <v>7.17</v>
      </c>
      <c r="O4812" t="str">
        <f t="shared" si="151"/>
        <v>1+ hours</v>
      </c>
      <c r="P4812" t="s">
        <v>25</v>
      </c>
    </row>
    <row r="4813" spans="1:16" x14ac:dyDescent="0.4">
      <c r="A4813" t="s">
        <v>4854</v>
      </c>
      <c r="B4813">
        <v>39</v>
      </c>
      <c r="C4813" t="s">
        <v>41</v>
      </c>
      <c r="D4813" t="s">
        <v>16</v>
      </c>
      <c r="E4813">
        <v>6.04</v>
      </c>
      <c r="F4813">
        <v>37</v>
      </c>
      <c r="G4813" t="s">
        <v>23</v>
      </c>
      <c r="H4813" t="s">
        <v>55</v>
      </c>
      <c r="I4813" s="2">
        <v>8.99</v>
      </c>
      <c r="J4813">
        <v>1</v>
      </c>
      <c r="K4813" s="2">
        <f t="shared" si="150"/>
        <v>8.99</v>
      </c>
      <c r="L4813" t="s">
        <v>19</v>
      </c>
      <c r="M4813">
        <v>2</v>
      </c>
      <c r="N4813">
        <v>0.16</v>
      </c>
      <c r="O4813" t="str">
        <f t="shared" si="151"/>
        <v>0–0.2 hours</v>
      </c>
      <c r="P4813" t="s">
        <v>52</v>
      </c>
    </row>
    <row r="4814" spans="1:16" x14ac:dyDescent="0.4">
      <c r="A4814" t="s">
        <v>4855</v>
      </c>
      <c r="B4814">
        <v>29</v>
      </c>
      <c r="C4814" t="s">
        <v>27</v>
      </c>
      <c r="D4814" t="s">
        <v>32</v>
      </c>
      <c r="E4814">
        <v>8.8699999999999992</v>
      </c>
      <c r="F4814">
        <v>41</v>
      </c>
      <c r="G4814" t="s">
        <v>23</v>
      </c>
      <c r="H4814" t="s">
        <v>24</v>
      </c>
      <c r="I4814" s="2">
        <v>17.989999999999998</v>
      </c>
      <c r="J4814">
        <v>1</v>
      </c>
      <c r="K4814" s="2">
        <f t="shared" si="150"/>
        <v>17.989999999999998</v>
      </c>
      <c r="L4814" t="s">
        <v>37</v>
      </c>
      <c r="M4814">
        <v>3</v>
      </c>
      <c r="N4814">
        <v>0.21</v>
      </c>
      <c r="O4814" t="str">
        <f t="shared" si="151"/>
        <v>0.2–0.4 hours</v>
      </c>
      <c r="P4814" t="s">
        <v>34</v>
      </c>
    </row>
    <row r="4815" spans="1:16" x14ac:dyDescent="0.4">
      <c r="A4815" t="s">
        <v>4856</v>
      </c>
      <c r="B4815">
        <v>50</v>
      </c>
      <c r="C4815" t="s">
        <v>41</v>
      </c>
      <c r="D4815" t="s">
        <v>16</v>
      </c>
      <c r="E4815">
        <v>20.96</v>
      </c>
      <c r="F4815">
        <v>40</v>
      </c>
      <c r="G4815" t="s">
        <v>49</v>
      </c>
      <c r="H4815" t="s">
        <v>18</v>
      </c>
      <c r="I4815" s="2">
        <v>8.99</v>
      </c>
      <c r="J4815">
        <v>0</v>
      </c>
      <c r="K4815" s="2">
        <f t="shared" si="150"/>
        <v>0</v>
      </c>
      <c r="L4815" t="s">
        <v>29</v>
      </c>
      <c r="M4815">
        <v>2</v>
      </c>
      <c r="N4815">
        <v>0.51</v>
      </c>
      <c r="O4815" t="str">
        <f t="shared" si="151"/>
        <v>0.4–0.6 hours</v>
      </c>
      <c r="P4815" t="s">
        <v>25</v>
      </c>
    </row>
    <row r="4816" spans="1:16" x14ac:dyDescent="0.4">
      <c r="A4816" t="s">
        <v>4857</v>
      </c>
      <c r="B4816">
        <v>65</v>
      </c>
      <c r="C4816" t="s">
        <v>27</v>
      </c>
      <c r="D4816" t="s">
        <v>16</v>
      </c>
      <c r="E4816">
        <v>1.64</v>
      </c>
      <c r="F4816">
        <v>43</v>
      </c>
      <c r="G4816" t="s">
        <v>17</v>
      </c>
      <c r="H4816" t="s">
        <v>57</v>
      </c>
      <c r="I4816" s="2">
        <v>8.99</v>
      </c>
      <c r="J4816">
        <v>1</v>
      </c>
      <c r="K4816" s="2">
        <f t="shared" si="150"/>
        <v>8.99</v>
      </c>
      <c r="L4816" t="s">
        <v>19</v>
      </c>
      <c r="M4816">
        <v>1</v>
      </c>
      <c r="N4816">
        <v>0.04</v>
      </c>
      <c r="O4816" t="str">
        <f t="shared" si="151"/>
        <v>0–0.2 hours</v>
      </c>
      <c r="P4816" t="s">
        <v>47</v>
      </c>
    </row>
    <row r="4817" spans="1:16" x14ac:dyDescent="0.4">
      <c r="A4817" t="s">
        <v>4858</v>
      </c>
      <c r="B4817">
        <v>63</v>
      </c>
      <c r="C4817" t="s">
        <v>15</v>
      </c>
      <c r="D4817" t="s">
        <v>32</v>
      </c>
      <c r="E4817">
        <v>51.75</v>
      </c>
      <c r="F4817">
        <v>30</v>
      </c>
      <c r="G4817" t="s">
        <v>28</v>
      </c>
      <c r="H4817" t="s">
        <v>18</v>
      </c>
      <c r="I4817" s="2">
        <v>17.989999999999998</v>
      </c>
      <c r="J4817">
        <v>0</v>
      </c>
      <c r="K4817" s="2">
        <f t="shared" si="150"/>
        <v>0</v>
      </c>
      <c r="L4817" t="s">
        <v>29</v>
      </c>
      <c r="M4817">
        <v>1</v>
      </c>
      <c r="N4817">
        <v>1.67</v>
      </c>
      <c r="O4817" t="str">
        <f t="shared" si="151"/>
        <v>1+ hours</v>
      </c>
      <c r="P4817" t="s">
        <v>34</v>
      </c>
    </row>
    <row r="4818" spans="1:16" x14ac:dyDescent="0.4">
      <c r="A4818" t="s">
        <v>4859</v>
      </c>
      <c r="B4818">
        <v>43</v>
      </c>
      <c r="C4818" t="s">
        <v>15</v>
      </c>
      <c r="D4818" t="s">
        <v>22</v>
      </c>
      <c r="E4818">
        <v>5.12</v>
      </c>
      <c r="F4818">
        <v>26</v>
      </c>
      <c r="G4818" t="s">
        <v>49</v>
      </c>
      <c r="H4818" t="s">
        <v>24</v>
      </c>
      <c r="I4818" s="2">
        <v>13.99</v>
      </c>
      <c r="J4818">
        <v>0</v>
      </c>
      <c r="K4818" s="2">
        <f t="shared" si="150"/>
        <v>0</v>
      </c>
      <c r="L4818" t="s">
        <v>37</v>
      </c>
      <c r="M4818">
        <v>5</v>
      </c>
      <c r="N4818">
        <v>0.19</v>
      </c>
      <c r="O4818" t="str">
        <f t="shared" si="151"/>
        <v>0–0.2 hours</v>
      </c>
      <c r="P4818" t="s">
        <v>52</v>
      </c>
    </row>
    <row r="4819" spans="1:16" x14ac:dyDescent="0.4">
      <c r="A4819" t="s">
        <v>4860</v>
      </c>
      <c r="B4819">
        <v>46</v>
      </c>
      <c r="C4819" t="s">
        <v>15</v>
      </c>
      <c r="D4819" t="s">
        <v>32</v>
      </c>
      <c r="E4819">
        <v>10.37</v>
      </c>
      <c r="F4819">
        <v>34</v>
      </c>
      <c r="G4819" t="s">
        <v>23</v>
      </c>
      <c r="H4819" t="s">
        <v>18</v>
      </c>
      <c r="I4819" s="2">
        <v>17.989999999999998</v>
      </c>
      <c r="J4819">
        <v>1</v>
      </c>
      <c r="K4819" s="2">
        <f t="shared" si="150"/>
        <v>17.989999999999998</v>
      </c>
      <c r="L4819" t="s">
        <v>37</v>
      </c>
      <c r="M4819">
        <v>1</v>
      </c>
      <c r="N4819">
        <v>0.3</v>
      </c>
      <c r="O4819" t="str">
        <f t="shared" si="151"/>
        <v>0.2–0.4 hours</v>
      </c>
      <c r="P4819" t="s">
        <v>30</v>
      </c>
    </row>
    <row r="4820" spans="1:16" x14ac:dyDescent="0.4">
      <c r="A4820" t="s">
        <v>4861</v>
      </c>
      <c r="B4820">
        <v>39</v>
      </c>
      <c r="C4820" t="s">
        <v>27</v>
      </c>
      <c r="D4820" t="s">
        <v>16</v>
      </c>
      <c r="E4820">
        <v>2.44</v>
      </c>
      <c r="F4820">
        <v>43</v>
      </c>
      <c r="G4820" t="s">
        <v>17</v>
      </c>
      <c r="H4820" t="s">
        <v>57</v>
      </c>
      <c r="I4820" s="2">
        <v>8.99</v>
      </c>
      <c r="J4820">
        <v>1</v>
      </c>
      <c r="K4820" s="2">
        <f t="shared" si="150"/>
        <v>8.99</v>
      </c>
      <c r="L4820" t="s">
        <v>61</v>
      </c>
      <c r="M4820">
        <v>5</v>
      </c>
      <c r="N4820">
        <v>0.06</v>
      </c>
      <c r="O4820" t="str">
        <f t="shared" si="151"/>
        <v>0–0.2 hours</v>
      </c>
      <c r="P4820" t="s">
        <v>52</v>
      </c>
    </row>
    <row r="4821" spans="1:16" x14ac:dyDescent="0.4">
      <c r="A4821" t="s">
        <v>4862</v>
      </c>
      <c r="B4821">
        <v>33</v>
      </c>
      <c r="C4821" t="s">
        <v>15</v>
      </c>
      <c r="D4821" t="s">
        <v>32</v>
      </c>
      <c r="E4821">
        <v>1.97</v>
      </c>
      <c r="F4821">
        <v>60</v>
      </c>
      <c r="G4821" t="s">
        <v>23</v>
      </c>
      <c r="H4821" t="s">
        <v>46</v>
      </c>
      <c r="I4821" s="2">
        <v>17.989999999999998</v>
      </c>
      <c r="J4821">
        <v>1</v>
      </c>
      <c r="K4821" s="2">
        <f t="shared" si="150"/>
        <v>17.989999999999998</v>
      </c>
      <c r="L4821" t="s">
        <v>37</v>
      </c>
      <c r="M4821">
        <v>2</v>
      </c>
      <c r="N4821">
        <v>0.03</v>
      </c>
      <c r="O4821" t="str">
        <f t="shared" si="151"/>
        <v>0–0.2 hours</v>
      </c>
      <c r="P4821" t="s">
        <v>25</v>
      </c>
    </row>
    <row r="4822" spans="1:16" x14ac:dyDescent="0.4">
      <c r="A4822" t="s">
        <v>4863</v>
      </c>
      <c r="B4822">
        <v>54</v>
      </c>
      <c r="C4822" t="s">
        <v>41</v>
      </c>
      <c r="D4822" t="s">
        <v>16</v>
      </c>
      <c r="E4822">
        <v>2.41</v>
      </c>
      <c r="F4822">
        <v>18</v>
      </c>
      <c r="G4822" t="s">
        <v>28</v>
      </c>
      <c r="H4822" t="s">
        <v>55</v>
      </c>
      <c r="I4822" s="2">
        <v>8.99</v>
      </c>
      <c r="J4822">
        <v>1</v>
      </c>
      <c r="K4822" s="2">
        <f t="shared" si="150"/>
        <v>8.99</v>
      </c>
      <c r="L4822" t="s">
        <v>61</v>
      </c>
      <c r="M4822">
        <v>2</v>
      </c>
      <c r="N4822">
        <v>0.13</v>
      </c>
      <c r="O4822" t="str">
        <f t="shared" si="151"/>
        <v>0–0.2 hours</v>
      </c>
      <c r="P4822" t="s">
        <v>20</v>
      </c>
    </row>
    <row r="4823" spans="1:16" x14ac:dyDescent="0.4">
      <c r="A4823" t="s">
        <v>4864</v>
      </c>
      <c r="B4823">
        <v>50</v>
      </c>
      <c r="C4823" t="s">
        <v>15</v>
      </c>
      <c r="D4823" t="s">
        <v>22</v>
      </c>
      <c r="E4823">
        <v>4.03</v>
      </c>
      <c r="F4823">
        <v>1</v>
      </c>
      <c r="G4823" t="s">
        <v>49</v>
      </c>
      <c r="H4823" t="s">
        <v>46</v>
      </c>
      <c r="I4823" s="2">
        <v>13.99</v>
      </c>
      <c r="J4823">
        <v>0</v>
      </c>
      <c r="K4823" s="2">
        <f t="shared" si="150"/>
        <v>0</v>
      </c>
      <c r="L4823" t="s">
        <v>19</v>
      </c>
      <c r="M4823">
        <v>1</v>
      </c>
      <c r="N4823">
        <v>2.02</v>
      </c>
      <c r="O4823" t="str">
        <f t="shared" si="151"/>
        <v>1+ hours</v>
      </c>
      <c r="P4823" t="s">
        <v>34</v>
      </c>
    </row>
    <row r="4824" spans="1:16" x14ac:dyDescent="0.4">
      <c r="A4824" t="s">
        <v>4865</v>
      </c>
      <c r="B4824">
        <v>50</v>
      </c>
      <c r="C4824" t="s">
        <v>27</v>
      </c>
      <c r="D4824" t="s">
        <v>32</v>
      </c>
      <c r="E4824">
        <v>19.010000000000002</v>
      </c>
      <c r="F4824">
        <v>6</v>
      </c>
      <c r="G4824" t="s">
        <v>28</v>
      </c>
      <c r="H4824" t="s">
        <v>18</v>
      </c>
      <c r="I4824" s="2">
        <v>17.989999999999998</v>
      </c>
      <c r="J4824">
        <v>0</v>
      </c>
      <c r="K4824" s="2">
        <f t="shared" si="150"/>
        <v>0</v>
      </c>
      <c r="L4824" t="s">
        <v>43</v>
      </c>
      <c r="M4824">
        <v>1</v>
      </c>
      <c r="N4824">
        <v>2.72</v>
      </c>
      <c r="O4824" t="str">
        <f t="shared" si="151"/>
        <v>1+ hours</v>
      </c>
      <c r="P4824" t="s">
        <v>20</v>
      </c>
    </row>
    <row r="4825" spans="1:16" x14ac:dyDescent="0.4">
      <c r="A4825" t="s">
        <v>4866</v>
      </c>
      <c r="B4825">
        <v>49</v>
      </c>
      <c r="C4825" t="s">
        <v>15</v>
      </c>
      <c r="D4825" t="s">
        <v>22</v>
      </c>
      <c r="E4825">
        <v>2.33</v>
      </c>
      <c r="F4825">
        <v>41</v>
      </c>
      <c r="G4825" t="s">
        <v>33</v>
      </c>
      <c r="H4825" t="s">
        <v>55</v>
      </c>
      <c r="I4825" s="2">
        <v>13.99</v>
      </c>
      <c r="J4825">
        <v>1</v>
      </c>
      <c r="K4825" s="2">
        <f t="shared" si="150"/>
        <v>13.99</v>
      </c>
      <c r="L4825" t="s">
        <v>29</v>
      </c>
      <c r="M4825">
        <v>4</v>
      </c>
      <c r="N4825">
        <v>0.06</v>
      </c>
      <c r="O4825" t="str">
        <f t="shared" si="151"/>
        <v>0–0.2 hours</v>
      </c>
      <c r="P4825" t="s">
        <v>20</v>
      </c>
    </row>
    <row r="4826" spans="1:16" x14ac:dyDescent="0.4">
      <c r="A4826" t="s">
        <v>4867</v>
      </c>
      <c r="B4826">
        <v>35</v>
      </c>
      <c r="C4826" t="s">
        <v>27</v>
      </c>
      <c r="D4826" t="s">
        <v>16</v>
      </c>
      <c r="E4826">
        <v>30.91</v>
      </c>
      <c r="F4826">
        <v>23</v>
      </c>
      <c r="G4826" t="s">
        <v>23</v>
      </c>
      <c r="H4826" t="s">
        <v>18</v>
      </c>
      <c r="I4826" s="2">
        <v>8.99</v>
      </c>
      <c r="J4826">
        <v>0</v>
      </c>
      <c r="K4826" s="2">
        <f t="shared" si="150"/>
        <v>0</v>
      </c>
      <c r="L4826" t="s">
        <v>43</v>
      </c>
      <c r="M4826">
        <v>5</v>
      </c>
      <c r="N4826">
        <v>1.29</v>
      </c>
      <c r="O4826" t="str">
        <f t="shared" si="151"/>
        <v>1+ hours</v>
      </c>
      <c r="P4826" t="s">
        <v>47</v>
      </c>
    </row>
    <row r="4827" spans="1:16" x14ac:dyDescent="0.4">
      <c r="A4827" t="s">
        <v>4868</v>
      </c>
      <c r="B4827">
        <v>18</v>
      </c>
      <c r="C4827" t="s">
        <v>27</v>
      </c>
      <c r="D4827" t="s">
        <v>22</v>
      </c>
      <c r="E4827">
        <v>1.59</v>
      </c>
      <c r="F4827">
        <v>10</v>
      </c>
      <c r="G4827" t="s">
        <v>49</v>
      </c>
      <c r="H4827" t="s">
        <v>55</v>
      </c>
      <c r="I4827" s="2">
        <v>13.99</v>
      </c>
      <c r="J4827">
        <v>1</v>
      </c>
      <c r="K4827" s="2">
        <f t="shared" si="150"/>
        <v>13.99</v>
      </c>
      <c r="L4827" t="s">
        <v>19</v>
      </c>
      <c r="M4827">
        <v>3</v>
      </c>
      <c r="N4827">
        <v>0.14000000000000001</v>
      </c>
      <c r="O4827" t="str">
        <f t="shared" si="151"/>
        <v>0–0.2 hours</v>
      </c>
      <c r="P4827" t="s">
        <v>52</v>
      </c>
    </row>
    <row r="4828" spans="1:16" x14ac:dyDescent="0.4">
      <c r="A4828" t="s">
        <v>4869</v>
      </c>
      <c r="B4828">
        <v>18</v>
      </c>
      <c r="C4828" t="s">
        <v>27</v>
      </c>
      <c r="D4828" t="s">
        <v>22</v>
      </c>
      <c r="E4828">
        <v>1.48</v>
      </c>
      <c r="F4828">
        <v>27</v>
      </c>
      <c r="G4828" t="s">
        <v>23</v>
      </c>
      <c r="H4828" t="s">
        <v>55</v>
      </c>
      <c r="I4828" s="2">
        <v>13.99</v>
      </c>
      <c r="J4828">
        <v>0</v>
      </c>
      <c r="K4828" s="2">
        <f t="shared" si="150"/>
        <v>0</v>
      </c>
      <c r="L4828" t="s">
        <v>37</v>
      </c>
      <c r="M4828">
        <v>4</v>
      </c>
      <c r="N4828">
        <v>0.05</v>
      </c>
      <c r="O4828" t="str">
        <f t="shared" si="151"/>
        <v>0–0.2 hours</v>
      </c>
      <c r="P4828" t="s">
        <v>25</v>
      </c>
    </row>
    <row r="4829" spans="1:16" x14ac:dyDescent="0.4">
      <c r="A4829" t="s">
        <v>4870</v>
      </c>
      <c r="B4829">
        <v>28</v>
      </c>
      <c r="C4829" t="s">
        <v>27</v>
      </c>
      <c r="D4829" t="s">
        <v>16</v>
      </c>
      <c r="E4829">
        <v>9.1999999999999993</v>
      </c>
      <c r="F4829">
        <v>7</v>
      </c>
      <c r="G4829" t="s">
        <v>28</v>
      </c>
      <c r="H4829" t="s">
        <v>18</v>
      </c>
      <c r="I4829" s="2">
        <v>8.99</v>
      </c>
      <c r="J4829">
        <v>0</v>
      </c>
      <c r="K4829" s="2">
        <f t="shared" si="150"/>
        <v>0</v>
      </c>
      <c r="L4829" t="s">
        <v>43</v>
      </c>
      <c r="M4829">
        <v>2</v>
      </c>
      <c r="N4829">
        <v>1.1499999999999999</v>
      </c>
      <c r="O4829" t="str">
        <f t="shared" si="151"/>
        <v>1+ hours</v>
      </c>
      <c r="P4829" t="s">
        <v>47</v>
      </c>
    </row>
    <row r="4830" spans="1:16" x14ac:dyDescent="0.4">
      <c r="A4830" t="s">
        <v>4871</v>
      </c>
      <c r="B4830">
        <v>18</v>
      </c>
      <c r="C4830" t="s">
        <v>15</v>
      </c>
      <c r="D4830" t="s">
        <v>16</v>
      </c>
      <c r="E4830">
        <v>12.33</v>
      </c>
      <c r="F4830">
        <v>22</v>
      </c>
      <c r="G4830" t="s">
        <v>70</v>
      </c>
      <c r="H4830" t="s">
        <v>57</v>
      </c>
      <c r="I4830" s="2">
        <v>8.99</v>
      </c>
      <c r="J4830">
        <v>0</v>
      </c>
      <c r="K4830" s="2">
        <f t="shared" si="150"/>
        <v>0</v>
      </c>
      <c r="L4830" t="s">
        <v>43</v>
      </c>
      <c r="M4830">
        <v>5</v>
      </c>
      <c r="N4830">
        <v>0.54</v>
      </c>
      <c r="O4830" t="str">
        <f t="shared" si="151"/>
        <v>0.4–0.6 hours</v>
      </c>
      <c r="P4830" t="s">
        <v>47</v>
      </c>
    </row>
    <row r="4831" spans="1:16" x14ac:dyDescent="0.4">
      <c r="A4831" t="s">
        <v>4872</v>
      </c>
      <c r="B4831">
        <v>57</v>
      </c>
      <c r="C4831" t="s">
        <v>41</v>
      </c>
      <c r="D4831" t="s">
        <v>22</v>
      </c>
      <c r="E4831">
        <v>1.24</v>
      </c>
      <c r="F4831">
        <v>37</v>
      </c>
      <c r="G4831" t="s">
        <v>23</v>
      </c>
      <c r="H4831" t="s">
        <v>55</v>
      </c>
      <c r="I4831" s="2">
        <v>13.99</v>
      </c>
      <c r="J4831">
        <v>1</v>
      </c>
      <c r="K4831" s="2">
        <f t="shared" si="150"/>
        <v>13.99</v>
      </c>
      <c r="L4831" t="s">
        <v>19</v>
      </c>
      <c r="M4831">
        <v>2</v>
      </c>
      <c r="N4831">
        <v>0.03</v>
      </c>
      <c r="O4831" t="str">
        <f t="shared" si="151"/>
        <v>0–0.2 hours</v>
      </c>
      <c r="P4831" t="s">
        <v>30</v>
      </c>
    </row>
    <row r="4832" spans="1:16" x14ac:dyDescent="0.4">
      <c r="A4832" t="s">
        <v>4873</v>
      </c>
      <c r="B4832">
        <v>51</v>
      </c>
      <c r="C4832" t="s">
        <v>15</v>
      </c>
      <c r="D4832" t="s">
        <v>16</v>
      </c>
      <c r="E4832">
        <v>0.3</v>
      </c>
      <c r="F4832">
        <v>58</v>
      </c>
      <c r="G4832" t="s">
        <v>28</v>
      </c>
      <c r="H4832" t="s">
        <v>18</v>
      </c>
      <c r="I4832" s="2">
        <v>8.99</v>
      </c>
      <c r="J4832">
        <v>1</v>
      </c>
      <c r="K4832" s="2">
        <f t="shared" si="150"/>
        <v>8.99</v>
      </c>
      <c r="L4832" t="s">
        <v>29</v>
      </c>
      <c r="M4832">
        <v>2</v>
      </c>
      <c r="N4832">
        <v>0.01</v>
      </c>
      <c r="O4832" t="str">
        <f t="shared" si="151"/>
        <v>0–0.2 hours</v>
      </c>
      <c r="P4832" t="s">
        <v>34</v>
      </c>
    </row>
    <row r="4833" spans="1:16" x14ac:dyDescent="0.4">
      <c r="A4833" t="s">
        <v>4874</v>
      </c>
      <c r="B4833">
        <v>65</v>
      </c>
      <c r="C4833" t="s">
        <v>41</v>
      </c>
      <c r="D4833" t="s">
        <v>16</v>
      </c>
      <c r="E4833">
        <v>24.31</v>
      </c>
      <c r="F4833">
        <v>25</v>
      </c>
      <c r="G4833" t="s">
        <v>23</v>
      </c>
      <c r="H4833" t="s">
        <v>55</v>
      </c>
      <c r="I4833" s="2">
        <v>8.99</v>
      </c>
      <c r="J4833">
        <v>0</v>
      </c>
      <c r="K4833" s="2">
        <f t="shared" si="150"/>
        <v>0</v>
      </c>
      <c r="L4833" t="s">
        <v>29</v>
      </c>
      <c r="M4833">
        <v>4</v>
      </c>
      <c r="N4833">
        <v>0.93</v>
      </c>
      <c r="O4833" t="str">
        <f t="shared" si="151"/>
        <v>0.8–1 hour</v>
      </c>
      <c r="P4833" t="s">
        <v>34</v>
      </c>
    </row>
    <row r="4834" spans="1:16" x14ac:dyDescent="0.4">
      <c r="A4834" t="s">
        <v>4875</v>
      </c>
      <c r="B4834">
        <v>22</v>
      </c>
      <c r="C4834" t="s">
        <v>41</v>
      </c>
      <c r="D4834" t="s">
        <v>22</v>
      </c>
      <c r="E4834">
        <v>13.64</v>
      </c>
      <c r="F4834">
        <v>18</v>
      </c>
      <c r="G4834" t="s">
        <v>70</v>
      </c>
      <c r="H4834" t="s">
        <v>24</v>
      </c>
      <c r="I4834" s="2">
        <v>13.99</v>
      </c>
      <c r="J4834">
        <v>0</v>
      </c>
      <c r="K4834" s="2">
        <f t="shared" si="150"/>
        <v>0</v>
      </c>
      <c r="L4834" t="s">
        <v>37</v>
      </c>
      <c r="M4834">
        <v>4</v>
      </c>
      <c r="N4834">
        <v>0.72</v>
      </c>
      <c r="O4834" t="str">
        <f t="shared" si="151"/>
        <v>0.6–0.8 hours</v>
      </c>
      <c r="P4834" t="s">
        <v>52</v>
      </c>
    </row>
    <row r="4835" spans="1:16" x14ac:dyDescent="0.4">
      <c r="A4835" t="s">
        <v>4876</v>
      </c>
      <c r="B4835">
        <v>59</v>
      </c>
      <c r="C4835" t="s">
        <v>15</v>
      </c>
      <c r="D4835" t="s">
        <v>32</v>
      </c>
      <c r="E4835">
        <v>4.17</v>
      </c>
      <c r="F4835">
        <v>1</v>
      </c>
      <c r="G4835" t="s">
        <v>49</v>
      </c>
      <c r="H4835" t="s">
        <v>55</v>
      </c>
      <c r="I4835" s="2">
        <v>17.989999999999998</v>
      </c>
      <c r="J4835">
        <v>0</v>
      </c>
      <c r="K4835" s="2">
        <f t="shared" si="150"/>
        <v>0</v>
      </c>
      <c r="L4835" t="s">
        <v>37</v>
      </c>
      <c r="M4835">
        <v>4</v>
      </c>
      <c r="N4835">
        <v>2.08</v>
      </c>
      <c r="O4835" t="str">
        <f t="shared" si="151"/>
        <v>1+ hours</v>
      </c>
      <c r="P4835" t="s">
        <v>47</v>
      </c>
    </row>
    <row r="4836" spans="1:16" x14ac:dyDescent="0.4">
      <c r="A4836" t="s">
        <v>4877</v>
      </c>
      <c r="B4836">
        <v>29</v>
      </c>
      <c r="C4836" t="s">
        <v>27</v>
      </c>
      <c r="D4836" t="s">
        <v>32</v>
      </c>
      <c r="E4836">
        <v>9.33</v>
      </c>
      <c r="F4836">
        <v>9</v>
      </c>
      <c r="G4836" t="s">
        <v>23</v>
      </c>
      <c r="H4836" t="s">
        <v>24</v>
      </c>
      <c r="I4836" s="2">
        <v>17.989999999999998</v>
      </c>
      <c r="J4836">
        <v>0</v>
      </c>
      <c r="K4836" s="2">
        <f t="shared" si="150"/>
        <v>0</v>
      </c>
      <c r="L4836" t="s">
        <v>43</v>
      </c>
      <c r="M4836">
        <v>5</v>
      </c>
      <c r="N4836">
        <v>0.93</v>
      </c>
      <c r="O4836" t="str">
        <f t="shared" si="151"/>
        <v>0.8–1 hour</v>
      </c>
      <c r="P4836" t="s">
        <v>34</v>
      </c>
    </row>
    <row r="4837" spans="1:16" x14ac:dyDescent="0.4">
      <c r="A4837" t="s">
        <v>4878</v>
      </c>
      <c r="B4837">
        <v>59</v>
      </c>
      <c r="C4837" t="s">
        <v>41</v>
      </c>
      <c r="D4837" t="s">
        <v>32</v>
      </c>
      <c r="E4837">
        <v>31.05</v>
      </c>
      <c r="F4837">
        <v>3</v>
      </c>
      <c r="G4837" t="s">
        <v>70</v>
      </c>
      <c r="H4837" t="s">
        <v>24</v>
      </c>
      <c r="I4837" s="2">
        <v>17.989999999999998</v>
      </c>
      <c r="J4837">
        <v>0</v>
      </c>
      <c r="K4837" s="2">
        <f t="shared" si="150"/>
        <v>0</v>
      </c>
      <c r="L4837" t="s">
        <v>61</v>
      </c>
      <c r="M4837">
        <v>5</v>
      </c>
      <c r="N4837">
        <v>7.76</v>
      </c>
      <c r="O4837" t="str">
        <f t="shared" si="151"/>
        <v>1+ hours</v>
      </c>
      <c r="P4837" t="s">
        <v>20</v>
      </c>
    </row>
    <row r="4838" spans="1:16" x14ac:dyDescent="0.4">
      <c r="A4838" t="s">
        <v>4879</v>
      </c>
      <c r="B4838">
        <v>19</v>
      </c>
      <c r="C4838" t="s">
        <v>41</v>
      </c>
      <c r="D4838" t="s">
        <v>32</v>
      </c>
      <c r="E4838">
        <v>3.28</v>
      </c>
      <c r="F4838">
        <v>30</v>
      </c>
      <c r="G4838" t="s">
        <v>49</v>
      </c>
      <c r="H4838" t="s">
        <v>57</v>
      </c>
      <c r="I4838" s="2">
        <v>17.989999999999998</v>
      </c>
      <c r="J4838">
        <v>1</v>
      </c>
      <c r="K4838" s="2">
        <f t="shared" si="150"/>
        <v>17.989999999999998</v>
      </c>
      <c r="L4838" t="s">
        <v>29</v>
      </c>
      <c r="M4838">
        <v>5</v>
      </c>
      <c r="N4838">
        <v>0.11</v>
      </c>
      <c r="O4838" t="str">
        <f t="shared" si="151"/>
        <v>0–0.2 hours</v>
      </c>
      <c r="P4838" t="s">
        <v>30</v>
      </c>
    </row>
    <row r="4839" spans="1:16" x14ac:dyDescent="0.4">
      <c r="A4839" t="s">
        <v>4880</v>
      </c>
      <c r="B4839">
        <v>61</v>
      </c>
      <c r="C4839" t="s">
        <v>27</v>
      </c>
      <c r="D4839" t="s">
        <v>22</v>
      </c>
      <c r="E4839">
        <v>30</v>
      </c>
      <c r="F4839">
        <v>50</v>
      </c>
      <c r="G4839" t="s">
        <v>70</v>
      </c>
      <c r="H4839" t="s">
        <v>24</v>
      </c>
      <c r="I4839" s="2">
        <v>13.99</v>
      </c>
      <c r="J4839">
        <v>0</v>
      </c>
      <c r="K4839" s="2">
        <f t="shared" si="150"/>
        <v>0</v>
      </c>
      <c r="L4839" t="s">
        <v>61</v>
      </c>
      <c r="M4839">
        <v>2</v>
      </c>
      <c r="N4839">
        <v>0.59</v>
      </c>
      <c r="O4839" t="str">
        <f t="shared" si="151"/>
        <v>0.4–0.6 hours</v>
      </c>
      <c r="P4839" t="s">
        <v>47</v>
      </c>
    </row>
    <row r="4840" spans="1:16" x14ac:dyDescent="0.4">
      <c r="A4840" t="s">
        <v>4881</v>
      </c>
      <c r="B4840">
        <v>34</v>
      </c>
      <c r="C4840" t="s">
        <v>41</v>
      </c>
      <c r="D4840" t="s">
        <v>16</v>
      </c>
      <c r="E4840">
        <v>11.2</v>
      </c>
      <c r="F4840">
        <v>48</v>
      </c>
      <c r="G4840" t="s">
        <v>17</v>
      </c>
      <c r="H4840" t="s">
        <v>55</v>
      </c>
      <c r="I4840" s="2">
        <v>8.99</v>
      </c>
      <c r="J4840">
        <v>1</v>
      </c>
      <c r="K4840" s="2">
        <f t="shared" si="150"/>
        <v>8.99</v>
      </c>
      <c r="L4840" t="s">
        <v>29</v>
      </c>
      <c r="M4840">
        <v>4</v>
      </c>
      <c r="N4840">
        <v>0.23</v>
      </c>
      <c r="O4840" t="str">
        <f t="shared" si="151"/>
        <v>0.2–0.4 hours</v>
      </c>
      <c r="P4840" t="s">
        <v>47</v>
      </c>
    </row>
    <row r="4841" spans="1:16" x14ac:dyDescent="0.4">
      <c r="A4841" t="s">
        <v>4882</v>
      </c>
      <c r="B4841">
        <v>23</v>
      </c>
      <c r="C4841" t="s">
        <v>41</v>
      </c>
      <c r="D4841" t="s">
        <v>22</v>
      </c>
      <c r="E4841">
        <v>23.96</v>
      </c>
      <c r="F4841">
        <v>32</v>
      </c>
      <c r="G4841" t="s">
        <v>33</v>
      </c>
      <c r="H4841" t="s">
        <v>46</v>
      </c>
      <c r="I4841" s="2">
        <v>13.99</v>
      </c>
      <c r="J4841">
        <v>0</v>
      </c>
      <c r="K4841" s="2">
        <f t="shared" si="150"/>
        <v>0</v>
      </c>
      <c r="L4841" t="s">
        <v>61</v>
      </c>
      <c r="M4841">
        <v>5</v>
      </c>
      <c r="N4841">
        <v>0.73</v>
      </c>
      <c r="O4841" t="str">
        <f t="shared" si="151"/>
        <v>0.6–0.8 hours</v>
      </c>
      <c r="P4841" t="s">
        <v>52</v>
      </c>
    </row>
    <row r="4842" spans="1:16" x14ac:dyDescent="0.4">
      <c r="A4842" t="s">
        <v>4883</v>
      </c>
      <c r="B4842">
        <v>66</v>
      </c>
      <c r="C4842" t="s">
        <v>27</v>
      </c>
      <c r="D4842" t="s">
        <v>16</v>
      </c>
      <c r="E4842">
        <v>0.74</v>
      </c>
      <c r="F4842">
        <v>27</v>
      </c>
      <c r="G4842" t="s">
        <v>33</v>
      </c>
      <c r="H4842" t="s">
        <v>24</v>
      </c>
      <c r="I4842" s="2">
        <v>8.99</v>
      </c>
      <c r="J4842">
        <v>1</v>
      </c>
      <c r="K4842" s="2">
        <f t="shared" si="150"/>
        <v>8.99</v>
      </c>
      <c r="L4842" t="s">
        <v>29</v>
      </c>
      <c r="M4842">
        <v>3</v>
      </c>
      <c r="N4842">
        <v>0.03</v>
      </c>
      <c r="O4842" t="str">
        <f t="shared" si="151"/>
        <v>0–0.2 hours</v>
      </c>
      <c r="P4842" t="s">
        <v>20</v>
      </c>
    </row>
    <row r="4843" spans="1:16" x14ac:dyDescent="0.4">
      <c r="A4843" t="s">
        <v>4884</v>
      </c>
      <c r="B4843">
        <v>59</v>
      </c>
      <c r="C4843" t="s">
        <v>41</v>
      </c>
      <c r="D4843" t="s">
        <v>22</v>
      </c>
      <c r="E4843">
        <v>9.77</v>
      </c>
      <c r="F4843">
        <v>30</v>
      </c>
      <c r="G4843" t="s">
        <v>23</v>
      </c>
      <c r="H4843" t="s">
        <v>18</v>
      </c>
      <c r="I4843" s="2">
        <v>13.99</v>
      </c>
      <c r="J4843">
        <v>0</v>
      </c>
      <c r="K4843" s="2">
        <f t="shared" si="150"/>
        <v>0</v>
      </c>
      <c r="L4843" t="s">
        <v>61</v>
      </c>
      <c r="M4843">
        <v>5</v>
      </c>
      <c r="N4843">
        <v>0.32</v>
      </c>
      <c r="O4843" t="str">
        <f t="shared" si="151"/>
        <v>0.2–0.4 hours</v>
      </c>
      <c r="P4843" t="s">
        <v>47</v>
      </c>
    </row>
    <row r="4844" spans="1:16" x14ac:dyDescent="0.4">
      <c r="A4844" t="s">
        <v>4885</v>
      </c>
      <c r="B4844">
        <v>22</v>
      </c>
      <c r="C4844" t="s">
        <v>27</v>
      </c>
      <c r="D4844" t="s">
        <v>32</v>
      </c>
      <c r="E4844">
        <v>5.64</v>
      </c>
      <c r="F4844">
        <v>29</v>
      </c>
      <c r="G4844" t="s">
        <v>33</v>
      </c>
      <c r="H4844" t="s">
        <v>55</v>
      </c>
      <c r="I4844" s="2">
        <v>17.989999999999998</v>
      </c>
      <c r="J4844">
        <v>0</v>
      </c>
      <c r="K4844" s="2">
        <f t="shared" si="150"/>
        <v>0</v>
      </c>
      <c r="L4844" t="s">
        <v>37</v>
      </c>
      <c r="M4844">
        <v>1</v>
      </c>
      <c r="N4844">
        <v>0.19</v>
      </c>
      <c r="O4844" t="str">
        <f t="shared" si="151"/>
        <v>0–0.2 hours</v>
      </c>
      <c r="P4844" t="s">
        <v>47</v>
      </c>
    </row>
    <row r="4845" spans="1:16" x14ac:dyDescent="0.4">
      <c r="A4845" t="s">
        <v>4886</v>
      </c>
      <c r="B4845">
        <v>62</v>
      </c>
      <c r="C4845" t="s">
        <v>27</v>
      </c>
      <c r="D4845" t="s">
        <v>16</v>
      </c>
      <c r="E4845">
        <v>6.69</v>
      </c>
      <c r="F4845">
        <v>30</v>
      </c>
      <c r="G4845" t="s">
        <v>17</v>
      </c>
      <c r="H4845" t="s">
        <v>24</v>
      </c>
      <c r="I4845" s="2">
        <v>8.99</v>
      </c>
      <c r="J4845">
        <v>1</v>
      </c>
      <c r="K4845" s="2">
        <f t="shared" si="150"/>
        <v>8.99</v>
      </c>
      <c r="L4845" t="s">
        <v>19</v>
      </c>
      <c r="M4845">
        <v>1</v>
      </c>
      <c r="N4845">
        <v>0.22</v>
      </c>
      <c r="O4845" t="str">
        <f t="shared" si="151"/>
        <v>0.2–0.4 hours</v>
      </c>
      <c r="P4845" t="s">
        <v>47</v>
      </c>
    </row>
    <row r="4846" spans="1:16" x14ac:dyDescent="0.4">
      <c r="A4846" t="s">
        <v>4887</v>
      </c>
      <c r="B4846">
        <v>44</v>
      </c>
      <c r="C4846" t="s">
        <v>27</v>
      </c>
      <c r="D4846" t="s">
        <v>32</v>
      </c>
      <c r="E4846">
        <v>18.89</v>
      </c>
      <c r="F4846">
        <v>11</v>
      </c>
      <c r="G4846" t="s">
        <v>17</v>
      </c>
      <c r="H4846" t="s">
        <v>46</v>
      </c>
      <c r="I4846" s="2">
        <v>17.989999999999998</v>
      </c>
      <c r="J4846">
        <v>0</v>
      </c>
      <c r="K4846" s="2">
        <f t="shared" si="150"/>
        <v>0</v>
      </c>
      <c r="L4846" t="s">
        <v>43</v>
      </c>
      <c r="M4846">
        <v>1</v>
      </c>
      <c r="N4846">
        <v>1.57</v>
      </c>
      <c r="O4846" t="str">
        <f t="shared" si="151"/>
        <v>1+ hours</v>
      </c>
      <c r="P4846" t="s">
        <v>52</v>
      </c>
    </row>
    <row r="4847" spans="1:16" x14ac:dyDescent="0.4">
      <c r="A4847" t="s">
        <v>4888</v>
      </c>
      <c r="B4847">
        <v>65</v>
      </c>
      <c r="C4847" t="s">
        <v>27</v>
      </c>
      <c r="D4847" t="s">
        <v>16</v>
      </c>
      <c r="E4847">
        <v>26.98</v>
      </c>
      <c r="F4847">
        <v>0</v>
      </c>
      <c r="G4847" t="s">
        <v>49</v>
      </c>
      <c r="H4847" t="s">
        <v>18</v>
      </c>
      <c r="I4847" s="2">
        <v>8.99</v>
      </c>
      <c r="J4847">
        <v>0</v>
      </c>
      <c r="K4847" s="2">
        <f t="shared" si="150"/>
        <v>0</v>
      </c>
      <c r="L4847" t="s">
        <v>37</v>
      </c>
      <c r="M4847">
        <v>2</v>
      </c>
      <c r="N4847">
        <v>26.98</v>
      </c>
      <c r="O4847" t="str">
        <f t="shared" si="151"/>
        <v>1+ hours</v>
      </c>
      <c r="P4847" t="s">
        <v>39</v>
      </c>
    </row>
    <row r="4848" spans="1:16" x14ac:dyDescent="0.4">
      <c r="A4848" t="s">
        <v>4889</v>
      </c>
      <c r="B4848">
        <v>31</v>
      </c>
      <c r="C4848" t="s">
        <v>15</v>
      </c>
      <c r="D4848" t="s">
        <v>32</v>
      </c>
      <c r="E4848">
        <v>16.79</v>
      </c>
      <c r="F4848">
        <v>42</v>
      </c>
      <c r="G4848" t="s">
        <v>23</v>
      </c>
      <c r="H4848" t="s">
        <v>57</v>
      </c>
      <c r="I4848" s="2">
        <v>17.989999999999998</v>
      </c>
      <c r="J4848">
        <v>1</v>
      </c>
      <c r="K4848" s="2">
        <f t="shared" si="150"/>
        <v>17.989999999999998</v>
      </c>
      <c r="L4848" t="s">
        <v>19</v>
      </c>
      <c r="M4848">
        <v>1</v>
      </c>
      <c r="N4848">
        <v>0.39</v>
      </c>
      <c r="O4848" t="str">
        <f t="shared" si="151"/>
        <v>0.2–0.4 hours</v>
      </c>
      <c r="P4848" t="s">
        <v>30</v>
      </c>
    </row>
    <row r="4849" spans="1:16" x14ac:dyDescent="0.4">
      <c r="A4849" t="s">
        <v>4890</v>
      </c>
      <c r="B4849">
        <v>53</v>
      </c>
      <c r="C4849" t="s">
        <v>15</v>
      </c>
      <c r="D4849" t="s">
        <v>32</v>
      </c>
      <c r="E4849">
        <v>7.79</v>
      </c>
      <c r="F4849">
        <v>1</v>
      </c>
      <c r="G4849" t="s">
        <v>17</v>
      </c>
      <c r="H4849" t="s">
        <v>18</v>
      </c>
      <c r="I4849" s="2">
        <v>17.989999999999998</v>
      </c>
      <c r="J4849">
        <v>0</v>
      </c>
      <c r="K4849" s="2">
        <f t="shared" si="150"/>
        <v>0</v>
      </c>
      <c r="L4849" t="s">
        <v>19</v>
      </c>
      <c r="M4849">
        <v>1</v>
      </c>
      <c r="N4849">
        <v>3.9</v>
      </c>
      <c r="O4849" t="str">
        <f t="shared" si="151"/>
        <v>1+ hours</v>
      </c>
      <c r="P4849" t="s">
        <v>25</v>
      </c>
    </row>
    <row r="4850" spans="1:16" x14ac:dyDescent="0.4">
      <c r="A4850" t="s">
        <v>4891</v>
      </c>
      <c r="B4850">
        <v>28</v>
      </c>
      <c r="C4850" t="s">
        <v>27</v>
      </c>
      <c r="D4850" t="s">
        <v>22</v>
      </c>
      <c r="E4850">
        <v>25.72</v>
      </c>
      <c r="F4850">
        <v>60</v>
      </c>
      <c r="G4850" t="s">
        <v>23</v>
      </c>
      <c r="H4850" t="s">
        <v>57</v>
      </c>
      <c r="I4850" s="2">
        <v>13.99</v>
      </c>
      <c r="J4850">
        <v>0</v>
      </c>
      <c r="K4850" s="2">
        <f t="shared" si="150"/>
        <v>0</v>
      </c>
      <c r="L4850" t="s">
        <v>29</v>
      </c>
      <c r="M4850">
        <v>3</v>
      </c>
      <c r="N4850">
        <v>0.42</v>
      </c>
      <c r="O4850" t="str">
        <f t="shared" si="151"/>
        <v>0.4–0.6 hours</v>
      </c>
      <c r="P4850" t="s">
        <v>47</v>
      </c>
    </row>
    <row r="4851" spans="1:16" x14ac:dyDescent="0.4">
      <c r="A4851" s="1" t="s">
        <v>4892</v>
      </c>
      <c r="B4851">
        <v>58</v>
      </c>
      <c r="C4851" t="s">
        <v>27</v>
      </c>
      <c r="D4851" t="s">
        <v>32</v>
      </c>
      <c r="E4851">
        <v>2.91</v>
      </c>
      <c r="F4851">
        <v>17</v>
      </c>
      <c r="G4851" t="s">
        <v>28</v>
      </c>
      <c r="H4851" t="s">
        <v>57</v>
      </c>
      <c r="I4851" s="2">
        <v>17.989999999999998</v>
      </c>
      <c r="J4851">
        <v>1</v>
      </c>
      <c r="K4851" s="2">
        <f t="shared" si="150"/>
        <v>17.989999999999998</v>
      </c>
      <c r="L4851" t="s">
        <v>29</v>
      </c>
      <c r="M4851">
        <v>1</v>
      </c>
      <c r="N4851">
        <v>0.16</v>
      </c>
      <c r="O4851" t="str">
        <f t="shared" si="151"/>
        <v>0–0.2 hours</v>
      </c>
      <c r="P4851" t="s">
        <v>47</v>
      </c>
    </row>
    <row r="4852" spans="1:16" x14ac:dyDescent="0.4">
      <c r="A4852" t="s">
        <v>4893</v>
      </c>
      <c r="B4852">
        <v>36</v>
      </c>
      <c r="C4852" t="s">
        <v>27</v>
      </c>
      <c r="D4852" t="s">
        <v>32</v>
      </c>
      <c r="E4852">
        <v>13.32</v>
      </c>
      <c r="F4852">
        <v>45</v>
      </c>
      <c r="G4852" t="s">
        <v>49</v>
      </c>
      <c r="H4852" t="s">
        <v>24</v>
      </c>
      <c r="I4852" s="2">
        <v>17.989999999999998</v>
      </c>
      <c r="J4852">
        <v>1</v>
      </c>
      <c r="K4852" s="2">
        <f t="shared" si="150"/>
        <v>17.989999999999998</v>
      </c>
      <c r="L4852" t="s">
        <v>61</v>
      </c>
      <c r="M4852">
        <v>2</v>
      </c>
      <c r="N4852">
        <v>0.28999999999999998</v>
      </c>
      <c r="O4852" t="str">
        <f t="shared" si="151"/>
        <v>0.2–0.4 hours</v>
      </c>
      <c r="P4852" t="s">
        <v>52</v>
      </c>
    </row>
    <row r="4853" spans="1:16" x14ac:dyDescent="0.4">
      <c r="A4853" t="s">
        <v>4894</v>
      </c>
      <c r="B4853">
        <v>66</v>
      </c>
      <c r="C4853" t="s">
        <v>15</v>
      </c>
      <c r="D4853" t="s">
        <v>32</v>
      </c>
      <c r="E4853">
        <v>0.15</v>
      </c>
      <c r="F4853">
        <v>44</v>
      </c>
      <c r="G4853" t="s">
        <v>49</v>
      </c>
      <c r="H4853" t="s">
        <v>57</v>
      </c>
      <c r="I4853" s="2">
        <v>17.989999999999998</v>
      </c>
      <c r="J4853">
        <v>1</v>
      </c>
      <c r="K4853" s="2">
        <f t="shared" si="150"/>
        <v>17.989999999999998</v>
      </c>
      <c r="L4853" t="s">
        <v>61</v>
      </c>
      <c r="M4853">
        <v>1</v>
      </c>
      <c r="N4853">
        <v>0</v>
      </c>
      <c r="O4853" t="str">
        <f t="shared" si="151"/>
        <v>0–0.2 hours</v>
      </c>
      <c r="P4853" t="s">
        <v>47</v>
      </c>
    </row>
    <row r="4854" spans="1:16" x14ac:dyDescent="0.4">
      <c r="A4854" t="s">
        <v>4895</v>
      </c>
      <c r="B4854">
        <v>57</v>
      </c>
      <c r="C4854" t="s">
        <v>15</v>
      </c>
      <c r="D4854" t="s">
        <v>16</v>
      </c>
      <c r="E4854">
        <v>4.59</v>
      </c>
      <c r="F4854">
        <v>54</v>
      </c>
      <c r="G4854" t="s">
        <v>17</v>
      </c>
      <c r="H4854" t="s">
        <v>18</v>
      </c>
      <c r="I4854" s="2">
        <v>8.99</v>
      </c>
      <c r="J4854">
        <v>1</v>
      </c>
      <c r="K4854" s="2">
        <f t="shared" si="150"/>
        <v>8.99</v>
      </c>
      <c r="L4854" t="s">
        <v>43</v>
      </c>
      <c r="M4854">
        <v>4</v>
      </c>
      <c r="N4854">
        <v>0.08</v>
      </c>
      <c r="O4854" t="str">
        <f t="shared" si="151"/>
        <v>0–0.2 hours</v>
      </c>
      <c r="P4854" t="s">
        <v>52</v>
      </c>
    </row>
    <row r="4855" spans="1:16" x14ac:dyDescent="0.4">
      <c r="A4855" t="s">
        <v>4896</v>
      </c>
      <c r="B4855">
        <v>47</v>
      </c>
      <c r="C4855" t="s">
        <v>15</v>
      </c>
      <c r="D4855" t="s">
        <v>16</v>
      </c>
      <c r="E4855">
        <v>39.78</v>
      </c>
      <c r="F4855">
        <v>16</v>
      </c>
      <c r="G4855" t="s">
        <v>49</v>
      </c>
      <c r="H4855" t="s">
        <v>24</v>
      </c>
      <c r="I4855" s="2">
        <v>8.99</v>
      </c>
      <c r="J4855">
        <v>0</v>
      </c>
      <c r="K4855" s="2">
        <f t="shared" si="150"/>
        <v>0</v>
      </c>
      <c r="L4855" t="s">
        <v>43</v>
      </c>
      <c r="M4855">
        <v>2</v>
      </c>
      <c r="N4855">
        <v>2.34</v>
      </c>
      <c r="O4855" t="str">
        <f t="shared" si="151"/>
        <v>1+ hours</v>
      </c>
      <c r="P4855" t="s">
        <v>47</v>
      </c>
    </row>
    <row r="4856" spans="1:16" x14ac:dyDescent="0.4">
      <c r="A4856" t="s">
        <v>4897</v>
      </c>
      <c r="B4856">
        <v>67</v>
      </c>
      <c r="C4856" t="s">
        <v>41</v>
      </c>
      <c r="D4856" t="s">
        <v>22</v>
      </c>
      <c r="E4856">
        <v>10.29</v>
      </c>
      <c r="F4856">
        <v>44</v>
      </c>
      <c r="G4856" t="s">
        <v>33</v>
      </c>
      <c r="H4856" t="s">
        <v>57</v>
      </c>
      <c r="I4856" s="2">
        <v>13.99</v>
      </c>
      <c r="J4856">
        <v>1</v>
      </c>
      <c r="K4856" s="2">
        <f t="shared" si="150"/>
        <v>13.99</v>
      </c>
      <c r="L4856" t="s">
        <v>43</v>
      </c>
      <c r="M4856">
        <v>2</v>
      </c>
      <c r="N4856">
        <v>0.23</v>
      </c>
      <c r="O4856" t="str">
        <f t="shared" si="151"/>
        <v>0.2–0.4 hours</v>
      </c>
      <c r="P4856" t="s">
        <v>47</v>
      </c>
    </row>
    <row r="4857" spans="1:16" x14ac:dyDescent="0.4">
      <c r="A4857" t="s">
        <v>4898</v>
      </c>
      <c r="B4857">
        <v>33</v>
      </c>
      <c r="C4857" t="s">
        <v>41</v>
      </c>
      <c r="D4857" t="s">
        <v>22</v>
      </c>
      <c r="E4857">
        <v>14.5</v>
      </c>
      <c r="F4857">
        <v>60</v>
      </c>
      <c r="G4857" t="s">
        <v>70</v>
      </c>
      <c r="H4857" t="s">
        <v>55</v>
      </c>
      <c r="I4857" s="2">
        <v>13.99</v>
      </c>
      <c r="J4857">
        <v>0</v>
      </c>
      <c r="K4857" s="2">
        <f t="shared" si="150"/>
        <v>0</v>
      </c>
      <c r="L4857" t="s">
        <v>43</v>
      </c>
      <c r="M4857">
        <v>4</v>
      </c>
      <c r="N4857">
        <v>0.24</v>
      </c>
      <c r="O4857" t="str">
        <f t="shared" si="151"/>
        <v>0.2–0.4 hours</v>
      </c>
      <c r="P4857" t="s">
        <v>20</v>
      </c>
    </row>
    <row r="4858" spans="1:16" x14ac:dyDescent="0.4">
      <c r="A4858" t="s">
        <v>4899</v>
      </c>
      <c r="B4858">
        <v>22</v>
      </c>
      <c r="C4858" t="s">
        <v>41</v>
      </c>
      <c r="D4858" t="s">
        <v>32</v>
      </c>
      <c r="E4858">
        <v>33.82</v>
      </c>
      <c r="F4858">
        <v>25</v>
      </c>
      <c r="G4858" t="s">
        <v>17</v>
      </c>
      <c r="H4858" t="s">
        <v>46</v>
      </c>
      <c r="I4858" s="2">
        <v>17.989999999999998</v>
      </c>
      <c r="J4858">
        <v>0</v>
      </c>
      <c r="K4858" s="2">
        <f t="shared" si="150"/>
        <v>0</v>
      </c>
      <c r="L4858" t="s">
        <v>43</v>
      </c>
      <c r="M4858">
        <v>5</v>
      </c>
      <c r="N4858">
        <v>1.3</v>
      </c>
      <c r="O4858" t="str">
        <f t="shared" si="151"/>
        <v>1+ hours</v>
      </c>
      <c r="P4858" t="s">
        <v>30</v>
      </c>
    </row>
    <row r="4859" spans="1:16" x14ac:dyDescent="0.4">
      <c r="A4859" t="s">
        <v>4900</v>
      </c>
      <c r="B4859">
        <v>19</v>
      </c>
      <c r="C4859" t="s">
        <v>15</v>
      </c>
      <c r="D4859" t="s">
        <v>22</v>
      </c>
      <c r="E4859">
        <v>13.27</v>
      </c>
      <c r="F4859">
        <v>35</v>
      </c>
      <c r="G4859" t="s">
        <v>70</v>
      </c>
      <c r="H4859" t="s">
        <v>24</v>
      </c>
      <c r="I4859" s="2">
        <v>13.99</v>
      </c>
      <c r="J4859">
        <v>0</v>
      </c>
      <c r="K4859" s="2">
        <f t="shared" si="150"/>
        <v>0</v>
      </c>
      <c r="L4859" t="s">
        <v>37</v>
      </c>
      <c r="M4859">
        <v>4</v>
      </c>
      <c r="N4859">
        <v>0.37</v>
      </c>
      <c r="O4859" t="str">
        <f t="shared" si="151"/>
        <v>0.2–0.4 hours</v>
      </c>
      <c r="P4859" t="s">
        <v>25</v>
      </c>
    </row>
    <row r="4860" spans="1:16" x14ac:dyDescent="0.4">
      <c r="A4860" t="s">
        <v>4901</v>
      </c>
      <c r="B4860">
        <v>42</v>
      </c>
      <c r="C4860" t="s">
        <v>27</v>
      </c>
      <c r="D4860" t="s">
        <v>32</v>
      </c>
      <c r="E4860">
        <v>2.2200000000000002</v>
      </c>
      <c r="F4860">
        <v>40</v>
      </c>
      <c r="G4860" t="s">
        <v>23</v>
      </c>
      <c r="H4860" t="s">
        <v>46</v>
      </c>
      <c r="I4860" s="2">
        <v>17.989999999999998</v>
      </c>
      <c r="J4860">
        <v>1</v>
      </c>
      <c r="K4860" s="2">
        <f t="shared" si="150"/>
        <v>17.989999999999998</v>
      </c>
      <c r="L4860" t="s">
        <v>61</v>
      </c>
      <c r="M4860">
        <v>1</v>
      </c>
      <c r="N4860">
        <v>0.05</v>
      </c>
      <c r="O4860" t="str">
        <f t="shared" si="151"/>
        <v>0–0.2 hours</v>
      </c>
      <c r="P4860" t="s">
        <v>47</v>
      </c>
    </row>
    <row r="4861" spans="1:16" x14ac:dyDescent="0.4">
      <c r="A4861" t="s">
        <v>4902</v>
      </c>
      <c r="B4861">
        <v>23</v>
      </c>
      <c r="C4861" t="s">
        <v>41</v>
      </c>
      <c r="D4861" t="s">
        <v>16</v>
      </c>
      <c r="E4861">
        <v>17.27</v>
      </c>
      <c r="F4861">
        <v>10</v>
      </c>
      <c r="G4861" t="s">
        <v>23</v>
      </c>
      <c r="H4861" t="s">
        <v>18</v>
      </c>
      <c r="I4861" s="2">
        <v>8.99</v>
      </c>
      <c r="J4861">
        <v>0</v>
      </c>
      <c r="K4861" s="2">
        <f t="shared" si="150"/>
        <v>0</v>
      </c>
      <c r="L4861" t="s">
        <v>43</v>
      </c>
      <c r="M4861">
        <v>4</v>
      </c>
      <c r="N4861">
        <v>1.57</v>
      </c>
      <c r="O4861" t="str">
        <f t="shared" si="151"/>
        <v>1+ hours</v>
      </c>
      <c r="P4861" t="s">
        <v>39</v>
      </c>
    </row>
    <row r="4862" spans="1:16" x14ac:dyDescent="0.4">
      <c r="A4862" t="s">
        <v>4903</v>
      </c>
      <c r="B4862">
        <v>23</v>
      </c>
      <c r="C4862" t="s">
        <v>41</v>
      </c>
      <c r="D4862" t="s">
        <v>32</v>
      </c>
      <c r="E4862">
        <v>4.93</v>
      </c>
      <c r="F4862">
        <v>38</v>
      </c>
      <c r="G4862" t="s">
        <v>17</v>
      </c>
      <c r="H4862" t="s">
        <v>55</v>
      </c>
      <c r="I4862" s="2">
        <v>17.989999999999998</v>
      </c>
      <c r="J4862">
        <v>1</v>
      </c>
      <c r="K4862" s="2">
        <f t="shared" si="150"/>
        <v>17.989999999999998</v>
      </c>
      <c r="L4862" t="s">
        <v>37</v>
      </c>
      <c r="M4862">
        <v>4</v>
      </c>
      <c r="N4862">
        <v>0.13</v>
      </c>
      <c r="O4862" t="str">
        <f t="shared" si="151"/>
        <v>0–0.2 hours</v>
      </c>
      <c r="P4862" t="s">
        <v>20</v>
      </c>
    </row>
    <row r="4863" spans="1:16" x14ac:dyDescent="0.4">
      <c r="A4863" t="s">
        <v>4904</v>
      </c>
      <c r="B4863">
        <v>61</v>
      </c>
      <c r="C4863" t="s">
        <v>15</v>
      </c>
      <c r="D4863" t="s">
        <v>16</v>
      </c>
      <c r="E4863">
        <v>4.71</v>
      </c>
      <c r="F4863">
        <v>8</v>
      </c>
      <c r="G4863" t="s">
        <v>33</v>
      </c>
      <c r="H4863" t="s">
        <v>24</v>
      </c>
      <c r="I4863" s="2">
        <v>8.99</v>
      </c>
      <c r="J4863">
        <v>1</v>
      </c>
      <c r="K4863" s="2">
        <f t="shared" si="150"/>
        <v>8.99</v>
      </c>
      <c r="L4863" t="s">
        <v>29</v>
      </c>
      <c r="M4863">
        <v>2</v>
      </c>
      <c r="N4863">
        <v>0.52</v>
      </c>
      <c r="O4863" t="str">
        <f t="shared" si="151"/>
        <v>0.4–0.6 hours</v>
      </c>
      <c r="P4863" t="s">
        <v>20</v>
      </c>
    </row>
    <row r="4864" spans="1:16" x14ac:dyDescent="0.4">
      <c r="A4864" t="s">
        <v>4905</v>
      </c>
      <c r="B4864">
        <v>20</v>
      </c>
      <c r="C4864" t="s">
        <v>27</v>
      </c>
      <c r="D4864" t="s">
        <v>22</v>
      </c>
      <c r="E4864">
        <v>2.4300000000000002</v>
      </c>
      <c r="F4864">
        <v>48</v>
      </c>
      <c r="G4864" t="s">
        <v>49</v>
      </c>
      <c r="H4864" t="s">
        <v>24</v>
      </c>
      <c r="I4864" s="2">
        <v>13.99</v>
      </c>
      <c r="J4864">
        <v>1</v>
      </c>
      <c r="K4864" s="2">
        <f t="shared" si="150"/>
        <v>13.99</v>
      </c>
      <c r="L4864" t="s">
        <v>37</v>
      </c>
      <c r="M4864">
        <v>4</v>
      </c>
      <c r="N4864">
        <v>0.05</v>
      </c>
      <c r="O4864" t="str">
        <f t="shared" si="151"/>
        <v>0–0.2 hours</v>
      </c>
      <c r="P4864" t="s">
        <v>25</v>
      </c>
    </row>
    <row r="4865" spans="1:16" x14ac:dyDescent="0.4">
      <c r="A4865" t="s">
        <v>4906</v>
      </c>
      <c r="B4865">
        <v>56</v>
      </c>
      <c r="C4865" t="s">
        <v>27</v>
      </c>
      <c r="D4865" t="s">
        <v>16</v>
      </c>
      <c r="E4865">
        <v>2.86</v>
      </c>
      <c r="F4865">
        <v>58</v>
      </c>
      <c r="G4865" t="s">
        <v>28</v>
      </c>
      <c r="H4865" t="s">
        <v>18</v>
      </c>
      <c r="I4865" s="2">
        <v>8.99</v>
      </c>
      <c r="J4865">
        <v>1</v>
      </c>
      <c r="K4865" s="2">
        <f t="shared" si="150"/>
        <v>8.99</v>
      </c>
      <c r="L4865" t="s">
        <v>29</v>
      </c>
      <c r="M4865">
        <v>3</v>
      </c>
      <c r="N4865">
        <v>0.05</v>
      </c>
      <c r="O4865" t="str">
        <f t="shared" si="151"/>
        <v>0–0.2 hours</v>
      </c>
      <c r="P4865" t="s">
        <v>39</v>
      </c>
    </row>
    <row r="4866" spans="1:16" x14ac:dyDescent="0.4">
      <c r="A4866" t="s">
        <v>4907</v>
      </c>
      <c r="B4866">
        <v>61</v>
      </c>
      <c r="C4866" t="s">
        <v>41</v>
      </c>
      <c r="D4866" t="s">
        <v>22</v>
      </c>
      <c r="E4866">
        <v>2.19</v>
      </c>
      <c r="F4866">
        <v>48</v>
      </c>
      <c r="G4866" t="s">
        <v>17</v>
      </c>
      <c r="H4866" t="s">
        <v>46</v>
      </c>
      <c r="I4866" s="2">
        <v>13.99</v>
      </c>
      <c r="J4866">
        <v>1</v>
      </c>
      <c r="K4866" s="2">
        <f t="shared" si="150"/>
        <v>13.99</v>
      </c>
      <c r="L4866" t="s">
        <v>43</v>
      </c>
      <c r="M4866">
        <v>3</v>
      </c>
      <c r="N4866">
        <v>0.04</v>
      </c>
      <c r="O4866" t="str">
        <f t="shared" si="151"/>
        <v>0–0.2 hours</v>
      </c>
      <c r="P4866" t="s">
        <v>52</v>
      </c>
    </row>
    <row r="4867" spans="1:16" x14ac:dyDescent="0.4">
      <c r="A4867" t="s">
        <v>4908</v>
      </c>
      <c r="B4867">
        <v>50</v>
      </c>
      <c r="C4867" t="s">
        <v>41</v>
      </c>
      <c r="D4867" t="s">
        <v>16</v>
      </c>
      <c r="E4867">
        <v>4.46</v>
      </c>
      <c r="F4867">
        <v>31</v>
      </c>
      <c r="G4867" t="s">
        <v>49</v>
      </c>
      <c r="H4867" t="s">
        <v>46</v>
      </c>
      <c r="I4867" s="2">
        <v>8.99</v>
      </c>
      <c r="J4867">
        <v>1</v>
      </c>
      <c r="K4867" s="2">
        <f t="shared" ref="K4867:K4930" si="152">SUMIF(J4867,1,I4867)</f>
        <v>8.99</v>
      </c>
      <c r="L4867" t="s">
        <v>29</v>
      </c>
      <c r="M4867">
        <v>5</v>
      </c>
      <c r="N4867">
        <v>0.14000000000000001</v>
      </c>
      <c r="O4867" t="str">
        <f t="shared" ref="O4867:O4930" si="153">IF(N4867&gt;1,"1+ hours",IF(N4867&lt;=0.2,"0–0.2 hours",IF(N4867&lt;=0.4,"0.2–0.4 hours",IF(N4867&lt;=0.6,"0.4–0.6 hours",IF(N4867&lt;=0.8,"0.6–0.8 hours","0.8–1 hour")))))</f>
        <v>0–0.2 hours</v>
      </c>
      <c r="P4867" t="s">
        <v>52</v>
      </c>
    </row>
    <row r="4868" spans="1:16" x14ac:dyDescent="0.4">
      <c r="A4868" t="s">
        <v>4909</v>
      </c>
      <c r="B4868">
        <v>31</v>
      </c>
      <c r="C4868" t="s">
        <v>41</v>
      </c>
      <c r="D4868" t="s">
        <v>22</v>
      </c>
      <c r="E4868">
        <v>10.69</v>
      </c>
      <c r="F4868">
        <v>20</v>
      </c>
      <c r="G4868" t="s">
        <v>17</v>
      </c>
      <c r="H4868" t="s">
        <v>57</v>
      </c>
      <c r="I4868" s="2">
        <v>13.99</v>
      </c>
      <c r="J4868">
        <v>0</v>
      </c>
      <c r="K4868" s="2">
        <f t="shared" si="152"/>
        <v>0</v>
      </c>
      <c r="L4868" t="s">
        <v>19</v>
      </c>
      <c r="M4868">
        <v>4</v>
      </c>
      <c r="N4868">
        <v>0.51</v>
      </c>
      <c r="O4868" t="str">
        <f t="shared" si="153"/>
        <v>0.4–0.6 hours</v>
      </c>
      <c r="P4868" t="s">
        <v>47</v>
      </c>
    </row>
    <row r="4869" spans="1:16" x14ac:dyDescent="0.4">
      <c r="A4869" t="s">
        <v>4910</v>
      </c>
      <c r="B4869">
        <v>59</v>
      </c>
      <c r="C4869" t="s">
        <v>15</v>
      </c>
      <c r="D4869" t="s">
        <v>16</v>
      </c>
      <c r="E4869">
        <v>8.26</v>
      </c>
      <c r="F4869">
        <v>39</v>
      </c>
      <c r="G4869" t="s">
        <v>17</v>
      </c>
      <c r="H4869" t="s">
        <v>18</v>
      </c>
      <c r="I4869" s="2">
        <v>8.99</v>
      </c>
      <c r="J4869">
        <v>1</v>
      </c>
      <c r="K4869" s="2">
        <f t="shared" si="152"/>
        <v>8.99</v>
      </c>
      <c r="L4869" t="s">
        <v>43</v>
      </c>
      <c r="M4869">
        <v>1</v>
      </c>
      <c r="N4869">
        <v>0.21</v>
      </c>
      <c r="O4869" t="str">
        <f t="shared" si="153"/>
        <v>0.2–0.4 hours</v>
      </c>
      <c r="P4869" t="s">
        <v>47</v>
      </c>
    </row>
    <row r="4870" spans="1:16" x14ac:dyDescent="0.4">
      <c r="A4870" t="s">
        <v>4911</v>
      </c>
      <c r="B4870">
        <v>23</v>
      </c>
      <c r="C4870" t="s">
        <v>15</v>
      </c>
      <c r="D4870" t="s">
        <v>32</v>
      </c>
      <c r="E4870">
        <v>4.05</v>
      </c>
      <c r="F4870">
        <v>10</v>
      </c>
      <c r="G4870" t="s">
        <v>28</v>
      </c>
      <c r="H4870" t="s">
        <v>24</v>
      </c>
      <c r="I4870" s="2">
        <v>17.989999999999998</v>
      </c>
      <c r="J4870">
        <v>1</v>
      </c>
      <c r="K4870" s="2">
        <f t="shared" si="152"/>
        <v>17.989999999999998</v>
      </c>
      <c r="L4870" t="s">
        <v>43</v>
      </c>
      <c r="M4870">
        <v>1</v>
      </c>
      <c r="N4870">
        <v>0.37</v>
      </c>
      <c r="O4870" t="str">
        <f t="shared" si="153"/>
        <v>0.2–0.4 hours</v>
      </c>
      <c r="P4870" t="s">
        <v>25</v>
      </c>
    </row>
    <row r="4871" spans="1:16" x14ac:dyDescent="0.4">
      <c r="A4871" t="s">
        <v>4912</v>
      </c>
      <c r="B4871">
        <v>40</v>
      </c>
      <c r="C4871" t="s">
        <v>41</v>
      </c>
      <c r="D4871" t="s">
        <v>22</v>
      </c>
      <c r="E4871">
        <v>1.1100000000000001</v>
      </c>
      <c r="F4871">
        <v>20</v>
      </c>
      <c r="G4871" t="s">
        <v>23</v>
      </c>
      <c r="H4871" t="s">
        <v>57</v>
      </c>
      <c r="I4871" s="2">
        <v>13.99</v>
      </c>
      <c r="J4871">
        <v>1</v>
      </c>
      <c r="K4871" s="2">
        <f t="shared" si="152"/>
        <v>13.99</v>
      </c>
      <c r="L4871" t="s">
        <v>43</v>
      </c>
      <c r="M4871">
        <v>1</v>
      </c>
      <c r="N4871">
        <v>0.05</v>
      </c>
      <c r="O4871" t="str">
        <f t="shared" si="153"/>
        <v>0–0.2 hours</v>
      </c>
      <c r="P4871" t="s">
        <v>34</v>
      </c>
    </row>
    <row r="4872" spans="1:16" x14ac:dyDescent="0.4">
      <c r="A4872" t="s">
        <v>4913</v>
      </c>
      <c r="B4872">
        <v>41</v>
      </c>
      <c r="C4872" t="s">
        <v>15</v>
      </c>
      <c r="D4872" t="s">
        <v>22</v>
      </c>
      <c r="E4872">
        <v>6.01</v>
      </c>
      <c r="F4872">
        <v>14</v>
      </c>
      <c r="G4872" t="s">
        <v>49</v>
      </c>
      <c r="H4872" t="s">
        <v>46</v>
      </c>
      <c r="I4872" s="2">
        <v>13.99</v>
      </c>
      <c r="J4872">
        <v>0</v>
      </c>
      <c r="K4872" s="2">
        <f t="shared" si="152"/>
        <v>0</v>
      </c>
      <c r="L4872" t="s">
        <v>19</v>
      </c>
      <c r="M4872">
        <v>2</v>
      </c>
      <c r="N4872">
        <v>0.4</v>
      </c>
      <c r="O4872" t="str">
        <f t="shared" si="153"/>
        <v>0.2–0.4 hours</v>
      </c>
      <c r="P4872" t="s">
        <v>34</v>
      </c>
    </row>
    <row r="4873" spans="1:16" x14ac:dyDescent="0.4">
      <c r="A4873" t="s">
        <v>4914</v>
      </c>
      <c r="B4873">
        <v>62</v>
      </c>
      <c r="C4873" t="s">
        <v>27</v>
      </c>
      <c r="D4873" t="s">
        <v>22</v>
      </c>
      <c r="E4873">
        <v>1.1200000000000001</v>
      </c>
      <c r="F4873">
        <v>42</v>
      </c>
      <c r="G4873" t="s">
        <v>28</v>
      </c>
      <c r="H4873" t="s">
        <v>18</v>
      </c>
      <c r="I4873" s="2">
        <v>13.99</v>
      </c>
      <c r="J4873">
        <v>1</v>
      </c>
      <c r="K4873" s="2">
        <f t="shared" si="152"/>
        <v>13.99</v>
      </c>
      <c r="L4873" t="s">
        <v>61</v>
      </c>
      <c r="M4873">
        <v>1</v>
      </c>
      <c r="N4873">
        <v>0.03</v>
      </c>
      <c r="O4873" t="str">
        <f t="shared" si="153"/>
        <v>0–0.2 hours</v>
      </c>
      <c r="P4873" t="s">
        <v>25</v>
      </c>
    </row>
    <row r="4874" spans="1:16" x14ac:dyDescent="0.4">
      <c r="A4874" t="s">
        <v>4915</v>
      </c>
      <c r="B4874">
        <v>52</v>
      </c>
      <c r="C4874" t="s">
        <v>27</v>
      </c>
      <c r="D4874" t="s">
        <v>22</v>
      </c>
      <c r="E4874">
        <v>13.19</v>
      </c>
      <c r="F4874">
        <v>18</v>
      </c>
      <c r="G4874" t="s">
        <v>28</v>
      </c>
      <c r="H4874" t="s">
        <v>55</v>
      </c>
      <c r="I4874" s="2">
        <v>13.99</v>
      </c>
      <c r="J4874">
        <v>0</v>
      </c>
      <c r="K4874" s="2">
        <f t="shared" si="152"/>
        <v>0</v>
      </c>
      <c r="L4874" t="s">
        <v>61</v>
      </c>
      <c r="M4874">
        <v>5</v>
      </c>
      <c r="N4874">
        <v>0.69</v>
      </c>
      <c r="O4874" t="str">
        <f t="shared" si="153"/>
        <v>0.6–0.8 hours</v>
      </c>
      <c r="P4874" t="s">
        <v>47</v>
      </c>
    </row>
    <row r="4875" spans="1:16" x14ac:dyDescent="0.4">
      <c r="A4875" t="s">
        <v>4916</v>
      </c>
      <c r="B4875">
        <v>70</v>
      </c>
      <c r="C4875" t="s">
        <v>41</v>
      </c>
      <c r="D4875" t="s">
        <v>32</v>
      </c>
      <c r="E4875">
        <v>15.29</v>
      </c>
      <c r="F4875">
        <v>43</v>
      </c>
      <c r="G4875" t="s">
        <v>17</v>
      </c>
      <c r="H4875" t="s">
        <v>24</v>
      </c>
      <c r="I4875" s="2">
        <v>17.989999999999998</v>
      </c>
      <c r="J4875">
        <v>1</v>
      </c>
      <c r="K4875" s="2">
        <f t="shared" si="152"/>
        <v>17.989999999999998</v>
      </c>
      <c r="L4875" t="s">
        <v>29</v>
      </c>
      <c r="M4875">
        <v>4</v>
      </c>
      <c r="N4875">
        <v>0.35</v>
      </c>
      <c r="O4875" t="str">
        <f t="shared" si="153"/>
        <v>0.2–0.4 hours</v>
      </c>
      <c r="P4875" t="s">
        <v>25</v>
      </c>
    </row>
    <row r="4876" spans="1:16" x14ac:dyDescent="0.4">
      <c r="A4876" t="s">
        <v>4917</v>
      </c>
      <c r="B4876">
        <v>20</v>
      </c>
      <c r="C4876" t="s">
        <v>41</v>
      </c>
      <c r="D4876" t="s">
        <v>22</v>
      </c>
      <c r="E4876">
        <v>22.07</v>
      </c>
      <c r="F4876">
        <v>39</v>
      </c>
      <c r="G4876" t="s">
        <v>17</v>
      </c>
      <c r="H4876" t="s">
        <v>18</v>
      </c>
      <c r="I4876" s="2">
        <v>13.99</v>
      </c>
      <c r="J4876">
        <v>0</v>
      </c>
      <c r="K4876" s="2">
        <f t="shared" si="152"/>
        <v>0</v>
      </c>
      <c r="L4876" t="s">
        <v>43</v>
      </c>
      <c r="M4876">
        <v>4</v>
      </c>
      <c r="N4876">
        <v>0.55000000000000004</v>
      </c>
      <c r="O4876" t="str">
        <f t="shared" si="153"/>
        <v>0.4–0.6 hours</v>
      </c>
      <c r="P4876" t="s">
        <v>34</v>
      </c>
    </row>
    <row r="4877" spans="1:16" x14ac:dyDescent="0.4">
      <c r="A4877" t="s">
        <v>4918</v>
      </c>
      <c r="B4877">
        <v>51</v>
      </c>
      <c r="C4877" t="s">
        <v>15</v>
      </c>
      <c r="D4877" t="s">
        <v>16</v>
      </c>
      <c r="E4877">
        <v>10.44</v>
      </c>
      <c r="F4877">
        <v>40</v>
      </c>
      <c r="G4877" t="s">
        <v>28</v>
      </c>
      <c r="H4877" t="s">
        <v>18</v>
      </c>
      <c r="I4877" s="2">
        <v>8.99</v>
      </c>
      <c r="J4877">
        <v>1</v>
      </c>
      <c r="K4877" s="2">
        <f t="shared" si="152"/>
        <v>8.99</v>
      </c>
      <c r="L4877" t="s">
        <v>61</v>
      </c>
      <c r="M4877">
        <v>2</v>
      </c>
      <c r="N4877">
        <v>0.25</v>
      </c>
      <c r="O4877" t="str">
        <f t="shared" si="153"/>
        <v>0.2–0.4 hours</v>
      </c>
      <c r="P4877" t="s">
        <v>30</v>
      </c>
    </row>
    <row r="4878" spans="1:16" x14ac:dyDescent="0.4">
      <c r="A4878" t="s">
        <v>4919</v>
      </c>
      <c r="B4878">
        <v>51</v>
      </c>
      <c r="C4878" t="s">
        <v>27</v>
      </c>
      <c r="D4878" t="s">
        <v>32</v>
      </c>
      <c r="E4878">
        <v>2.62</v>
      </c>
      <c r="F4878">
        <v>37</v>
      </c>
      <c r="G4878" t="s">
        <v>70</v>
      </c>
      <c r="H4878" t="s">
        <v>18</v>
      </c>
      <c r="I4878" s="2">
        <v>17.989999999999998</v>
      </c>
      <c r="J4878">
        <v>1</v>
      </c>
      <c r="K4878" s="2">
        <f t="shared" si="152"/>
        <v>17.989999999999998</v>
      </c>
      <c r="L4878" t="s">
        <v>29</v>
      </c>
      <c r="M4878">
        <v>2</v>
      </c>
      <c r="N4878">
        <v>7.0000000000000007E-2</v>
      </c>
      <c r="O4878" t="str">
        <f t="shared" si="153"/>
        <v>0–0.2 hours</v>
      </c>
      <c r="P4878" t="s">
        <v>34</v>
      </c>
    </row>
    <row r="4879" spans="1:16" x14ac:dyDescent="0.4">
      <c r="A4879" t="s">
        <v>4920</v>
      </c>
      <c r="B4879">
        <v>20</v>
      </c>
      <c r="C4879" t="s">
        <v>15</v>
      </c>
      <c r="D4879" t="s">
        <v>22</v>
      </c>
      <c r="E4879">
        <v>5.41</v>
      </c>
      <c r="F4879">
        <v>38</v>
      </c>
      <c r="G4879" t="s">
        <v>70</v>
      </c>
      <c r="H4879" t="s">
        <v>18</v>
      </c>
      <c r="I4879" s="2">
        <v>13.99</v>
      </c>
      <c r="J4879">
        <v>1</v>
      </c>
      <c r="K4879" s="2">
        <f t="shared" si="152"/>
        <v>13.99</v>
      </c>
      <c r="L4879" t="s">
        <v>43</v>
      </c>
      <c r="M4879">
        <v>1</v>
      </c>
      <c r="N4879">
        <v>0.14000000000000001</v>
      </c>
      <c r="O4879" t="str">
        <f t="shared" si="153"/>
        <v>0–0.2 hours</v>
      </c>
      <c r="P4879" t="s">
        <v>25</v>
      </c>
    </row>
    <row r="4880" spans="1:16" x14ac:dyDescent="0.4">
      <c r="A4880" t="s">
        <v>4921</v>
      </c>
      <c r="B4880">
        <v>62</v>
      </c>
      <c r="C4880" t="s">
        <v>15</v>
      </c>
      <c r="D4880" t="s">
        <v>16</v>
      </c>
      <c r="E4880">
        <v>17.149999999999999</v>
      </c>
      <c r="F4880">
        <v>24</v>
      </c>
      <c r="G4880" t="s">
        <v>23</v>
      </c>
      <c r="H4880" t="s">
        <v>18</v>
      </c>
      <c r="I4880" s="2">
        <v>8.99</v>
      </c>
      <c r="J4880">
        <v>0</v>
      </c>
      <c r="K4880" s="2">
        <f t="shared" si="152"/>
        <v>0</v>
      </c>
      <c r="L4880" t="s">
        <v>43</v>
      </c>
      <c r="M4880">
        <v>5</v>
      </c>
      <c r="N4880">
        <v>0.69</v>
      </c>
      <c r="O4880" t="str">
        <f t="shared" si="153"/>
        <v>0.6–0.8 hours</v>
      </c>
      <c r="P4880" t="s">
        <v>47</v>
      </c>
    </row>
    <row r="4881" spans="1:16" x14ac:dyDescent="0.4">
      <c r="A4881" t="s">
        <v>4922</v>
      </c>
      <c r="B4881">
        <v>48</v>
      </c>
      <c r="C4881" t="s">
        <v>41</v>
      </c>
      <c r="D4881" t="s">
        <v>22</v>
      </c>
      <c r="E4881">
        <v>1.1399999999999999</v>
      </c>
      <c r="F4881">
        <v>11</v>
      </c>
      <c r="G4881" t="s">
        <v>23</v>
      </c>
      <c r="H4881" t="s">
        <v>57</v>
      </c>
      <c r="I4881" s="2">
        <v>13.99</v>
      </c>
      <c r="J4881">
        <v>0</v>
      </c>
      <c r="K4881" s="2">
        <f t="shared" si="152"/>
        <v>0</v>
      </c>
      <c r="L4881" t="s">
        <v>43</v>
      </c>
      <c r="M4881">
        <v>4</v>
      </c>
      <c r="N4881">
        <v>0.09</v>
      </c>
      <c r="O4881" t="str">
        <f t="shared" si="153"/>
        <v>0–0.2 hours</v>
      </c>
      <c r="P4881" t="s">
        <v>39</v>
      </c>
    </row>
    <row r="4882" spans="1:16" x14ac:dyDescent="0.4">
      <c r="A4882" t="s">
        <v>4923</v>
      </c>
      <c r="B4882">
        <v>50</v>
      </c>
      <c r="C4882" t="s">
        <v>41</v>
      </c>
      <c r="D4882" t="s">
        <v>32</v>
      </c>
      <c r="E4882">
        <v>20.04</v>
      </c>
      <c r="F4882">
        <v>37</v>
      </c>
      <c r="G4882" t="s">
        <v>70</v>
      </c>
      <c r="H4882" t="s">
        <v>55</v>
      </c>
      <c r="I4882" s="2">
        <v>17.989999999999998</v>
      </c>
      <c r="J4882">
        <v>0</v>
      </c>
      <c r="K4882" s="2">
        <f t="shared" si="152"/>
        <v>0</v>
      </c>
      <c r="L4882" t="s">
        <v>61</v>
      </c>
      <c r="M4882">
        <v>2</v>
      </c>
      <c r="N4882">
        <v>0.53</v>
      </c>
      <c r="O4882" t="str">
        <f t="shared" si="153"/>
        <v>0.4–0.6 hours</v>
      </c>
      <c r="P4882" t="s">
        <v>52</v>
      </c>
    </row>
    <row r="4883" spans="1:16" x14ac:dyDescent="0.4">
      <c r="A4883" t="s">
        <v>4924</v>
      </c>
      <c r="B4883">
        <v>48</v>
      </c>
      <c r="C4883" t="s">
        <v>41</v>
      </c>
      <c r="D4883" t="s">
        <v>16</v>
      </c>
      <c r="E4883">
        <v>34.770000000000003</v>
      </c>
      <c r="F4883">
        <v>23</v>
      </c>
      <c r="G4883" t="s">
        <v>49</v>
      </c>
      <c r="H4883" t="s">
        <v>46</v>
      </c>
      <c r="I4883" s="2">
        <v>8.99</v>
      </c>
      <c r="J4883">
        <v>0</v>
      </c>
      <c r="K4883" s="2">
        <f t="shared" si="152"/>
        <v>0</v>
      </c>
      <c r="L4883" t="s">
        <v>19</v>
      </c>
      <c r="M4883">
        <v>5</v>
      </c>
      <c r="N4883">
        <v>1.45</v>
      </c>
      <c r="O4883" t="str">
        <f t="shared" si="153"/>
        <v>1+ hours</v>
      </c>
      <c r="P4883" t="s">
        <v>25</v>
      </c>
    </row>
    <row r="4884" spans="1:16" x14ac:dyDescent="0.4">
      <c r="A4884" t="s">
        <v>4925</v>
      </c>
      <c r="B4884">
        <v>45</v>
      </c>
      <c r="C4884" t="s">
        <v>15</v>
      </c>
      <c r="D4884" t="s">
        <v>16</v>
      </c>
      <c r="E4884">
        <v>8.8699999999999992</v>
      </c>
      <c r="F4884">
        <v>5</v>
      </c>
      <c r="G4884" t="s">
        <v>17</v>
      </c>
      <c r="H4884" t="s">
        <v>46</v>
      </c>
      <c r="I4884" s="2">
        <v>8.99</v>
      </c>
      <c r="J4884">
        <v>0</v>
      </c>
      <c r="K4884" s="2">
        <f t="shared" si="152"/>
        <v>0</v>
      </c>
      <c r="L4884" t="s">
        <v>43</v>
      </c>
      <c r="M4884">
        <v>1</v>
      </c>
      <c r="N4884">
        <v>1.48</v>
      </c>
      <c r="O4884" t="str">
        <f t="shared" si="153"/>
        <v>1+ hours</v>
      </c>
      <c r="P4884" t="s">
        <v>47</v>
      </c>
    </row>
    <row r="4885" spans="1:16" x14ac:dyDescent="0.4">
      <c r="A4885" t="s">
        <v>4926</v>
      </c>
      <c r="B4885">
        <v>49</v>
      </c>
      <c r="C4885" t="s">
        <v>27</v>
      </c>
      <c r="D4885" t="s">
        <v>22</v>
      </c>
      <c r="E4885">
        <v>18.79</v>
      </c>
      <c r="F4885">
        <v>11</v>
      </c>
      <c r="G4885" t="s">
        <v>33</v>
      </c>
      <c r="H4885" t="s">
        <v>18</v>
      </c>
      <c r="I4885" s="2">
        <v>13.99</v>
      </c>
      <c r="J4885">
        <v>0</v>
      </c>
      <c r="K4885" s="2">
        <f t="shared" si="152"/>
        <v>0</v>
      </c>
      <c r="L4885" t="s">
        <v>19</v>
      </c>
      <c r="M4885">
        <v>1</v>
      </c>
      <c r="N4885">
        <v>1.57</v>
      </c>
      <c r="O4885" t="str">
        <f t="shared" si="153"/>
        <v>1+ hours</v>
      </c>
      <c r="P4885" t="s">
        <v>34</v>
      </c>
    </row>
    <row r="4886" spans="1:16" x14ac:dyDescent="0.4">
      <c r="A4886" t="s">
        <v>4927</v>
      </c>
      <c r="B4886">
        <v>54</v>
      </c>
      <c r="C4886" t="s">
        <v>15</v>
      </c>
      <c r="D4886" t="s">
        <v>22</v>
      </c>
      <c r="E4886">
        <v>0.72</v>
      </c>
      <c r="F4886">
        <v>0</v>
      </c>
      <c r="G4886" t="s">
        <v>23</v>
      </c>
      <c r="H4886" t="s">
        <v>46</v>
      </c>
      <c r="I4886" s="2">
        <v>13.99</v>
      </c>
      <c r="J4886">
        <v>0</v>
      </c>
      <c r="K4886" s="2">
        <f t="shared" si="152"/>
        <v>0</v>
      </c>
      <c r="L4886" t="s">
        <v>19</v>
      </c>
      <c r="M4886">
        <v>5</v>
      </c>
      <c r="N4886">
        <v>0.72</v>
      </c>
      <c r="O4886" t="str">
        <f t="shared" si="153"/>
        <v>0.6–0.8 hours</v>
      </c>
      <c r="P4886" t="s">
        <v>34</v>
      </c>
    </row>
    <row r="4887" spans="1:16" x14ac:dyDescent="0.4">
      <c r="A4887" t="s">
        <v>4928</v>
      </c>
      <c r="B4887">
        <v>63</v>
      </c>
      <c r="C4887" t="s">
        <v>15</v>
      </c>
      <c r="D4887" t="s">
        <v>22</v>
      </c>
      <c r="E4887">
        <v>1.97</v>
      </c>
      <c r="F4887">
        <v>21</v>
      </c>
      <c r="G4887" t="s">
        <v>28</v>
      </c>
      <c r="H4887" t="s">
        <v>24</v>
      </c>
      <c r="I4887" s="2">
        <v>13.99</v>
      </c>
      <c r="J4887">
        <v>1</v>
      </c>
      <c r="K4887" s="2">
        <f t="shared" si="152"/>
        <v>13.99</v>
      </c>
      <c r="L4887" t="s">
        <v>29</v>
      </c>
      <c r="M4887">
        <v>2</v>
      </c>
      <c r="N4887">
        <v>0.09</v>
      </c>
      <c r="O4887" t="str">
        <f t="shared" si="153"/>
        <v>0–0.2 hours</v>
      </c>
      <c r="P4887" t="s">
        <v>52</v>
      </c>
    </row>
    <row r="4888" spans="1:16" x14ac:dyDescent="0.4">
      <c r="A4888" t="s">
        <v>4929</v>
      </c>
      <c r="B4888">
        <v>25</v>
      </c>
      <c r="C4888" t="s">
        <v>27</v>
      </c>
      <c r="D4888" t="s">
        <v>22</v>
      </c>
      <c r="E4888">
        <v>7.36</v>
      </c>
      <c r="F4888">
        <v>1</v>
      </c>
      <c r="G4888" t="s">
        <v>70</v>
      </c>
      <c r="H4888" t="s">
        <v>24</v>
      </c>
      <c r="I4888" s="2">
        <v>13.99</v>
      </c>
      <c r="J4888">
        <v>0</v>
      </c>
      <c r="K4888" s="2">
        <f t="shared" si="152"/>
        <v>0</v>
      </c>
      <c r="L4888" t="s">
        <v>43</v>
      </c>
      <c r="M4888">
        <v>4</v>
      </c>
      <c r="N4888">
        <v>3.68</v>
      </c>
      <c r="O4888" t="str">
        <f t="shared" si="153"/>
        <v>1+ hours</v>
      </c>
      <c r="P4888" t="s">
        <v>47</v>
      </c>
    </row>
    <row r="4889" spans="1:16" x14ac:dyDescent="0.4">
      <c r="A4889" t="s">
        <v>4930</v>
      </c>
      <c r="B4889">
        <v>29</v>
      </c>
      <c r="C4889" t="s">
        <v>15</v>
      </c>
      <c r="D4889" t="s">
        <v>22</v>
      </c>
      <c r="E4889">
        <v>14.85</v>
      </c>
      <c r="F4889">
        <v>39</v>
      </c>
      <c r="G4889" t="s">
        <v>17</v>
      </c>
      <c r="H4889" t="s">
        <v>24</v>
      </c>
      <c r="I4889" s="2">
        <v>13.99</v>
      </c>
      <c r="J4889">
        <v>0</v>
      </c>
      <c r="K4889" s="2">
        <f t="shared" si="152"/>
        <v>0</v>
      </c>
      <c r="L4889" t="s">
        <v>61</v>
      </c>
      <c r="M4889">
        <v>5</v>
      </c>
      <c r="N4889">
        <v>0.37</v>
      </c>
      <c r="O4889" t="str">
        <f t="shared" si="153"/>
        <v>0.2–0.4 hours</v>
      </c>
      <c r="P4889" t="s">
        <v>30</v>
      </c>
    </row>
    <row r="4890" spans="1:16" x14ac:dyDescent="0.4">
      <c r="A4890" t="s">
        <v>4931</v>
      </c>
      <c r="B4890">
        <v>68</v>
      </c>
      <c r="C4890" t="s">
        <v>15</v>
      </c>
      <c r="D4890" t="s">
        <v>32</v>
      </c>
      <c r="E4890">
        <v>11.27</v>
      </c>
      <c r="F4890">
        <v>52</v>
      </c>
      <c r="G4890" t="s">
        <v>49</v>
      </c>
      <c r="H4890" t="s">
        <v>18</v>
      </c>
      <c r="I4890" s="2">
        <v>17.989999999999998</v>
      </c>
      <c r="J4890">
        <v>1</v>
      </c>
      <c r="K4890" s="2">
        <f t="shared" si="152"/>
        <v>17.989999999999998</v>
      </c>
      <c r="L4890" t="s">
        <v>29</v>
      </c>
      <c r="M4890">
        <v>4</v>
      </c>
      <c r="N4890">
        <v>0.21</v>
      </c>
      <c r="O4890" t="str">
        <f t="shared" si="153"/>
        <v>0.2–0.4 hours</v>
      </c>
      <c r="P4890" t="s">
        <v>52</v>
      </c>
    </row>
    <row r="4891" spans="1:16" x14ac:dyDescent="0.4">
      <c r="A4891" t="s">
        <v>4932</v>
      </c>
      <c r="B4891">
        <v>41</v>
      </c>
      <c r="C4891" t="s">
        <v>27</v>
      </c>
      <c r="D4891" t="s">
        <v>16</v>
      </c>
      <c r="E4891">
        <v>11.55</v>
      </c>
      <c r="F4891">
        <v>57</v>
      </c>
      <c r="G4891" t="s">
        <v>28</v>
      </c>
      <c r="H4891" t="s">
        <v>57</v>
      </c>
      <c r="I4891" s="2">
        <v>8.99</v>
      </c>
      <c r="J4891">
        <v>1</v>
      </c>
      <c r="K4891" s="2">
        <f t="shared" si="152"/>
        <v>8.99</v>
      </c>
      <c r="L4891" t="s">
        <v>29</v>
      </c>
      <c r="M4891">
        <v>1</v>
      </c>
      <c r="N4891">
        <v>0.2</v>
      </c>
      <c r="O4891" t="str">
        <f t="shared" si="153"/>
        <v>0–0.2 hours</v>
      </c>
      <c r="P4891" t="s">
        <v>25</v>
      </c>
    </row>
    <row r="4892" spans="1:16" x14ac:dyDescent="0.4">
      <c r="A4892" t="s">
        <v>4933</v>
      </c>
      <c r="B4892">
        <v>35</v>
      </c>
      <c r="C4892" t="s">
        <v>15</v>
      </c>
      <c r="D4892" t="s">
        <v>32</v>
      </c>
      <c r="E4892">
        <v>2.41</v>
      </c>
      <c r="F4892">
        <v>49</v>
      </c>
      <c r="G4892" t="s">
        <v>49</v>
      </c>
      <c r="H4892" t="s">
        <v>24</v>
      </c>
      <c r="I4892" s="2">
        <v>17.989999999999998</v>
      </c>
      <c r="J4892">
        <v>1</v>
      </c>
      <c r="K4892" s="2">
        <f t="shared" si="152"/>
        <v>17.989999999999998</v>
      </c>
      <c r="L4892" t="s">
        <v>61</v>
      </c>
      <c r="M4892">
        <v>2</v>
      </c>
      <c r="N4892">
        <v>0.05</v>
      </c>
      <c r="O4892" t="str">
        <f t="shared" si="153"/>
        <v>0–0.2 hours</v>
      </c>
      <c r="P4892" t="s">
        <v>34</v>
      </c>
    </row>
    <row r="4893" spans="1:16" x14ac:dyDescent="0.4">
      <c r="A4893" t="s">
        <v>4934</v>
      </c>
      <c r="B4893">
        <v>59</v>
      </c>
      <c r="C4893" t="s">
        <v>15</v>
      </c>
      <c r="D4893" t="s">
        <v>16</v>
      </c>
      <c r="E4893">
        <v>2.58</v>
      </c>
      <c r="F4893">
        <v>54</v>
      </c>
      <c r="G4893" t="s">
        <v>33</v>
      </c>
      <c r="H4893" t="s">
        <v>46</v>
      </c>
      <c r="I4893" s="2">
        <v>8.99</v>
      </c>
      <c r="J4893">
        <v>1</v>
      </c>
      <c r="K4893" s="2">
        <f t="shared" si="152"/>
        <v>8.99</v>
      </c>
      <c r="L4893" t="s">
        <v>61</v>
      </c>
      <c r="M4893">
        <v>4</v>
      </c>
      <c r="N4893">
        <v>0.05</v>
      </c>
      <c r="O4893" t="str">
        <f t="shared" si="153"/>
        <v>0–0.2 hours</v>
      </c>
      <c r="P4893" t="s">
        <v>39</v>
      </c>
    </row>
    <row r="4894" spans="1:16" x14ac:dyDescent="0.4">
      <c r="A4894" t="s">
        <v>4935</v>
      </c>
      <c r="B4894">
        <v>29</v>
      </c>
      <c r="C4894" t="s">
        <v>41</v>
      </c>
      <c r="D4894" t="s">
        <v>16</v>
      </c>
      <c r="E4894">
        <v>5.94</v>
      </c>
      <c r="F4894">
        <v>38</v>
      </c>
      <c r="G4894" t="s">
        <v>49</v>
      </c>
      <c r="H4894" t="s">
        <v>57</v>
      </c>
      <c r="I4894" s="2">
        <v>8.99</v>
      </c>
      <c r="J4894">
        <v>1</v>
      </c>
      <c r="K4894" s="2">
        <f t="shared" si="152"/>
        <v>8.99</v>
      </c>
      <c r="L4894" t="s">
        <v>43</v>
      </c>
      <c r="M4894">
        <v>3</v>
      </c>
      <c r="N4894">
        <v>0.15</v>
      </c>
      <c r="O4894" t="str">
        <f t="shared" si="153"/>
        <v>0–0.2 hours</v>
      </c>
      <c r="P4894" t="s">
        <v>34</v>
      </c>
    </row>
    <row r="4895" spans="1:16" x14ac:dyDescent="0.4">
      <c r="A4895" t="s">
        <v>4936</v>
      </c>
      <c r="B4895">
        <v>55</v>
      </c>
      <c r="C4895" t="s">
        <v>15</v>
      </c>
      <c r="D4895" t="s">
        <v>22</v>
      </c>
      <c r="E4895">
        <v>47.33</v>
      </c>
      <c r="F4895">
        <v>27</v>
      </c>
      <c r="G4895" t="s">
        <v>17</v>
      </c>
      <c r="H4895" t="s">
        <v>57</v>
      </c>
      <c r="I4895" s="2">
        <v>13.99</v>
      </c>
      <c r="J4895">
        <v>0</v>
      </c>
      <c r="K4895" s="2">
        <f t="shared" si="152"/>
        <v>0</v>
      </c>
      <c r="L4895" t="s">
        <v>37</v>
      </c>
      <c r="M4895">
        <v>5</v>
      </c>
      <c r="N4895">
        <v>1.69</v>
      </c>
      <c r="O4895" t="str">
        <f t="shared" si="153"/>
        <v>1+ hours</v>
      </c>
      <c r="P4895" t="s">
        <v>52</v>
      </c>
    </row>
    <row r="4896" spans="1:16" x14ac:dyDescent="0.4">
      <c r="A4896" t="s">
        <v>4937</v>
      </c>
      <c r="B4896">
        <v>28</v>
      </c>
      <c r="C4896" t="s">
        <v>15</v>
      </c>
      <c r="D4896" t="s">
        <v>16</v>
      </c>
      <c r="E4896">
        <v>1.58</v>
      </c>
      <c r="F4896">
        <v>27</v>
      </c>
      <c r="G4896" t="s">
        <v>70</v>
      </c>
      <c r="H4896" t="s">
        <v>46</v>
      </c>
      <c r="I4896" s="2">
        <v>8.99</v>
      </c>
      <c r="J4896">
        <v>1</v>
      </c>
      <c r="K4896" s="2">
        <f t="shared" si="152"/>
        <v>8.99</v>
      </c>
      <c r="L4896" t="s">
        <v>61</v>
      </c>
      <c r="M4896">
        <v>5</v>
      </c>
      <c r="N4896">
        <v>0.06</v>
      </c>
      <c r="O4896" t="str">
        <f t="shared" si="153"/>
        <v>0–0.2 hours</v>
      </c>
      <c r="P4896" t="s">
        <v>39</v>
      </c>
    </row>
    <row r="4897" spans="1:16" x14ac:dyDescent="0.4">
      <c r="A4897" t="s">
        <v>4938</v>
      </c>
      <c r="B4897">
        <v>48</v>
      </c>
      <c r="C4897" t="s">
        <v>27</v>
      </c>
      <c r="D4897" t="s">
        <v>22</v>
      </c>
      <c r="E4897">
        <v>5.49</v>
      </c>
      <c r="F4897">
        <v>33</v>
      </c>
      <c r="G4897" t="s">
        <v>49</v>
      </c>
      <c r="H4897" t="s">
        <v>57</v>
      </c>
      <c r="I4897" s="2">
        <v>13.99</v>
      </c>
      <c r="J4897">
        <v>1</v>
      </c>
      <c r="K4897" s="2">
        <f t="shared" si="152"/>
        <v>13.99</v>
      </c>
      <c r="L4897" t="s">
        <v>61</v>
      </c>
      <c r="M4897">
        <v>1</v>
      </c>
      <c r="N4897">
        <v>0.16</v>
      </c>
      <c r="O4897" t="str">
        <f t="shared" si="153"/>
        <v>0–0.2 hours</v>
      </c>
      <c r="P4897" t="s">
        <v>20</v>
      </c>
    </row>
    <row r="4898" spans="1:16" x14ac:dyDescent="0.4">
      <c r="A4898" t="s">
        <v>4939</v>
      </c>
      <c r="B4898">
        <v>45</v>
      </c>
      <c r="C4898" t="s">
        <v>27</v>
      </c>
      <c r="D4898" t="s">
        <v>22</v>
      </c>
      <c r="E4898">
        <v>0.26</v>
      </c>
      <c r="F4898">
        <v>5</v>
      </c>
      <c r="G4898" t="s">
        <v>33</v>
      </c>
      <c r="H4898" t="s">
        <v>55</v>
      </c>
      <c r="I4898" s="2">
        <v>13.99</v>
      </c>
      <c r="J4898">
        <v>1</v>
      </c>
      <c r="K4898" s="2">
        <f t="shared" si="152"/>
        <v>13.99</v>
      </c>
      <c r="L4898" t="s">
        <v>29</v>
      </c>
      <c r="M4898">
        <v>1</v>
      </c>
      <c r="N4898">
        <v>0.04</v>
      </c>
      <c r="O4898" t="str">
        <f t="shared" si="153"/>
        <v>0–0.2 hours</v>
      </c>
      <c r="P4898" t="s">
        <v>47</v>
      </c>
    </row>
    <row r="4899" spans="1:16" x14ac:dyDescent="0.4">
      <c r="A4899" t="s">
        <v>4940</v>
      </c>
      <c r="B4899">
        <v>21</v>
      </c>
      <c r="C4899" t="s">
        <v>15</v>
      </c>
      <c r="D4899" t="s">
        <v>32</v>
      </c>
      <c r="E4899">
        <v>8.16</v>
      </c>
      <c r="F4899">
        <v>49</v>
      </c>
      <c r="G4899" t="s">
        <v>33</v>
      </c>
      <c r="H4899" t="s">
        <v>55</v>
      </c>
      <c r="I4899" s="2">
        <v>17.989999999999998</v>
      </c>
      <c r="J4899">
        <v>1</v>
      </c>
      <c r="K4899" s="2">
        <f t="shared" si="152"/>
        <v>17.989999999999998</v>
      </c>
      <c r="L4899" t="s">
        <v>43</v>
      </c>
      <c r="M4899">
        <v>3</v>
      </c>
      <c r="N4899">
        <v>0.16</v>
      </c>
      <c r="O4899" t="str">
        <f t="shared" si="153"/>
        <v>0–0.2 hours</v>
      </c>
      <c r="P4899" t="s">
        <v>30</v>
      </c>
    </row>
    <row r="4900" spans="1:16" x14ac:dyDescent="0.4">
      <c r="A4900" t="s">
        <v>4941</v>
      </c>
      <c r="B4900">
        <v>54</v>
      </c>
      <c r="C4900" t="s">
        <v>41</v>
      </c>
      <c r="D4900" t="s">
        <v>32</v>
      </c>
      <c r="E4900">
        <v>5.47</v>
      </c>
      <c r="F4900">
        <v>19</v>
      </c>
      <c r="G4900" t="s">
        <v>17</v>
      </c>
      <c r="H4900" t="s">
        <v>57</v>
      </c>
      <c r="I4900" s="2">
        <v>17.989999999999998</v>
      </c>
      <c r="J4900">
        <v>0</v>
      </c>
      <c r="K4900" s="2">
        <f t="shared" si="152"/>
        <v>0</v>
      </c>
      <c r="L4900" t="s">
        <v>29</v>
      </c>
      <c r="M4900">
        <v>3</v>
      </c>
      <c r="N4900">
        <v>0.27</v>
      </c>
      <c r="O4900" t="str">
        <f t="shared" si="153"/>
        <v>0.2–0.4 hours</v>
      </c>
      <c r="P4900" t="s">
        <v>20</v>
      </c>
    </row>
    <row r="4901" spans="1:16" x14ac:dyDescent="0.4">
      <c r="A4901" t="s">
        <v>4942</v>
      </c>
      <c r="B4901">
        <v>23</v>
      </c>
      <c r="C4901" t="s">
        <v>15</v>
      </c>
      <c r="D4901" t="s">
        <v>32</v>
      </c>
      <c r="E4901">
        <v>4.59</v>
      </c>
      <c r="F4901">
        <v>35</v>
      </c>
      <c r="G4901" t="s">
        <v>70</v>
      </c>
      <c r="H4901" t="s">
        <v>46</v>
      </c>
      <c r="I4901" s="2">
        <v>17.989999999999998</v>
      </c>
      <c r="J4901">
        <v>1</v>
      </c>
      <c r="K4901" s="2">
        <f t="shared" si="152"/>
        <v>17.989999999999998</v>
      </c>
      <c r="L4901" t="s">
        <v>29</v>
      </c>
      <c r="M4901">
        <v>5</v>
      </c>
      <c r="N4901">
        <v>0.13</v>
      </c>
      <c r="O4901" t="str">
        <f t="shared" si="153"/>
        <v>0–0.2 hours</v>
      </c>
      <c r="P4901" t="s">
        <v>34</v>
      </c>
    </row>
    <row r="4902" spans="1:16" x14ac:dyDescent="0.4">
      <c r="A4902" t="s">
        <v>4943</v>
      </c>
      <c r="B4902">
        <v>24</v>
      </c>
      <c r="C4902" t="s">
        <v>41</v>
      </c>
      <c r="D4902" t="s">
        <v>16</v>
      </c>
      <c r="E4902">
        <v>14.73</v>
      </c>
      <c r="F4902">
        <v>31</v>
      </c>
      <c r="G4902" t="s">
        <v>17</v>
      </c>
      <c r="H4902" t="s">
        <v>57</v>
      </c>
      <c r="I4902" s="2">
        <v>8.99</v>
      </c>
      <c r="J4902">
        <v>1</v>
      </c>
      <c r="K4902" s="2">
        <f t="shared" si="152"/>
        <v>8.99</v>
      </c>
      <c r="L4902" t="s">
        <v>43</v>
      </c>
      <c r="M4902">
        <v>2</v>
      </c>
      <c r="N4902">
        <v>0.46</v>
      </c>
      <c r="O4902" t="str">
        <f t="shared" si="153"/>
        <v>0.4–0.6 hours</v>
      </c>
      <c r="P4902" t="s">
        <v>30</v>
      </c>
    </row>
    <row r="4903" spans="1:16" x14ac:dyDescent="0.4">
      <c r="A4903" t="s">
        <v>4944</v>
      </c>
      <c r="B4903">
        <v>69</v>
      </c>
      <c r="C4903" t="s">
        <v>27</v>
      </c>
      <c r="D4903" t="s">
        <v>32</v>
      </c>
      <c r="E4903">
        <v>50.94</v>
      </c>
      <c r="F4903">
        <v>59</v>
      </c>
      <c r="G4903" t="s">
        <v>70</v>
      </c>
      <c r="H4903" t="s">
        <v>55</v>
      </c>
      <c r="I4903" s="2">
        <v>17.989999999999998</v>
      </c>
      <c r="J4903">
        <v>0</v>
      </c>
      <c r="K4903" s="2">
        <f t="shared" si="152"/>
        <v>0</v>
      </c>
      <c r="L4903" t="s">
        <v>37</v>
      </c>
      <c r="M4903">
        <v>4</v>
      </c>
      <c r="N4903">
        <v>0.85</v>
      </c>
      <c r="O4903" t="str">
        <f t="shared" si="153"/>
        <v>0.8–1 hour</v>
      </c>
      <c r="P4903" t="s">
        <v>30</v>
      </c>
    </row>
    <row r="4904" spans="1:16" x14ac:dyDescent="0.4">
      <c r="A4904" t="s">
        <v>4945</v>
      </c>
      <c r="B4904">
        <v>19</v>
      </c>
      <c r="C4904" t="s">
        <v>27</v>
      </c>
      <c r="D4904" t="s">
        <v>22</v>
      </c>
      <c r="E4904">
        <v>12.01</v>
      </c>
      <c r="F4904">
        <v>0</v>
      </c>
      <c r="G4904" t="s">
        <v>17</v>
      </c>
      <c r="H4904" t="s">
        <v>18</v>
      </c>
      <c r="I4904" s="2">
        <v>13.99</v>
      </c>
      <c r="J4904">
        <v>0</v>
      </c>
      <c r="K4904" s="2">
        <f t="shared" si="152"/>
        <v>0</v>
      </c>
      <c r="L4904" t="s">
        <v>29</v>
      </c>
      <c r="M4904">
        <v>3</v>
      </c>
      <c r="N4904">
        <v>12.01</v>
      </c>
      <c r="O4904" t="str">
        <f t="shared" si="153"/>
        <v>1+ hours</v>
      </c>
      <c r="P4904" t="s">
        <v>52</v>
      </c>
    </row>
    <row r="4905" spans="1:16" x14ac:dyDescent="0.4">
      <c r="A4905" t="s">
        <v>4946</v>
      </c>
      <c r="B4905">
        <v>48</v>
      </c>
      <c r="C4905" t="s">
        <v>27</v>
      </c>
      <c r="D4905" t="s">
        <v>32</v>
      </c>
      <c r="E4905">
        <v>55.75</v>
      </c>
      <c r="F4905">
        <v>22</v>
      </c>
      <c r="G4905" t="s">
        <v>33</v>
      </c>
      <c r="H4905" t="s">
        <v>55</v>
      </c>
      <c r="I4905" s="2">
        <v>17.989999999999998</v>
      </c>
      <c r="J4905">
        <v>0</v>
      </c>
      <c r="K4905" s="2">
        <f t="shared" si="152"/>
        <v>0</v>
      </c>
      <c r="L4905" t="s">
        <v>37</v>
      </c>
      <c r="M4905">
        <v>1</v>
      </c>
      <c r="N4905">
        <v>2.42</v>
      </c>
      <c r="O4905" t="str">
        <f t="shared" si="153"/>
        <v>1+ hours</v>
      </c>
      <c r="P4905" t="s">
        <v>47</v>
      </c>
    </row>
    <row r="4906" spans="1:16" x14ac:dyDescent="0.4">
      <c r="A4906" t="s">
        <v>4947</v>
      </c>
      <c r="B4906">
        <v>37</v>
      </c>
      <c r="C4906" t="s">
        <v>15</v>
      </c>
      <c r="D4906" t="s">
        <v>32</v>
      </c>
      <c r="E4906">
        <v>3.58</v>
      </c>
      <c r="F4906">
        <v>33</v>
      </c>
      <c r="G4906" t="s">
        <v>49</v>
      </c>
      <c r="H4906" t="s">
        <v>18</v>
      </c>
      <c r="I4906" s="2">
        <v>17.989999999999998</v>
      </c>
      <c r="J4906">
        <v>1</v>
      </c>
      <c r="K4906" s="2">
        <f t="shared" si="152"/>
        <v>17.989999999999998</v>
      </c>
      <c r="L4906" t="s">
        <v>29</v>
      </c>
      <c r="M4906">
        <v>5</v>
      </c>
      <c r="N4906">
        <v>0.11</v>
      </c>
      <c r="O4906" t="str">
        <f t="shared" si="153"/>
        <v>0–0.2 hours</v>
      </c>
      <c r="P4906" t="s">
        <v>25</v>
      </c>
    </row>
    <row r="4907" spans="1:16" x14ac:dyDescent="0.4">
      <c r="A4907" t="s">
        <v>4948</v>
      </c>
      <c r="B4907">
        <v>30</v>
      </c>
      <c r="C4907" t="s">
        <v>15</v>
      </c>
      <c r="D4907" t="s">
        <v>32</v>
      </c>
      <c r="E4907">
        <v>14.88</v>
      </c>
      <c r="F4907">
        <v>16</v>
      </c>
      <c r="G4907" t="s">
        <v>33</v>
      </c>
      <c r="H4907" t="s">
        <v>46</v>
      </c>
      <c r="I4907" s="2">
        <v>17.989999999999998</v>
      </c>
      <c r="J4907">
        <v>0</v>
      </c>
      <c r="K4907" s="2">
        <f t="shared" si="152"/>
        <v>0</v>
      </c>
      <c r="L4907" t="s">
        <v>61</v>
      </c>
      <c r="M4907">
        <v>5</v>
      </c>
      <c r="N4907">
        <v>0.88</v>
      </c>
      <c r="O4907" t="str">
        <f t="shared" si="153"/>
        <v>0.8–1 hour</v>
      </c>
      <c r="P4907" t="s">
        <v>39</v>
      </c>
    </row>
    <row r="4908" spans="1:16" x14ac:dyDescent="0.4">
      <c r="A4908" t="s">
        <v>4949</v>
      </c>
      <c r="B4908">
        <v>50</v>
      </c>
      <c r="C4908" t="s">
        <v>15</v>
      </c>
      <c r="D4908" t="s">
        <v>32</v>
      </c>
      <c r="E4908">
        <v>10.01</v>
      </c>
      <c r="F4908">
        <v>48</v>
      </c>
      <c r="G4908" t="s">
        <v>28</v>
      </c>
      <c r="H4908" t="s">
        <v>55</v>
      </c>
      <c r="I4908" s="2">
        <v>17.989999999999998</v>
      </c>
      <c r="J4908">
        <v>1</v>
      </c>
      <c r="K4908" s="2">
        <f t="shared" si="152"/>
        <v>17.989999999999998</v>
      </c>
      <c r="L4908" t="s">
        <v>37</v>
      </c>
      <c r="M4908">
        <v>1</v>
      </c>
      <c r="N4908">
        <v>0.2</v>
      </c>
      <c r="O4908" t="str">
        <f t="shared" si="153"/>
        <v>0–0.2 hours</v>
      </c>
      <c r="P4908" t="s">
        <v>34</v>
      </c>
    </row>
    <row r="4909" spans="1:16" x14ac:dyDescent="0.4">
      <c r="A4909" t="s">
        <v>4950</v>
      </c>
      <c r="B4909">
        <v>23</v>
      </c>
      <c r="C4909" t="s">
        <v>15</v>
      </c>
      <c r="D4909" t="s">
        <v>22</v>
      </c>
      <c r="E4909">
        <v>36.880000000000003</v>
      </c>
      <c r="F4909">
        <v>52</v>
      </c>
      <c r="G4909" t="s">
        <v>49</v>
      </c>
      <c r="H4909" t="s">
        <v>24</v>
      </c>
      <c r="I4909" s="2">
        <v>13.99</v>
      </c>
      <c r="J4909">
        <v>0</v>
      </c>
      <c r="K4909" s="2">
        <f t="shared" si="152"/>
        <v>0</v>
      </c>
      <c r="L4909" t="s">
        <v>19</v>
      </c>
      <c r="M4909">
        <v>3</v>
      </c>
      <c r="N4909">
        <v>0.7</v>
      </c>
      <c r="O4909" t="str">
        <f t="shared" si="153"/>
        <v>0.6–0.8 hours</v>
      </c>
      <c r="P4909" t="s">
        <v>39</v>
      </c>
    </row>
    <row r="4910" spans="1:16" x14ac:dyDescent="0.4">
      <c r="A4910" t="s">
        <v>4951</v>
      </c>
      <c r="B4910">
        <v>18</v>
      </c>
      <c r="C4910" t="s">
        <v>27</v>
      </c>
      <c r="D4910" t="s">
        <v>22</v>
      </c>
      <c r="E4910">
        <v>13.02</v>
      </c>
      <c r="F4910">
        <v>6</v>
      </c>
      <c r="G4910" t="s">
        <v>17</v>
      </c>
      <c r="H4910" t="s">
        <v>55</v>
      </c>
      <c r="I4910" s="2">
        <v>13.99</v>
      </c>
      <c r="J4910">
        <v>0</v>
      </c>
      <c r="K4910" s="2">
        <f t="shared" si="152"/>
        <v>0</v>
      </c>
      <c r="L4910" t="s">
        <v>29</v>
      </c>
      <c r="M4910">
        <v>5</v>
      </c>
      <c r="N4910">
        <v>1.86</v>
      </c>
      <c r="O4910" t="str">
        <f t="shared" si="153"/>
        <v>1+ hours</v>
      </c>
      <c r="P4910" t="s">
        <v>52</v>
      </c>
    </row>
    <row r="4911" spans="1:16" x14ac:dyDescent="0.4">
      <c r="A4911" t="s">
        <v>4952</v>
      </c>
      <c r="B4911">
        <v>69</v>
      </c>
      <c r="C4911" t="s">
        <v>15</v>
      </c>
      <c r="D4911" t="s">
        <v>32</v>
      </c>
      <c r="E4911">
        <v>5.07</v>
      </c>
      <c r="F4911">
        <v>25</v>
      </c>
      <c r="G4911" t="s">
        <v>49</v>
      </c>
      <c r="H4911" t="s">
        <v>46</v>
      </c>
      <c r="I4911" s="2">
        <v>17.989999999999998</v>
      </c>
      <c r="J4911">
        <v>0</v>
      </c>
      <c r="K4911" s="2">
        <f t="shared" si="152"/>
        <v>0</v>
      </c>
      <c r="L4911" t="s">
        <v>29</v>
      </c>
      <c r="M4911">
        <v>4</v>
      </c>
      <c r="N4911">
        <v>0.2</v>
      </c>
      <c r="O4911" t="str">
        <f t="shared" si="153"/>
        <v>0–0.2 hours</v>
      </c>
      <c r="P4911" t="s">
        <v>20</v>
      </c>
    </row>
    <row r="4912" spans="1:16" x14ac:dyDescent="0.4">
      <c r="A4912" t="s">
        <v>4953</v>
      </c>
      <c r="B4912">
        <v>40</v>
      </c>
      <c r="C4912" t="s">
        <v>41</v>
      </c>
      <c r="D4912" t="s">
        <v>22</v>
      </c>
      <c r="E4912">
        <v>3.58</v>
      </c>
      <c r="F4912">
        <v>21</v>
      </c>
      <c r="G4912" t="s">
        <v>17</v>
      </c>
      <c r="H4912" t="s">
        <v>18</v>
      </c>
      <c r="I4912" s="2">
        <v>13.99</v>
      </c>
      <c r="J4912">
        <v>1</v>
      </c>
      <c r="K4912" s="2">
        <f t="shared" si="152"/>
        <v>13.99</v>
      </c>
      <c r="L4912" t="s">
        <v>61</v>
      </c>
      <c r="M4912">
        <v>3</v>
      </c>
      <c r="N4912">
        <v>0.16</v>
      </c>
      <c r="O4912" t="str">
        <f t="shared" si="153"/>
        <v>0–0.2 hours</v>
      </c>
      <c r="P4912" t="s">
        <v>30</v>
      </c>
    </row>
    <row r="4913" spans="1:16" x14ac:dyDescent="0.4">
      <c r="A4913" t="s">
        <v>4954</v>
      </c>
      <c r="B4913">
        <v>33</v>
      </c>
      <c r="C4913" t="s">
        <v>15</v>
      </c>
      <c r="D4913" t="s">
        <v>16</v>
      </c>
      <c r="E4913">
        <v>10.34</v>
      </c>
      <c r="F4913">
        <v>20</v>
      </c>
      <c r="G4913" t="s">
        <v>23</v>
      </c>
      <c r="H4913" t="s">
        <v>46</v>
      </c>
      <c r="I4913" s="2">
        <v>8.99</v>
      </c>
      <c r="J4913">
        <v>0</v>
      </c>
      <c r="K4913" s="2">
        <f t="shared" si="152"/>
        <v>0</v>
      </c>
      <c r="L4913" t="s">
        <v>43</v>
      </c>
      <c r="M4913">
        <v>3</v>
      </c>
      <c r="N4913">
        <v>0.49</v>
      </c>
      <c r="O4913" t="str">
        <f t="shared" si="153"/>
        <v>0.4–0.6 hours</v>
      </c>
      <c r="P4913" t="s">
        <v>25</v>
      </c>
    </row>
    <row r="4914" spans="1:16" x14ac:dyDescent="0.4">
      <c r="A4914" t="s">
        <v>4955</v>
      </c>
      <c r="B4914">
        <v>32</v>
      </c>
      <c r="C4914" t="s">
        <v>41</v>
      </c>
      <c r="D4914" t="s">
        <v>22</v>
      </c>
      <c r="E4914">
        <v>40.69</v>
      </c>
      <c r="F4914">
        <v>23</v>
      </c>
      <c r="G4914" t="s">
        <v>49</v>
      </c>
      <c r="H4914" t="s">
        <v>57</v>
      </c>
      <c r="I4914" s="2">
        <v>13.99</v>
      </c>
      <c r="J4914">
        <v>0</v>
      </c>
      <c r="K4914" s="2">
        <f t="shared" si="152"/>
        <v>0</v>
      </c>
      <c r="L4914" t="s">
        <v>43</v>
      </c>
      <c r="M4914">
        <v>3</v>
      </c>
      <c r="N4914">
        <v>1.7</v>
      </c>
      <c r="O4914" t="str">
        <f t="shared" si="153"/>
        <v>1+ hours</v>
      </c>
      <c r="P4914" t="s">
        <v>47</v>
      </c>
    </row>
    <row r="4915" spans="1:16" x14ac:dyDescent="0.4">
      <c r="A4915" t="s">
        <v>4956</v>
      </c>
      <c r="B4915">
        <v>36</v>
      </c>
      <c r="C4915" t="s">
        <v>15</v>
      </c>
      <c r="D4915" t="s">
        <v>16</v>
      </c>
      <c r="E4915">
        <v>8.32</v>
      </c>
      <c r="F4915">
        <v>20</v>
      </c>
      <c r="G4915" t="s">
        <v>33</v>
      </c>
      <c r="H4915" t="s">
        <v>46</v>
      </c>
      <c r="I4915" s="2">
        <v>8.99</v>
      </c>
      <c r="J4915">
        <v>0</v>
      </c>
      <c r="K4915" s="2">
        <f t="shared" si="152"/>
        <v>0</v>
      </c>
      <c r="L4915" t="s">
        <v>43</v>
      </c>
      <c r="M4915">
        <v>2</v>
      </c>
      <c r="N4915">
        <v>0.4</v>
      </c>
      <c r="O4915" t="str">
        <f t="shared" si="153"/>
        <v>0.2–0.4 hours</v>
      </c>
      <c r="P4915" t="s">
        <v>20</v>
      </c>
    </row>
    <row r="4916" spans="1:16" x14ac:dyDescent="0.4">
      <c r="A4916" t="s">
        <v>4957</v>
      </c>
      <c r="B4916">
        <v>33</v>
      </c>
      <c r="C4916" t="s">
        <v>15</v>
      </c>
      <c r="D4916" t="s">
        <v>32</v>
      </c>
      <c r="E4916">
        <v>13.25</v>
      </c>
      <c r="F4916">
        <v>10</v>
      </c>
      <c r="G4916" t="s">
        <v>23</v>
      </c>
      <c r="H4916" t="s">
        <v>18</v>
      </c>
      <c r="I4916" s="2">
        <v>17.989999999999998</v>
      </c>
      <c r="J4916">
        <v>0</v>
      </c>
      <c r="K4916" s="2">
        <f t="shared" si="152"/>
        <v>0</v>
      </c>
      <c r="L4916" t="s">
        <v>19</v>
      </c>
      <c r="M4916">
        <v>1</v>
      </c>
      <c r="N4916">
        <v>1.2</v>
      </c>
      <c r="O4916" t="str">
        <f t="shared" si="153"/>
        <v>1+ hours</v>
      </c>
      <c r="P4916" t="s">
        <v>47</v>
      </c>
    </row>
    <row r="4917" spans="1:16" x14ac:dyDescent="0.4">
      <c r="A4917" t="s">
        <v>4958</v>
      </c>
      <c r="B4917">
        <v>39</v>
      </c>
      <c r="C4917" t="s">
        <v>15</v>
      </c>
      <c r="D4917" t="s">
        <v>16</v>
      </c>
      <c r="E4917">
        <v>11.55</v>
      </c>
      <c r="F4917">
        <v>10</v>
      </c>
      <c r="G4917" t="s">
        <v>23</v>
      </c>
      <c r="H4917" t="s">
        <v>24</v>
      </c>
      <c r="I4917" s="2">
        <v>8.99</v>
      </c>
      <c r="J4917">
        <v>0</v>
      </c>
      <c r="K4917" s="2">
        <f t="shared" si="152"/>
        <v>0</v>
      </c>
      <c r="L4917" t="s">
        <v>19</v>
      </c>
      <c r="M4917">
        <v>1</v>
      </c>
      <c r="N4917">
        <v>1.05</v>
      </c>
      <c r="O4917" t="str">
        <f t="shared" si="153"/>
        <v>1+ hours</v>
      </c>
      <c r="P4917" t="s">
        <v>34</v>
      </c>
    </row>
    <row r="4918" spans="1:16" x14ac:dyDescent="0.4">
      <c r="A4918" t="s">
        <v>4959</v>
      </c>
      <c r="B4918">
        <v>28</v>
      </c>
      <c r="C4918" t="s">
        <v>27</v>
      </c>
      <c r="D4918" t="s">
        <v>16</v>
      </c>
      <c r="E4918">
        <v>2.4700000000000002</v>
      </c>
      <c r="F4918">
        <v>37</v>
      </c>
      <c r="G4918" t="s">
        <v>70</v>
      </c>
      <c r="H4918" t="s">
        <v>55</v>
      </c>
      <c r="I4918" s="2">
        <v>8.99</v>
      </c>
      <c r="J4918">
        <v>1</v>
      </c>
      <c r="K4918" s="2">
        <f t="shared" si="152"/>
        <v>8.99</v>
      </c>
      <c r="L4918" t="s">
        <v>43</v>
      </c>
      <c r="M4918">
        <v>1</v>
      </c>
      <c r="N4918">
        <v>7.0000000000000007E-2</v>
      </c>
      <c r="O4918" t="str">
        <f t="shared" si="153"/>
        <v>0–0.2 hours</v>
      </c>
      <c r="P4918" t="s">
        <v>30</v>
      </c>
    </row>
    <row r="4919" spans="1:16" x14ac:dyDescent="0.4">
      <c r="A4919" t="s">
        <v>4960</v>
      </c>
      <c r="B4919">
        <v>44</v>
      </c>
      <c r="C4919" t="s">
        <v>41</v>
      </c>
      <c r="D4919" t="s">
        <v>32</v>
      </c>
      <c r="E4919">
        <v>41.31</v>
      </c>
      <c r="F4919">
        <v>60</v>
      </c>
      <c r="G4919" t="s">
        <v>70</v>
      </c>
      <c r="H4919" t="s">
        <v>46</v>
      </c>
      <c r="I4919" s="2">
        <v>17.989999999999998</v>
      </c>
      <c r="J4919">
        <v>0</v>
      </c>
      <c r="K4919" s="2">
        <f t="shared" si="152"/>
        <v>0</v>
      </c>
      <c r="L4919" t="s">
        <v>19</v>
      </c>
      <c r="M4919">
        <v>4</v>
      </c>
      <c r="N4919">
        <v>0.68</v>
      </c>
      <c r="O4919" t="str">
        <f t="shared" si="153"/>
        <v>0.6–0.8 hours</v>
      </c>
      <c r="P4919" t="s">
        <v>30</v>
      </c>
    </row>
    <row r="4920" spans="1:16" x14ac:dyDescent="0.4">
      <c r="A4920" t="s">
        <v>4961</v>
      </c>
      <c r="B4920">
        <v>34</v>
      </c>
      <c r="C4920" t="s">
        <v>27</v>
      </c>
      <c r="D4920" t="s">
        <v>16</v>
      </c>
      <c r="E4920">
        <v>7.71</v>
      </c>
      <c r="F4920">
        <v>32</v>
      </c>
      <c r="G4920" t="s">
        <v>23</v>
      </c>
      <c r="H4920" t="s">
        <v>57</v>
      </c>
      <c r="I4920" s="2">
        <v>8.99</v>
      </c>
      <c r="J4920">
        <v>1</v>
      </c>
      <c r="K4920" s="2">
        <f t="shared" si="152"/>
        <v>8.99</v>
      </c>
      <c r="L4920" t="s">
        <v>61</v>
      </c>
      <c r="M4920">
        <v>5</v>
      </c>
      <c r="N4920">
        <v>0.23</v>
      </c>
      <c r="O4920" t="str">
        <f t="shared" si="153"/>
        <v>0.2–0.4 hours</v>
      </c>
      <c r="P4920" t="s">
        <v>20</v>
      </c>
    </row>
    <row r="4921" spans="1:16" x14ac:dyDescent="0.4">
      <c r="A4921" t="s">
        <v>4962</v>
      </c>
      <c r="B4921">
        <v>24</v>
      </c>
      <c r="C4921" t="s">
        <v>27</v>
      </c>
      <c r="D4921" t="s">
        <v>16</v>
      </c>
      <c r="E4921">
        <v>2.2999999999999998</v>
      </c>
      <c r="F4921">
        <v>37</v>
      </c>
      <c r="G4921" t="s">
        <v>33</v>
      </c>
      <c r="H4921" t="s">
        <v>24</v>
      </c>
      <c r="I4921" s="2">
        <v>8.99</v>
      </c>
      <c r="J4921">
        <v>1</v>
      </c>
      <c r="K4921" s="2">
        <f t="shared" si="152"/>
        <v>8.99</v>
      </c>
      <c r="L4921" t="s">
        <v>19</v>
      </c>
      <c r="M4921">
        <v>4</v>
      </c>
      <c r="N4921">
        <v>0.06</v>
      </c>
      <c r="O4921" t="str">
        <f t="shared" si="153"/>
        <v>0–0.2 hours</v>
      </c>
      <c r="P4921" t="s">
        <v>39</v>
      </c>
    </row>
    <row r="4922" spans="1:16" x14ac:dyDescent="0.4">
      <c r="A4922" t="s">
        <v>4963</v>
      </c>
      <c r="B4922">
        <v>59</v>
      </c>
      <c r="C4922" t="s">
        <v>15</v>
      </c>
      <c r="D4922" t="s">
        <v>22</v>
      </c>
      <c r="E4922">
        <v>8.76</v>
      </c>
      <c r="F4922">
        <v>11</v>
      </c>
      <c r="G4922" t="s">
        <v>33</v>
      </c>
      <c r="H4922" t="s">
        <v>46</v>
      </c>
      <c r="I4922" s="2">
        <v>13.99</v>
      </c>
      <c r="J4922">
        <v>0</v>
      </c>
      <c r="K4922" s="2">
        <f t="shared" si="152"/>
        <v>0</v>
      </c>
      <c r="L4922" t="s">
        <v>37</v>
      </c>
      <c r="M4922">
        <v>3</v>
      </c>
      <c r="N4922">
        <v>0.73</v>
      </c>
      <c r="O4922" t="str">
        <f t="shared" si="153"/>
        <v>0.6–0.8 hours</v>
      </c>
      <c r="P4922" t="s">
        <v>25</v>
      </c>
    </row>
    <row r="4923" spans="1:16" x14ac:dyDescent="0.4">
      <c r="A4923" t="s">
        <v>4964</v>
      </c>
      <c r="B4923">
        <v>32</v>
      </c>
      <c r="C4923" t="s">
        <v>41</v>
      </c>
      <c r="D4923" t="s">
        <v>22</v>
      </c>
      <c r="E4923">
        <v>2.81</v>
      </c>
      <c r="F4923">
        <v>19</v>
      </c>
      <c r="G4923" t="s">
        <v>33</v>
      </c>
      <c r="H4923" t="s">
        <v>24</v>
      </c>
      <c r="I4923" s="2">
        <v>13.99</v>
      </c>
      <c r="J4923">
        <v>0</v>
      </c>
      <c r="K4923" s="2">
        <f t="shared" si="152"/>
        <v>0</v>
      </c>
      <c r="L4923" t="s">
        <v>43</v>
      </c>
      <c r="M4923">
        <v>4</v>
      </c>
      <c r="N4923">
        <v>0.14000000000000001</v>
      </c>
      <c r="O4923" t="str">
        <f t="shared" si="153"/>
        <v>0–0.2 hours</v>
      </c>
      <c r="P4923" t="s">
        <v>30</v>
      </c>
    </row>
    <row r="4924" spans="1:16" x14ac:dyDescent="0.4">
      <c r="A4924" t="s">
        <v>4965</v>
      </c>
      <c r="B4924">
        <v>52</v>
      </c>
      <c r="C4924" t="s">
        <v>15</v>
      </c>
      <c r="D4924" t="s">
        <v>16</v>
      </c>
      <c r="E4924">
        <v>19.21</v>
      </c>
      <c r="F4924">
        <v>30</v>
      </c>
      <c r="G4924" t="s">
        <v>33</v>
      </c>
      <c r="H4924" t="s">
        <v>55</v>
      </c>
      <c r="I4924" s="2">
        <v>8.99</v>
      </c>
      <c r="J4924">
        <v>0</v>
      </c>
      <c r="K4924" s="2">
        <f t="shared" si="152"/>
        <v>0</v>
      </c>
      <c r="L4924" t="s">
        <v>19</v>
      </c>
      <c r="M4924">
        <v>5</v>
      </c>
      <c r="N4924">
        <v>0.62</v>
      </c>
      <c r="O4924" t="str">
        <f t="shared" si="153"/>
        <v>0.6–0.8 hours</v>
      </c>
      <c r="P4924" t="s">
        <v>25</v>
      </c>
    </row>
    <row r="4925" spans="1:16" x14ac:dyDescent="0.4">
      <c r="A4925" t="s">
        <v>4966</v>
      </c>
      <c r="B4925">
        <v>46</v>
      </c>
      <c r="C4925" t="s">
        <v>41</v>
      </c>
      <c r="D4925" t="s">
        <v>32</v>
      </c>
      <c r="E4925">
        <v>27.63</v>
      </c>
      <c r="F4925">
        <v>28</v>
      </c>
      <c r="G4925" t="s">
        <v>49</v>
      </c>
      <c r="H4925" t="s">
        <v>57</v>
      </c>
      <c r="I4925" s="2">
        <v>17.989999999999998</v>
      </c>
      <c r="J4925">
        <v>0</v>
      </c>
      <c r="K4925" s="2">
        <f t="shared" si="152"/>
        <v>0</v>
      </c>
      <c r="L4925" t="s">
        <v>29</v>
      </c>
      <c r="M4925">
        <v>5</v>
      </c>
      <c r="N4925">
        <v>0.95</v>
      </c>
      <c r="O4925" t="str">
        <f t="shared" si="153"/>
        <v>0.8–1 hour</v>
      </c>
      <c r="P4925" t="s">
        <v>34</v>
      </c>
    </row>
    <row r="4926" spans="1:16" x14ac:dyDescent="0.4">
      <c r="A4926" t="s">
        <v>4967</v>
      </c>
      <c r="B4926">
        <v>19</v>
      </c>
      <c r="C4926" t="s">
        <v>41</v>
      </c>
      <c r="D4926" t="s">
        <v>22</v>
      </c>
      <c r="E4926">
        <v>4.71</v>
      </c>
      <c r="F4926">
        <v>17</v>
      </c>
      <c r="G4926" t="s">
        <v>33</v>
      </c>
      <c r="H4926" t="s">
        <v>55</v>
      </c>
      <c r="I4926" s="2">
        <v>13.99</v>
      </c>
      <c r="J4926">
        <v>1</v>
      </c>
      <c r="K4926" s="2">
        <f t="shared" si="152"/>
        <v>13.99</v>
      </c>
      <c r="L4926" t="s">
        <v>37</v>
      </c>
      <c r="M4926">
        <v>2</v>
      </c>
      <c r="N4926">
        <v>0.26</v>
      </c>
      <c r="O4926" t="str">
        <f t="shared" si="153"/>
        <v>0.2–0.4 hours</v>
      </c>
      <c r="P4926" t="s">
        <v>52</v>
      </c>
    </row>
    <row r="4927" spans="1:16" x14ac:dyDescent="0.4">
      <c r="A4927" t="s">
        <v>4968</v>
      </c>
      <c r="B4927">
        <v>23</v>
      </c>
      <c r="C4927" t="s">
        <v>41</v>
      </c>
      <c r="D4927" t="s">
        <v>16</v>
      </c>
      <c r="E4927">
        <v>7.33</v>
      </c>
      <c r="F4927">
        <v>20</v>
      </c>
      <c r="G4927" t="s">
        <v>17</v>
      </c>
      <c r="H4927" t="s">
        <v>18</v>
      </c>
      <c r="I4927" s="2">
        <v>8.99</v>
      </c>
      <c r="J4927">
        <v>1</v>
      </c>
      <c r="K4927" s="2">
        <f t="shared" si="152"/>
        <v>8.99</v>
      </c>
      <c r="L4927" t="s">
        <v>43</v>
      </c>
      <c r="M4927">
        <v>1</v>
      </c>
      <c r="N4927">
        <v>0.35</v>
      </c>
      <c r="O4927" t="str">
        <f t="shared" si="153"/>
        <v>0.2–0.4 hours</v>
      </c>
      <c r="P4927" t="s">
        <v>52</v>
      </c>
    </row>
    <row r="4928" spans="1:16" x14ac:dyDescent="0.4">
      <c r="A4928" t="s">
        <v>4969</v>
      </c>
      <c r="B4928">
        <v>69</v>
      </c>
      <c r="C4928" t="s">
        <v>27</v>
      </c>
      <c r="D4928" t="s">
        <v>22</v>
      </c>
      <c r="E4928">
        <v>2.78</v>
      </c>
      <c r="F4928">
        <v>28</v>
      </c>
      <c r="G4928" t="s">
        <v>17</v>
      </c>
      <c r="H4928" t="s">
        <v>57</v>
      </c>
      <c r="I4928" s="2">
        <v>13.99</v>
      </c>
      <c r="J4928">
        <v>1</v>
      </c>
      <c r="K4928" s="2">
        <f t="shared" si="152"/>
        <v>13.99</v>
      </c>
      <c r="L4928" t="s">
        <v>29</v>
      </c>
      <c r="M4928">
        <v>5</v>
      </c>
      <c r="N4928">
        <v>0.1</v>
      </c>
      <c r="O4928" t="str">
        <f t="shared" si="153"/>
        <v>0–0.2 hours</v>
      </c>
      <c r="P4928" t="s">
        <v>25</v>
      </c>
    </row>
    <row r="4929" spans="1:16" x14ac:dyDescent="0.4">
      <c r="A4929" t="s">
        <v>4970</v>
      </c>
      <c r="B4929">
        <v>24</v>
      </c>
      <c r="C4929" t="s">
        <v>41</v>
      </c>
      <c r="D4929" t="s">
        <v>22</v>
      </c>
      <c r="E4929">
        <v>9.02</v>
      </c>
      <c r="F4929">
        <v>13</v>
      </c>
      <c r="G4929" t="s">
        <v>33</v>
      </c>
      <c r="H4929" t="s">
        <v>57</v>
      </c>
      <c r="I4929" s="2">
        <v>13.99</v>
      </c>
      <c r="J4929">
        <v>0</v>
      </c>
      <c r="K4929" s="2">
        <f t="shared" si="152"/>
        <v>0</v>
      </c>
      <c r="L4929" t="s">
        <v>37</v>
      </c>
      <c r="M4929">
        <v>1</v>
      </c>
      <c r="N4929">
        <v>0.64</v>
      </c>
      <c r="O4929" t="str">
        <f t="shared" si="153"/>
        <v>0.6–0.8 hours</v>
      </c>
      <c r="P4929" t="s">
        <v>30</v>
      </c>
    </row>
    <row r="4930" spans="1:16" x14ac:dyDescent="0.4">
      <c r="A4930" t="s">
        <v>4971</v>
      </c>
      <c r="B4930">
        <v>65</v>
      </c>
      <c r="C4930" t="s">
        <v>27</v>
      </c>
      <c r="D4930" t="s">
        <v>16</v>
      </c>
      <c r="E4930">
        <v>20</v>
      </c>
      <c r="F4930">
        <v>26</v>
      </c>
      <c r="G4930" t="s">
        <v>70</v>
      </c>
      <c r="H4930" t="s">
        <v>18</v>
      </c>
      <c r="I4930" s="2">
        <v>8.99</v>
      </c>
      <c r="J4930">
        <v>0</v>
      </c>
      <c r="K4930" s="2">
        <f t="shared" si="152"/>
        <v>0</v>
      </c>
      <c r="L4930" t="s">
        <v>43</v>
      </c>
      <c r="M4930">
        <v>4</v>
      </c>
      <c r="N4930">
        <v>0.74</v>
      </c>
      <c r="O4930" t="str">
        <f t="shared" si="153"/>
        <v>0.6–0.8 hours</v>
      </c>
      <c r="P4930" t="s">
        <v>20</v>
      </c>
    </row>
    <row r="4931" spans="1:16" x14ac:dyDescent="0.4">
      <c r="A4931" t="s">
        <v>4972</v>
      </c>
      <c r="B4931">
        <v>59</v>
      </c>
      <c r="C4931" t="s">
        <v>27</v>
      </c>
      <c r="D4931" t="s">
        <v>32</v>
      </c>
      <c r="E4931">
        <v>6</v>
      </c>
      <c r="F4931">
        <v>8</v>
      </c>
      <c r="G4931" t="s">
        <v>49</v>
      </c>
      <c r="H4931" t="s">
        <v>55</v>
      </c>
      <c r="I4931" s="2">
        <v>17.989999999999998</v>
      </c>
      <c r="J4931">
        <v>0</v>
      </c>
      <c r="K4931" s="2">
        <f t="shared" ref="K4931:K4994" si="154">SUMIF(J4931,1,I4931)</f>
        <v>0</v>
      </c>
      <c r="L4931" t="s">
        <v>29</v>
      </c>
      <c r="M4931">
        <v>2</v>
      </c>
      <c r="N4931">
        <v>0.67</v>
      </c>
      <c r="O4931" t="str">
        <f t="shared" ref="O4931:O4994" si="155">IF(N4931&gt;1,"1+ hours",IF(N4931&lt;=0.2,"0–0.2 hours",IF(N4931&lt;=0.4,"0.2–0.4 hours",IF(N4931&lt;=0.6,"0.4–0.6 hours",IF(N4931&lt;=0.8,"0.6–0.8 hours","0.8–1 hour")))))</f>
        <v>0.6–0.8 hours</v>
      </c>
      <c r="P4931" t="s">
        <v>52</v>
      </c>
    </row>
    <row r="4932" spans="1:16" x14ac:dyDescent="0.4">
      <c r="A4932" t="s">
        <v>4973</v>
      </c>
      <c r="B4932">
        <v>46</v>
      </c>
      <c r="C4932" t="s">
        <v>27</v>
      </c>
      <c r="D4932" t="s">
        <v>32</v>
      </c>
      <c r="E4932">
        <v>4.6500000000000004</v>
      </c>
      <c r="F4932">
        <v>11</v>
      </c>
      <c r="G4932" t="s">
        <v>17</v>
      </c>
      <c r="H4932" t="s">
        <v>46</v>
      </c>
      <c r="I4932" s="2">
        <v>17.989999999999998</v>
      </c>
      <c r="J4932">
        <v>1</v>
      </c>
      <c r="K4932" s="2">
        <f t="shared" si="154"/>
        <v>17.989999999999998</v>
      </c>
      <c r="L4932" t="s">
        <v>37</v>
      </c>
      <c r="M4932">
        <v>2</v>
      </c>
      <c r="N4932">
        <v>0.39</v>
      </c>
      <c r="O4932" t="str">
        <f t="shared" si="155"/>
        <v>0.2–0.4 hours</v>
      </c>
      <c r="P4932" t="s">
        <v>34</v>
      </c>
    </row>
    <row r="4933" spans="1:16" x14ac:dyDescent="0.4">
      <c r="A4933" t="s">
        <v>4974</v>
      </c>
      <c r="B4933">
        <v>70</v>
      </c>
      <c r="C4933" t="s">
        <v>41</v>
      </c>
      <c r="D4933" t="s">
        <v>16</v>
      </c>
      <c r="E4933">
        <v>6.86</v>
      </c>
      <c r="F4933">
        <v>58</v>
      </c>
      <c r="G4933" t="s">
        <v>23</v>
      </c>
      <c r="H4933" t="s">
        <v>57</v>
      </c>
      <c r="I4933" s="2">
        <v>8.99</v>
      </c>
      <c r="J4933">
        <v>1</v>
      </c>
      <c r="K4933" s="2">
        <f t="shared" si="154"/>
        <v>8.99</v>
      </c>
      <c r="L4933" t="s">
        <v>43</v>
      </c>
      <c r="M4933">
        <v>1</v>
      </c>
      <c r="N4933">
        <v>0.12</v>
      </c>
      <c r="O4933" t="str">
        <f t="shared" si="155"/>
        <v>0–0.2 hours</v>
      </c>
      <c r="P4933" t="s">
        <v>20</v>
      </c>
    </row>
    <row r="4934" spans="1:16" x14ac:dyDescent="0.4">
      <c r="A4934" t="s">
        <v>4975</v>
      </c>
      <c r="B4934">
        <v>64</v>
      </c>
      <c r="C4934" t="s">
        <v>27</v>
      </c>
      <c r="D4934" t="s">
        <v>16</v>
      </c>
      <c r="E4934">
        <v>5.78</v>
      </c>
      <c r="F4934">
        <v>22</v>
      </c>
      <c r="G4934" t="s">
        <v>49</v>
      </c>
      <c r="H4934" t="s">
        <v>46</v>
      </c>
      <c r="I4934" s="2">
        <v>8.99</v>
      </c>
      <c r="J4934">
        <v>0</v>
      </c>
      <c r="K4934" s="2">
        <f t="shared" si="154"/>
        <v>0</v>
      </c>
      <c r="L4934" t="s">
        <v>19</v>
      </c>
      <c r="M4934">
        <v>5</v>
      </c>
      <c r="N4934">
        <v>0.25</v>
      </c>
      <c r="O4934" t="str">
        <f t="shared" si="155"/>
        <v>0.2–0.4 hours</v>
      </c>
      <c r="P4934" t="s">
        <v>20</v>
      </c>
    </row>
    <row r="4935" spans="1:16" x14ac:dyDescent="0.4">
      <c r="A4935" t="s">
        <v>4976</v>
      </c>
      <c r="B4935">
        <v>22</v>
      </c>
      <c r="C4935" t="s">
        <v>27</v>
      </c>
      <c r="D4935" t="s">
        <v>32</v>
      </c>
      <c r="E4935">
        <v>1.7</v>
      </c>
      <c r="F4935">
        <v>20</v>
      </c>
      <c r="G4935" t="s">
        <v>33</v>
      </c>
      <c r="H4935" t="s">
        <v>55</v>
      </c>
      <c r="I4935" s="2">
        <v>17.989999999999998</v>
      </c>
      <c r="J4935">
        <v>0</v>
      </c>
      <c r="K4935" s="2">
        <f t="shared" si="154"/>
        <v>0</v>
      </c>
      <c r="L4935" t="s">
        <v>37</v>
      </c>
      <c r="M4935">
        <v>5</v>
      </c>
      <c r="N4935">
        <v>0.08</v>
      </c>
      <c r="O4935" t="str">
        <f t="shared" si="155"/>
        <v>0–0.2 hours</v>
      </c>
      <c r="P4935" t="s">
        <v>34</v>
      </c>
    </row>
    <row r="4936" spans="1:16" x14ac:dyDescent="0.4">
      <c r="A4936" t="s">
        <v>4977</v>
      </c>
      <c r="B4936">
        <v>21</v>
      </c>
      <c r="C4936" t="s">
        <v>27</v>
      </c>
      <c r="D4936" t="s">
        <v>16</v>
      </c>
      <c r="E4936">
        <v>23.24</v>
      </c>
      <c r="F4936">
        <v>10</v>
      </c>
      <c r="G4936" t="s">
        <v>49</v>
      </c>
      <c r="H4936" t="s">
        <v>57</v>
      </c>
      <c r="I4936" s="2">
        <v>8.99</v>
      </c>
      <c r="J4936">
        <v>0</v>
      </c>
      <c r="K4936" s="2">
        <f t="shared" si="154"/>
        <v>0</v>
      </c>
      <c r="L4936" t="s">
        <v>61</v>
      </c>
      <c r="M4936">
        <v>3</v>
      </c>
      <c r="N4936">
        <v>2.11</v>
      </c>
      <c r="O4936" t="str">
        <f t="shared" si="155"/>
        <v>1+ hours</v>
      </c>
      <c r="P4936" t="s">
        <v>39</v>
      </c>
    </row>
    <row r="4937" spans="1:16" x14ac:dyDescent="0.4">
      <c r="A4937" t="s">
        <v>4978</v>
      </c>
      <c r="B4937">
        <v>53</v>
      </c>
      <c r="C4937" t="s">
        <v>27</v>
      </c>
      <c r="D4937" t="s">
        <v>16</v>
      </c>
      <c r="E4937">
        <v>33.71</v>
      </c>
      <c r="F4937">
        <v>42</v>
      </c>
      <c r="G4937" t="s">
        <v>17</v>
      </c>
      <c r="H4937" t="s">
        <v>57</v>
      </c>
      <c r="I4937" s="2">
        <v>8.99</v>
      </c>
      <c r="J4937">
        <v>0</v>
      </c>
      <c r="K4937" s="2">
        <f t="shared" si="154"/>
        <v>0</v>
      </c>
      <c r="L4937" t="s">
        <v>37</v>
      </c>
      <c r="M4937">
        <v>4</v>
      </c>
      <c r="N4937">
        <v>0.78</v>
      </c>
      <c r="O4937" t="str">
        <f t="shared" si="155"/>
        <v>0.6–0.8 hours</v>
      </c>
      <c r="P4937" t="s">
        <v>52</v>
      </c>
    </row>
    <row r="4938" spans="1:16" x14ac:dyDescent="0.4">
      <c r="A4938" t="s">
        <v>4979</v>
      </c>
      <c r="B4938">
        <v>30</v>
      </c>
      <c r="C4938" t="s">
        <v>15</v>
      </c>
      <c r="D4938" t="s">
        <v>22</v>
      </c>
      <c r="E4938">
        <v>3.79</v>
      </c>
      <c r="F4938">
        <v>20</v>
      </c>
      <c r="G4938" t="s">
        <v>17</v>
      </c>
      <c r="H4938" t="s">
        <v>55</v>
      </c>
      <c r="I4938" s="2">
        <v>13.99</v>
      </c>
      <c r="J4938">
        <v>1</v>
      </c>
      <c r="K4938" s="2">
        <f t="shared" si="154"/>
        <v>13.99</v>
      </c>
      <c r="L4938" t="s">
        <v>29</v>
      </c>
      <c r="M4938">
        <v>5</v>
      </c>
      <c r="N4938">
        <v>0.18</v>
      </c>
      <c r="O4938" t="str">
        <f t="shared" si="155"/>
        <v>0–0.2 hours</v>
      </c>
      <c r="P4938" t="s">
        <v>30</v>
      </c>
    </row>
    <row r="4939" spans="1:16" x14ac:dyDescent="0.4">
      <c r="A4939" t="s">
        <v>4980</v>
      </c>
      <c r="B4939">
        <v>54</v>
      </c>
      <c r="C4939" t="s">
        <v>41</v>
      </c>
      <c r="D4939" t="s">
        <v>16</v>
      </c>
      <c r="E4939">
        <v>8.09</v>
      </c>
      <c r="F4939">
        <v>19</v>
      </c>
      <c r="G4939" t="s">
        <v>23</v>
      </c>
      <c r="H4939" t="s">
        <v>24</v>
      </c>
      <c r="I4939" s="2">
        <v>8.99</v>
      </c>
      <c r="J4939">
        <v>0</v>
      </c>
      <c r="K4939" s="2">
        <f t="shared" si="154"/>
        <v>0</v>
      </c>
      <c r="L4939" t="s">
        <v>61</v>
      </c>
      <c r="M4939">
        <v>2</v>
      </c>
      <c r="N4939">
        <v>0.4</v>
      </c>
      <c r="O4939" t="str">
        <f t="shared" si="155"/>
        <v>0.2–0.4 hours</v>
      </c>
      <c r="P4939" t="s">
        <v>20</v>
      </c>
    </row>
    <row r="4940" spans="1:16" x14ac:dyDescent="0.4">
      <c r="A4940" t="s">
        <v>4981</v>
      </c>
      <c r="B4940">
        <v>54</v>
      </c>
      <c r="C4940" t="s">
        <v>15</v>
      </c>
      <c r="D4940" t="s">
        <v>32</v>
      </c>
      <c r="E4940">
        <v>7.4</v>
      </c>
      <c r="F4940">
        <v>52</v>
      </c>
      <c r="G4940" t="s">
        <v>49</v>
      </c>
      <c r="H4940" t="s">
        <v>57</v>
      </c>
      <c r="I4940" s="2">
        <v>17.989999999999998</v>
      </c>
      <c r="J4940">
        <v>1</v>
      </c>
      <c r="K4940" s="2">
        <f t="shared" si="154"/>
        <v>17.989999999999998</v>
      </c>
      <c r="L4940" t="s">
        <v>37</v>
      </c>
      <c r="M4940">
        <v>1</v>
      </c>
      <c r="N4940">
        <v>0.14000000000000001</v>
      </c>
      <c r="O4940" t="str">
        <f t="shared" si="155"/>
        <v>0–0.2 hours</v>
      </c>
      <c r="P4940" t="s">
        <v>52</v>
      </c>
    </row>
    <row r="4941" spans="1:16" x14ac:dyDescent="0.4">
      <c r="A4941" t="s">
        <v>4982</v>
      </c>
      <c r="B4941">
        <v>33</v>
      </c>
      <c r="C4941" t="s">
        <v>15</v>
      </c>
      <c r="D4941" t="s">
        <v>22</v>
      </c>
      <c r="E4941">
        <v>7.87</v>
      </c>
      <c r="F4941">
        <v>42</v>
      </c>
      <c r="G4941" t="s">
        <v>23</v>
      </c>
      <c r="H4941" t="s">
        <v>57</v>
      </c>
      <c r="I4941" s="2">
        <v>13.99</v>
      </c>
      <c r="J4941">
        <v>0</v>
      </c>
      <c r="K4941" s="2">
        <f t="shared" si="154"/>
        <v>0</v>
      </c>
      <c r="L4941" t="s">
        <v>43</v>
      </c>
      <c r="M4941">
        <v>5</v>
      </c>
      <c r="N4941">
        <v>0.18</v>
      </c>
      <c r="O4941" t="str">
        <f t="shared" si="155"/>
        <v>0–0.2 hours</v>
      </c>
      <c r="P4941" t="s">
        <v>25</v>
      </c>
    </row>
    <row r="4942" spans="1:16" x14ac:dyDescent="0.4">
      <c r="A4942" t="s">
        <v>4983</v>
      </c>
      <c r="B4942">
        <v>70</v>
      </c>
      <c r="C4942" t="s">
        <v>41</v>
      </c>
      <c r="D4942" t="s">
        <v>16</v>
      </c>
      <c r="E4942">
        <v>6.01</v>
      </c>
      <c r="F4942">
        <v>13</v>
      </c>
      <c r="G4942" t="s">
        <v>28</v>
      </c>
      <c r="H4942" t="s">
        <v>18</v>
      </c>
      <c r="I4942" s="2">
        <v>8.99</v>
      </c>
      <c r="J4942">
        <v>1</v>
      </c>
      <c r="K4942" s="2">
        <f t="shared" si="154"/>
        <v>8.99</v>
      </c>
      <c r="L4942" t="s">
        <v>29</v>
      </c>
      <c r="M4942">
        <v>1</v>
      </c>
      <c r="N4942">
        <v>0.43</v>
      </c>
      <c r="O4942" t="str">
        <f t="shared" si="155"/>
        <v>0.4–0.6 hours</v>
      </c>
      <c r="P4942" t="s">
        <v>20</v>
      </c>
    </row>
    <row r="4943" spans="1:16" x14ac:dyDescent="0.4">
      <c r="A4943" t="s">
        <v>4984</v>
      </c>
      <c r="B4943">
        <v>49</v>
      </c>
      <c r="C4943" t="s">
        <v>15</v>
      </c>
      <c r="D4943" t="s">
        <v>16</v>
      </c>
      <c r="E4943">
        <v>53.75</v>
      </c>
      <c r="F4943">
        <v>55</v>
      </c>
      <c r="G4943" t="s">
        <v>70</v>
      </c>
      <c r="H4943" t="s">
        <v>24</v>
      </c>
      <c r="I4943" s="2">
        <v>8.99</v>
      </c>
      <c r="J4943">
        <v>0</v>
      </c>
      <c r="K4943" s="2">
        <f t="shared" si="154"/>
        <v>0</v>
      </c>
      <c r="L4943" t="s">
        <v>61</v>
      </c>
      <c r="M4943">
        <v>3</v>
      </c>
      <c r="N4943">
        <v>0.96</v>
      </c>
      <c r="O4943" t="str">
        <f t="shared" si="155"/>
        <v>0.8–1 hour</v>
      </c>
      <c r="P4943" t="s">
        <v>25</v>
      </c>
    </row>
    <row r="4944" spans="1:16" x14ac:dyDescent="0.4">
      <c r="A4944" t="s">
        <v>4985</v>
      </c>
      <c r="B4944">
        <v>53</v>
      </c>
      <c r="C4944" t="s">
        <v>41</v>
      </c>
      <c r="D4944" t="s">
        <v>32</v>
      </c>
      <c r="E4944">
        <v>4.6900000000000004</v>
      </c>
      <c r="F4944">
        <v>8</v>
      </c>
      <c r="G4944" t="s">
        <v>28</v>
      </c>
      <c r="H4944" t="s">
        <v>24</v>
      </c>
      <c r="I4944" s="2">
        <v>17.989999999999998</v>
      </c>
      <c r="J4944">
        <v>0</v>
      </c>
      <c r="K4944" s="2">
        <f t="shared" si="154"/>
        <v>0</v>
      </c>
      <c r="L4944" t="s">
        <v>29</v>
      </c>
      <c r="M4944">
        <v>5</v>
      </c>
      <c r="N4944">
        <v>0.52</v>
      </c>
      <c r="O4944" t="str">
        <f t="shared" si="155"/>
        <v>0.4–0.6 hours</v>
      </c>
      <c r="P4944" t="s">
        <v>34</v>
      </c>
    </row>
    <row r="4945" spans="1:16" x14ac:dyDescent="0.4">
      <c r="A4945" t="s">
        <v>4986</v>
      </c>
      <c r="B4945">
        <v>60</v>
      </c>
      <c r="C4945" t="s">
        <v>27</v>
      </c>
      <c r="D4945" t="s">
        <v>16</v>
      </c>
      <c r="E4945">
        <v>3.49</v>
      </c>
      <c r="F4945">
        <v>22</v>
      </c>
      <c r="G4945" t="s">
        <v>28</v>
      </c>
      <c r="H4945" t="s">
        <v>24</v>
      </c>
      <c r="I4945" s="2">
        <v>8.99</v>
      </c>
      <c r="J4945">
        <v>1</v>
      </c>
      <c r="K4945" s="2">
        <f t="shared" si="154"/>
        <v>8.99</v>
      </c>
      <c r="L4945" t="s">
        <v>29</v>
      </c>
      <c r="M4945">
        <v>2</v>
      </c>
      <c r="N4945">
        <v>0.15</v>
      </c>
      <c r="O4945" t="str">
        <f t="shared" si="155"/>
        <v>0–0.2 hours</v>
      </c>
      <c r="P4945" t="s">
        <v>34</v>
      </c>
    </row>
    <row r="4946" spans="1:16" x14ac:dyDescent="0.4">
      <c r="A4946" t="s">
        <v>4987</v>
      </c>
      <c r="B4946">
        <v>37</v>
      </c>
      <c r="C4946" t="s">
        <v>41</v>
      </c>
      <c r="D4946" t="s">
        <v>32</v>
      </c>
      <c r="E4946">
        <v>7.16</v>
      </c>
      <c r="F4946">
        <v>12</v>
      </c>
      <c r="G4946" t="s">
        <v>33</v>
      </c>
      <c r="H4946" t="s">
        <v>18</v>
      </c>
      <c r="I4946" s="2">
        <v>17.989999999999998</v>
      </c>
      <c r="J4946">
        <v>0</v>
      </c>
      <c r="K4946" s="2">
        <f t="shared" si="154"/>
        <v>0</v>
      </c>
      <c r="L4946" t="s">
        <v>61</v>
      </c>
      <c r="M4946">
        <v>2</v>
      </c>
      <c r="N4946">
        <v>0.55000000000000004</v>
      </c>
      <c r="O4946" t="str">
        <f t="shared" si="155"/>
        <v>0.4–0.6 hours</v>
      </c>
      <c r="P4946" t="s">
        <v>25</v>
      </c>
    </row>
    <row r="4947" spans="1:16" x14ac:dyDescent="0.4">
      <c r="A4947" t="s">
        <v>4988</v>
      </c>
      <c r="B4947">
        <v>55</v>
      </c>
      <c r="C4947" t="s">
        <v>15</v>
      </c>
      <c r="D4947" t="s">
        <v>32</v>
      </c>
      <c r="E4947">
        <v>18.87</v>
      </c>
      <c r="F4947">
        <v>58</v>
      </c>
      <c r="G4947" t="s">
        <v>28</v>
      </c>
      <c r="H4947" t="s">
        <v>46</v>
      </c>
      <c r="I4947" s="2">
        <v>17.989999999999998</v>
      </c>
      <c r="J4947">
        <v>1</v>
      </c>
      <c r="K4947" s="2">
        <f t="shared" si="154"/>
        <v>17.989999999999998</v>
      </c>
      <c r="L4947" t="s">
        <v>19</v>
      </c>
      <c r="M4947">
        <v>2</v>
      </c>
      <c r="N4947">
        <v>0.32</v>
      </c>
      <c r="O4947" t="str">
        <f t="shared" si="155"/>
        <v>0.2–0.4 hours</v>
      </c>
      <c r="P4947" t="s">
        <v>47</v>
      </c>
    </row>
    <row r="4948" spans="1:16" x14ac:dyDescent="0.4">
      <c r="A4948" t="s">
        <v>4989</v>
      </c>
      <c r="B4948">
        <v>65</v>
      </c>
      <c r="C4948" t="s">
        <v>15</v>
      </c>
      <c r="D4948" t="s">
        <v>16</v>
      </c>
      <c r="E4948">
        <v>1.68</v>
      </c>
      <c r="F4948">
        <v>3</v>
      </c>
      <c r="G4948" t="s">
        <v>28</v>
      </c>
      <c r="H4948" t="s">
        <v>18</v>
      </c>
      <c r="I4948" s="2">
        <v>8.99</v>
      </c>
      <c r="J4948">
        <v>1</v>
      </c>
      <c r="K4948" s="2">
        <f t="shared" si="154"/>
        <v>8.99</v>
      </c>
      <c r="L4948" t="s">
        <v>43</v>
      </c>
      <c r="M4948">
        <v>1</v>
      </c>
      <c r="N4948">
        <v>0.42</v>
      </c>
      <c r="O4948" t="str">
        <f t="shared" si="155"/>
        <v>0.4–0.6 hours</v>
      </c>
      <c r="P4948" t="s">
        <v>25</v>
      </c>
    </row>
    <row r="4949" spans="1:16" x14ac:dyDescent="0.4">
      <c r="A4949" t="s">
        <v>4990</v>
      </c>
      <c r="B4949">
        <v>18</v>
      </c>
      <c r="C4949" t="s">
        <v>41</v>
      </c>
      <c r="D4949" t="s">
        <v>22</v>
      </c>
      <c r="E4949">
        <v>0.64</v>
      </c>
      <c r="F4949">
        <v>18</v>
      </c>
      <c r="G4949" t="s">
        <v>28</v>
      </c>
      <c r="H4949" t="s">
        <v>18</v>
      </c>
      <c r="I4949" s="2">
        <v>13.99</v>
      </c>
      <c r="J4949">
        <v>1</v>
      </c>
      <c r="K4949" s="2">
        <f t="shared" si="154"/>
        <v>13.99</v>
      </c>
      <c r="L4949" t="s">
        <v>29</v>
      </c>
      <c r="M4949">
        <v>2</v>
      </c>
      <c r="N4949">
        <v>0.03</v>
      </c>
      <c r="O4949" t="str">
        <f t="shared" si="155"/>
        <v>0–0.2 hours</v>
      </c>
      <c r="P4949" t="s">
        <v>34</v>
      </c>
    </row>
    <row r="4950" spans="1:16" x14ac:dyDescent="0.4">
      <c r="A4950" t="s">
        <v>4991</v>
      </c>
      <c r="B4950">
        <v>38</v>
      </c>
      <c r="C4950" t="s">
        <v>15</v>
      </c>
      <c r="D4950" t="s">
        <v>22</v>
      </c>
      <c r="E4950">
        <v>17.05</v>
      </c>
      <c r="F4950">
        <v>34</v>
      </c>
      <c r="G4950" t="s">
        <v>28</v>
      </c>
      <c r="H4950" t="s">
        <v>18</v>
      </c>
      <c r="I4950" s="2">
        <v>13.99</v>
      </c>
      <c r="J4950">
        <v>1</v>
      </c>
      <c r="K4950" s="2">
        <f t="shared" si="154"/>
        <v>13.99</v>
      </c>
      <c r="L4950" t="s">
        <v>61</v>
      </c>
      <c r="M4950">
        <v>3</v>
      </c>
      <c r="N4950">
        <v>0.49</v>
      </c>
      <c r="O4950" t="str">
        <f t="shared" si="155"/>
        <v>0.4–0.6 hours</v>
      </c>
      <c r="P4950" t="s">
        <v>39</v>
      </c>
    </row>
    <row r="4951" spans="1:16" x14ac:dyDescent="0.4">
      <c r="A4951" t="s">
        <v>4992</v>
      </c>
      <c r="B4951">
        <v>69</v>
      </c>
      <c r="C4951" t="s">
        <v>41</v>
      </c>
      <c r="D4951" t="s">
        <v>16</v>
      </c>
      <c r="E4951">
        <v>14.35</v>
      </c>
      <c r="F4951">
        <v>50</v>
      </c>
      <c r="G4951" t="s">
        <v>70</v>
      </c>
      <c r="H4951" t="s">
        <v>24</v>
      </c>
      <c r="I4951" s="2">
        <v>8.99</v>
      </c>
      <c r="J4951">
        <v>1</v>
      </c>
      <c r="K4951" s="2">
        <f t="shared" si="154"/>
        <v>8.99</v>
      </c>
      <c r="L4951" t="s">
        <v>61</v>
      </c>
      <c r="M4951">
        <v>5</v>
      </c>
      <c r="N4951">
        <v>0.28000000000000003</v>
      </c>
      <c r="O4951" t="str">
        <f t="shared" si="155"/>
        <v>0.2–0.4 hours</v>
      </c>
      <c r="P4951" t="s">
        <v>30</v>
      </c>
    </row>
    <row r="4952" spans="1:16" x14ac:dyDescent="0.4">
      <c r="A4952" s="1" t="s">
        <v>4993</v>
      </c>
      <c r="B4952">
        <v>59</v>
      </c>
      <c r="C4952" t="s">
        <v>41</v>
      </c>
      <c r="D4952" t="s">
        <v>22</v>
      </c>
      <c r="E4952">
        <v>1.65</v>
      </c>
      <c r="F4952">
        <v>53</v>
      </c>
      <c r="G4952" t="s">
        <v>17</v>
      </c>
      <c r="H4952" t="s">
        <v>55</v>
      </c>
      <c r="I4952" s="2">
        <v>13.99</v>
      </c>
      <c r="J4952">
        <v>1</v>
      </c>
      <c r="K4952" s="2">
        <f t="shared" si="154"/>
        <v>13.99</v>
      </c>
      <c r="L4952" t="s">
        <v>37</v>
      </c>
      <c r="M4952">
        <v>1</v>
      </c>
      <c r="N4952">
        <v>0.03</v>
      </c>
      <c r="O4952" t="str">
        <f t="shared" si="155"/>
        <v>0–0.2 hours</v>
      </c>
      <c r="P4952" t="s">
        <v>20</v>
      </c>
    </row>
    <row r="4953" spans="1:16" x14ac:dyDescent="0.4">
      <c r="A4953" t="s">
        <v>4994</v>
      </c>
      <c r="B4953">
        <v>20</v>
      </c>
      <c r="C4953" t="s">
        <v>41</v>
      </c>
      <c r="D4953" t="s">
        <v>22</v>
      </c>
      <c r="E4953">
        <v>13.57</v>
      </c>
      <c r="F4953">
        <v>45</v>
      </c>
      <c r="G4953" t="s">
        <v>33</v>
      </c>
      <c r="H4953" t="s">
        <v>24</v>
      </c>
      <c r="I4953" s="2">
        <v>13.99</v>
      </c>
      <c r="J4953">
        <v>1</v>
      </c>
      <c r="K4953" s="2">
        <f t="shared" si="154"/>
        <v>13.99</v>
      </c>
      <c r="L4953" t="s">
        <v>43</v>
      </c>
      <c r="M4953">
        <v>1</v>
      </c>
      <c r="N4953">
        <v>0.28999999999999998</v>
      </c>
      <c r="O4953" t="str">
        <f t="shared" si="155"/>
        <v>0.2–0.4 hours</v>
      </c>
      <c r="P4953" t="s">
        <v>25</v>
      </c>
    </row>
    <row r="4954" spans="1:16" x14ac:dyDescent="0.4">
      <c r="A4954" t="s">
        <v>4995</v>
      </c>
      <c r="B4954">
        <v>30</v>
      </c>
      <c r="C4954" t="s">
        <v>27</v>
      </c>
      <c r="D4954" t="s">
        <v>16</v>
      </c>
      <c r="E4954">
        <v>10.64</v>
      </c>
      <c r="F4954">
        <v>2</v>
      </c>
      <c r="G4954" t="s">
        <v>23</v>
      </c>
      <c r="H4954" t="s">
        <v>57</v>
      </c>
      <c r="I4954" s="2">
        <v>8.99</v>
      </c>
      <c r="J4954">
        <v>0</v>
      </c>
      <c r="K4954" s="2">
        <f t="shared" si="154"/>
        <v>0</v>
      </c>
      <c r="L4954" t="s">
        <v>61</v>
      </c>
      <c r="M4954">
        <v>2</v>
      </c>
      <c r="N4954">
        <v>3.55</v>
      </c>
      <c r="O4954" t="str">
        <f t="shared" si="155"/>
        <v>1+ hours</v>
      </c>
      <c r="P4954" t="s">
        <v>39</v>
      </c>
    </row>
    <row r="4955" spans="1:16" x14ac:dyDescent="0.4">
      <c r="A4955" t="s">
        <v>4996</v>
      </c>
      <c r="B4955">
        <v>49</v>
      </c>
      <c r="C4955" t="s">
        <v>27</v>
      </c>
      <c r="D4955" t="s">
        <v>16</v>
      </c>
      <c r="E4955">
        <v>1.73</v>
      </c>
      <c r="F4955">
        <v>28</v>
      </c>
      <c r="G4955" t="s">
        <v>70</v>
      </c>
      <c r="H4955" t="s">
        <v>24</v>
      </c>
      <c r="I4955" s="2">
        <v>8.99</v>
      </c>
      <c r="J4955">
        <v>1</v>
      </c>
      <c r="K4955" s="2">
        <f t="shared" si="154"/>
        <v>8.99</v>
      </c>
      <c r="L4955" t="s">
        <v>61</v>
      </c>
      <c r="M4955">
        <v>4</v>
      </c>
      <c r="N4955">
        <v>0.06</v>
      </c>
      <c r="O4955" t="str">
        <f t="shared" si="155"/>
        <v>0–0.2 hours</v>
      </c>
      <c r="P4955" t="s">
        <v>30</v>
      </c>
    </row>
    <row r="4956" spans="1:16" x14ac:dyDescent="0.4">
      <c r="A4956" t="s">
        <v>4997</v>
      </c>
      <c r="B4956">
        <v>70</v>
      </c>
      <c r="C4956" t="s">
        <v>15</v>
      </c>
      <c r="D4956" t="s">
        <v>16</v>
      </c>
      <c r="E4956">
        <v>1.33</v>
      </c>
      <c r="F4956">
        <v>54</v>
      </c>
      <c r="G4956" t="s">
        <v>33</v>
      </c>
      <c r="H4956" t="s">
        <v>18</v>
      </c>
      <c r="I4956" s="2">
        <v>8.99</v>
      </c>
      <c r="J4956">
        <v>1</v>
      </c>
      <c r="K4956" s="2">
        <f t="shared" si="154"/>
        <v>8.99</v>
      </c>
      <c r="L4956" t="s">
        <v>29</v>
      </c>
      <c r="M4956">
        <v>5</v>
      </c>
      <c r="N4956">
        <v>0.02</v>
      </c>
      <c r="O4956" t="str">
        <f t="shared" si="155"/>
        <v>0–0.2 hours</v>
      </c>
      <c r="P4956" t="s">
        <v>39</v>
      </c>
    </row>
    <row r="4957" spans="1:16" x14ac:dyDescent="0.4">
      <c r="A4957" t="s">
        <v>4998</v>
      </c>
      <c r="B4957">
        <v>25</v>
      </c>
      <c r="C4957" t="s">
        <v>15</v>
      </c>
      <c r="D4957" t="s">
        <v>22</v>
      </c>
      <c r="E4957">
        <v>16.760000000000002</v>
      </c>
      <c r="F4957">
        <v>53</v>
      </c>
      <c r="G4957" t="s">
        <v>17</v>
      </c>
      <c r="H4957" t="s">
        <v>55</v>
      </c>
      <c r="I4957" s="2">
        <v>13.99</v>
      </c>
      <c r="J4957">
        <v>0</v>
      </c>
      <c r="K4957" s="2">
        <f t="shared" si="154"/>
        <v>0</v>
      </c>
      <c r="L4957" t="s">
        <v>61</v>
      </c>
      <c r="M4957">
        <v>4</v>
      </c>
      <c r="N4957">
        <v>0.31</v>
      </c>
      <c r="O4957" t="str">
        <f t="shared" si="155"/>
        <v>0.2–0.4 hours</v>
      </c>
      <c r="P4957" t="s">
        <v>39</v>
      </c>
    </row>
    <row r="4958" spans="1:16" x14ac:dyDescent="0.4">
      <c r="A4958" t="s">
        <v>4999</v>
      </c>
      <c r="B4958">
        <v>28</v>
      </c>
      <c r="C4958" t="s">
        <v>15</v>
      </c>
      <c r="D4958" t="s">
        <v>16</v>
      </c>
      <c r="E4958">
        <v>14.14</v>
      </c>
      <c r="F4958">
        <v>16</v>
      </c>
      <c r="G4958" t="s">
        <v>49</v>
      </c>
      <c r="H4958" t="s">
        <v>24</v>
      </c>
      <c r="I4958" s="2">
        <v>8.99</v>
      </c>
      <c r="J4958">
        <v>0</v>
      </c>
      <c r="K4958" s="2">
        <f t="shared" si="154"/>
        <v>0</v>
      </c>
      <c r="L4958" t="s">
        <v>19</v>
      </c>
      <c r="M4958">
        <v>3</v>
      </c>
      <c r="N4958">
        <v>0.83</v>
      </c>
      <c r="O4958" t="str">
        <f t="shared" si="155"/>
        <v>0.8–1 hour</v>
      </c>
      <c r="P4958" t="s">
        <v>30</v>
      </c>
    </row>
    <row r="4959" spans="1:16" x14ac:dyDescent="0.4">
      <c r="A4959" t="s">
        <v>5000</v>
      </c>
      <c r="B4959">
        <v>59</v>
      </c>
      <c r="C4959" t="s">
        <v>41</v>
      </c>
      <c r="D4959" t="s">
        <v>22</v>
      </c>
      <c r="E4959">
        <v>0.98</v>
      </c>
      <c r="F4959">
        <v>19</v>
      </c>
      <c r="G4959" t="s">
        <v>23</v>
      </c>
      <c r="H4959" t="s">
        <v>24</v>
      </c>
      <c r="I4959" s="2">
        <v>13.99</v>
      </c>
      <c r="J4959">
        <v>1</v>
      </c>
      <c r="K4959" s="2">
        <f t="shared" si="154"/>
        <v>13.99</v>
      </c>
      <c r="L4959" t="s">
        <v>19</v>
      </c>
      <c r="M4959">
        <v>4</v>
      </c>
      <c r="N4959">
        <v>0.05</v>
      </c>
      <c r="O4959" t="str">
        <f t="shared" si="155"/>
        <v>0–0.2 hours</v>
      </c>
      <c r="P4959" t="s">
        <v>34</v>
      </c>
    </row>
    <row r="4960" spans="1:16" x14ac:dyDescent="0.4">
      <c r="A4960" t="s">
        <v>5001</v>
      </c>
      <c r="B4960">
        <v>61</v>
      </c>
      <c r="C4960" t="s">
        <v>15</v>
      </c>
      <c r="D4960" t="s">
        <v>22</v>
      </c>
      <c r="E4960">
        <v>0.94</v>
      </c>
      <c r="F4960">
        <v>19</v>
      </c>
      <c r="G4960" t="s">
        <v>49</v>
      </c>
      <c r="H4960" t="s">
        <v>18</v>
      </c>
      <c r="I4960" s="2">
        <v>13.99</v>
      </c>
      <c r="J4960">
        <v>0</v>
      </c>
      <c r="K4960" s="2">
        <f t="shared" si="154"/>
        <v>0</v>
      </c>
      <c r="L4960" t="s">
        <v>37</v>
      </c>
      <c r="M4960">
        <v>4</v>
      </c>
      <c r="N4960">
        <v>0.05</v>
      </c>
      <c r="O4960" t="str">
        <f t="shared" si="155"/>
        <v>0–0.2 hours</v>
      </c>
      <c r="P4960" t="s">
        <v>39</v>
      </c>
    </row>
    <row r="4961" spans="1:16" x14ac:dyDescent="0.4">
      <c r="A4961" t="s">
        <v>5002</v>
      </c>
      <c r="B4961">
        <v>39</v>
      </c>
      <c r="C4961" t="s">
        <v>27</v>
      </c>
      <c r="D4961" t="s">
        <v>32</v>
      </c>
      <c r="E4961">
        <v>11.83</v>
      </c>
      <c r="F4961">
        <v>55</v>
      </c>
      <c r="G4961" t="s">
        <v>49</v>
      </c>
      <c r="H4961" t="s">
        <v>46</v>
      </c>
      <c r="I4961" s="2">
        <v>17.989999999999998</v>
      </c>
      <c r="J4961">
        <v>1</v>
      </c>
      <c r="K4961" s="2">
        <f t="shared" si="154"/>
        <v>17.989999999999998</v>
      </c>
      <c r="L4961" t="s">
        <v>19</v>
      </c>
      <c r="M4961">
        <v>3</v>
      </c>
      <c r="N4961">
        <v>0.21</v>
      </c>
      <c r="O4961" t="str">
        <f t="shared" si="155"/>
        <v>0.2–0.4 hours</v>
      </c>
      <c r="P4961" t="s">
        <v>20</v>
      </c>
    </row>
    <row r="4962" spans="1:16" x14ac:dyDescent="0.4">
      <c r="A4962" t="s">
        <v>5003</v>
      </c>
      <c r="B4962">
        <v>37</v>
      </c>
      <c r="C4962" t="s">
        <v>15</v>
      </c>
      <c r="D4962" t="s">
        <v>16</v>
      </c>
      <c r="E4962">
        <v>55.15</v>
      </c>
      <c r="F4962">
        <v>59</v>
      </c>
      <c r="G4962" t="s">
        <v>70</v>
      </c>
      <c r="H4962" t="s">
        <v>24</v>
      </c>
      <c r="I4962" s="2">
        <v>8.99</v>
      </c>
      <c r="J4962">
        <v>0</v>
      </c>
      <c r="K4962" s="2">
        <f t="shared" si="154"/>
        <v>0</v>
      </c>
      <c r="L4962" t="s">
        <v>19</v>
      </c>
      <c r="M4962">
        <v>4</v>
      </c>
      <c r="N4962">
        <v>0.92</v>
      </c>
      <c r="O4962" t="str">
        <f t="shared" si="155"/>
        <v>0.8–1 hour</v>
      </c>
      <c r="P4962" t="s">
        <v>34</v>
      </c>
    </row>
    <row r="4963" spans="1:16" x14ac:dyDescent="0.4">
      <c r="A4963" t="s">
        <v>5004</v>
      </c>
      <c r="B4963">
        <v>18</v>
      </c>
      <c r="C4963" t="s">
        <v>15</v>
      </c>
      <c r="D4963" t="s">
        <v>32</v>
      </c>
      <c r="E4963">
        <v>46.06</v>
      </c>
      <c r="F4963">
        <v>57</v>
      </c>
      <c r="G4963" t="s">
        <v>28</v>
      </c>
      <c r="H4963" t="s">
        <v>57</v>
      </c>
      <c r="I4963" s="2">
        <v>17.989999999999998</v>
      </c>
      <c r="J4963">
        <v>0</v>
      </c>
      <c r="K4963" s="2">
        <f t="shared" si="154"/>
        <v>0</v>
      </c>
      <c r="L4963" t="s">
        <v>29</v>
      </c>
      <c r="M4963">
        <v>4</v>
      </c>
      <c r="N4963">
        <v>0.79</v>
      </c>
      <c r="O4963" t="str">
        <f t="shared" si="155"/>
        <v>0.6–0.8 hours</v>
      </c>
      <c r="P4963" t="s">
        <v>47</v>
      </c>
    </row>
    <row r="4964" spans="1:16" x14ac:dyDescent="0.4">
      <c r="A4964" t="s">
        <v>5005</v>
      </c>
      <c r="B4964">
        <v>65</v>
      </c>
      <c r="C4964" t="s">
        <v>27</v>
      </c>
      <c r="D4964" t="s">
        <v>22</v>
      </c>
      <c r="E4964">
        <v>70.989999999999995</v>
      </c>
      <c r="F4964">
        <v>36</v>
      </c>
      <c r="G4964" t="s">
        <v>33</v>
      </c>
      <c r="H4964" t="s">
        <v>24</v>
      </c>
      <c r="I4964" s="2">
        <v>13.99</v>
      </c>
      <c r="J4964">
        <v>0</v>
      </c>
      <c r="K4964" s="2">
        <f t="shared" si="154"/>
        <v>0</v>
      </c>
      <c r="L4964" t="s">
        <v>29</v>
      </c>
      <c r="M4964">
        <v>2</v>
      </c>
      <c r="N4964">
        <v>1.92</v>
      </c>
      <c r="O4964" t="str">
        <f t="shared" si="155"/>
        <v>1+ hours</v>
      </c>
      <c r="P4964" t="s">
        <v>34</v>
      </c>
    </row>
    <row r="4965" spans="1:16" x14ac:dyDescent="0.4">
      <c r="A4965" s="1" t="s">
        <v>5006</v>
      </c>
      <c r="B4965">
        <v>65</v>
      </c>
      <c r="C4965" t="s">
        <v>15</v>
      </c>
      <c r="D4965" t="s">
        <v>22</v>
      </c>
      <c r="E4965">
        <v>20.56</v>
      </c>
      <c r="F4965">
        <v>10</v>
      </c>
      <c r="G4965" t="s">
        <v>23</v>
      </c>
      <c r="H4965" t="s">
        <v>46</v>
      </c>
      <c r="I4965" s="2">
        <v>13.99</v>
      </c>
      <c r="J4965">
        <v>0</v>
      </c>
      <c r="K4965" s="2">
        <f t="shared" si="154"/>
        <v>0</v>
      </c>
      <c r="L4965" t="s">
        <v>37</v>
      </c>
      <c r="M4965">
        <v>5</v>
      </c>
      <c r="N4965">
        <v>1.87</v>
      </c>
      <c r="O4965" t="str">
        <f t="shared" si="155"/>
        <v>1+ hours</v>
      </c>
      <c r="P4965" t="s">
        <v>25</v>
      </c>
    </row>
    <row r="4966" spans="1:16" x14ac:dyDescent="0.4">
      <c r="A4966" t="s">
        <v>5007</v>
      </c>
      <c r="B4966">
        <v>46</v>
      </c>
      <c r="C4966" t="s">
        <v>15</v>
      </c>
      <c r="D4966" t="s">
        <v>32</v>
      </c>
      <c r="E4966">
        <v>4.1399999999999997</v>
      </c>
      <c r="F4966">
        <v>42</v>
      </c>
      <c r="G4966" t="s">
        <v>49</v>
      </c>
      <c r="H4966" t="s">
        <v>55</v>
      </c>
      <c r="I4966" s="2">
        <v>17.989999999999998</v>
      </c>
      <c r="J4966">
        <v>1</v>
      </c>
      <c r="K4966" s="2">
        <f t="shared" si="154"/>
        <v>17.989999999999998</v>
      </c>
      <c r="L4966" t="s">
        <v>61</v>
      </c>
      <c r="M4966">
        <v>5</v>
      </c>
      <c r="N4966">
        <v>0.1</v>
      </c>
      <c r="O4966" t="str">
        <f t="shared" si="155"/>
        <v>0–0.2 hours</v>
      </c>
      <c r="P4966" t="s">
        <v>30</v>
      </c>
    </row>
    <row r="4967" spans="1:16" x14ac:dyDescent="0.4">
      <c r="A4967" t="s">
        <v>5008</v>
      </c>
      <c r="B4967">
        <v>32</v>
      </c>
      <c r="C4967" t="s">
        <v>15</v>
      </c>
      <c r="D4967" t="s">
        <v>22</v>
      </c>
      <c r="E4967">
        <v>14.48</v>
      </c>
      <c r="F4967">
        <v>55</v>
      </c>
      <c r="G4967" t="s">
        <v>23</v>
      </c>
      <c r="H4967" t="s">
        <v>57</v>
      </c>
      <c r="I4967" s="2">
        <v>13.99</v>
      </c>
      <c r="J4967">
        <v>0</v>
      </c>
      <c r="K4967" s="2">
        <f t="shared" si="154"/>
        <v>0</v>
      </c>
      <c r="L4967" t="s">
        <v>37</v>
      </c>
      <c r="M4967">
        <v>5</v>
      </c>
      <c r="N4967">
        <v>0.26</v>
      </c>
      <c r="O4967" t="str">
        <f t="shared" si="155"/>
        <v>0.2–0.4 hours</v>
      </c>
      <c r="P4967" t="s">
        <v>20</v>
      </c>
    </row>
    <row r="4968" spans="1:16" x14ac:dyDescent="0.4">
      <c r="A4968" t="s">
        <v>5009</v>
      </c>
      <c r="B4968">
        <v>64</v>
      </c>
      <c r="C4968" t="s">
        <v>27</v>
      </c>
      <c r="D4968" t="s">
        <v>16</v>
      </c>
      <c r="E4968">
        <v>28.66</v>
      </c>
      <c r="F4968">
        <v>28</v>
      </c>
      <c r="G4968" t="s">
        <v>33</v>
      </c>
      <c r="H4968" t="s">
        <v>55</v>
      </c>
      <c r="I4968" s="2">
        <v>8.99</v>
      </c>
      <c r="J4968">
        <v>0</v>
      </c>
      <c r="K4968" s="2">
        <f t="shared" si="154"/>
        <v>0</v>
      </c>
      <c r="L4968" t="s">
        <v>19</v>
      </c>
      <c r="M4968">
        <v>4</v>
      </c>
      <c r="N4968">
        <v>0.99</v>
      </c>
      <c r="O4968" t="str">
        <f t="shared" si="155"/>
        <v>0.8–1 hour</v>
      </c>
      <c r="P4968" t="s">
        <v>39</v>
      </c>
    </row>
    <row r="4969" spans="1:16" x14ac:dyDescent="0.4">
      <c r="A4969" t="s">
        <v>5010</v>
      </c>
      <c r="B4969">
        <v>46</v>
      </c>
      <c r="C4969" t="s">
        <v>41</v>
      </c>
      <c r="D4969" t="s">
        <v>22</v>
      </c>
      <c r="E4969">
        <v>8.7899999999999991</v>
      </c>
      <c r="F4969">
        <v>54</v>
      </c>
      <c r="G4969" t="s">
        <v>49</v>
      </c>
      <c r="H4969" t="s">
        <v>24</v>
      </c>
      <c r="I4969" s="2">
        <v>13.99</v>
      </c>
      <c r="J4969">
        <v>1</v>
      </c>
      <c r="K4969" s="2">
        <f t="shared" si="154"/>
        <v>13.99</v>
      </c>
      <c r="L4969" t="s">
        <v>43</v>
      </c>
      <c r="M4969">
        <v>1</v>
      </c>
      <c r="N4969">
        <v>0.16</v>
      </c>
      <c r="O4969" t="str">
        <f t="shared" si="155"/>
        <v>0–0.2 hours</v>
      </c>
      <c r="P4969" t="s">
        <v>39</v>
      </c>
    </row>
    <row r="4970" spans="1:16" x14ac:dyDescent="0.4">
      <c r="A4970" t="s">
        <v>5011</v>
      </c>
      <c r="B4970">
        <v>41</v>
      </c>
      <c r="C4970" t="s">
        <v>15</v>
      </c>
      <c r="D4970" t="s">
        <v>16</v>
      </c>
      <c r="E4970">
        <v>48.84</v>
      </c>
      <c r="F4970">
        <v>47</v>
      </c>
      <c r="G4970" t="s">
        <v>28</v>
      </c>
      <c r="H4970" t="s">
        <v>57</v>
      </c>
      <c r="I4970" s="2">
        <v>8.99</v>
      </c>
      <c r="J4970">
        <v>0</v>
      </c>
      <c r="K4970" s="2">
        <f t="shared" si="154"/>
        <v>0</v>
      </c>
      <c r="L4970" t="s">
        <v>43</v>
      </c>
      <c r="M4970">
        <v>4</v>
      </c>
      <c r="N4970">
        <v>1.02</v>
      </c>
      <c r="O4970" t="str">
        <f t="shared" si="155"/>
        <v>1+ hours</v>
      </c>
      <c r="P4970" t="s">
        <v>39</v>
      </c>
    </row>
    <row r="4971" spans="1:16" x14ac:dyDescent="0.4">
      <c r="A4971" t="s">
        <v>5012</v>
      </c>
      <c r="B4971">
        <v>43</v>
      </c>
      <c r="C4971" t="s">
        <v>41</v>
      </c>
      <c r="D4971" t="s">
        <v>32</v>
      </c>
      <c r="E4971">
        <v>6.6</v>
      </c>
      <c r="F4971">
        <v>11</v>
      </c>
      <c r="G4971" t="s">
        <v>49</v>
      </c>
      <c r="H4971" t="s">
        <v>55</v>
      </c>
      <c r="I4971" s="2">
        <v>17.989999999999998</v>
      </c>
      <c r="J4971">
        <v>0</v>
      </c>
      <c r="K4971" s="2">
        <f t="shared" si="154"/>
        <v>0</v>
      </c>
      <c r="L4971" t="s">
        <v>19</v>
      </c>
      <c r="M4971">
        <v>4</v>
      </c>
      <c r="N4971">
        <v>0.55000000000000004</v>
      </c>
      <c r="O4971" t="str">
        <f t="shared" si="155"/>
        <v>0.4–0.6 hours</v>
      </c>
      <c r="P4971" t="s">
        <v>30</v>
      </c>
    </row>
    <row r="4972" spans="1:16" x14ac:dyDescent="0.4">
      <c r="A4972" t="s">
        <v>5013</v>
      </c>
      <c r="B4972">
        <v>28</v>
      </c>
      <c r="C4972" t="s">
        <v>27</v>
      </c>
      <c r="D4972" t="s">
        <v>22</v>
      </c>
      <c r="E4972">
        <v>0.34</v>
      </c>
      <c r="F4972">
        <v>38</v>
      </c>
      <c r="G4972" t="s">
        <v>70</v>
      </c>
      <c r="H4972" t="s">
        <v>57</v>
      </c>
      <c r="I4972" s="2">
        <v>13.99</v>
      </c>
      <c r="J4972">
        <v>1</v>
      </c>
      <c r="K4972" s="2">
        <f t="shared" si="154"/>
        <v>13.99</v>
      </c>
      <c r="L4972" t="s">
        <v>19</v>
      </c>
      <c r="M4972">
        <v>4</v>
      </c>
      <c r="N4972">
        <v>0.01</v>
      </c>
      <c r="O4972" t="str">
        <f t="shared" si="155"/>
        <v>0–0.2 hours</v>
      </c>
      <c r="P4972" t="s">
        <v>34</v>
      </c>
    </row>
    <row r="4973" spans="1:16" x14ac:dyDescent="0.4">
      <c r="A4973" t="s">
        <v>5014</v>
      </c>
      <c r="B4973">
        <v>59</v>
      </c>
      <c r="C4973" t="s">
        <v>15</v>
      </c>
      <c r="D4973" t="s">
        <v>32</v>
      </c>
      <c r="E4973">
        <v>6.25</v>
      </c>
      <c r="F4973">
        <v>1</v>
      </c>
      <c r="G4973" t="s">
        <v>49</v>
      </c>
      <c r="H4973" t="s">
        <v>46</v>
      </c>
      <c r="I4973" s="2">
        <v>17.989999999999998</v>
      </c>
      <c r="J4973">
        <v>0</v>
      </c>
      <c r="K4973" s="2">
        <f t="shared" si="154"/>
        <v>0</v>
      </c>
      <c r="L4973" t="s">
        <v>37</v>
      </c>
      <c r="M4973">
        <v>1</v>
      </c>
      <c r="N4973">
        <v>3.12</v>
      </c>
      <c r="O4973" t="str">
        <f t="shared" si="155"/>
        <v>1+ hours</v>
      </c>
      <c r="P4973" t="s">
        <v>39</v>
      </c>
    </row>
    <row r="4974" spans="1:16" x14ac:dyDescent="0.4">
      <c r="A4974" s="1" t="s">
        <v>5015</v>
      </c>
      <c r="B4974">
        <v>69</v>
      </c>
      <c r="C4974" t="s">
        <v>27</v>
      </c>
      <c r="D4974" t="s">
        <v>22</v>
      </c>
      <c r="E4974">
        <v>6.08</v>
      </c>
      <c r="F4974">
        <v>47</v>
      </c>
      <c r="G4974" t="s">
        <v>17</v>
      </c>
      <c r="H4974" t="s">
        <v>57</v>
      </c>
      <c r="I4974" s="2">
        <v>13.99</v>
      </c>
      <c r="J4974">
        <v>1</v>
      </c>
      <c r="K4974" s="2">
        <f t="shared" si="154"/>
        <v>13.99</v>
      </c>
      <c r="L4974" t="s">
        <v>43</v>
      </c>
      <c r="M4974">
        <v>3</v>
      </c>
      <c r="N4974">
        <v>0.13</v>
      </c>
      <c r="O4974" t="str">
        <f t="shared" si="155"/>
        <v>0–0.2 hours</v>
      </c>
      <c r="P4974" t="s">
        <v>34</v>
      </c>
    </row>
    <row r="4975" spans="1:16" x14ac:dyDescent="0.4">
      <c r="A4975" t="s">
        <v>5016</v>
      </c>
      <c r="B4975">
        <v>30</v>
      </c>
      <c r="C4975" t="s">
        <v>27</v>
      </c>
      <c r="D4975" t="s">
        <v>16</v>
      </c>
      <c r="E4975">
        <v>6.93</v>
      </c>
      <c r="F4975">
        <v>50</v>
      </c>
      <c r="G4975" t="s">
        <v>28</v>
      </c>
      <c r="H4975" t="s">
        <v>57</v>
      </c>
      <c r="I4975" s="2">
        <v>8.99</v>
      </c>
      <c r="J4975">
        <v>1</v>
      </c>
      <c r="K4975" s="2">
        <f t="shared" si="154"/>
        <v>8.99</v>
      </c>
      <c r="L4975" t="s">
        <v>19</v>
      </c>
      <c r="M4975">
        <v>2</v>
      </c>
      <c r="N4975">
        <v>0.14000000000000001</v>
      </c>
      <c r="O4975" t="str">
        <f t="shared" si="155"/>
        <v>0–0.2 hours</v>
      </c>
      <c r="P4975" t="s">
        <v>47</v>
      </c>
    </row>
    <row r="4976" spans="1:16" x14ac:dyDescent="0.4">
      <c r="A4976" t="s">
        <v>5017</v>
      </c>
      <c r="B4976">
        <v>36</v>
      </c>
      <c r="C4976" t="s">
        <v>27</v>
      </c>
      <c r="D4976" t="s">
        <v>16</v>
      </c>
      <c r="E4976">
        <v>17.32</v>
      </c>
      <c r="F4976">
        <v>34</v>
      </c>
      <c r="G4976" t="s">
        <v>33</v>
      </c>
      <c r="H4976" t="s">
        <v>18</v>
      </c>
      <c r="I4976" s="2">
        <v>8.99</v>
      </c>
      <c r="J4976">
        <v>1</v>
      </c>
      <c r="K4976" s="2">
        <f t="shared" si="154"/>
        <v>8.99</v>
      </c>
      <c r="L4976" t="s">
        <v>43</v>
      </c>
      <c r="M4976">
        <v>2</v>
      </c>
      <c r="N4976">
        <v>0.49</v>
      </c>
      <c r="O4976" t="str">
        <f t="shared" si="155"/>
        <v>0.4–0.6 hours</v>
      </c>
      <c r="P4976" t="s">
        <v>47</v>
      </c>
    </row>
    <row r="4977" spans="1:16" x14ac:dyDescent="0.4">
      <c r="A4977" t="s">
        <v>5018</v>
      </c>
      <c r="B4977">
        <v>64</v>
      </c>
      <c r="C4977" t="s">
        <v>27</v>
      </c>
      <c r="D4977" t="s">
        <v>22</v>
      </c>
      <c r="E4977">
        <v>8.11</v>
      </c>
      <c r="F4977">
        <v>6</v>
      </c>
      <c r="G4977" t="s">
        <v>70</v>
      </c>
      <c r="H4977" t="s">
        <v>57</v>
      </c>
      <c r="I4977" s="2">
        <v>13.99</v>
      </c>
      <c r="J4977">
        <v>0</v>
      </c>
      <c r="K4977" s="2">
        <f t="shared" si="154"/>
        <v>0</v>
      </c>
      <c r="L4977" t="s">
        <v>19</v>
      </c>
      <c r="M4977">
        <v>3</v>
      </c>
      <c r="N4977">
        <v>1.1599999999999999</v>
      </c>
      <c r="O4977" t="str">
        <f t="shared" si="155"/>
        <v>1+ hours</v>
      </c>
      <c r="P4977" t="s">
        <v>20</v>
      </c>
    </row>
    <row r="4978" spans="1:16" x14ac:dyDescent="0.4">
      <c r="A4978" t="s">
        <v>5019</v>
      </c>
      <c r="B4978">
        <v>31</v>
      </c>
      <c r="C4978" t="s">
        <v>15</v>
      </c>
      <c r="D4978" t="s">
        <v>22</v>
      </c>
      <c r="E4978">
        <v>12.62</v>
      </c>
      <c r="F4978">
        <v>28</v>
      </c>
      <c r="G4978" t="s">
        <v>28</v>
      </c>
      <c r="H4978" t="s">
        <v>24</v>
      </c>
      <c r="I4978" s="2">
        <v>13.99</v>
      </c>
      <c r="J4978">
        <v>0</v>
      </c>
      <c r="K4978" s="2">
        <f t="shared" si="154"/>
        <v>0</v>
      </c>
      <c r="L4978" t="s">
        <v>43</v>
      </c>
      <c r="M4978">
        <v>5</v>
      </c>
      <c r="N4978">
        <v>0.44</v>
      </c>
      <c r="O4978" t="str">
        <f t="shared" si="155"/>
        <v>0.4–0.6 hours</v>
      </c>
      <c r="P4978" t="s">
        <v>34</v>
      </c>
    </row>
    <row r="4979" spans="1:16" x14ac:dyDescent="0.4">
      <c r="A4979" t="s">
        <v>5020</v>
      </c>
      <c r="B4979">
        <v>19</v>
      </c>
      <c r="C4979" t="s">
        <v>41</v>
      </c>
      <c r="D4979" t="s">
        <v>22</v>
      </c>
      <c r="E4979">
        <v>3.45</v>
      </c>
      <c r="F4979">
        <v>18</v>
      </c>
      <c r="G4979" t="s">
        <v>17</v>
      </c>
      <c r="H4979" t="s">
        <v>57</v>
      </c>
      <c r="I4979" s="2">
        <v>13.99</v>
      </c>
      <c r="J4979">
        <v>1</v>
      </c>
      <c r="K4979" s="2">
        <f t="shared" si="154"/>
        <v>13.99</v>
      </c>
      <c r="L4979" t="s">
        <v>61</v>
      </c>
      <c r="M4979">
        <v>3</v>
      </c>
      <c r="N4979">
        <v>0.18</v>
      </c>
      <c r="O4979" t="str">
        <f t="shared" si="155"/>
        <v>0–0.2 hours</v>
      </c>
      <c r="P4979" t="s">
        <v>39</v>
      </c>
    </row>
    <row r="4980" spans="1:16" x14ac:dyDescent="0.4">
      <c r="A4980" t="s">
        <v>5021</v>
      </c>
      <c r="B4980">
        <v>63</v>
      </c>
      <c r="C4980" t="s">
        <v>41</v>
      </c>
      <c r="D4980" t="s">
        <v>22</v>
      </c>
      <c r="E4980">
        <v>27.07</v>
      </c>
      <c r="F4980">
        <v>18</v>
      </c>
      <c r="G4980" t="s">
        <v>49</v>
      </c>
      <c r="H4980" t="s">
        <v>55</v>
      </c>
      <c r="I4980" s="2">
        <v>13.99</v>
      </c>
      <c r="J4980">
        <v>0</v>
      </c>
      <c r="K4980" s="2">
        <f t="shared" si="154"/>
        <v>0</v>
      </c>
      <c r="L4980" t="s">
        <v>37</v>
      </c>
      <c r="M4980">
        <v>3</v>
      </c>
      <c r="N4980">
        <v>1.42</v>
      </c>
      <c r="O4980" t="str">
        <f t="shared" si="155"/>
        <v>1+ hours</v>
      </c>
      <c r="P4980" t="s">
        <v>25</v>
      </c>
    </row>
    <row r="4981" spans="1:16" x14ac:dyDescent="0.4">
      <c r="A4981" t="s">
        <v>5022</v>
      </c>
      <c r="B4981">
        <v>27</v>
      </c>
      <c r="C4981" t="s">
        <v>15</v>
      </c>
      <c r="D4981" t="s">
        <v>16</v>
      </c>
      <c r="E4981">
        <v>71.38</v>
      </c>
      <c r="F4981">
        <v>32</v>
      </c>
      <c r="G4981" t="s">
        <v>49</v>
      </c>
      <c r="H4981" t="s">
        <v>24</v>
      </c>
      <c r="I4981" s="2">
        <v>8.99</v>
      </c>
      <c r="J4981">
        <v>0</v>
      </c>
      <c r="K4981" s="2">
        <f t="shared" si="154"/>
        <v>0</v>
      </c>
      <c r="L4981" t="s">
        <v>43</v>
      </c>
      <c r="M4981">
        <v>5</v>
      </c>
      <c r="N4981">
        <v>2.16</v>
      </c>
      <c r="O4981" t="str">
        <f t="shared" si="155"/>
        <v>1+ hours</v>
      </c>
      <c r="P4981" t="s">
        <v>47</v>
      </c>
    </row>
    <row r="4982" spans="1:16" x14ac:dyDescent="0.4">
      <c r="A4982" t="s">
        <v>5023</v>
      </c>
      <c r="B4982">
        <v>57</v>
      </c>
      <c r="C4982" t="s">
        <v>41</v>
      </c>
      <c r="D4982" t="s">
        <v>22</v>
      </c>
      <c r="E4982">
        <v>3.64</v>
      </c>
      <c r="F4982">
        <v>36</v>
      </c>
      <c r="G4982" t="s">
        <v>49</v>
      </c>
      <c r="H4982" t="s">
        <v>46</v>
      </c>
      <c r="I4982" s="2">
        <v>13.99</v>
      </c>
      <c r="J4982">
        <v>1</v>
      </c>
      <c r="K4982" s="2">
        <f t="shared" si="154"/>
        <v>13.99</v>
      </c>
      <c r="L4982" t="s">
        <v>29</v>
      </c>
      <c r="M4982">
        <v>5</v>
      </c>
      <c r="N4982">
        <v>0.1</v>
      </c>
      <c r="O4982" t="str">
        <f t="shared" si="155"/>
        <v>0–0.2 hours</v>
      </c>
      <c r="P4982" t="s">
        <v>47</v>
      </c>
    </row>
    <row r="4983" spans="1:16" x14ac:dyDescent="0.4">
      <c r="A4983" t="s">
        <v>5024</v>
      </c>
      <c r="B4983">
        <v>20</v>
      </c>
      <c r="C4983" t="s">
        <v>15</v>
      </c>
      <c r="D4983" t="s">
        <v>22</v>
      </c>
      <c r="E4983">
        <v>0.75</v>
      </c>
      <c r="F4983">
        <v>53</v>
      </c>
      <c r="G4983" t="s">
        <v>28</v>
      </c>
      <c r="H4983" t="s">
        <v>57</v>
      </c>
      <c r="I4983" s="2">
        <v>13.99</v>
      </c>
      <c r="J4983">
        <v>1</v>
      </c>
      <c r="K4983" s="2">
        <f t="shared" si="154"/>
        <v>13.99</v>
      </c>
      <c r="L4983" t="s">
        <v>43</v>
      </c>
      <c r="M4983">
        <v>3</v>
      </c>
      <c r="N4983">
        <v>0.01</v>
      </c>
      <c r="O4983" t="str">
        <f t="shared" si="155"/>
        <v>0–0.2 hours</v>
      </c>
      <c r="P4983" t="s">
        <v>20</v>
      </c>
    </row>
    <row r="4984" spans="1:16" x14ac:dyDescent="0.4">
      <c r="A4984" t="s">
        <v>5025</v>
      </c>
      <c r="B4984">
        <v>53</v>
      </c>
      <c r="C4984" t="s">
        <v>41</v>
      </c>
      <c r="D4984" t="s">
        <v>22</v>
      </c>
      <c r="E4984">
        <v>7.31</v>
      </c>
      <c r="F4984">
        <v>17</v>
      </c>
      <c r="G4984" t="s">
        <v>33</v>
      </c>
      <c r="H4984" t="s">
        <v>46</v>
      </c>
      <c r="I4984" s="2">
        <v>13.99</v>
      </c>
      <c r="J4984">
        <v>0</v>
      </c>
      <c r="K4984" s="2">
        <f t="shared" si="154"/>
        <v>0</v>
      </c>
      <c r="L4984" t="s">
        <v>37</v>
      </c>
      <c r="M4984">
        <v>4</v>
      </c>
      <c r="N4984">
        <v>0.41</v>
      </c>
      <c r="O4984" t="str">
        <f t="shared" si="155"/>
        <v>0.4–0.6 hours</v>
      </c>
      <c r="P4984" t="s">
        <v>20</v>
      </c>
    </row>
    <row r="4985" spans="1:16" x14ac:dyDescent="0.4">
      <c r="A4985" t="s">
        <v>5026</v>
      </c>
      <c r="B4985">
        <v>49</v>
      </c>
      <c r="C4985" t="s">
        <v>15</v>
      </c>
      <c r="D4985" t="s">
        <v>32</v>
      </c>
      <c r="E4985">
        <v>7.69</v>
      </c>
      <c r="F4985">
        <v>4</v>
      </c>
      <c r="G4985" t="s">
        <v>28</v>
      </c>
      <c r="H4985" t="s">
        <v>57</v>
      </c>
      <c r="I4985" s="2">
        <v>17.989999999999998</v>
      </c>
      <c r="J4985">
        <v>0</v>
      </c>
      <c r="K4985" s="2">
        <f t="shared" si="154"/>
        <v>0</v>
      </c>
      <c r="L4985" t="s">
        <v>19</v>
      </c>
      <c r="M4985">
        <v>4</v>
      </c>
      <c r="N4985">
        <v>1.54</v>
      </c>
      <c r="O4985" t="str">
        <f t="shared" si="155"/>
        <v>1+ hours</v>
      </c>
      <c r="P4985" t="s">
        <v>25</v>
      </c>
    </row>
    <row r="4986" spans="1:16" x14ac:dyDescent="0.4">
      <c r="A4986" t="s">
        <v>5027</v>
      </c>
      <c r="B4986">
        <v>69</v>
      </c>
      <c r="C4986" t="s">
        <v>15</v>
      </c>
      <c r="D4986" t="s">
        <v>32</v>
      </c>
      <c r="E4986">
        <v>11.3</v>
      </c>
      <c r="F4986">
        <v>33</v>
      </c>
      <c r="G4986" t="s">
        <v>28</v>
      </c>
      <c r="H4986" t="s">
        <v>55</v>
      </c>
      <c r="I4986" s="2">
        <v>17.989999999999998</v>
      </c>
      <c r="J4986">
        <v>0</v>
      </c>
      <c r="K4986" s="2">
        <f t="shared" si="154"/>
        <v>0</v>
      </c>
      <c r="L4986" t="s">
        <v>37</v>
      </c>
      <c r="M4986">
        <v>4</v>
      </c>
      <c r="N4986">
        <v>0.33</v>
      </c>
      <c r="O4986" t="str">
        <f t="shared" si="155"/>
        <v>0.2–0.4 hours</v>
      </c>
      <c r="P4986" t="s">
        <v>20</v>
      </c>
    </row>
    <row r="4987" spans="1:16" x14ac:dyDescent="0.4">
      <c r="A4987" t="s">
        <v>5028</v>
      </c>
      <c r="B4987">
        <v>58</v>
      </c>
      <c r="C4987" t="s">
        <v>27</v>
      </c>
      <c r="D4987" t="s">
        <v>32</v>
      </c>
      <c r="E4987">
        <v>7.58</v>
      </c>
      <c r="F4987">
        <v>40</v>
      </c>
      <c r="G4987" t="s">
        <v>70</v>
      </c>
      <c r="H4987" t="s">
        <v>18</v>
      </c>
      <c r="I4987" s="2">
        <v>17.989999999999998</v>
      </c>
      <c r="J4987">
        <v>1</v>
      </c>
      <c r="K4987" s="2">
        <f t="shared" si="154"/>
        <v>17.989999999999998</v>
      </c>
      <c r="L4987" t="s">
        <v>19</v>
      </c>
      <c r="M4987">
        <v>5</v>
      </c>
      <c r="N4987">
        <v>0.18</v>
      </c>
      <c r="O4987" t="str">
        <f t="shared" si="155"/>
        <v>0–0.2 hours</v>
      </c>
      <c r="P4987" t="s">
        <v>39</v>
      </c>
    </row>
    <row r="4988" spans="1:16" x14ac:dyDescent="0.4">
      <c r="A4988" t="s">
        <v>5029</v>
      </c>
      <c r="B4988">
        <v>44</v>
      </c>
      <c r="C4988" t="s">
        <v>41</v>
      </c>
      <c r="D4988" t="s">
        <v>16</v>
      </c>
      <c r="E4988">
        <v>12.76</v>
      </c>
      <c r="F4988">
        <v>41</v>
      </c>
      <c r="G4988" t="s">
        <v>33</v>
      </c>
      <c r="H4988" t="s">
        <v>57</v>
      </c>
      <c r="I4988" s="2">
        <v>8.99</v>
      </c>
      <c r="J4988">
        <v>1</v>
      </c>
      <c r="K4988" s="2">
        <f t="shared" si="154"/>
        <v>8.99</v>
      </c>
      <c r="L4988" t="s">
        <v>61</v>
      </c>
      <c r="M4988">
        <v>3</v>
      </c>
      <c r="N4988">
        <v>0.3</v>
      </c>
      <c r="O4988" t="str">
        <f t="shared" si="155"/>
        <v>0.2–0.4 hours</v>
      </c>
      <c r="P4988" t="s">
        <v>30</v>
      </c>
    </row>
    <row r="4989" spans="1:16" x14ac:dyDescent="0.4">
      <c r="A4989" t="s">
        <v>5030</v>
      </c>
      <c r="B4989">
        <v>20</v>
      </c>
      <c r="C4989" t="s">
        <v>41</v>
      </c>
      <c r="D4989" t="s">
        <v>16</v>
      </c>
      <c r="E4989">
        <v>8</v>
      </c>
      <c r="F4989">
        <v>58</v>
      </c>
      <c r="G4989" t="s">
        <v>33</v>
      </c>
      <c r="H4989" t="s">
        <v>57</v>
      </c>
      <c r="I4989" s="2">
        <v>8.99</v>
      </c>
      <c r="J4989">
        <v>1</v>
      </c>
      <c r="K4989" s="2">
        <f t="shared" si="154"/>
        <v>8.99</v>
      </c>
      <c r="L4989" t="s">
        <v>19</v>
      </c>
      <c r="M4989">
        <v>4</v>
      </c>
      <c r="N4989">
        <v>0.14000000000000001</v>
      </c>
      <c r="O4989" t="str">
        <f t="shared" si="155"/>
        <v>0–0.2 hours</v>
      </c>
      <c r="P4989" t="s">
        <v>52</v>
      </c>
    </row>
    <row r="4990" spans="1:16" x14ac:dyDescent="0.4">
      <c r="A4990" t="s">
        <v>5031</v>
      </c>
      <c r="B4990">
        <v>67</v>
      </c>
      <c r="C4990" t="s">
        <v>27</v>
      </c>
      <c r="D4990" t="s">
        <v>22</v>
      </c>
      <c r="E4990">
        <v>16.059999999999999</v>
      </c>
      <c r="F4990">
        <v>18</v>
      </c>
      <c r="G4990" t="s">
        <v>23</v>
      </c>
      <c r="H4990" t="s">
        <v>46</v>
      </c>
      <c r="I4990" s="2">
        <v>13.99</v>
      </c>
      <c r="J4990">
        <v>0</v>
      </c>
      <c r="K4990" s="2">
        <f t="shared" si="154"/>
        <v>0</v>
      </c>
      <c r="L4990" t="s">
        <v>43</v>
      </c>
      <c r="M4990">
        <v>5</v>
      </c>
      <c r="N4990">
        <v>0.85</v>
      </c>
      <c r="O4990" t="str">
        <f t="shared" si="155"/>
        <v>0.8–1 hour</v>
      </c>
      <c r="P4990" t="s">
        <v>34</v>
      </c>
    </row>
    <row r="4991" spans="1:16" x14ac:dyDescent="0.4">
      <c r="A4991" t="s">
        <v>5032</v>
      </c>
      <c r="B4991">
        <v>69</v>
      </c>
      <c r="C4991" t="s">
        <v>41</v>
      </c>
      <c r="D4991" t="s">
        <v>22</v>
      </c>
      <c r="E4991">
        <v>42.72</v>
      </c>
      <c r="F4991">
        <v>52</v>
      </c>
      <c r="G4991" t="s">
        <v>49</v>
      </c>
      <c r="H4991" t="s">
        <v>57</v>
      </c>
      <c r="I4991" s="2">
        <v>13.99</v>
      </c>
      <c r="J4991">
        <v>0</v>
      </c>
      <c r="K4991" s="2">
        <f t="shared" si="154"/>
        <v>0</v>
      </c>
      <c r="L4991" t="s">
        <v>29</v>
      </c>
      <c r="M4991">
        <v>3</v>
      </c>
      <c r="N4991">
        <v>0.81</v>
      </c>
      <c r="O4991" t="str">
        <f t="shared" si="155"/>
        <v>0.8–1 hour</v>
      </c>
      <c r="P4991" t="s">
        <v>30</v>
      </c>
    </row>
    <row r="4992" spans="1:16" x14ac:dyDescent="0.4">
      <c r="A4992" t="s">
        <v>5033</v>
      </c>
      <c r="B4992">
        <v>57</v>
      </c>
      <c r="C4992" t="s">
        <v>41</v>
      </c>
      <c r="D4992" t="s">
        <v>22</v>
      </c>
      <c r="E4992">
        <v>2.09</v>
      </c>
      <c r="F4992">
        <v>13</v>
      </c>
      <c r="G4992" t="s">
        <v>28</v>
      </c>
      <c r="H4992" t="s">
        <v>18</v>
      </c>
      <c r="I4992" s="2">
        <v>13.99</v>
      </c>
      <c r="J4992">
        <v>1</v>
      </c>
      <c r="K4992" s="2">
        <f t="shared" si="154"/>
        <v>13.99</v>
      </c>
      <c r="L4992" t="s">
        <v>29</v>
      </c>
      <c r="M4992">
        <v>3</v>
      </c>
      <c r="N4992">
        <v>0.15</v>
      </c>
      <c r="O4992" t="str">
        <f t="shared" si="155"/>
        <v>0–0.2 hours</v>
      </c>
      <c r="P4992" t="s">
        <v>39</v>
      </c>
    </row>
    <row r="4993" spans="1:16" x14ac:dyDescent="0.4">
      <c r="A4993" t="s">
        <v>5034</v>
      </c>
      <c r="B4993">
        <v>62</v>
      </c>
      <c r="C4993" t="s">
        <v>41</v>
      </c>
      <c r="D4993" t="s">
        <v>22</v>
      </c>
      <c r="E4993">
        <v>7.31</v>
      </c>
      <c r="F4993">
        <v>26</v>
      </c>
      <c r="G4993" t="s">
        <v>33</v>
      </c>
      <c r="H4993" t="s">
        <v>55</v>
      </c>
      <c r="I4993" s="2">
        <v>13.99</v>
      </c>
      <c r="J4993">
        <v>0</v>
      </c>
      <c r="K4993" s="2">
        <f t="shared" si="154"/>
        <v>0</v>
      </c>
      <c r="L4993" t="s">
        <v>61</v>
      </c>
      <c r="M4993">
        <v>2</v>
      </c>
      <c r="N4993">
        <v>0.27</v>
      </c>
      <c r="O4993" t="str">
        <f t="shared" si="155"/>
        <v>0.2–0.4 hours</v>
      </c>
      <c r="P4993" t="s">
        <v>25</v>
      </c>
    </row>
    <row r="4994" spans="1:16" x14ac:dyDescent="0.4">
      <c r="A4994" s="1" t="s">
        <v>5035</v>
      </c>
      <c r="B4994">
        <v>34</v>
      </c>
      <c r="C4994" t="s">
        <v>41</v>
      </c>
      <c r="D4994" t="s">
        <v>22</v>
      </c>
      <c r="E4994">
        <v>10.25</v>
      </c>
      <c r="F4994">
        <v>41</v>
      </c>
      <c r="G4994" t="s">
        <v>33</v>
      </c>
      <c r="H4994" t="s">
        <v>55</v>
      </c>
      <c r="I4994" s="2">
        <v>13.99</v>
      </c>
      <c r="J4994">
        <v>1</v>
      </c>
      <c r="K4994" s="2">
        <f t="shared" si="154"/>
        <v>13.99</v>
      </c>
      <c r="L4994" t="s">
        <v>29</v>
      </c>
      <c r="M4994">
        <v>3</v>
      </c>
      <c r="N4994">
        <v>0.24</v>
      </c>
      <c r="O4994" t="str">
        <f t="shared" si="155"/>
        <v>0.2–0.4 hours</v>
      </c>
      <c r="P4994" t="s">
        <v>52</v>
      </c>
    </row>
    <row r="4995" spans="1:16" x14ac:dyDescent="0.4">
      <c r="A4995" t="s">
        <v>5036</v>
      </c>
      <c r="B4995">
        <v>23</v>
      </c>
      <c r="C4995" t="s">
        <v>15</v>
      </c>
      <c r="D4995" t="s">
        <v>22</v>
      </c>
      <c r="E4995">
        <v>3.1</v>
      </c>
      <c r="F4995">
        <v>12</v>
      </c>
      <c r="G4995" t="s">
        <v>23</v>
      </c>
      <c r="H4995" t="s">
        <v>46</v>
      </c>
      <c r="I4995" s="2">
        <v>13.99</v>
      </c>
      <c r="J4995">
        <v>1</v>
      </c>
      <c r="K4995" s="2">
        <f t="shared" ref="K4995:K5001" si="156">SUMIF(J4995,1,I4995)</f>
        <v>13.99</v>
      </c>
      <c r="L4995" t="s">
        <v>29</v>
      </c>
      <c r="M4995">
        <v>5</v>
      </c>
      <c r="N4995">
        <v>0.24</v>
      </c>
      <c r="O4995" t="str">
        <f t="shared" ref="O4995:O5001" si="157">IF(N4995&gt;1,"1+ hours",IF(N4995&lt;=0.2,"0–0.2 hours",IF(N4995&lt;=0.4,"0.2–0.4 hours",IF(N4995&lt;=0.6,"0.4–0.6 hours",IF(N4995&lt;=0.8,"0.6–0.8 hours","0.8–1 hour")))))</f>
        <v>0.2–0.4 hours</v>
      </c>
      <c r="P4995" t="s">
        <v>47</v>
      </c>
    </row>
    <row r="4996" spans="1:16" x14ac:dyDescent="0.4">
      <c r="A4996" t="s">
        <v>5037</v>
      </c>
      <c r="B4996">
        <v>58</v>
      </c>
      <c r="C4996" t="s">
        <v>15</v>
      </c>
      <c r="D4996" t="s">
        <v>16</v>
      </c>
      <c r="E4996">
        <v>10.9</v>
      </c>
      <c r="F4996">
        <v>22</v>
      </c>
      <c r="G4996" t="s">
        <v>23</v>
      </c>
      <c r="H4996" t="s">
        <v>18</v>
      </c>
      <c r="I4996" s="2">
        <v>8.99</v>
      </c>
      <c r="J4996">
        <v>0</v>
      </c>
      <c r="K4996" s="2">
        <f t="shared" si="156"/>
        <v>0</v>
      </c>
      <c r="L4996" t="s">
        <v>61</v>
      </c>
      <c r="M4996">
        <v>3</v>
      </c>
      <c r="N4996">
        <v>0.47</v>
      </c>
      <c r="O4996" t="str">
        <f t="shared" si="157"/>
        <v>0.4–0.6 hours</v>
      </c>
      <c r="P4996" t="s">
        <v>20</v>
      </c>
    </row>
    <row r="4997" spans="1:16" x14ac:dyDescent="0.4">
      <c r="A4997" t="s">
        <v>5038</v>
      </c>
      <c r="B4997">
        <v>19</v>
      </c>
      <c r="C4997" t="s">
        <v>27</v>
      </c>
      <c r="D4997" t="s">
        <v>16</v>
      </c>
      <c r="E4997">
        <v>49.17</v>
      </c>
      <c r="F4997">
        <v>11</v>
      </c>
      <c r="G4997" t="s">
        <v>23</v>
      </c>
      <c r="H4997" t="s">
        <v>55</v>
      </c>
      <c r="I4997" s="2">
        <v>8.99</v>
      </c>
      <c r="J4997">
        <v>0</v>
      </c>
      <c r="K4997" s="2">
        <f t="shared" si="156"/>
        <v>0</v>
      </c>
      <c r="L4997" t="s">
        <v>61</v>
      </c>
      <c r="M4997">
        <v>4</v>
      </c>
      <c r="N4997">
        <v>4.0999999999999996</v>
      </c>
      <c r="O4997" t="str">
        <f t="shared" si="157"/>
        <v>1+ hours</v>
      </c>
      <c r="P4997" t="s">
        <v>30</v>
      </c>
    </row>
    <row r="4998" spans="1:16" x14ac:dyDescent="0.4">
      <c r="A4998" t="s">
        <v>5039</v>
      </c>
      <c r="B4998">
        <v>67</v>
      </c>
      <c r="C4998" t="s">
        <v>27</v>
      </c>
      <c r="D4998" t="s">
        <v>16</v>
      </c>
      <c r="E4998">
        <v>9.24</v>
      </c>
      <c r="F4998">
        <v>2</v>
      </c>
      <c r="G4998" t="s">
        <v>70</v>
      </c>
      <c r="H4998" t="s">
        <v>55</v>
      </c>
      <c r="I4998" s="2">
        <v>8.99</v>
      </c>
      <c r="J4998">
        <v>0</v>
      </c>
      <c r="K4998" s="2">
        <f t="shared" si="156"/>
        <v>0</v>
      </c>
      <c r="L4998" t="s">
        <v>43</v>
      </c>
      <c r="M4998">
        <v>3</v>
      </c>
      <c r="N4998">
        <v>3.08</v>
      </c>
      <c r="O4998" t="str">
        <f t="shared" si="157"/>
        <v>1+ hours</v>
      </c>
      <c r="P4998" t="s">
        <v>52</v>
      </c>
    </row>
    <row r="4999" spans="1:16" x14ac:dyDescent="0.4">
      <c r="A4999" t="s">
        <v>5040</v>
      </c>
      <c r="B4999">
        <v>66</v>
      </c>
      <c r="C4999" t="s">
        <v>41</v>
      </c>
      <c r="D4999" t="s">
        <v>22</v>
      </c>
      <c r="E4999">
        <v>16.55</v>
      </c>
      <c r="F4999">
        <v>49</v>
      </c>
      <c r="G4999" t="s">
        <v>49</v>
      </c>
      <c r="H4999" t="s">
        <v>55</v>
      </c>
      <c r="I4999" s="2">
        <v>13.99</v>
      </c>
      <c r="J4999">
        <v>1</v>
      </c>
      <c r="K4999" s="2">
        <f t="shared" si="156"/>
        <v>13.99</v>
      </c>
      <c r="L4999" t="s">
        <v>37</v>
      </c>
      <c r="M4999">
        <v>2</v>
      </c>
      <c r="N4999">
        <v>0.33</v>
      </c>
      <c r="O4999" t="str">
        <f t="shared" si="157"/>
        <v>0.2–0.4 hours</v>
      </c>
      <c r="P4999" t="s">
        <v>20</v>
      </c>
    </row>
    <row r="5000" spans="1:16" x14ac:dyDescent="0.4">
      <c r="A5000" t="s">
        <v>5041</v>
      </c>
      <c r="B5000">
        <v>59</v>
      </c>
      <c r="C5000" t="s">
        <v>27</v>
      </c>
      <c r="D5000" t="s">
        <v>16</v>
      </c>
      <c r="E5000">
        <v>9.1199999999999992</v>
      </c>
      <c r="F5000">
        <v>3</v>
      </c>
      <c r="G5000" t="s">
        <v>23</v>
      </c>
      <c r="H5000" t="s">
        <v>46</v>
      </c>
      <c r="I5000" s="2">
        <v>8.99</v>
      </c>
      <c r="J5000">
        <v>0</v>
      </c>
      <c r="K5000" s="2">
        <f t="shared" si="156"/>
        <v>0</v>
      </c>
      <c r="L5000" t="s">
        <v>61</v>
      </c>
      <c r="M5000">
        <v>4</v>
      </c>
      <c r="N5000">
        <v>2.2799999999999998</v>
      </c>
      <c r="O5000" t="str">
        <f t="shared" si="157"/>
        <v>1+ hours</v>
      </c>
      <c r="P5000" t="s">
        <v>25</v>
      </c>
    </row>
    <row r="5001" spans="1:16" x14ac:dyDescent="0.4">
      <c r="A5001" t="s">
        <v>5042</v>
      </c>
      <c r="B5001">
        <v>57</v>
      </c>
      <c r="C5001" t="s">
        <v>41</v>
      </c>
      <c r="D5001" t="s">
        <v>16</v>
      </c>
      <c r="E5001">
        <v>1.62</v>
      </c>
      <c r="F5001">
        <v>17</v>
      </c>
      <c r="G5001" t="s">
        <v>17</v>
      </c>
      <c r="H5001" t="s">
        <v>24</v>
      </c>
      <c r="I5001" s="2">
        <v>8.99</v>
      </c>
      <c r="J5001">
        <v>1</v>
      </c>
      <c r="K5001" s="2">
        <f t="shared" si="156"/>
        <v>8.99</v>
      </c>
      <c r="L5001" t="s">
        <v>29</v>
      </c>
      <c r="M5001">
        <v>2</v>
      </c>
      <c r="N5001">
        <v>0.09</v>
      </c>
      <c r="O5001" t="str">
        <f t="shared" si="157"/>
        <v>0–0.2 hours</v>
      </c>
      <c r="P5001" t="s">
        <v>20</v>
      </c>
    </row>
  </sheetData>
  <conditionalFormatting sqref="J2:J5001">
    <cfRule type="cellIs" dxfId="1" priority="3" operator="equal">
      <formula>0</formula>
    </cfRule>
    <cfRule type="cellIs" dxfId="0" priority="4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device_churn_rate</vt:lpstr>
      <vt:lpstr>payment_method_churn_rate</vt:lpstr>
      <vt:lpstr>last_login_churn_rate</vt:lpstr>
      <vt:lpstr>monthly_lost_revenue</vt:lpstr>
      <vt:lpstr>modified_netflix_customer_churn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Ayan Saeed</dc:creator>
  <cp:lastModifiedBy>Ayan Saeed</cp:lastModifiedBy>
  <dcterms:created xsi:type="dcterms:W3CDTF">2026-09-07T15:22:27Z</dcterms:created>
  <dcterms:modified xsi:type="dcterms:W3CDTF">2026-09-07T17:07:28Z</dcterms:modified>
</cp:coreProperties>
</file>